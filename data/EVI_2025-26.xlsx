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worksheets/sheet11.xml" ContentType="application/vnd.openxmlformats-officedocument.spreadsheetml.worksheet+xml"/>
  <Override PartName="/xl/drawings/drawing7.xml" ContentType="application/vnd.openxmlformats-officedocument.drawing+xml"/>
  <Override PartName="/xl/worksheets/sheet12.xml" ContentType="application/vnd.openxmlformats-officedocument.spreadsheetml.worksheet+xml"/>
  <Override PartName="/xl/drawings/drawing8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15" windowWidth="20730" windowHeight="11760" tabRatio="600" firstSheet="0" activeTab="1" autoFilterDateGrouping="1"/>
  </bookViews>
  <sheets>
    <sheet xmlns:r="http://schemas.openxmlformats.org/officeDocument/2006/relationships" name="Nifty50 PE Analysis" sheetId="1" state="visible" r:id="rId1"/>
    <sheet xmlns:r="http://schemas.openxmlformats.org/officeDocument/2006/relationships" name="EVI 2025" sheetId="2" state="visible" r:id="rId2"/>
    <sheet xmlns:r="http://schemas.openxmlformats.org/officeDocument/2006/relationships" name="DataSheet" sheetId="3" state="visible" r:id="rId3"/>
    <sheet xmlns:r="http://schemas.openxmlformats.org/officeDocument/2006/relationships" name="EVI 2025 Workings" sheetId="4" state="visible" r:id="rId4"/>
    <sheet xmlns:r="http://schemas.openxmlformats.org/officeDocument/2006/relationships" name="Mid vs Small Yield" sheetId="5" state="visible" r:id="rId5"/>
    <sheet xmlns:r="http://schemas.openxmlformats.org/officeDocument/2006/relationships" name="Dollar Index" sheetId="6" state="visible" r:id="rId6"/>
    <sheet xmlns:r="http://schemas.openxmlformats.org/officeDocument/2006/relationships" name="Indian Bond Vs USA Bond 10 Year" sheetId="7" state="visible" r:id="rId7"/>
    <sheet xmlns:r="http://schemas.openxmlformats.org/officeDocument/2006/relationships" name="Currency Vs Market Cap" sheetId="8" state="visible" r:id="rId8"/>
    <sheet xmlns:r="http://schemas.openxmlformats.org/officeDocument/2006/relationships" name="Yield in Short term &amp; Long term" sheetId="9" state="visible" r:id="rId9"/>
    <sheet xmlns:r="http://schemas.openxmlformats.org/officeDocument/2006/relationships" name="Beer Ratio" sheetId="10" state="visible" r:id="rId10"/>
    <sheet xmlns:r="http://schemas.openxmlformats.org/officeDocument/2006/relationships" name="Nifty Earning Yield" sheetId="11" state="visible" r:id="rId11"/>
    <sheet xmlns:r="http://schemas.openxmlformats.org/officeDocument/2006/relationships" name="CHART Market Cap to GDP" sheetId="12" state="visible" r:id="rId12"/>
    <sheet xmlns:r="http://schemas.openxmlformats.org/officeDocument/2006/relationships" name="Marketcap" sheetId="13" state="visible" r:id="rId13"/>
    <sheet xmlns:r="http://schemas.openxmlformats.org/officeDocument/2006/relationships" name="MarketcapGDP" sheetId="14" state="visible" r:id="rId14"/>
  </sheets>
  <externalReferences>
    <externalReference xmlns:r="http://schemas.openxmlformats.org/officeDocument/2006/relationships" r:id="rId15"/>
  </externalReference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[$-F800]dddd\,\ mmmm\ dd\,\ yyyy"/>
    <numFmt numFmtId="165" formatCode="&quot;₹&quot;#,##0.00"/>
    <numFmt numFmtId="166" formatCode="&quot;₹&quot;\ #,##0.00"/>
    <numFmt numFmtId="167" formatCode="DD-MMM-YYYY"/>
    <numFmt numFmtId="168" formatCode="DD-MMM-YY"/>
  </numFmts>
  <fonts count="4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9"/>
      <scheme val="minor"/>
    </font>
    <font>
      <name val="Calibri"/>
      <family val="2"/>
      <color rgb="FF000000"/>
      <sz val="9"/>
      <scheme val="minor"/>
    </font>
    <font>
      <name val="Calibri"/>
      <family val="2"/>
      <color rgb="FF212529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333333"/>
      <sz val="9"/>
      <scheme val="minor"/>
    </font>
    <font>
      <name val="Calibri"/>
      <family val="2"/>
      <color rgb="FF0000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212529"/>
      <sz val="10"/>
      <scheme val="minor"/>
    </font>
    <font>
      <name val="Calibri"/>
      <family val="2"/>
      <b val="1"/>
      <color rgb="FF000000"/>
      <sz val="9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color rgb="FF000000"/>
      <sz val="10"/>
      <scheme val="minor"/>
    </font>
    <font>
      <name val="Calibri"/>
      <family val="2"/>
      <b val="1"/>
      <color rgb="FF212529"/>
      <sz val="9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b val="1"/>
      <color theme="1"/>
      <sz val="11"/>
    </font>
    <font>
      <name val="Calibri"/>
      <family val="2"/>
      <b val="1"/>
      <color theme="0"/>
      <sz val="11"/>
    </font>
    <font>
      <name val="Calibri"/>
      <family val="2"/>
      <color rgb="FF212529"/>
      <sz val="11"/>
    </font>
    <font>
      <name val="Calibri"/>
      <family val="2"/>
      <b val="1"/>
      <color rgb="FF000000"/>
      <sz val="11"/>
    </font>
    <font>
      <name val="Verdana"/>
      <family val="2"/>
      <color theme="1"/>
      <sz val="14"/>
    </font>
    <font>
      <name val="Calibri"/>
      <family val="2"/>
      <color theme="1"/>
      <sz val="14"/>
      <scheme val="minor"/>
    </font>
    <font>
      <name val="Verdana"/>
      <family val="2"/>
      <color theme="1"/>
      <sz val="14"/>
    </font>
    <font>
      <name val="Verdana"/>
      <family val="2"/>
      <color theme="1"/>
      <sz val="12"/>
    </font>
    <font>
      <name val="Calibri"/>
      <family val="2"/>
      <color theme="0"/>
      <sz val="14"/>
      <scheme val="minor"/>
    </font>
    <font>
      <name val="Verdana"/>
      <family val="2"/>
      <b val="1"/>
      <color theme="1"/>
      <sz val="12"/>
    </font>
    <font>
      <name val="Verdana"/>
      <family val="2"/>
      <b val="1"/>
      <color theme="1"/>
      <sz val="10"/>
    </font>
    <font>
      <name val="Verdana"/>
      <family val="2"/>
      <b val="1"/>
      <color theme="0"/>
      <sz val="10"/>
    </font>
    <font>
      <name val="Verdana"/>
      <family val="2"/>
      <color theme="1"/>
      <sz val="10"/>
    </font>
    <font>
      <name val="Verdana"/>
      <family val="2"/>
      <color rgb="FF000000"/>
      <sz val="10"/>
    </font>
    <font>
      <name val="Verdana"/>
      <family val="2"/>
      <color rgb="FF212529"/>
      <sz val="10"/>
    </font>
    <font>
      <name val="Verdana"/>
      <family val="2"/>
      <color theme="0"/>
      <sz val="10"/>
    </font>
    <font>
      <name val="Verdana"/>
      <family val="2"/>
      <b val="1"/>
      <color rgb="FF000000"/>
      <sz val="10"/>
    </font>
    <font>
      <name val="Calibri"/>
      <family val="2"/>
      <color rgb="FF000000"/>
      <sz val="11"/>
      <scheme val="minor"/>
    </font>
    <font>
      <name val="Helvetica Neue"/>
      <family val="2"/>
      <color rgb="FF000000"/>
      <sz val="10"/>
    </font>
    <font>
      <name val="Calibri"/>
      <family val="2"/>
      <sz val="11"/>
      <scheme val="minor"/>
    </font>
    <font>
      <name val="Arial"/>
      <sz val="9"/>
    </font>
    <font>
      <name val="Arial"/>
      <b val="1"/>
      <color rgb="000070C0"/>
      <sz val="9"/>
    </font>
    <font>
      <name val="Arial"/>
      <color rgb="000070C0"/>
      <sz val="9"/>
    </font>
  </fonts>
  <fills count="18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0.049989318521683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195">
    <xf numFmtId="0" fontId="0" fillId="0" borderId="0" pivotButton="0" quotePrefix="0" xfId="0"/>
    <xf numFmtId="1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/>
    </xf>
    <xf numFmtId="2" fontId="2" fillId="0" borderId="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2" fontId="3" fillId="0" borderId="0" applyAlignment="1" pivotButton="0" quotePrefix="0" xfId="0">
      <alignment horizontal="center"/>
    </xf>
    <xf numFmtId="1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2" fillId="0" borderId="3" applyAlignment="1" pivotButton="0" quotePrefix="0" xfId="0">
      <alignment horizontal="center"/>
    </xf>
    <xf numFmtId="2" fontId="2" fillId="2" borderId="1" applyAlignment="1" pivotButton="0" quotePrefix="0" xfId="0">
      <alignment horizontal="center" vertical="center"/>
    </xf>
    <xf numFmtId="10" fontId="2" fillId="3" borderId="1" applyAlignment="1" pivotButton="0" quotePrefix="0" xfId="0">
      <alignment horizontal="center"/>
    </xf>
    <xf numFmtId="2" fontId="2" fillId="0" borderId="4" applyAlignment="1" pivotButton="0" quotePrefix="0" xfId="0">
      <alignment horizontal="center" vertical="center"/>
    </xf>
    <xf numFmtId="164" fontId="2" fillId="0" borderId="4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2" fontId="3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164" fontId="1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center" vertical="center"/>
    </xf>
    <xf numFmtId="17" fontId="0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15" fontId="1" fillId="4" borderId="1" applyAlignment="1" pivotButton="0" quotePrefix="0" xfId="0">
      <alignment horizontal="center"/>
    </xf>
    <xf numFmtId="2" fontId="1" fillId="4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8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center" vertical="center"/>
    </xf>
    <xf numFmtId="4" fontId="10" fillId="0" borderId="1" applyAlignment="1" pivotButton="0" quotePrefix="0" xfId="0">
      <alignment horizontal="center" vertical="center"/>
    </xf>
    <xf numFmtId="10" fontId="0" fillId="0" borderId="1" applyAlignment="1" pivotButton="0" quotePrefix="0" xfId="0">
      <alignment horizontal="center"/>
    </xf>
    <xf numFmtId="2" fontId="6" fillId="0" borderId="1" applyAlignment="1" pivotButton="0" quotePrefix="0" xfId="0">
      <alignment horizontal="center" vertical="center"/>
    </xf>
    <xf numFmtId="14" fontId="6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2" fontId="8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/>
    </xf>
    <xf numFmtId="10" fontId="2" fillId="0" borderId="5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/>
    </xf>
    <xf numFmtId="2" fontId="13" fillId="0" borderId="1" applyAlignment="1" pivotButton="0" quotePrefix="0" xfId="0">
      <alignment horizontal="center"/>
    </xf>
    <xf numFmtId="2" fontId="12" fillId="0" borderId="1" applyAlignment="1" pivotButton="0" quotePrefix="0" xfId="0">
      <alignment horizontal="center" vertical="center"/>
    </xf>
    <xf numFmtId="2" fontId="12" fillId="0" borderId="1" applyAlignment="1" pivotButton="0" quotePrefix="0" xfId="0">
      <alignment horizontal="center"/>
    </xf>
    <xf numFmtId="0" fontId="1" fillId="5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/>
    </xf>
    <xf numFmtId="164" fontId="1" fillId="5" borderId="1" applyAlignment="1" pivotButton="0" quotePrefix="0" xfId="0">
      <alignment horizontal="center"/>
    </xf>
    <xf numFmtId="0" fontId="0" fillId="5" borderId="0" pivotButton="0" quotePrefix="0" xfId="0"/>
    <xf numFmtId="0" fontId="2" fillId="6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/>
    </xf>
    <xf numFmtId="2" fontId="2" fillId="6" borderId="1" applyAlignment="1" pivotButton="0" quotePrefix="0" xfId="0">
      <alignment horizontal="center" vertical="center"/>
    </xf>
    <xf numFmtId="2" fontId="2" fillId="6" borderId="1" applyAlignment="1" pivotButton="0" quotePrefix="0" xfId="0">
      <alignment horizontal="center"/>
    </xf>
    <xf numFmtId="2" fontId="3" fillId="6" borderId="1" applyAlignment="1" pivotButton="0" quotePrefix="0" xfId="0">
      <alignment horizontal="center" vertical="center"/>
    </xf>
    <xf numFmtId="0" fontId="0" fillId="6" borderId="0" pivotButton="0" quotePrefix="0" xfId="0"/>
    <xf numFmtId="0" fontId="5" fillId="6" borderId="1" applyAlignment="1" pivotButton="0" quotePrefix="0" xfId="0">
      <alignment horizontal="center" vertical="center"/>
    </xf>
    <xf numFmtId="164" fontId="11" fillId="6" borderId="1" applyAlignment="1" pivotButton="0" quotePrefix="0" xfId="0">
      <alignment horizontal="center"/>
    </xf>
    <xf numFmtId="2" fontId="11" fillId="6" borderId="1" applyAlignment="1" pivotButton="0" quotePrefix="0" xfId="0">
      <alignment horizontal="center"/>
    </xf>
    <xf numFmtId="2" fontId="5" fillId="6" borderId="1" applyAlignment="1" pivotButton="0" quotePrefix="0" xfId="0">
      <alignment horizontal="center" vertical="center"/>
    </xf>
    <xf numFmtId="2" fontId="5" fillId="6" borderId="1" applyAlignment="1" pivotButton="0" quotePrefix="0" xfId="0">
      <alignment horizontal="center"/>
    </xf>
    <xf numFmtId="2" fontId="11" fillId="6" borderId="1" applyAlignment="1" pivotButton="0" quotePrefix="0" xfId="0">
      <alignment horizontal="center" vertical="center"/>
    </xf>
    <xf numFmtId="0" fontId="1" fillId="6" borderId="0" pivotButton="0" quotePrefix="0" xfId="0"/>
    <xf numFmtId="0" fontId="2" fillId="6" borderId="1" applyAlignment="1" pivotButton="0" quotePrefix="0" xfId="0">
      <alignment horizontal="center"/>
    </xf>
    <xf numFmtId="164" fontId="2" fillId="6" borderId="1" applyAlignment="1" pivotButton="0" quotePrefix="0" xfId="0">
      <alignment horizontal="center"/>
    </xf>
    <xf numFmtId="0" fontId="5" fillId="6" borderId="1" applyAlignment="1" pivotButton="0" quotePrefix="0" xfId="0">
      <alignment horizontal="center"/>
    </xf>
    <xf numFmtId="164" fontId="5" fillId="6" borderId="1" applyAlignment="1" pivotButton="0" quotePrefix="0" xfId="0">
      <alignment horizontal="center"/>
    </xf>
    <xf numFmtId="2" fontId="14" fillId="6" borderId="1" applyAlignment="1" pivotButton="0" quotePrefix="0" xfId="0">
      <alignment horizontal="center"/>
    </xf>
    <xf numFmtId="2" fontId="15" fillId="9" borderId="1" applyAlignment="1" pivotButton="0" quotePrefix="0" xfId="0">
      <alignment horizontal="center"/>
    </xf>
    <xf numFmtId="2" fontId="1" fillId="9" borderId="1" applyAlignment="1" pivotButton="0" quotePrefix="0" xfId="0">
      <alignment horizontal="center"/>
    </xf>
    <xf numFmtId="0" fontId="15" fillId="0" borderId="1" applyAlignment="1" pivotButton="0" quotePrefix="0" xfId="0">
      <alignment horizontal="center"/>
    </xf>
    <xf numFmtId="2" fontId="15" fillId="0" borderId="1" applyAlignment="1" pivotButton="0" quotePrefix="0" xfId="0">
      <alignment horizontal="center"/>
    </xf>
    <xf numFmtId="10" fontId="15" fillId="0" borderId="1" applyAlignment="1" pivotButton="0" quotePrefix="0" xfId="0">
      <alignment horizontal="center"/>
    </xf>
    <xf numFmtId="2" fontId="17" fillId="0" borderId="1" applyAlignment="1" pivotButton="0" quotePrefix="0" xfId="0">
      <alignment horizontal="center"/>
    </xf>
    <xf numFmtId="2" fontId="17" fillId="0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/>
    </xf>
    <xf numFmtId="164" fontId="18" fillId="5" borderId="1" applyAlignment="1" pivotButton="0" quotePrefix="0" xfId="0">
      <alignment horizontal="center"/>
    </xf>
    <xf numFmtId="2" fontId="18" fillId="5" borderId="1" applyAlignment="1" pivotButton="0" quotePrefix="0" xfId="0">
      <alignment horizontal="center"/>
    </xf>
    <xf numFmtId="0" fontId="16" fillId="0" borderId="1" pivotButton="0" quotePrefix="0" xfId="0"/>
    <xf numFmtId="0" fontId="19" fillId="7" borderId="1" applyAlignment="1" pivotButton="0" quotePrefix="0" xfId="0">
      <alignment horizontal="center"/>
    </xf>
    <xf numFmtId="14" fontId="19" fillId="7" borderId="1" applyAlignment="1" pivotButton="0" quotePrefix="0" xfId="0">
      <alignment horizontal="center" vertical="center"/>
    </xf>
    <xf numFmtId="165" fontId="19" fillId="7" borderId="1" applyAlignment="1" pivotButton="0" quotePrefix="0" xfId="0">
      <alignment horizontal="center" vertical="center"/>
    </xf>
    <xf numFmtId="2" fontId="19" fillId="7" borderId="1" applyAlignment="1" pivotButton="0" quotePrefix="0" xfId="0">
      <alignment horizontal="center"/>
    </xf>
    <xf numFmtId="2" fontId="19" fillId="7" borderId="1" applyAlignment="1" pivotButton="0" quotePrefix="0" xfId="0">
      <alignment horizontal="center" vertical="center"/>
    </xf>
    <xf numFmtId="0" fontId="19" fillId="7" borderId="1" pivotButton="0" quotePrefix="0" xfId="0"/>
    <xf numFmtId="0" fontId="16" fillId="0" borderId="1" applyAlignment="1" pivotButton="0" quotePrefix="0" xfId="0">
      <alignment horizontal="center"/>
    </xf>
    <xf numFmtId="14" fontId="17" fillId="0" borderId="1" applyAlignment="1" pivotButton="0" quotePrefix="0" xfId="0">
      <alignment horizontal="center" vertical="center"/>
    </xf>
    <xf numFmtId="165" fontId="17" fillId="0" borderId="1" applyAlignment="1" pivotButton="0" quotePrefix="0" xfId="0">
      <alignment horizontal="center" vertical="center"/>
    </xf>
    <xf numFmtId="2" fontId="18" fillId="0" borderId="1" applyAlignment="1" pivotButton="0" quotePrefix="0" xfId="0">
      <alignment horizontal="center"/>
    </xf>
    <xf numFmtId="2" fontId="18" fillId="0" borderId="1" applyAlignment="1" pivotButton="0" quotePrefix="0" xfId="0">
      <alignment horizontal="center" vertical="center"/>
    </xf>
    <xf numFmtId="2" fontId="16" fillId="0" borderId="1" applyAlignment="1" pivotButton="0" quotePrefix="0" xfId="0">
      <alignment horizontal="center"/>
    </xf>
    <xf numFmtId="2" fontId="16" fillId="0" borderId="1" applyAlignment="1" pivotButton="0" quotePrefix="0" xfId="0">
      <alignment horizontal="center" vertical="center"/>
    </xf>
    <xf numFmtId="14" fontId="16" fillId="0" borderId="1" applyAlignment="1" pivotButton="0" quotePrefix="0" xfId="0">
      <alignment horizontal="center"/>
    </xf>
    <xf numFmtId="165" fontId="20" fillId="0" borderId="1" applyAlignment="1" pivotButton="0" quotePrefix="0" xfId="0">
      <alignment horizontal="center"/>
    </xf>
    <xf numFmtId="165" fontId="16" fillId="0" borderId="1" applyAlignment="1" pivotButton="0" quotePrefix="0" xfId="0">
      <alignment horizontal="center"/>
    </xf>
    <xf numFmtId="14" fontId="16" fillId="0" borderId="1" applyAlignment="1" pivotButton="0" quotePrefix="0" xfId="0">
      <alignment horizontal="center" vertical="center"/>
    </xf>
    <xf numFmtId="165" fontId="16" fillId="0" borderId="1" applyAlignment="1" pivotButton="0" quotePrefix="0" xfId="0">
      <alignment horizontal="center" vertical="center"/>
    </xf>
    <xf numFmtId="165" fontId="17" fillId="0" borderId="1" applyAlignment="1" pivotButton="0" quotePrefix="0" xfId="0">
      <alignment horizontal="center"/>
    </xf>
    <xf numFmtId="14" fontId="19" fillId="7" borderId="1" applyAlignment="1" pivotButton="0" quotePrefix="0" xfId="0">
      <alignment horizontal="center"/>
    </xf>
    <xf numFmtId="165" fontId="19" fillId="7" borderId="1" applyAlignment="1" pivotButton="0" quotePrefix="0" xfId="0">
      <alignment horizontal="center"/>
    </xf>
    <xf numFmtId="0" fontId="16" fillId="0" borderId="1" applyAlignment="1" pivotButton="0" quotePrefix="0" xfId="0">
      <alignment horizontal="center" vertical="center"/>
    </xf>
    <xf numFmtId="14" fontId="17" fillId="0" borderId="1" applyAlignment="1" pivotButton="0" quotePrefix="0" xfId="0">
      <alignment horizontal="center"/>
    </xf>
    <xf numFmtId="14" fontId="21" fillId="0" borderId="1" applyAlignment="1" pivotButton="0" quotePrefix="0" xfId="0">
      <alignment horizontal="center"/>
    </xf>
    <xf numFmtId="165" fontId="21" fillId="0" borderId="1" applyAlignment="1" pivotButton="0" quotePrefix="0" xfId="0">
      <alignment horizontal="center"/>
    </xf>
    <xf numFmtId="2" fontId="21" fillId="0" borderId="1" applyAlignment="1" pivotButton="0" quotePrefix="0" xfId="0">
      <alignment horizontal="center"/>
    </xf>
    <xf numFmtId="2" fontId="16" fillId="0" borderId="1" pivotButton="0" quotePrefix="0" xfId="0"/>
    <xf numFmtId="0" fontId="22" fillId="6" borderId="6" applyAlignment="1" pivotButton="0" quotePrefix="0" xfId="0">
      <alignment horizontal="center" vertical="center" wrapText="1"/>
    </xf>
    <xf numFmtId="0" fontId="22" fillId="10" borderId="7" applyAlignment="1" pivotButton="0" quotePrefix="0" xfId="0">
      <alignment horizontal="center" vertical="center" wrapText="1"/>
    </xf>
    <xf numFmtId="0" fontId="22" fillId="10" borderId="8" applyAlignment="1" pivotButton="0" quotePrefix="0" xfId="0">
      <alignment horizontal="center" vertical="center" wrapText="1"/>
    </xf>
    <xf numFmtId="0" fontId="22" fillId="10" borderId="9" applyAlignment="1" pivotButton="0" quotePrefix="0" xfId="0">
      <alignment horizontal="center" vertical="center" wrapText="1"/>
    </xf>
    <xf numFmtId="0" fontId="23" fillId="0" borderId="0" applyAlignment="1" pivotButton="0" quotePrefix="0" xfId="0">
      <alignment horizontal="center" vertical="center"/>
    </xf>
    <xf numFmtId="0" fontId="24" fillId="11" borderId="10" applyAlignment="1" pivotButton="0" quotePrefix="0" xfId="0">
      <alignment horizontal="center" vertical="center" wrapText="1"/>
    </xf>
    <xf numFmtId="2" fontId="25" fillId="0" borderId="11" applyAlignment="1" pivotButton="0" quotePrefix="0" xfId="0">
      <alignment horizontal="center" vertical="center" wrapText="1"/>
    </xf>
    <xf numFmtId="2" fontId="25" fillId="0" borderId="12" applyAlignment="1" pivotButton="0" quotePrefix="0" xfId="0">
      <alignment horizontal="center" vertical="center" wrapText="1"/>
    </xf>
    <xf numFmtId="2" fontId="25" fillId="0" borderId="13" applyAlignment="1" pivotButton="0" quotePrefix="0" xfId="0">
      <alignment horizontal="center" vertical="center" wrapText="1"/>
    </xf>
    <xf numFmtId="2" fontId="23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24" fillId="11" borderId="14" applyAlignment="1" pivotButton="0" quotePrefix="0" xfId="0">
      <alignment horizontal="center" vertical="center" wrapText="1"/>
    </xf>
    <xf numFmtId="2" fontId="25" fillId="0" borderId="15" applyAlignment="1" pivotButton="0" quotePrefix="0" xfId="0">
      <alignment horizontal="center" vertical="center" wrapText="1"/>
    </xf>
    <xf numFmtId="2" fontId="25" fillId="0" borderId="16" applyAlignment="1" pivotButton="0" quotePrefix="0" xfId="0">
      <alignment horizontal="center" vertical="center" wrapText="1"/>
    </xf>
    <xf numFmtId="2" fontId="25" fillId="0" borderId="17" applyAlignment="1" pivotButton="0" quotePrefix="0" xfId="0">
      <alignment horizontal="center" vertical="center" wrapText="1"/>
    </xf>
    <xf numFmtId="2" fontId="25" fillId="0" borderId="18" applyAlignment="1" pivotButton="0" quotePrefix="0" xfId="0">
      <alignment horizontal="center" vertical="center" wrapText="1"/>
    </xf>
    <xf numFmtId="0" fontId="24" fillId="11" borderId="19" applyAlignment="1" pivotButton="0" quotePrefix="0" xfId="0">
      <alignment horizontal="center" vertical="center" wrapText="1"/>
    </xf>
    <xf numFmtId="2" fontId="25" fillId="0" borderId="20" applyAlignment="1" pivotButton="0" quotePrefix="0" xfId="0">
      <alignment horizontal="center" vertical="center" wrapText="1"/>
    </xf>
    <xf numFmtId="2" fontId="25" fillId="0" borderId="0" applyAlignment="1" pivotButton="0" quotePrefix="0" xfId="0">
      <alignment horizontal="center" vertical="center" wrapText="1"/>
    </xf>
    <xf numFmtId="0" fontId="24" fillId="11" borderId="21" applyAlignment="1" pivotButton="0" quotePrefix="0" xfId="0">
      <alignment horizontal="center" vertical="center" wrapText="1"/>
    </xf>
    <xf numFmtId="2" fontId="25" fillId="0" borderId="22" applyAlignment="1" pivotButton="0" quotePrefix="0" xfId="0">
      <alignment horizontal="center" vertical="center"/>
    </xf>
    <xf numFmtId="2" fontId="25" fillId="0" borderId="23" applyAlignment="1" pivotButton="0" quotePrefix="0" xfId="0">
      <alignment horizontal="center" vertical="center"/>
    </xf>
    <xf numFmtId="2" fontId="25" fillId="0" borderId="24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 wrapText="1"/>
    </xf>
    <xf numFmtId="2" fontId="15" fillId="3" borderId="25" applyAlignment="1" pivotButton="0" quotePrefix="0" xfId="0">
      <alignment horizontal="center" vertical="center"/>
    </xf>
    <xf numFmtId="2" fontId="15" fillId="3" borderId="26" applyAlignment="1" pivotButton="0" quotePrefix="0" xfId="0">
      <alignment horizontal="center" vertical="center"/>
    </xf>
    <xf numFmtId="2" fontId="15" fillId="3" borderId="27" applyAlignment="1" pivotButton="0" quotePrefix="0" xfId="0">
      <alignment horizontal="center" vertical="center"/>
    </xf>
    <xf numFmtId="2" fontId="23" fillId="12" borderId="0" applyAlignment="1" pivotButton="0" quotePrefix="0" xfId="0">
      <alignment horizontal="center" vertical="center"/>
    </xf>
    <xf numFmtId="2" fontId="23" fillId="13" borderId="28" applyAlignment="1" pivotButton="0" quotePrefix="0" xfId="0">
      <alignment horizontal="center" vertical="center"/>
    </xf>
    <xf numFmtId="2" fontId="23" fillId="13" borderId="19" applyAlignment="1" pivotButton="0" quotePrefix="0" xfId="0">
      <alignment horizontal="center" vertical="center"/>
    </xf>
    <xf numFmtId="2" fontId="23" fillId="0" borderId="6" applyAlignment="1" pivotButton="0" quotePrefix="0" xfId="0">
      <alignment horizontal="center" vertical="center"/>
    </xf>
    <xf numFmtId="2" fontId="23" fillId="14" borderId="19" applyAlignment="1" pivotButton="0" quotePrefix="0" xfId="0">
      <alignment horizontal="center" vertical="center"/>
    </xf>
    <xf numFmtId="2" fontId="23" fillId="15" borderId="19" applyAlignment="1" pivotButton="0" quotePrefix="0" xfId="0">
      <alignment horizontal="center" vertical="center"/>
    </xf>
    <xf numFmtId="2" fontId="26" fillId="16" borderId="19" applyAlignment="1" pivotButton="0" quotePrefix="0" xfId="0">
      <alignment horizontal="center" vertical="center"/>
    </xf>
    <xf numFmtId="2" fontId="26" fillId="17" borderId="19" applyAlignment="1" pivotButton="0" quotePrefix="0" xfId="0">
      <alignment horizontal="center" vertical="center"/>
    </xf>
    <xf numFmtId="2" fontId="27" fillId="0" borderId="6" applyAlignment="1" pivotButton="0" quotePrefix="0" xfId="0">
      <alignment horizontal="center"/>
    </xf>
    <xf numFmtId="2" fontId="23" fillId="0" borderId="21" applyAlignment="1" pivotButton="0" quotePrefix="0" xfId="0">
      <alignment horizontal="center" vertical="center"/>
    </xf>
    <xf numFmtId="0" fontId="28" fillId="5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29" fillId="7" borderId="1" applyAlignment="1" pivotButton="0" quotePrefix="0" xfId="0">
      <alignment horizontal="center" vertical="center"/>
    </xf>
    <xf numFmtId="14" fontId="29" fillId="7" borderId="1" applyAlignment="1" pivotButton="0" quotePrefix="0" xfId="0">
      <alignment horizontal="center" vertical="center"/>
    </xf>
    <xf numFmtId="2" fontId="29" fillId="7" borderId="1" applyAlignment="1" pivotButton="0" quotePrefix="0" xfId="0">
      <alignment horizontal="center" vertical="center"/>
    </xf>
    <xf numFmtId="0" fontId="30" fillId="0" borderId="1" applyAlignment="1" pivotButton="0" quotePrefix="0" xfId="0">
      <alignment horizontal="center" vertical="center"/>
    </xf>
    <xf numFmtId="14" fontId="31" fillId="0" borderId="1" applyAlignment="1" pivotButton="0" quotePrefix="0" xfId="0">
      <alignment horizontal="center" vertical="center"/>
    </xf>
    <xf numFmtId="2" fontId="31" fillId="0" borderId="1" applyAlignment="1" pivotButton="0" quotePrefix="0" xfId="0">
      <alignment horizontal="center" vertical="center"/>
    </xf>
    <xf numFmtId="2" fontId="28" fillId="0" borderId="1" applyAlignment="1" pivotButton="0" quotePrefix="0" xfId="0">
      <alignment horizontal="center" vertical="center"/>
    </xf>
    <xf numFmtId="2" fontId="30" fillId="0" borderId="1" applyAlignment="1" pivotButton="0" quotePrefix="0" xfId="0">
      <alignment horizontal="center" vertical="center"/>
    </xf>
    <xf numFmtId="14" fontId="30" fillId="0" borderId="1" applyAlignment="1" pivotButton="0" quotePrefix="0" xfId="0">
      <alignment horizontal="center" vertical="center"/>
    </xf>
    <xf numFmtId="2" fontId="32" fillId="0" borderId="1" applyAlignment="1" pivotButton="0" quotePrefix="0" xfId="0">
      <alignment horizontal="center" vertical="center"/>
    </xf>
    <xf numFmtId="2" fontId="33" fillId="8" borderId="1" applyAlignment="1" pivotButton="0" quotePrefix="0" xfId="0">
      <alignment horizontal="center" vertical="center"/>
    </xf>
    <xf numFmtId="14" fontId="34" fillId="0" borderId="1" applyAlignment="1" pivotButton="0" quotePrefix="0" xfId="0">
      <alignment horizontal="center" vertical="center"/>
    </xf>
    <xf numFmtId="2" fontId="34" fillId="0" borderId="1" applyAlignment="1" pivotButton="0" quotePrefix="0" xfId="0">
      <alignment horizontal="center" vertical="center"/>
    </xf>
    <xf numFmtId="2" fontId="31" fillId="0" borderId="1" applyAlignment="1" pivotButton="0" quotePrefix="0" xfId="0">
      <alignment horizontal="center"/>
    </xf>
    <xf numFmtId="0" fontId="30" fillId="0" borderId="1" pivotButton="0" quotePrefix="0" xfId="0"/>
    <xf numFmtId="0" fontId="29" fillId="7" borderId="1" pivotButton="0" quotePrefix="0" xfId="0"/>
    <xf numFmtId="14" fontId="31" fillId="0" borderId="1" applyAlignment="1" pivotButton="0" quotePrefix="0" xfId="0">
      <alignment horizontal="center"/>
    </xf>
    <xf numFmtId="2" fontId="30" fillId="0" borderId="1" applyAlignment="1" pivotButton="0" quotePrefix="0" xfId="0">
      <alignment horizontal="center"/>
    </xf>
    <xf numFmtId="0" fontId="30" fillId="0" borderId="1" applyAlignment="1" pivotButton="0" quotePrefix="0" xfId="0">
      <alignment horizontal="center"/>
    </xf>
    <xf numFmtId="165" fontId="31" fillId="0" borderId="1" applyAlignment="1" pivotButton="0" quotePrefix="0" xfId="0">
      <alignment horizontal="center"/>
    </xf>
    <xf numFmtId="165" fontId="29" fillId="7" borderId="1" applyAlignment="1" pivotButton="0" quotePrefix="0" xfId="0">
      <alignment horizontal="center" vertical="center"/>
    </xf>
    <xf numFmtId="165" fontId="28" fillId="0" borderId="1" applyAlignment="1" pivotButton="0" quotePrefix="0" xfId="0">
      <alignment horizontal="center" vertical="center"/>
    </xf>
    <xf numFmtId="165" fontId="30" fillId="0" borderId="1" applyAlignment="1" pivotButton="0" quotePrefix="0" xfId="0">
      <alignment horizontal="center" vertical="center"/>
    </xf>
    <xf numFmtId="14" fontId="35" fillId="0" borderId="1" applyAlignment="1" pivotButton="0" quotePrefix="0" xfId="0">
      <alignment horizontal="center" vertical="center"/>
    </xf>
    <xf numFmtId="165" fontId="35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2" fontId="35" fillId="0" borderId="1" applyAlignment="1" pivotButton="0" quotePrefix="0" xfId="0">
      <alignment horizontal="center" vertical="center"/>
    </xf>
    <xf numFmtId="14" fontId="36" fillId="0" borderId="1" applyAlignment="1" pivotButton="0" quotePrefix="0" xfId="0">
      <alignment horizontal="center"/>
    </xf>
    <xf numFmtId="165" fontId="36" fillId="0" borderId="1" applyAlignment="1" pivotButton="0" quotePrefix="0" xfId="0">
      <alignment horizontal="center"/>
    </xf>
    <xf numFmtId="2" fontId="36" fillId="0" borderId="1" applyAlignment="1" pivotButton="0" quotePrefix="0" xfId="0">
      <alignment horizontal="center"/>
    </xf>
    <xf numFmtId="2" fontId="36" fillId="0" borderId="1" applyAlignment="1" pivotButton="0" quotePrefix="0" xfId="0">
      <alignment horizontal="center" vertical="center"/>
    </xf>
    <xf numFmtId="0" fontId="9" fillId="0" borderId="1" applyAlignment="1" pivotButton="0" quotePrefix="0" xfId="1">
      <alignment horizont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66" fontId="0" fillId="0" borderId="1" pivotButton="0" quotePrefix="0" xfId="0"/>
    <xf numFmtId="2" fontId="37" fillId="0" borderId="1" applyAlignment="1" pivotButton="0" quotePrefix="0" xfId="0">
      <alignment horizontal="center"/>
    </xf>
    <xf numFmtId="0" fontId="39" fillId="0" borderId="0" pivotButton="0" quotePrefix="0" xfId="0"/>
    <xf numFmtId="167" fontId="40" fillId="0" borderId="0" pivotButton="0" quotePrefix="0" xfId="0"/>
    <xf numFmtId="0" fontId="38" fillId="0" borderId="0" applyAlignment="1" pivotButton="0" quotePrefix="0" xfId="0">
      <alignment horizontal="center" vertical="center"/>
    </xf>
    <xf numFmtId="168" fontId="38" fillId="0" borderId="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32" pivotButton="0" quotePrefix="0" xfId="0"/>
    <xf numFmtId="167" fontId="40" fillId="0" borderId="0" pivotButton="0" quotePrefix="0" xfId="0"/>
  </cellXfs>
  <cellStyles count="2">
    <cellStyle name="Normal" xfId="0" builtinId="0"/>
    <cellStyle name="Hyperlink" xfId="1" builtinId="8"/>
  </cellStyles>
  <dxfs count="1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1"/>
        <color theme="9" tint="-0.249946592608417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1"/>
        <color theme="9" tint="-0.249946592608417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externalLink" Target="/xl/externalLinks/externalLink1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 xml:space="preserve"> Vs Small Earning Yield</a:t>
            </a:r>
            <a:endParaRPr lang="en-GB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'EVI 2025 Workings'!$X$1</f>
              <strCache>
                <ptCount val="1"/>
                <pt idx="0">
                  <v>Midcap Earning Yield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'EVI 2025 Workings'!$B$2:$B$806</f>
              <numCache>
                <formatCode>m/d/yyyy</formatCode>
                <ptCount val="805"/>
                <pt idx="0">
                  <v>44564</v>
                </pt>
                <pt idx="1">
                  <v>44565</v>
                </pt>
                <pt idx="2">
                  <v>44566</v>
                </pt>
                <pt idx="3">
                  <v>44567</v>
                </pt>
                <pt idx="4">
                  <v>44568</v>
                </pt>
                <pt idx="5">
                  <v>44571</v>
                </pt>
                <pt idx="6">
                  <v>44572</v>
                </pt>
                <pt idx="7">
                  <v>44573</v>
                </pt>
                <pt idx="8">
                  <v>44574</v>
                </pt>
                <pt idx="9">
                  <v>44575</v>
                </pt>
                <pt idx="10">
                  <v>44578</v>
                </pt>
                <pt idx="11">
                  <v>44579</v>
                </pt>
                <pt idx="12">
                  <v>44580</v>
                </pt>
                <pt idx="13">
                  <v>44581</v>
                </pt>
                <pt idx="14">
                  <v>44582</v>
                </pt>
                <pt idx="15">
                  <v>44585</v>
                </pt>
                <pt idx="16">
                  <v>44586</v>
                </pt>
                <pt idx="17">
                  <v>44588</v>
                </pt>
                <pt idx="18">
                  <v>44589</v>
                </pt>
                <pt idx="19">
                  <v>44592</v>
                </pt>
                <pt idx="20">
                  <v>44593</v>
                </pt>
                <pt idx="21">
                  <v>44594</v>
                </pt>
                <pt idx="22">
                  <v>44595</v>
                </pt>
                <pt idx="23">
                  <v>44596</v>
                </pt>
                <pt idx="24">
                  <v>44599</v>
                </pt>
                <pt idx="25">
                  <v>44600</v>
                </pt>
                <pt idx="26">
                  <v>44601</v>
                </pt>
                <pt idx="27">
                  <v>44602</v>
                </pt>
                <pt idx="28">
                  <v>44603</v>
                </pt>
                <pt idx="29">
                  <v>44606</v>
                </pt>
                <pt idx="30">
                  <v>44607</v>
                </pt>
                <pt idx="31">
                  <v>44608</v>
                </pt>
                <pt idx="32">
                  <v>44609</v>
                </pt>
                <pt idx="33">
                  <v>44610</v>
                </pt>
                <pt idx="34">
                  <v>44613</v>
                </pt>
                <pt idx="35">
                  <v>44614</v>
                </pt>
                <pt idx="36">
                  <v>44615</v>
                </pt>
                <pt idx="37">
                  <v>44616</v>
                </pt>
                <pt idx="38">
                  <v>44617</v>
                </pt>
                <pt idx="39">
                  <v>44620</v>
                </pt>
                <pt idx="40">
                  <v>44622</v>
                </pt>
                <pt idx="41">
                  <v>44623</v>
                </pt>
                <pt idx="42">
                  <v>44624</v>
                </pt>
                <pt idx="43">
                  <v>44627</v>
                </pt>
                <pt idx="44">
                  <v>44628</v>
                </pt>
                <pt idx="45">
                  <v>44629</v>
                </pt>
                <pt idx="46">
                  <v>44630</v>
                </pt>
                <pt idx="47">
                  <v>44631</v>
                </pt>
                <pt idx="48">
                  <v>44634</v>
                </pt>
                <pt idx="49">
                  <v>44635</v>
                </pt>
                <pt idx="50">
                  <v>44636</v>
                </pt>
                <pt idx="51">
                  <v>44637</v>
                </pt>
                <pt idx="52">
                  <v>44641</v>
                </pt>
                <pt idx="53">
                  <v>44642</v>
                </pt>
                <pt idx="54">
                  <v>44643</v>
                </pt>
                <pt idx="55">
                  <v>44644</v>
                </pt>
                <pt idx="56">
                  <v>44645</v>
                </pt>
                <pt idx="57">
                  <v>44648</v>
                </pt>
                <pt idx="58">
                  <v>44649</v>
                </pt>
                <pt idx="59">
                  <v>44650</v>
                </pt>
                <pt idx="60">
                  <v>44651</v>
                </pt>
                <pt idx="61">
                  <v>44652</v>
                </pt>
                <pt idx="62">
                  <v>44655</v>
                </pt>
                <pt idx="63">
                  <v>44656</v>
                </pt>
                <pt idx="64">
                  <v>44657</v>
                </pt>
                <pt idx="65">
                  <v>44658</v>
                </pt>
                <pt idx="66">
                  <v>44659</v>
                </pt>
                <pt idx="67">
                  <v>44662</v>
                </pt>
                <pt idx="68">
                  <v>44663</v>
                </pt>
                <pt idx="69">
                  <v>44664</v>
                </pt>
                <pt idx="70">
                  <v>44669</v>
                </pt>
                <pt idx="71">
                  <v>44670</v>
                </pt>
                <pt idx="72">
                  <v>44671</v>
                </pt>
                <pt idx="73">
                  <v>44672</v>
                </pt>
                <pt idx="74">
                  <v>44673</v>
                </pt>
                <pt idx="75">
                  <v>44676</v>
                </pt>
                <pt idx="76">
                  <v>44677</v>
                </pt>
                <pt idx="77">
                  <v>44678</v>
                </pt>
                <pt idx="78">
                  <v>44679</v>
                </pt>
                <pt idx="79">
                  <v>44680</v>
                </pt>
                <pt idx="80">
                  <v>44683</v>
                </pt>
                <pt idx="81">
                  <v>44685</v>
                </pt>
                <pt idx="82">
                  <v>44686</v>
                </pt>
                <pt idx="83">
                  <v>44687</v>
                </pt>
                <pt idx="84">
                  <v>44690</v>
                </pt>
                <pt idx="85">
                  <v>44691</v>
                </pt>
                <pt idx="86">
                  <v>44692</v>
                </pt>
                <pt idx="87">
                  <v>44693</v>
                </pt>
                <pt idx="88">
                  <v>44694</v>
                </pt>
                <pt idx="89">
                  <v>44697</v>
                </pt>
                <pt idx="90">
                  <v>44698</v>
                </pt>
                <pt idx="91">
                  <v>44699</v>
                </pt>
                <pt idx="92">
                  <v>44700</v>
                </pt>
                <pt idx="93">
                  <v>44701</v>
                </pt>
                <pt idx="94">
                  <v>44704</v>
                </pt>
                <pt idx="95">
                  <v>44705</v>
                </pt>
                <pt idx="96">
                  <v>44706</v>
                </pt>
                <pt idx="97">
                  <v>44707</v>
                </pt>
                <pt idx="98">
                  <v>44708</v>
                </pt>
                <pt idx="99">
                  <v>44711</v>
                </pt>
                <pt idx="100">
                  <v>44712</v>
                </pt>
                <pt idx="101">
                  <v>44713</v>
                </pt>
                <pt idx="102">
                  <v>44714</v>
                </pt>
                <pt idx="103">
                  <v>44715</v>
                </pt>
                <pt idx="104">
                  <v>44718</v>
                </pt>
                <pt idx="105">
                  <v>44719</v>
                </pt>
                <pt idx="106">
                  <v>44720</v>
                </pt>
                <pt idx="107">
                  <v>44721</v>
                </pt>
                <pt idx="108">
                  <v>44722</v>
                </pt>
                <pt idx="109">
                  <v>44725</v>
                </pt>
                <pt idx="110">
                  <v>44726</v>
                </pt>
                <pt idx="111">
                  <v>44727</v>
                </pt>
                <pt idx="112">
                  <v>44728</v>
                </pt>
                <pt idx="113">
                  <v>44729</v>
                </pt>
                <pt idx="114">
                  <v>44732</v>
                </pt>
                <pt idx="115">
                  <v>44733</v>
                </pt>
                <pt idx="116">
                  <v>44734</v>
                </pt>
                <pt idx="117">
                  <v>44735</v>
                </pt>
                <pt idx="118">
                  <v>44736</v>
                </pt>
                <pt idx="119">
                  <v>44739</v>
                </pt>
                <pt idx="120">
                  <v>44740</v>
                </pt>
                <pt idx="121">
                  <v>44741</v>
                </pt>
                <pt idx="122">
                  <v>44742</v>
                </pt>
                <pt idx="123">
                  <v>44743</v>
                </pt>
                <pt idx="124">
                  <v>44746</v>
                </pt>
                <pt idx="125">
                  <v>44747</v>
                </pt>
                <pt idx="126">
                  <v>44748</v>
                </pt>
                <pt idx="127">
                  <v>44749</v>
                </pt>
                <pt idx="128">
                  <v>44750</v>
                </pt>
                <pt idx="129">
                  <v>44753</v>
                </pt>
                <pt idx="130">
                  <v>44754</v>
                </pt>
                <pt idx="131">
                  <v>44755</v>
                </pt>
                <pt idx="132">
                  <v>44756</v>
                </pt>
                <pt idx="133">
                  <v>44757</v>
                </pt>
                <pt idx="134">
                  <v>44760</v>
                </pt>
                <pt idx="135">
                  <v>44761</v>
                </pt>
                <pt idx="136">
                  <v>44762</v>
                </pt>
                <pt idx="137">
                  <v>44763</v>
                </pt>
                <pt idx="138">
                  <v>44764</v>
                </pt>
                <pt idx="139">
                  <v>44767</v>
                </pt>
                <pt idx="140">
                  <v>44768</v>
                </pt>
                <pt idx="141">
                  <v>44769</v>
                </pt>
                <pt idx="142">
                  <v>44770</v>
                </pt>
                <pt idx="143">
                  <v>44771</v>
                </pt>
                <pt idx="144">
                  <v>44774</v>
                </pt>
                <pt idx="145">
                  <v>44775</v>
                </pt>
                <pt idx="146">
                  <v>44776</v>
                </pt>
                <pt idx="147">
                  <v>44777</v>
                </pt>
                <pt idx="148">
                  <v>44778</v>
                </pt>
                <pt idx="149">
                  <v>44781</v>
                </pt>
                <pt idx="150">
                  <v>44783</v>
                </pt>
                <pt idx="151">
                  <v>44784</v>
                </pt>
                <pt idx="152">
                  <v>44785</v>
                </pt>
                <pt idx="153">
                  <v>44789</v>
                </pt>
                <pt idx="154">
                  <v>44790</v>
                </pt>
                <pt idx="155">
                  <v>44791</v>
                </pt>
                <pt idx="156">
                  <v>44792</v>
                </pt>
                <pt idx="157">
                  <v>44795</v>
                </pt>
                <pt idx="158">
                  <v>44796</v>
                </pt>
                <pt idx="159">
                  <v>44797</v>
                </pt>
                <pt idx="160">
                  <v>44798</v>
                </pt>
                <pt idx="161">
                  <v>44799</v>
                </pt>
                <pt idx="162">
                  <v>44802</v>
                </pt>
                <pt idx="163">
                  <v>44803</v>
                </pt>
                <pt idx="164">
                  <v>44805</v>
                </pt>
                <pt idx="165">
                  <v>44806</v>
                </pt>
                <pt idx="166">
                  <v>44809</v>
                </pt>
                <pt idx="167">
                  <v>44810</v>
                </pt>
                <pt idx="168">
                  <v>44811</v>
                </pt>
                <pt idx="169">
                  <v>44812</v>
                </pt>
                <pt idx="170">
                  <v>44813</v>
                </pt>
                <pt idx="171">
                  <v>44816</v>
                </pt>
                <pt idx="172">
                  <v>44817</v>
                </pt>
                <pt idx="173">
                  <v>44818</v>
                </pt>
                <pt idx="174">
                  <v>44819</v>
                </pt>
                <pt idx="175">
                  <v>44820</v>
                </pt>
                <pt idx="176">
                  <v>44823</v>
                </pt>
                <pt idx="177">
                  <v>44824</v>
                </pt>
                <pt idx="178">
                  <v>44825</v>
                </pt>
                <pt idx="179">
                  <v>44826</v>
                </pt>
                <pt idx="180">
                  <v>44827</v>
                </pt>
                <pt idx="181">
                  <v>44830</v>
                </pt>
                <pt idx="182">
                  <v>44831</v>
                </pt>
                <pt idx="183">
                  <v>44832</v>
                </pt>
                <pt idx="184">
                  <v>44833</v>
                </pt>
                <pt idx="185">
                  <v>44834</v>
                </pt>
                <pt idx="186">
                  <v>44837</v>
                </pt>
                <pt idx="187">
                  <v>44838</v>
                </pt>
                <pt idx="188">
                  <v>44840</v>
                </pt>
                <pt idx="189">
                  <v>44841</v>
                </pt>
                <pt idx="190">
                  <v>44844</v>
                </pt>
                <pt idx="191">
                  <v>44845</v>
                </pt>
                <pt idx="192">
                  <v>44846</v>
                </pt>
                <pt idx="193">
                  <v>44847</v>
                </pt>
                <pt idx="194">
                  <v>44848</v>
                </pt>
                <pt idx="195">
                  <v>44851</v>
                </pt>
                <pt idx="196">
                  <v>44852</v>
                </pt>
                <pt idx="197">
                  <v>44853</v>
                </pt>
                <pt idx="198">
                  <v>44854</v>
                </pt>
                <pt idx="199">
                  <v>44855</v>
                </pt>
                <pt idx="200">
                  <v>44858</v>
                </pt>
                <pt idx="201">
                  <v>44859</v>
                </pt>
                <pt idx="202">
                  <v>44861</v>
                </pt>
                <pt idx="203">
                  <v>44862</v>
                </pt>
                <pt idx="204">
                  <v>44865</v>
                </pt>
                <pt idx="205">
                  <v>44866</v>
                </pt>
                <pt idx="206">
                  <v>44867</v>
                </pt>
                <pt idx="207">
                  <v>44868</v>
                </pt>
                <pt idx="208">
                  <v>44869</v>
                </pt>
                <pt idx="209">
                  <v>44872</v>
                </pt>
                <pt idx="210">
                  <v>44874</v>
                </pt>
                <pt idx="211">
                  <v>44875</v>
                </pt>
                <pt idx="212">
                  <v>44876</v>
                </pt>
                <pt idx="213">
                  <v>44879</v>
                </pt>
                <pt idx="214">
                  <v>44880</v>
                </pt>
                <pt idx="215">
                  <v>44881</v>
                </pt>
                <pt idx="216">
                  <v>44882</v>
                </pt>
                <pt idx="217">
                  <v>44883</v>
                </pt>
                <pt idx="218">
                  <v>44886</v>
                </pt>
                <pt idx="219">
                  <v>44887</v>
                </pt>
                <pt idx="220">
                  <v>44888</v>
                </pt>
                <pt idx="221">
                  <v>44889</v>
                </pt>
                <pt idx="222">
                  <v>44890</v>
                </pt>
                <pt idx="223">
                  <v>44893</v>
                </pt>
                <pt idx="224">
                  <v>44894</v>
                </pt>
                <pt idx="225">
                  <v>44895</v>
                </pt>
                <pt idx="226">
                  <v>44896</v>
                </pt>
                <pt idx="227">
                  <v>44897</v>
                </pt>
                <pt idx="228">
                  <v>44900</v>
                </pt>
                <pt idx="229">
                  <v>44901</v>
                </pt>
                <pt idx="230">
                  <v>44902</v>
                </pt>
                <pt idx="231">
                  <v>44903</v>
                </pt>
                <pt idx="232">
                  <v>44904</v>
                </pt>
                <pt idx="233">
                  <v>44907</v>
                </pt>
                <pt idx="234">
                  <v>44908</v>
                </pt>
                <pt idx="235">
                  <v>44909</v>
                </pt>
                <pt idx="236">
                  <v>44910</v>
                </pt>
                <pt idx="237">
                  <v>44911</v>
                </pt>
                <pt idx="238">
                  <v>44914</v>
                </pt>
                <pt idx="239">
                  <v>44915</v>
                </pt>
                <pt idx="240">
                  <v>44916</v>
                </pt>
                <pt idx="241">
                  <v>44917</v>
                </pt>
                <pt idx="242">
                  <v>44918</v>
                </pt>
                <pt idx="243">
                  <v>44921</v>
                </pt>
                <pt idx="244">
                  <v>44922</v>
                </pt>
                <pt idx="245">
                  <v>44923</v>
                </pt>
                <pt idx="246">
                  <v>44924</v>
                </pt>
                <pt idx="247">
                  <v>44925</v>
                </pt>
                <pt idx="248">
                  <v>44928</v>
                </pt>
                <pt idx="249">
                  <v>44929</v>
                </pt>
                <pt idx="250">
                  <v>44930</v>
                </pt>
                <pt idx="251">
                  <v>44931</v>
                </pt>
                <pt idx="252">
                  <v>44932</v>
                </pt>
                <pt idx="253">
                  <v>44935</v>
                </pt>
                <pt idx="254">
                  <v>44936</v>
                </pt>
                <pt idx="255">
                  <v>44937</v>
                </pt>
                <pt idx="256">
                  <v>44938</v>
                </pt>
                <pt idx="257">
                  <v>44939</v>
                </pt>
                <pt idx="258">
                  <v>44942</v>
                </pt>
                <pt idx="259">
                  <v>44943</v>
                </pt>
                <pt idx="260">
                  <v>44944</v>
                </pt>
                <pt idx="261">
                  <v>44945</v>
                </pt>
                <pt idx="262">
                  <v>44946</v>
                </pt>
                <pt idx="263">
                  <v>44949</v>
                </pt>
                <pt idx="264">
                  <v>44950</v>
                </pt>
                <pt idx="265">
                  <v>44951</v>
                </pt>
                <pt idx="266">
                  <v>44953</v>
                </pt>
                <pt idx="267">
                  <v>44956</v>
                </pt>
                <pt idx="268">
                  <v>44957</v>
                </pt>
                <pt idx="269">
                  <v>44958</v>
                </pt>
                <pt idx="270">
                  <v>44959</v>
                </pt>
                <pt idx="271">
                  <v>44960</v>
                </pt>
                <pt idx="272">
                  <v>44963</v>
                </pt>
                <pt idx="273">
                  <v>44964</v>
                </pt>
                <pt idx="274">
                  <v>44965</v>
                </pt>
                <pt idx="275">
                  <v>44966</v>
                </pt>
                <pt idx="276">
                  <v>44967</v>
                </pt>
                <pt idx="277">
                  <v>44970</v>
                </pt>
                <pt idx="278">
                  <v>44971</v>
                </pt>
                <pt idx="279">
                  <v>44972</v>
                </pt>
                <pt idx="280">
                  <v>44973</v>
                </pt>
                <pt idx="281">
                  <v>44974</v>
                </pt>
                <pt idx="282">
                  <v>44977</v>
                </pt>
                <pt idx="283">
                  <v>44978</v>
                </pt>
                <pt idx="284">
                  <v>44979</v>
                </pt>
                <pt idx="285">
                  <v>44980</v>
                </pt>
                <pt idx="286">
                  <v>44981</v>
                </pt>
                <pt idx="287">
                  <v>44984</v>
                </pt>
                <pt idx="288">
                  <v>44985</v>
                </pt>
                <pt idx="289">
                  <v>44986</v>
                </pt>
                <pt idx="290">
                  <v>44987</v>
                </pt>
                <pt idx="291">
                  <v>44988</v>
                </pt>
                <pt idx="292">
                  <v>44991</v>
                </pt>
                <pt idx="293">
                  <v>44993</v>
                </pt>
                <pt idx="294">
                  <v>44994</v>
                </pt>
                <pt idx="295">
                  <v>44995</v>
                </pt>
                <pt idx="296">
                  <v>44998</v>
                </pt>
                <pt idx="297">
                  <v>44999</v>
                </pt>
                <pt idx="298">
                  <v>45000</v>
                </pt>
                <pt idx="299">
                  <v>45001</v>
                </pt>
                <pt idx="300">
                  <v>45002</v>
                </pt>
                <pt idx="301">
                  <v>45005</v>
                </pt>
                <pt idx="302">
                  <v>45006</v>
                </pt>
                <pt idx="303">
                  <v>45007</v>
                </pt>
                <pt idx="304">
                  <v>45008</v>
                </pt>
                <pt idx="305">
                  <v>45009</v>
                </pt>
                <pt idx="306">
                  <v>45012</v>
                </pt>
                <pt idx="307">
                  <v>45013</v>
                </pt>
                <pt idx="308">
                  <v>45014</v>
                </pt>
                <pt idx="309">
                  <v>45016</v>
                </pt>
                <pt idx="310">
                  <v>45019</v>
                </pt>
                <pt idx="311">
                  <v>45021</v>
                </pt>
                <pt idx="312">
                  <v>45022</v>
                </pt>
                <pt idx="313">
                  <v>45026</v>
                </pt>
                <pt idx="314">
                  <v>45027</v>
                </pt>
                <pt idx="315">
                  <v>45028</v>
                </pt>
                <pt idx="316">
                  <v>45029</v>
                </pt>
                <pt idx="317">
                  <v>45033</v>
                </pt>
                <pt idx="318">
                  <v>45034</v>
                </pt>
                <pt idx="319">
                  <v>45035</v>
                </pt>
                <pt idx="320">
                  <v>45036</v>
                </pt>
                <pt idx="321">
                  <v>45037</v>
                </pt>
                <pt idx="322">
                  <v>45040</v>
                </pt>
                <pt idx="323">
                  <v>45041</v>
                </pt>
                <pt idx="324">
                  <v>45042</v>
                </pt>
                <pt idx="325">
                  <v>45043</v>
                </pt>
                <pt idx="326">
                  <v>45044</v>
                </pt>
                <pt idx="327">
                  <v>45048</v>
                </pt>
                <pt idx="328">
                  <v>45049</v>
                </pt>
                <pt idx="329">
                  <v>45050</v>
                </pt>
                <pt idx="330">
                  <v>45051</v>
                </pt>
                <pt idx="331">
                  <v>45054</v>
                </pt>
                <pt idx="332">
                  <v>45055</v>
                </pt>
                <pt idx="333">
                  <v>45056</v>
                </pt>
                <pt idx="334">
                  <v>45057</v>
                </pt>
                <pt idx="335">
                  <v>45058</v>
                </pt>
                <pt idx="336">
                  <v>45061</v>
                </pt>
                <pt idx="337">
                  <v>45062</v>
                </pt>
                <pt idx="338">
                  <v>45063</v>
                </pt>
                <pt idx="339">
                  <v>45064</v>
                </pt>
                <pt idx="340">
                  <v>45065</v>
                </pt>
                <pt idx="341">
                  <v>45068</v>
                </pt>
                <pt idx="342">
                  <v>45069</v>
                </pt>
                <pt idx="343">
                  <v>45070</v>
                </pt>
                <pt idx="344">
                  <v>45071</v>
                </pt>
                <pt idx="345">
                  <v>45072</v>
                </pt>
                <pt idx="346">
                  <v>45075</v>
                </pt>
                <pt idx="347">
                  <v>45076</v>
                </pt>
                <pt idx="348">
                  <v>45077</v>
                </pt>
                <pt idx="349">
                  <v>45078</v>
                </pt>
                <pt idx="350">
                  <v>45079</v>
                </pt>
                <pt idx="351">
                  <v>45082</v>
                </pt>
                <pt idx="352">
                  <v>45083</v>
                </pt>
                <pt idx="353">
                  <v>45084</v>
                </pt>
                <pt idx="354">
                  <v>45085</v>
                </pt>
                <pt idx="355">
                  <v>45086</v>
                </pt>
                <pt idx="356">
                  <v>45089</v>
                </pt>
                <pt idx="357">
                  <v>45090</v>
                </pt>
                <pt idx="358">
                  <v>45091</v>
                </pt>
                <pt idx="359">
                  <v>45092</v>
                </pt>
                <pt idx="360">
                  <v>45093</v>
                </pt>
                <pt idx="361">
                  <v>45096</v>
                </pt>
                <pt idx="362">
                  <v>45097</v>
                </pt>
                <pt idx="363">
                  <v>45098</v>
                </pt>
                <pt idx="364">
                  <v>45099</v>
                </pt>
                <pt idx="365">
                  <v>45100</v>
                </pt>
                <pt idx="366">
                  <v>45103</v>
                </pt>
                <pt idx="367">
                  <v>45104</v>
                </pt>
                <pt idx="368">
                  <v>45105</v>
                </pt>
                <pt idx="369">
                  <v>45107</v>
                </pt>
                <pt idx="370">
                  <v>45110</v>
                </pt>
                <pt idx="371">
                  <v>45111</v>
                </pt>
                <pt idx="372">
                  <v>45112</v>
                </pt>
                <pt idx="373">
                  <v>45113</v>
                </pt>
                <pt idx="374">
                  <v>45114</v>
                </pt>
                <pt idx="375">
                  <v>45117</v>
                </pt>
                <pt idx="376">
                  <v>45118</v>
                </pt>
                <pt idx="377">
                  <v>45119</v>
                </pt>
                <pt idx="378">
                  <v>45120</v>
                </pt>
                <pt idx="379">
                  <v>45121</v>
                </pt>
                <pt idx="380">
                  <v>45124</v>
                </pt>
                <pt idx="381">
                  <v>45125</v>
                </pt>
                <pt idx="382">
                  <v>45126</v>
                </pt>
                <pt idx="383">
                  <v>45127</v>
                </pt>
                <pt idx="384">
                  <v>45128</v>
                </pt>
                <pt idx="385">
                  <v>45131</v>
                </pt>
                <pt idx="386">
                  <v>45132</v>
                </pt>
                <pt idx="387">
                  <v>45133</v>
                </pt>
                <pt idx="388">
                  <v>45134</v>
                </pt>
                <pt idx="389">
                  <v>45135</v>
                </pt>
                <pt idx="390">
                  <v>45138</v>
                </pt>
                <pt idx="391">
                  <v>45139</v>
                </pt>
                <pt idx="392">
                  <v>45140</v>
                </pt>
                <pt idx="393">
                  <v>45141</v>
                </pt>
                <pt idx="394">
                  <v>45142</v>
                </pt>
                <pt idx="395">
                  <v>45145</v>
                </pt>
                <pt idx="396">
                  <v>45146</v>
                </pt>
                <pt idx="397">
                  <v>45147</v>
                </pt>
                <pt idx="398">
                  <v>45148</v>
                </pt>
                <pt idx="399">
                  <v>45149</v>
                </pt>
                <pt idx="400">
                  <v>45152</v>
                </pt>
                <pt idx="401">
                  <v>45154</v>
                </pt>
                <pt idx="402">
                  <v>45155</v>
                </pt>
                <pt idx="403">
                  <v>45156</v>
                </pt>
                <pt idx="404">
                  <v>45159</v>
                </pt>
                <pt idx="405">
                  <v>45160</v>
                </pt>
                <pt idx="406">
                  <v>45161</v>
                </pt>
                <pt idx="407">
                  <v>45162</v>
                </pt>
                <pt idx="408">
                  <v>45163</v>
                </pt>
                <pt idx="409">
                  <v>45166</v>
                </pt>
                <pt idx="410">
                  <v>45167</v>
                </pt>
                <pt idx="411">
                  <v>45168</v>
                </pt>
                <pt idx="412">
                  <v>45169</v>
                </pt>
                <pt idx="413">
                  <v>45170</v>
                </pt>
                <pt idx="414">
                  <v>45173</v>
                </pt>
                <pt idx="415">
                  <v>45174</v>
                </pt>
                <pt idx="416">
                  <v>45175</v>
                </pt>
                <pt idx="417">
                  <v>45176</v>
                </pt>
                <pt idx="418">
                  <v>45177</v>
                </pt>
                <pt idx="419">
                  <v>45180</v>
                </pt>
                <pt idx="420">
                  <v>45181</v>
                </pt>
                <pt idx="421">
                  <v>45182</v>
                </pt>
                <pt idx="422">
                  <v>45183</v>
                </pt>
                <pt idx="423">
                  <v>45184</v>
                </pt>
                <pt idx="424">
                  <v>45187</v>
                </pt>
                <pt idx="425">
                  <v>45189</v>
                </pt>
                <pt idx="426">
                  <v>45190</v>
                </pt>
                <pt idx="427">
                  <v>45191</v>
                </pt>
                <pt idx="428">
                  <v>45194</v>
                </pt>
                <pt idx="429">
                  <v>45195</v>
                </pt>
                <pt idx="430">
                  <v>45196</v>
                </pt>
                <pt idx="431">
                  <v>45197</v>
                </pt>
                <pt idx="432">
                  <v>45198</v>
                </pt>
                <pt idx="433">
                  <v>45202</v>
                </pt>
                <pt idx="434">
                  <v>45203</v>
                </pt>
                <pt idx="435">
                  <v>45204</v>
                </pt>
                <pt idx="436">
                  <v>45205</v>
                </pt>
                <pt idx="437">
                  <v>45208</v>
                </pt>
                <pt idx="438">
                  <v>45209</v>
                </pt>
                <pt idx="439">
                  <v>45210</v>
                </pt>
                <pt idx="440">
                  <v>45211</v>
                </pt>
                <pt idx="441">
                  <v>45212</v>
                </pt>
                <pt idx="442">
                  <v>45215</v>
                </pt>
                <pt idx="443">
                  <v>45216</v>
                </pt>
                <pt idx="444">
                  <v>45217</v>
                </pt>
                <pt idx="445">
                  <v>45218</v>
                </pt>
                <pt idx="446">
                  <v>45219</v>
                </pt>
                <pt idx="447">
                  <v>45222</v>
                </pt>
                <pt idx="448">
                  <v>45224</v>
                </pt>
                <pt idx="449">
                  <v>45225</v>
                </pt>
                <pt idx="450">
                  <v>45226</v>
                </pt>
                <pt idx="451">
                  <v>45229</v>
                </pt>
                <pt idx="452">
                  <v>45230</v>
                </pt>
                <pt idx="453">
                  <v>45231</v>
                </pt>
                <pt idx="454">
                  <v>45232</v>
                </pt>
                <pt idx="455">
                  <v>45233</v>
                </pt>
                <pt idx="456">
                  <v>45236</v>
                </pt>
                <pt idx="457">
                  <v>45237</v>
                </pt>
                <pt idx="458">
                  <v>45238</v>
                </pt>
                <pt idx="459">
                  <v>45239</v>
                </pt>
                <pt idx="460">
                  <v>45240</v>
                </pt>
                <pt idx="461">
                  <v>45242</v>
                </pt>
                <pt idx="462">
                  <v>45243</v>
                </pt>
                <pt idx="463">
                  <v>45245</v>
                </pt>
                <pt idx="464">
                  <v>45246</v>
                </pt>
                <pt idx="465">
                  <v>45247</v>
                </pt>
                <pt idx="466">
                  <v>45250</v>
                </pt>
                <pt idx="467">
                  <v>45251</v>
                </pt>
                <pt idx="468">
                  <v>45252</v>
                </pt>
                <pt idx="469">
                  <v>45253</v>
                </pt>
                <pt idx="470">
                  <v>45254</v>
                </pt>
                <pt idx="471">
                  <v>45258</v>
                </pt>
                <pt idx="472">
                  <v>45259</v>
                </pt>
                <pt idx="473">
                  <v>45260</v>
                </pt>
                <pt idx="474">
                  <v>45261</v>
                </pt>
                <pt idx="475">
                  <v>45264</v>
                </pt>
                <pt idx="476">
                  <v>45265</v>
                </pt>
                <pt idx="477">
                  <v>45266</v>
                </pt>
                <pt idx="478">
                  <v>45267</v>
                </pt>
                <pt idx="479">
                  <v>45268</v>
                </pt>
                <pt idx="480">
                  <v>45271</v>
                </pt>
                <pt idx="481">
                  <v>45272</v>
                </pt>
                <pt idx="482">
                  <v>45273</v>
                </pt>
                <pt idx="483">
                  <v>45274</v>
                </pt>
                <pt idx="484">
                  <v>45275</v>
                </pt>
                <pt idx="485">
                  <v>45278</v>
                </pt>
                <pt idx="486">
                  <v>45279</v>
                </pt>
                <pt idx="487">
                  <v>45280</v>
                </pt>
                <pt idx="488">
                  <v>45281</v>
                </pt>
                <pt idx="489">
                  <v>45282</v>
                </pt>
                <pt idx="490">
                  <v>45286</v>
                </pt>
                <pt idx="491">
                  <v>45287</v>
                </pt>
                <pt idx="492">
                  <v>45288</v>
                </pt>
                <pt idx="493">
                  <v>45289</v>
                </pt>
                <pt idx="494">
                  <v>45292</v>
                </pt>
                <pt idx="495">
                  <v>45293</v>
                </pt>
                <pt idx="496">
                  <v>45294</v>
                </pt>
                <pt idx="497">
                  <v>45295</v>
                </pt>
                <pt idx="498">
                  <v>45296</v>
                </pt>
                <pt idx="499">
                  <v>45299</v>
                </pt>
                <pt idx="500">
                  <v>45300</v>
                </pt>
                <pt idx="501">
                  <v>45301</v>
                </pt>
                <pt idx="502">
                  <v>45302</v>
                </pt>
                <pt idx="503">
                  <v>45303</v>
                </pt>
                <pt idx="504">
                  <v>45306</v>
                </pt>
                <pt idx="505">
                  <v>45307</v>
                </pt>
                <pt idx="506">
                  <v>45308</v>
                </pt>
                <pt idx="507">
                  <v>45309</v>
                </pt>
                <pt idx="508">
                  <v>45310</v>
                </pt>
                <pt idx="509">
                  <v>45311</v>
                </pt>
                <pt idx="510">
                  <v>45314</v>
                </pt>
                <pt idx="511">
                  <v>45315</v>
                </pt>
                <pt idx="512">
                  <v>45316</v>
                </pt>
                <pt idx="513">
                  <v>45320</v>
                </pt>
                <pt idx="514">
                  <v>45321</v>
                </pt>
                <pt idx="515">
                  <v>45322</v>
                </pt>
                <pt idx="516">
                  <v>45323</v>
                </pt>
                <pt idx="517">
                  <v>45324</v>
                </pt>
                <pt idx="518">
                  <v>45327</v>
                </pt>
                <pt idx="519">
                  <v>45328</v>
                </pt>
                <pt idx="520">
                  <v>45329</v>
                </pt>
                <pt idx="521">
                  <v>45330</v>
                </pt>
                <pt idx="522">
                  <v>45331</v>
                </pt>
                <pt idx="523">
                  <v>45334</v>
                </pt>
                <pt idx="524">
                  <v>45335</v>
                </pt>
                <pt idx="525">
                  <v>45336</v>
                </pt>
                <pt idx="526">
                  <v>45337</v>
                </pt>
                <pt idx="527">
                  <v>45338</v>
                </pt>
                <pt idx="528">
                  <v>45341</v>
                </pt>
                <pt idx="529">
                  <v>45342</v>
                </pt>
                <pt idx="530">
                  <v>45343</v>
                </pt>
                <pt idx="531">
                  <v>45344</v>
                </pt>
                <pt idx="532">
                  <v>45345</v>
                </pt>
                <pt idx="533">
                  <v>45348</v>
                </pt>
                <pt idx="534">
                  <v>45349</v>
                </pt>
                <pt idx="535">
                  <v>45350</v>
                </pt>
                <pt idx="536">
                  <v>45351</v>
                </pt>
                <pt idx="537">
                  <v>45352</v>
                </pt>
                <pt idx="538">
                  <v>45353</v>
                </pt>
                <pt idx="539">
                  <v>45355</v>
                </pt>
                <pt idx="540">
                  <v>45356</v>
                </pt>
                <pt idx="541">
                  <v>45357</v>
                </pt>
                <pt idx="542">
                  <v>45358</v>
                </pt>
                <pt idx="543">
                  <v>45362</v>
                </pt>
                <pt idx="544">
                  <v>45363</v>
                </pt>
                <pt idx="545">
                  <v>45364</v>
                </pt>
                <pt idx="546">
                  <v>45365</v>
                </pt>
                <pt idx="547">
                  <v>45366</v>
                </pt>
                <pt idx="548">
                  <v>45369</v>
                </pt>
                <pt idx="549">
                  <v>45370</v>
                </pt>
                <pt idx="550">
                  <v>45371</v>
                </pt>
                <pt idx="551">
                  <v>45372</v>
                </pt>
                <pt idx="552">
                  <v>45373</v>
                </pt>
                <pt idx="553">
                  <v>45377</v>
                </pt>
                <pt idx="554">
                  <v>45378</v>
                </pt>
                <pt idx="555">
                  <v>45379</v>
                </pt>
                <pt idx="556">
                  <v>45383</v>
                </pt>
                <pt idx="557">
                  <v>45384</v>
                </pt>
                <pt idx="558">
                  <v>45385</v>
                </pt>
                <pt idx="559">
                  <v>45386</v>
                </pt>
                <pt idx="560">
                  <v>45387</v>
                </pt>
                <pt idx="561">
                  <v>45390</v>
                </pt>
                <pt idx="562">
                  <v>45391</v>
                </pt>
                <pt idx="563">
                  <v>45392</v>
                </pt>
                <pt idx="564">
                  <v>45394</v>
                </pt>
                <pt idx="565">
                  <v>45397</v>
                </pt>
                <pt idx="566">
                  <v>45398</v>
                </pt>
                <pt idx="567">
                  <v>45400</v>
                </pt>
                <pt idx="568">
                  <v>45401</v>
                </pt>
                <pt idx="569">
                  <v>45404</v>
                </pt>
                <pt idx="570">
                  <v>45405</v>
                </pt>
                <pt idx="571">
                  <v>45406</v>
                </pt>
                <pt idx="572">
                  <v>45407</v>
                </pt>
                <pt idx="573">
                  <v>45408</v>
                </pt>
                <pt idx="574">
                  <v>45411</v>
                </pt>
                <pt idx="575">
                  <v>45412</v>
                </pt>
                <pt idx="576">
                  <v>45414</v>
                </pt>
                <pt idx="577">
                  <v>45415</v>
                </pt>
                <pt idx="578">
                  <v>45418</v>
                </pt>
                <pt idx="579">
                  <v>45419</v>
                </pt>
                <pt idx="580">
                  <v>45420</v>
                </pt>
                <pt idx="581">
                  <v>45421</v>
                </pt>
                <pt idx="582">
                  <v>45422</v>
                </pt>
                <pt idx="583">
                  <v>45425</v>
                </pt>
                <pt idx="584">
                  <v>45426</v>
                </pt>
                <pt idx="585">
                  <v>45427</v>
                </pt>
                <pt idx="586">
                  <v>45428</v>
                </pt>
                <pt idx="587">
                  <v>45429</v>
                </pt>
                <pt idx="588">
                  <v>45430</v>
                </pt>
                <pt idx="589">
                  <v>45433</v>
                </pt>
                <pt idx="590">
                  <v>45434</v>
                </pt>
                <pt idx="591">
                  <v>45435</v>
                </pt>
                <pt idx="592">
                  <v>45436</v>
                </pt>
                <pt idx="593">
                  <v>45439</v>
                </pt>
                <pt idx="594">
                  <v>45440</v>
                </pt>
                <pt idx="595">
                  <v>45441</v>
                </pt>
                <pt idx="596">
                  <v>45442</v>
                </pt>
                <pt idx="597">
                  <v>45443</v>
                </pt>
                <pt idx="598">
                  <v>45446</v>
                </pt>
                <pt idx="599">
                  <v>45447</v>
                </pt>
                <pt idx="600">
                  <v>45448</v>
                </pt>
                <pt idx="601">
                  <v>45449</v>
                </pt>
                <pt idx="602">
                  <v>45450</v>
                </pt>
                <pt idx="603">
                  <v>45453</v>
                </pt>
                <pt idx="604">
                  <v>45454</v>
                </pt>
                <pt idx="605">
                  <v>45455</v>
                </pt>
                <pt idx="606">
                  <v>45456</v>
                </pt>
                <pt idx="607">
                  <v>45457</v>
                </pt>
                <pt idx="608">
                  <v>45461</v>
                </pt>
                <pt idx="609">
                  <v>45462</v>
                </pt>
                <pt idx="610">
                  <v>45463</v>
                </pt>
                <pt idx="611">
                  <v>45464</v>
                </pt>
                <pt idx="612">
                  <v>45467</v>
                </pt>
                <pt idx="613">
                  <v>45468</v>
                </pt>
                <pt idx="614">
                  <v>45469</v>
                </pt>
                <pt idx="615">
                  <v>45470</v>
                </pt>
                <pt idx="616">
                  <v>45471</v>
                </pt>
                <pt idx="617">
                  <v>45474</v>
                </pt>
                <pt idx="618">
                  <v>45475</v>
                </pt>
                <pt idx="619">
                  <v>45476</v>
                </pt>
                <pt idx="620">
                  <v>45477</v>
                </pt>
                <pt idx="621">
                  <v>45478</v>
                </pt>
                <pt idx="622">
                  <v>45481</v>
                </pt>
                <pt idx="623">
                  <v>45482</v>
                </pt>
                <pt idx="624">
                  <v>45483</v>
                </pt>
                <pt idx="625">
                  <v>45484</v>
                </pt>
                <pt idx="626">
                  <v>45485</v>
                </pt>
                <pt idx="627">
                  <v>45488</v>
                </pt>
                <pt idx="628">
                  <v>45489</v>
                </pt>
                <pt idx="629">
                  <v>45491</v>
                </pt>
                <pt idx="630">
                  <v>45492</v>
                </pt>
                <pt idx="631">
                  <v>45495</v>
                </pt>
                <pt idx="632">
                  <v>45496</v>
                </pt>
                <pt idx="633">
                  <v>45497</v>
                </pt>
                <pt idx="634">
                  <v>45498</v>
                </pt>
                <pt idx="635">
                  <v>45499</v>
                </pt>
                <pt idx="636">
                  <v>45502</v>
                </pt>
                <pt idx="637">
                  <v>45503</v>
                </pt>
                <pt idx="638">
                  <v>45504</v>
                </pt>
                <pt idx="639">
                  <v>45505</v>
                </pt>
                <pt idx="640">
                  <v>45506</v>
                </pt>
                <pt idx="641">
                  <v>45509</v>
                </pt>
                <pt idx="642">
                  <v>45510</v>
                </pt>
                <pt idx="643">
                  <v>45511</v>
                </pt>
                <pt idx="644">
                  <v>45512</v>
                </pt>
                <pt idx="645">
                  <v>45513</v>
                </pt>
                <pt idx="646">
                  <v>45516</v>
                </pt>
                <pt idx="647">
                  <v>45517</v>
                </pt>
                <pt idx="648">
                  <v>45518</v>
                </pt>
                <pt idx="649">
                  <v>45520</v>
                </pt>
                <pt idx="650">
                  <v>45523</v>
                </pt>
                <pt idx="651">
                  <v>45524</v>
                </pt>
                <pt idx="652">
                  <v>45525</v>
                </pt>
                <pt idx="653">
                  <v>45526</v>
                </pt>
                <pt idx="654">
                  <v>45527</v>
                </pt>
                <pt idx="655">
                  <v>45530</v>
                </pt>
                <pt idx="656">
                  <v>45531</v>
                </pt>
                <pt idx="657">
                  <v>45532</v>
                </pt>
                <pt idx="658">
                  <v>45533</v>
                </pt>
                <pt idx="659">
                  <v>45534</v>
                </pt>
                <pt idx="660">
                  <v>45537</v>
                </pt>
                <pt idx="661">
                  <v>45538</v>
                </pt>
                <pt idx="662">
                  <v>45539</v>
                </pt>
                <pt idx="663">
                  <v>45540</v>
                </pt>
                <pt idx="664">
                  <v>45541</v>
                </pt>
                <pt idx="665">
                  <v>45544</v>
                </pt>
                <pt idx="666">
                  <v>45545</v>
                </pt>
                <pt idx="667">
                  <v>45546</v>
                </pt>
                <pt idx="668">
                  <v>45547</v>
                </pt>
                <pt idx="669">
                  <v>45548</v>
                </pt>
                <pt idx="670">
                  <v>45551</v>
                </pt>
                <pt idx="671">
                  <v>45552</v>
                </pt>
                <pt idx="672">
                  <v>45553</v>
                </pt>
                <pt idx="673">
                  <v>45554</v>
                </pt>
                <pt idx="674">
                  <v>45555</v>
                </pt>
                <pt idx="675">
                  <v>45558</v>
                </pt>
                <pt idx="676">
                  <v>45559</v>
                </pt>
                <pt idx="677">
                  <v>45560</v>
                </pt>
                <pt idx="678">
                  <v>45561</v>
                </pt>
                <pt idx="679">
                  <v>45562</v>
                </pt>
                <pt idx="680">
                  <v>45565</v>
                </pt>
                <pt idx="681">
                  <v>45566</v>
                </pt>
                <pt idx="682">
                  <v>45568</v>
                </pt>
                <pt idx="683">
                  <v>45569</v>
                </pt>
                <pt idx="684">
                  <v>45572</v>
                </pt>
                <pt idx="685">
                  <v>45573</v>
                </pt>
                <pt idx="686">
                  <v>45574</v>
                </pt>
                <pt idx="687">
                  <v>45575</v>
                </pt>
                <pt idx="688">
                  <v>45576</v>
                </pt>
                <pt idx="689">
                  <v>45579</v>
                </pt>
                <pt idx="690">
                  <v>45580</v>
                </pt>
                <pt idx="691">
                  <v>45581</v>
                </pt>
                <pt idx="692">
                  <v>45582</v>
                </pt>
                <pt idx="693">
                  <v>45583</v>
                </pt>
                <pt idx="694">
                  <v>45586</v>
                </pt>
                <pt idx="695">
                  <v>45587</v>
                </pt>
                <pt idx="696">
                  <v>45588</v>
                </pt>
                <pt idx="697">
                  <v>45589</v>
                </pt>
                <pt idx="698">
                  <v>45590</v>
                </pt>
                <pt idx="699">
                  <v>45593</v>
                </pt>
                <pt idx="700">
                  <v>45594</v>
                </pt>
                <pt idx="701">
                  <v>45595</v>
                </pt>
                <pt idx="702">
                  <v>45596</v>
                </pt>
                <pt idx="703">
                  <v>45597</v>
                </pt>
                <pt idx="704">
                  <v>45600</v>
                </pt>
                <pt idx="705">
                  <v>45601</v>
                </pt>
                <pt idx="706">
                  <v>45602</v>
                </pt>
                <pt idx="707">
                  <v>45603</v>
                </pt>
                <pt idx="708">
                  <v>45604</v>
                </pt>
                <pt idx="709">
                  <v>45607</v>
                </pt>
                <pt idx="710">
                  <v>45608</v>
                </pt>
                <pt idx="711">
                  <v>45609</v>
                </pt>
                <pt idx="712">
                  <v>45610</v>
                </pt>
                <pt idx="713">
                  <v>45614</v>
                </pt>
                <pt idx="714">
                  <v>45615</v>
                </pt>
                <pt idx="715">
                  <v>45617</v>
                </pt>
                <pt idx="716">
                  <v>45618</v>
                </pt>
                <pt idx="717">
                  <v>45621</v>
                </pt>
                <pt idx="718">
                  <v>45622</v>
                </pt>
                <pt idx="719">
                  <v>45623</v>
                </pt>
                <pt idx="720">
                  <v>45624</v>
                </pt>
                <pt idx="721">
                  <v>45625</v>
                </pt>
                <pt idx="722">
                  <v>45628</v>
                </pt>
                <pt idx="723">
                  <v>45629</v>
                </pt>
                <pt idx="724">
                  <v>45630</v>
                </pt>
                <pt idx="725">
                  <v>45631</v>
                </pt>
                <pt idx="726">
                  <v>45632</v>
                </pt>
                <pt idx="727">
                  <v>45635</v>
                </pt>
                <pt idx="728">
                  <v>45636</v>
                </pt>
                <pt idx="729">
                  <v>45637</v>
                </pt>
                <pt idx="730">
                  <v>45638</v>
                </pt>
                <pt idx="731">
                  <v>45639</v>
                </pt>
                <pt idx="732">
                  <v>45642</v>
                </pt>
                <pt idx="733">
                  <v>45643</v>
                </pt>
                <pt idx="734">
                  <v>45644</v>
                </pt>
                <pt idx="735">
                  <v>45645</v>
                </pt>
                <pt idx="736">
                  <v>45646</v>
                </pt>
                <pt idx="737">
                  <v>45649</v>
                </pt>
                <pt idx="738">
                  <v>45650</v>
                </pt>
                <pt idx="739">
                  <v>45652</v>
                </pt>
                <pt idx="740">
                  <v>45653</v>
                </pt>
                <pt idx="741">
                  <v>45656</v>
                </pt>
                <pt idx="742">
                  <v>45657</v>
                </pt>
                <pt idx="743">
                  <v>45658</v>
                </pt>
                <pt idx="744">
                  <v>45659</v>
                </pt>
                <pt idx="745">
                  <v>45660</v>
                </pt>
                <pt idx="746">
                  <v>45663</v>
                </pt>
                <pt idx="747">
                  <v>45664</v>
                </pt>
                <pt idx="748">
                  <v>45665</v>
                </pt>
                <pt idx="749">
                  <v>45666</v>
                </pt>
                <pt idx="750">
                  <v>45667</v>
                </pt>
                <pt idx="751">
                  <v>45670</v>
                </pt>
                <pt idx="752">
                  <v>45671</v>
                </pt>
                <pt idx="753">
                  <v>45672</v>
                </pt>
                <pt idx="754">
                  <v>45673</v>
                </pt>
                <pt idx="755">
                  <v>45674</v>
                </pt>
                <pt idx="756">
                  <v>45677</v>
                </pt>
                <pt idx="757">
                  <v>45678</v>
                </pt>
                <pt idx="758">
                  <v>45679</v>
                </pt>
                <pt idx="759">
                  <v>45680</v>
                </pt>
                <pt idx="760">
                  <v>45681</v>
                </pt>
                <pt idx="761">
                  <v>45684</v>
                </pt>
                <pt idx="762">
                  <v>45685</v>
                </pt>
                <pt idx="763">
                  <v>45686</v>
                </pt>
                <pt idx="764">
                  <v>45687</v>
                </pt>
                <pt idx="765">
                  <v>45688</v>
                </pt>
                <pt idx="766">
                  <v>45689</v>
                </pt>
                <pt idx="767">
                  <v>45691</v>
                </pt>
                <pt idx="768">
                  <v>45692</v>
                </pt>
                <pt idx="769">
                  <v>45693</v>
                </pt>
                <pt idx="770">
                  <v>45694</v>
                </pt>
                <pt idx="771">
                  <v>45695</v>
                </pt>
                <pt idx="772">
                  <v>45698</v>
                </pt>
                <pt idx="773">
                  <v>45699</v>
                </pt>
                <pt idx="774">
                  <v>45700</v>
                </pt>
                <pt idx="775">
                  <v>45701</v>
                </pt>
                <pt idx="776">
                  <v>45702</v>
                </pt>
                <pt idx="777">
                  <v>45705</v>
                </pt>
                <pt idx="778">
                  <v>45706</v>
                </pt>
                <pt idx="779">
                  <v>45707</v>
                </pt>
                <pt idx="780">
                  <v>45708</v>
                </pt>
                <pt idx="781">
                  <v>45709</v>
                </pt>
                <pt idx="782">
                  <v>45712</v>
                </pt>
                <pt idx="783">
                  <v>45713</v>
                </pt>
                <pt idx="784">
                  <v>45715</v>
                </pt>
                <pt idx="785">
                  <v>45716</v>
                </pt>
                <pt idx="786">
                  <v>45719</v>
                </pt>
                <pt idx="787">
                  <v>45720</v>
                </pt>
                <pt idx="788">
                  <v>45721</v>
                </pt>
                <pt idx="789">
                  <v>45722</v>
                </pt>
                <pt idx="790">
                  <v>45723</v>
                </pt>
                <pt idx="791">
                  <v>45726</v>
                </pt>
                <pt idx="792">
                  <v>45727</v>
                </pt>
                <pt idx="793">
                  <v>45728</v>
                </pt>
                <pt idx="794">
                  <v>45729</v>
                </pt>
                <pt idx="795">
                  <v>45733</v>
                </pt>
                <pt idx="796">
                  <v>45734</v>
                </pt>
                <pt idx="797">
                  <v>45735</v>
                </pt>
                <pt idx="798">
                  <v>45736</v>
                </pt>
                <pt idx="799">
                  <v>45737</v>
                </pt>
                <pt idx="800">
                  <v>45740</v>
                </pt>
                <pt idx="801">
                  <v>45741</v>
                </pt>
                <pt idx="802">
                  <v>45742</v>
                </pt>
                <pt idx="803">
                  <v>45743</v>
                </pt>
                <pt idx="804">
                  <v>45744</v>
                </pt>
              </numCache>
            </numRef>
          </cat>
          <val>
            <numRef>
              <f>'EVI 2025 Workings'!$X$2:$X$806</f>
              <numCache>
                <formatCode>0.00</formatCode>
                <ptCount val="805"/>
                <pt idx="0">
                  <v>3.238341968911917</v>
                </pt>
                <pt idx="1">
                  <v>3.229974160206718</v>
                </pt>
                <pt idx="2">
                  <v>3.228931223764934</v>
                </pt>
                <pt idx="3">
                  <v>3.231017770597738</v>
                </pt>
                <pt idx="4">
                  <v>3.219575016097875</v>
                </pt>
                <pt idx="5">
                  <v>3.197953309881676</v>
                </pt>
                <pt idx="6">
                  <v>3.192848020434227</v>
                </pt>
                <pt idx="7">
                  <v>3.155569580309245</v>
                </pt>
                <pt idx="8">
                  <v>3.139717425431711</v>
                </pt>
                <pt idx="9">
                  <v>3.140703517587939</v>
                </pt>
                <pt idx="10">
                  <v>3.132832080200501</v>
                </pt>
                <pt idx="11">
                  <v>3.192848020434227</v>
                </pt>
                <pt idx="12">
                  <v>3.197953309881676</v>
                </pt>
                <pt idx="13">
                  <v>3.209242618741977</v>
                </pt>
                <pt idx="14">
                  <v>3.282994090610637</v>
                </pt>
                <pt idx="15">
                  <v>3.41180484476288</v>
                </pt>
                <pt idx="16">
                  <v>3.342245989304813</v>
                </pt>
                <pt idx="17">
                  <v>3.372681281618887</v>
                </pt>
                <pt idx="18">
                  <v>3.34001336005344</v>
                </pt>
                <pt idx="19">
                  <v>3.306878306878307</v>
                </pt>
                <pt idx="20">
                  <v>3.273322422258593</v>
                </pt>
                <pt idx="21">
                  <v>3.236245954692557</v>
                </pt>
                <pt idx="22">
                  <v>3.274394237066143</v>
                </pt>
                <pt idx="23">
                  <v>3.320053120849933</v>
                </pt>
                <pt idx="24">
                  <v>3.359086328518643</v>
                </pt>
                <pt idx="25">
                  <v>3.429355281207133</v>
                </pt>
                <pt idx="26">
                  <v>3.435245620061834</v>
                </pt>
                <pt idx="27">
                  <v>3.419972640218878</v>
                </pt>
                <pt idx="28">
                  <v>3.505082369435682</v>
                </pt>
                <pt idx="29">
                  <v>3.653635367190355</v>
                </pt>
                <pt idx="30">
                  <v>3.594536304816679</v>
                </pt>
                <pt idx="31">
                  <v>3.591954022988506</v>
                </pt>
                <pt idx="32">
                  <v>3.598416696653473</v>
                </pt>
                <pt idx="33">
                  <v>3.629764065335753</v>
                </pt>
                <pt idx="34">
                  <v>3.672420124862284</v>
                </pt>
                <pt idx="35">
                  <v>3.707823507601039</v>
                </pt>
                <pt idx="36">
                  <v>3.694126339120798</v>
                </pt>
                <pt idx="37">
                  <v>3.904724716907458</v>
                </pt>
                <pt idx="38">
                  <v>3.757985719654265</v>
                </pt>
                <pt idx="39">
                  <v>3.727171077152442</v>
                </pt>
                <pt idx="40">
                  <v>3.735524841240194</v>
                </pt>
                <pt idx="41">
                  <v>3.745318352059925</v>
                </pt>
                <pt idx="42">
                  <v>3.824091778202677</v>
                </pt>
                <pt idx="43">
                  <v>3.909304143862393</v>
                </pt>
                <pt idx="44">
                  <v>3.868471953578337</v>
                </pt>
                <pt idx="45">
                  <v>3.792188092529389</v>
                </pt>
                <pt idx="46">
                  <v>3.75234521575985</v>
                </pt>
                <pt idx="47">
                  <v>3.732736095558044</v>
                </pt>
                <pt idx="48">
                  <v>3.727171077152441</v>
                </pt>
                <pt idx="49">
                  <v>3.757985719654266</v>
                </pt>
                <pt idx="50">
                  <v>3.685956505713233</v>
                </pt>
                <pt idx="51">
                  <v>3.641660597232338</v>
                </pt>
                <pt idx="52">
                  <v>3.645643456069997</v>
                </pt>
                <pt idx="53">
                  <v>3.640334910811795</v>
                </pt>
                <pt idx="54">
                  <v>3.62844702467344</v>
                </pt>
                <pt idx="55">
                  <v>3.608805485384338</v>
                </pt>
                <pt idx="56">
                  <v>3.616636528028933</v>
                </pt>
                <pt idx="57">
                  <v>3.623188405797101</v>
                </pt>
                <pt idx="58">
                  <v>3.601008282319049</v>
                </pt>
                <pt idx="59">
                  <v>3.568879371877231</v>
                </pt>
                <pt idx="60">
                  <v>3.684598378776713</v>
                </pt>
                <pt idx="61">
                  <v>3.63901018922853</v>
                </pt>
                <pt idx="62">
                  <v>3.585514521333812</v>
                </pt>
                <pt idx="63">
                  <v>3.533568904593639</v>
                </pt>
                <pt idx="64">
                  <v>3.517411185367569</v>
                </pt>
                <pt idx="65">
                  <v>3.5486160397445</v>
                </pt>
                <pt idx="66">
                  <v>3.516174402250352</v>
                </pt>
                <pt idx="67">
                  <v>3.491620111731844</v>
                </pt>
                <pt idx="68">
                  <v>3.556187766714083</v>
                </pt>
                <pt idx="69">
                  <v>3.558718861209965</v>
                </pt>
                <pt idx="70">
                  <v>3.599712023038157</v>
                </pt>
                <pt idx="71">
                  <v>3.644314868804665</v>
                </pt>
                <pt idx="72">
                  <v>3.620564808110065</v>
                </pt>
                <pt idx="73">
                  <v>3.584229390681004</v>
                </pt>
                <pt idx="74">
                  <v>3.615328994938539</v>
                </pt>
                <pt idx="75">
                  <v>3.685956505713232</v>
                </pt>
                <pt idx="76">
                  <v>3.635041802980734</v>
                </pt>
                <pt idx="77">
                  <v>3.665689149560118</v>
                </pt>
                <pt idx="78">
                  <v>3.64963503649635</v>
                </pt>
                <pt idx="79">
                  <v>3.688675765400221</v>
                </pt>
                <pt idx="80">
                  <v>3.724394785847299</v>
                </pt>
                <pt idx="81">
                  <v>3.938558487593541</v>
                </pt>
                <pt idx="82">
                  <v>3.941663381947182</v>
                </pt>
                <pt idx="83">
                  <v>4.011231448054552</v>
                </pt>
                <pt idx="84">
                  <v>4.091653027823241</v>
                </pt>
                <pt idx="85">
                  <v>4.217629692113032</v>
                </pt>
                <pt idx="86">
                  <v>4.246284501061572</v>
                </pt>
                <pt idx="87">
                  <v>4.323389537397319</v>
                </pt>
                <pt idx="88">
                  <v>4.278990158322636</v>
                </pt>
                <pt idx="89">
                  <v>4.228329809725158</v>
                </pt>
                <pt idx="90">
                  <v>4.156275976724855</v>
                </pt>
                <pt idx="91">
                  <v>4.159733777038269</v>
                </pt>
                <pt idx="92">
                  <v>4.273504273504273</v>
                </pt>
                <pt idx="93">
                  <v>4.224757076468102</v>
                </pt>
                <pt idx="94">
                  <v>4.212299915754002</v>
                </pt>
                <pt idx="95">
                  <v>4.282655246252676</v>
                </pt>
                <pt idx="96">
                  <v>4.372540445999126</v>
                </pt>
                <pt idx="97">
                  <v>4.329004329004329</v>
                </pt>
                <pt idx="98">
                  <v>4.297378599054577</v>
                </pt>
                <pt idx="99">
                  <v>4.187604690117253</v>
                </pt>
                <pt idx="100">
                  <v>4.212299915754002</v>
                </pt>
                <pt idx="101">
                  <v>4.196391103650861</v>
                </pt>
                <pt idx="102">
                  <v>4.166666666666667</v>
                </pt>
                <pt idx="103">
                  <v>4.221190375685943</v>
                </pt>
                <pt idx="104">
                  <v>4.230118443316412</v>
                </pt>
                <pt idx="105">
                  <v>4.257130693912304</v>
                </pt>
                <pt idx="106">
                  <v>4.273504273504273</v>
                </pt>
                <pt idx="107">
                  <v>4.257130693912304</v>
                </pt>
                <pt idx="108">
                  <v>4.286326618088299</v>
                </pt>
                <pt idx="109">
                  <v>4.407227853680035</v>
                </pt>
                <pt idx="110">
                  <v>4.403346543372963</v>
                </pt>
                <pt idx="111">
                  <v>4.387889425186485</v>
                </pt>
                <pt idx="112">
                  <v>4.488330341113106</v>
                </pt>
                <pt idx="113">
                  <v>4.539264639128461</v>
                </pt>
                <pt idx="114">
                  <v>4.631773969430292</v>
                </pt>
                <pt idx="115">
                  <v>4.492362982929021</v>
                </pt>
                <pt idx="116">
                  <v>4.559963520291838</v>
                </pt>
                <pt idx="117">
                  <v>4.506534474988733</v>
                </pt>
                <pt idx="118">
                  <v>4.44642063139173</v>
                </pt>
                <pt idx="119">
                  <v>4.401408450704225</v>
                </pt>
                <pt idx="120">
                  <v>4.384042086804033</v>
                </pt>
                <pt idx="121">
                  <v>4.393673110720562</v>
                </pt>
                <pt idx="122">
                  <v>4.395604395604396</v>
                </pt>
                <pt idx="123">
                  <v>4.380201489268507</v>
                </pt>
                <pt idx="124">
                  <v>4.351610095735422</v>
                </pt>
                <pt idx="125">
                  <v>4.357298474945534</v>
                </pt>
                <pt idx="126">
                  <v>4.280821917808219</v>
                </pt>
                <pt idx="127">
                  <v>4.224757076468103</v>
                </pt>
                <pt idx="128">
                  <v>4.215851602023609</v>
                </pt>
                <pt idx="129">
                  <v>4.173622704507513</v>
                </pt>
                <pt idx="130">
                  <v>4.196391103650861</v>
                </pt>
                <pt idx="131">
                  <v>4.192872117400419</v>
                </pt>
                <pt idx="132">
                  <v>4.196391103650861</v>
                </pt>
                <pt idx="133">
                  <v>4.170141784820683</v>
                </pt>
                <pt idx="134">
                  <v>4.13393964448119</v>
                </pt>
                <pt idx="135">
                  <v>4.103405826836274</v>
                </pt>
                <pt idx="136">
                  <v>4.098360655737705</v>
                </pt>
                <pt idx="137">
                  <v>4.048582995951417</v>
                </pt>
                <pt idx="138">
                  <v>4.046944556859571</v>
                </pt>
                <pt idx="139">
                  <v>4.060089321965084</v>
                </pt>
                <pt idx="140">
                  <v>4.111842105263158</v>
                </pt>
                <pt idx="141">
                  <v>4.105090311986864</v>
                </pt>
                <pt idx="142">
                  <v>4.091653027823241</v>
                </pt>
                <pt idx="143">
                  <v>4.050222762251924</v>
                </pt>
                <pt idx="144">
                  <v>4.076640847941296</v>
                </pt>
                <pt idx="145">
                  <v>4.106776180698152</v>
                </pt>
                <pt idx="146">
                  <v>4.135649296939619</v>
                </pt>
                <pt idx="147">
                  <v>4.11522633744856</v>
                </pt>
                <pt idx="148">
                  <v>4.103405826836274</v>
                </pt>
                <pt idx="149">
                  <v>4.101722723543888</v>
                </pt>
                <pt idx="150">
                  <v>3.840245775729647</v>
                </pt>
                <pt idx="151">
                  <v>3.862495171881035</v>
                </pt>
                <pt idx="152">
                  <v>3.872966692486445</v>
                </pt>
                <pt idx="153">
                  <v>3.856536829926725</v>
                </pt>
                <pt idx="154">
                  <v>3.846153846153846</v>
                </pt>
                <pt idx="155">
                  <v>3.840245775729647</v>
                </pt>
                <pt idx="156">
                  <v>3.888024883359253</v>
                </pt>
                <pt idx="157">
                  <v>3.961965134706815</v>
                </pt>
                <pt idx="158">
                  <v>3.924646781789639</v>
                </pt>
                <pt idx="159">
                  <v>3.913894324853229</v>
                </pt>
                <pt idx="160">
                  <v>3.909304143862392</v>
                </pt>
                <pt idx="161">
                  <v>3.894080996884735</v>
                </pt>
                <pt idx="162">
                  <v>3.927729772191673</v>
                </pt>
                <pt idx="163">
                  <v>3.846153846153846</v>
                </pt>
                <pt idx="164">
                  <v>3.837298541826554</v>
                </pt>
                <pt idx="165">
                  <v>3.846153846153846</v>
                </pt>
                <pt idx="166">
                  <v>3.825554705432287</v>
                </pt>
                <pt idx="167">
                  <v>3.812428516965307</v>
                </pt>
                <pt idx="168">
                  <v>3.790750568612585</v>
                </pt>
                <pt idx="169">
                  <v>3.777861730260673</v>
                </pt>
                <pt idx="170">
                  <v>3.763643206624012</v>
                </pt>
                <pt idx="171">
                  <v>3.732736095558045</v>
                </pt>
                <pt idx="172">
                  <v>3.727171077152441</v>
                </pt>
                <pt idx="173">
                  <v>3.739715781600598</v>
                </pt>
                <pt idx="174">
                  <v>3.728560775540641</v>
                </pt>
                <pt idx="175">
                  <v>3.825554705432287</v>
                </pt>
                <pt idx="176">
                  <v>3.824091778202677</v>
                </pt>
                <pt idx="177">
                  <v>3.769317753486619</v>
                </pt>
                <pt idx="178">
                  <v>3.795066413662239</v>
                </pt>
                <pt idx="179">
                  <v>3.7821482602118</v>
                </pt>
                <pt idx="180">
                  <v>3.863987635239567</v>
                </pt>
                <pt idx="181">
                  <v>3.982477100756671</v>
                </pt>
                <pt idx="182">
                  <v>3.979307600477517</v>
                </pt>
                <pt idx="183">
                  <v>3.990422984836393</v>
                </pt>
                <pt idx="184">
                  <v>3.972983710766785</v>
                </pt>
                <pt idx="185">
                  <v>4.050222762251924</v>
                </pt>
                <pt idx="186">
                  <v>4.093327875562832</v>
                </pt>
                <pt idx="187">
                  <v>4.00320256204964</v>
                </pt>
                <pt idx="188">
                  <v>3.955696202531645</v>
                </pt>
                <pt idx="189">
                  <v>3.965107057890563</v>
                </pt>
                <pt idx="190">
                  <v>4.001600640256102</v>
                </pt>
                <pt idx="191">
                  <v>4.06669377795852</v>
                </pt>
                <pt idx="192">
                  <v>4.043671653861707</v>
                </pt>
                <pt idx="193">
                  <v>4.07000407000407</v>
                </pt>
                <pt idx="194">
                  <v>4.071661237785016</v>
                </pt>
                <pt idx="195">
                  <v>4.065040650406504</v>
                </pt>
                <pt idx="196">
                  <v>4.042037186742118</v>
                </pt>
                <pt idx="197">
                  <v>4.045307443365696</v>
                </pt>
                <pt idx="198">
                  <v>4.061738424045491</v>
                </pt>
                <pt idx="199">
                  <v>4.084967320261438</v>
                </pt>
                <pt idx="200">
                  <v>4.061738424045491</v>
                </pt>
                <pt idx="201">
                  <v>4.127115146512588</v>
                </pt>
                <pt idx="202">
                  <v>4.101722723543888</v>
                </pt>
                <pt idx="203">
                  <v>4.127115146512588</v>
                </pt>
                <pt idx="204">
                  <v>4.08997955010225</v>
                </pt>
                <pt idx="205">
                  <v>4.0551500405515</v>
                </pt>
                <pt idx="206">
                  <v>4.050222762251924</v>
                </pt>
                <pt idx="207">
                  <v>4.030632809351069</v>
                </pt>
                <pt idx="208">
                  <v>3.897116134060795</v>
                </pt>
                <pt idx="209">
                  <v>3.871467286101433</v>
                </pt>
                <pt idx="210">
                  <v>3.895597974289053</v>
                </pt>
                <pt idx="211">
                  <v>3.935458480913026</v>
                </pt>
                <pt idx="212">
                  <v>3.933910306845004</v>
                </pt>
                <pt idx="213">
                  <v>3.863987635239567</v>
                </pt>
                <pt idx="214">
                  <v>3.846153846153846</v>
                </pt>
                <pt idx="215">
                  <v>3.868471953578337</v>
                </pt>
                <pt idx="216">
                  <v>3.88651379712398</v>
                </pt>
                <pt idx="217">
                  <v>3.910833007430583</v>
                </pt>
                <pt idx="218">
                  <v>3.912363067292645</v>
                </pt>
                <pt idx="219">
                  <v>3.898635477582847</v>
                </pt>
                <pt idx="220">
                  <v>3.891050583657587</v>
                </pt>
                <pt idx="221">
                  <v>3.875968992248062</v>
                </pt>
                <pt idx="222">
                  <v>3.84172109104879</v>
                </pt>
                <pt idx="223">
                  <v>3.815337657382678</v>
                </pt>
                <pt idx="224">
                  <v>3.835826620636747</v>
                </pt>
                <pt idx="225">
                  <v>3.800836183960472</v>
                </pt>
                <pt idx="226">
                  <v>3.772161448509996</v>
                </pt>
                <pt idx="227">
                  <v>3.741114852225963</v>
                </pt>
                <pt idx="228">
                  <v>3.738317757009346</v>
                </pt>
                <pt idx="229">
                  <v>3.756574004507888</v>
                </pt>
                <pt idx="230">
                  <v>3.775009437523594</v>
                </pt>
                <pt idx="231">
                  <v>3.756574004507888</v>
                </pt>
                <pt idx="232">
                  <v>3.773584905660377</v>
                </pt>
                <pt idx="233">
                  <v>3.762227238525207</v>
                </pt>
                <pt idx="234">
                  <v>3.746721618583739</v>
                </pt>
                <pt idx="235">
                  <v>3.72300819061802</v>
                </pt>
                <pt idx="236">
                  <v>3.756574004507888</v>
                </pt>
                <pt idx="237">
                  <v>3.810975609756098</v>
                </pt>
                <pt idx="238">
                  <v>3.793626707132018</v>
                </pt>
                <pt idx="239">
                  <v>3.799392097264437</v>
                </pt>
                <pt idx="240">
                  <v>3.861003861003861</v>
                </pt>
                <pt idx="241">
                  <v>3.897116134060795</v>
                </pt>
                <pt idx="242">
                  <v>4.038772213247173</v>
                </pt>
                <pt idx="243">
                  <v>3.940110323089047</v>
                </pt>
                <pt idx="244">
                  <v>3.904724716907458</v>
                </pt>
                <pt idx="245">
                  <v>3.891050583657587</v>
                </pt>
                <pt idx="246">
                  <v>3.88651379712398</v>
                </pt>
                <pt idx="247">
                  <v>3.828483920367534</v>
                </pt>
                <pt idx="248">
                  <v>3.800836183960472</v>
                </pt>
                <pt idx="249">
                  <v>3.793626707132019</v>
                </pt>
                <pt idx="250">
                  <v>3.828483920367534</v>
                </pt>
                <pt idx="251">
                  <v>3.813882532418002</v>
                </pt>
                <pt idx="252">
                  <v>3.840245775729647</v>
                </pt>
                <pt idx="253">
                  <v>3.808073115003808</v>
                </pt>
                <pt idx="254">
                  <v>3.824091778202677</v>
                </pt>
                <pt idx="255">
                  <v>3.835826620636747</v>
                </pt>
                <pt idx="256">
                  <v>3.844675124951941</v>
                </pt>
                <pt idx="257">
                  <v>3.846153846153846</v>
                </pt>
                <pt idx="258">
                  <v>3.82262996941896</v>
                </pt>
                <pt idx="259">
                  <v>3.84172109104879</v>
                </pt>
                <pt idx="260">
                  <v>3.825554705432287</v>
                </pt>
                <pt idx="261">
                  <v>3.831417624521073</v>
                </pt>
                <pt idx="262">
                  <v>3.862495171881036</v>
                </pt>
                <pt idx="263">
                  <v>3.869969040247678</v>
                </pt>
                <pt idx="264">
                  <v>3.913894324853229</v>
                </pt>
                <pt idx="265">
                  <v>3.95882818685669</v>
                </pt>
                <pt idx="266">
                  <v>4.019292604501608</v>
                </pt>
                <pt idx="267">
                  <v>4.029008863819501</v>
                </pt>
                <pt idx="268">
                  <v>3.966679888932963</v>
                </pt>
                <pt idx="269">
                  <v>4</v>
                </pt>
                <pt idx="270">
                  <v>4.035512510088781</v>
                </pt>
                <pt idx="271">
                  <v>4.053506282934737</v>
                </pt>
                <pt idx="272">
                  <v>4.06669377795852</v>
                </pt>
                <pt idx="273">
                  <v>4.053506282934738</v>
                </pt>
                <pt idx="274">
                  <v>4.014452027298273</v>
                </pt>
                <pt idx="275">
                  <v>4.012841091492777</v>
                </pt>
                <pt idx="276">
                  <v>4.014452027298273</v>
                </pt>
                <pt idx="277">
                  <v>4.030632809351068</v>
                </pt>
                <pt idx="278">
                  <v>4.035512510088781</v>
                </pt>
                <pt idx="279">
                  <v>3.993610223642172</v>
                </pt>
                <pt idx="280">
                  <v>3.95882818685669</v>
                </pt>
                <pt idx="281">
                  <v>4.095004095004095</v>
                </pt>
                <pt idx="282">
                  <v>4.113533525298232</v>
                </pt>
                <pt idx="283">
                  <v>4.123711340206185</v>
                </pt>
                <pt idx="284">
                  <v>4.166666666666666</v>
                </pt>
                <pt idx="285">
                  <v>4.177109440267335</v>
                </pt>
                <pt idx="286">
                  <v>4.189359028068706</v>
                </pt>
                <pt idx="287">
                  <v>4.212299915754002</v>
                </pt>
                <pt idx="288">
                  <v>4.187604690117253</v>
                </pt>
                <pt idx="289">
                  <v>4.128819157720892</v>
                </pt>
                <pt idx="290">
                  <v>4.137360364087712</v>
                </pt>
                <pt idx="291">
                  <v>4.116920543433512</v>
                </pt>
                <pt idx="292">
                  <v>4.088307440719542</v>
                </pt>
                <pt idx="293">
                  <v>4.074979625101874</v>
                </pt>
                <pt idx="294">
                  <v>4.096681687832855</v>
                </pt>
                <pt idx="295">
                  <v>4.125412541254125</v>
                </pt>
                <pt idx="296">
                  <v>4.199916001679966</v>
                </pt>
                <pt idx="297">
                  <v>4.22654268808115</v>
                </pt>
                <pt idx="298">
                  <v>4.224757076468103</v>
                </pt>
                <pt idx="299">
                  <v>4.22654268808115</v>
                </pt>
                <pt idx="300">
                  <v>4.206983592763988</v>
                </pt>
                <pt idx="301">
                  <v>4.248088360237894</v>
                </pt>
                <pt idx="302">
                  <v>4.224757076468103</v>
                </pt>
                <pt idx="303">
                  <v>4.214075010535187</v>
                </pt>
                <pt idx="304">
                  <v>4.230118443316413</v>
                </pt>
                <pt idx="305">
                  <v>4.278990158322636</v>
                </pt>
                <pt idx="306">
                  <v>4.304778303917348</v>
                </pt>
                <pt idx="307">
                  <v>4.317789291882556</v>
                </pt>
                <pt idx="308">
                  <v>4.248088360237894</v>
                </pt>
                <pt idx="309">
                  <v>4.26075841499787</v>
                </pt>
                <pt idx="310">
                  <v>4.240882103477523</v>
                </pt>
                <pt idx="311">
                  <v>4.235493434985176</v>
                </pt>
                <pt idx="312">
                  <v>4.208754208754208</v>
                </pt>
                <pt idx="313">
                  <v>4.192872117400419</v>
                </pt>
                <pt idx="314">
                  <v>4.175365344467641</v>
                </pt>
                <pt idx="315">
                  <v>4.151100041511</v>
                </pt>
                <pt idx="316">
                  <v>4.144218814753419</v>
                </pt>
                <pt idx="317">
                  <v>4.128819157720892</v>
                </pt>
                <pt idx="318">
                  <v>4.103405826836274</v>
                </pt>
                <pt idx="319">
                  <v>4.110152075626798</v>
                </pt>
                <pt idx="320">
                  <v>4.113533525298232</v>
                </pt>
                <pt idx="321">
                  <v>4.128819157720892</v>
                </pt>
                <pt idx="322">
                  <v>4.118616144975288</v>
                </pt>
                <pt idx="323">
                  <v>4.118616144975288</v>
                </pt>
                <pt idx="324">
                  <v>4.11522633744856</v>
                </pt>
                <pt idx="325">
                  <v>4.096681687832855</v>
                </pt>
                <pt idx="326">
                  <v>4.046944556859571</v>
                </pt>
                <pt idx="327">
                  <v>4.027386226339106</v>
                </pt>
                <pt idx="328">
                  <v>4.033884630899556</v>
                </pt>
                <pt idx="329">
                  <v>4.008016032064128</v>
                </pt>
                <pt idx="330">
                  <v>4.046944556859571</v>
                </pt>
                <pt idx="331">
                  <v>4.00962309542903</v>
                </pt>
                <pt idx="332">
                  <v>4.051863857374392</v>
                </pt>
                <pt idx="333">
                  <v>4.056795131845842</v>
                </pt>
                <pt idx="334">
                  <v>4.053506282934737</v>
                </pt>
                <pt idx="335">
                  <v>4.086636697997548</v>
                </pt>
                <pt idx="336">
                  <v>4.065040650406504</v>
                </pt>
                <pt idx="337">
                  <v>4.096681687832855</v>
                </pt>
                <pt idx="338">
                  <v>4.101722723543888</v>
                </pt>
                <pt idx="339">
                  <v>4.11522633744856</v>
                </pt>
                <pt idx="340">
                  <v>4.140786749482402</v>
                </pt>
                <pt idx="341">
                  <v>4.116920543433512</v>
                </pt>
                <pt idx="342">
                  <v>4.08997955010225</v>
                </pt>
                <pt idx="343">
                  <v>4.084967320261438</v>
                </pt>
                <pt idx="344">
                  <v>4.07000407000407</v>
                </pt>
                <pt idx="345">
                  <v>4.050222762251924</v>
                </pt>
                <pt idx="346">
                  <v>4.033884630899556</v>
                </pt>
                <pt idx="347">
                  <v>4.017677782241864</v>
                </pt>
                <pt idx="348">
                  <v>4.00320256204964</v>
                </pt>
                <pt idx="349">
                  <v>4.017677782241864</v>
                </pt>
                <pt idx="350">
                  <v>3.998400639744102</v>
                </pt>
                <pt idx="351">
                  <v>3.995205753096284</v>
                </pt>
                <pt idx="352">
                  <v>3.992015968063872</v>
                </pt>
                <pt idx="353">
                  <v>3.946329913180742</v>
                </pt>
                <pt idx="354">
                  <v>3.968253968253969</v>
                </pt>
                <pt idx="355">
                  <v>3.972983710766786</v>
                </pt>
                <pt idx="356">
                  <v>3.951007506914264</v>
                </pt>
                <pt idx="357">
                  <v>3.904724716907458</v>
                </pt>
                <pt idx="358">
                  <v>3.894080996884735</v>
                </pt>
                <pt idx="359">
                  <v>3.88651379712398</v>
                </pt>
                <pt idx="360">
                  <v>3.862495171881035</v>
                </pt>
                <pt idx="361">
                  <v>3.861003861003861</v>
                </pt>
                <pt idx="362">
                  <v>3.843197540353574</v>
                </pt>
                <pt idx="363">
                  <v>3.815337657382678</v>
                </pt>
                <pt idx="364">
                  <v>3.847633705271258</v>
                </pt>
                <pt idx="365">
                  <v>3.895597974289053</v>
                </pt>
                <pt idx="366">
                  <v>3.863987635239567</v>
                </pt>
                <pt idx="367">
                  <v>3.846153846153846</v>
                </pt>
                <pt idx="368">
                  <v>3.827018752391886</v>
                </pt>
                <pt idx="369">
                  <v>3.775009437523594</v>
                </pt>
                <pt idx="370">
                  <v>3.767897513187642</v>
                </pt>
                <pt idx="371">
                  <v>3.773584905660377</v>
                </pt>
                <pt idx="372">
                  <v>3.753753753753754</v>
                </pt>
                <pt idx="373">
                  <v>3.72300819061802</v>
                </pt>
                <pt idx="374">
                  <v>3.750937734433609</v>
                </pt>
                <pt idx="375">
                  <v>3.766478342749529</v>
                </pt>
                <pt idx="376">
                  <v>3.738317757009345</v>
                </pt>
                <pt idx="377">
                  <v>3.720238095238095</v>
                </pt>
                <pt idx="378">
                  <v>3.728560775540641</v>
                </pt>
                <pt idx="379">
                  <v>3.694126339120798</v>
                </pt>
                <pt idx="380">
                  <v>3.69139904023625</v>
                </pt>
                <pt idx="381">
                  <v>3.690036900369003</v>
                </pt>
                <pt idx="382">
                  <v>3.668378576669112</v>
                </pt>
                <pt idx="383">
                  <v>3.664345914254306</v>
                </pt>
                <pt idx="384">
                  <v>3.672420124862284</v>
                </pt>
                <pt idx="385">
                  <v>3.690036900369003</v>
                </pt>
                <pt idx="386">
                  <v>3.684598378776713</v>
                </pt>
                <pt idx="387">
                  <v>3.683241252302026</v>
                </pt>
                <pt idx="388">
                  <v>3.676470588235294</v>
                </pt>
                <pt idx="389">
                  <v>3.668378576669112</v>
                </pt>
                <pt idx="390">
                  <v>3.648303538854432</v>
                </pt>
                <pt idx="391">
                  <v>3.656307129798903</v>
                </pt>
                <pt idx="392">
                  <v>3.707823507601039</v>
                </pt>
                <pt idx="393">
                  <v>3.707823507601038</v>
                </pt>
                <pt idx="394">
                  <v>4.016064257028113</v>
                </pt>
                <pt idx="395">
                  <v>4.060089321965084</v>
                </pt>
                <pt idx="396">
                  <v>4.065040650406504</v>
                </pt>
                <pt idx="397">
                  <v>4.053506282934737</v>
                </pt>
                <pt idx="398">
                  <v>4.027386226339106</v>
                </pt>
                <pt idx="399">
                  <v>4.027386226339106</v>
                </pt>
                <pt idx="400">
                  <v>4.037141703673799</v>
                </pt>
                <pt idx="401">
                  <v>4.042037186742118</v>
                </pt>
                <pt idx="402">
                  <v>4.030632809351068</v>
                </pt>
                <pt idx="403">
                  <v>4.037141703673799</v>
                </pt>
                <pt idx="404">
                  <v>4.006410256410256</v>
                </pt>
                <pt idx="405">
                  <v>3.995205753096284</v>
                </pt>
                <pt idx="406">
                  <v>3.979307600477517</v>
                </pt>
                <pt idx="407">
                  <v>3.968253968253968</v>
                </pt>
                <pt idx="408">
                  <v>4.001600640256102</v>
                </pt>
                <pt idx="409">
                  <v>3.996802557953637</v>
                </pt>
                <pt idx="410">
                  <v>3.980891719745223</v>
                </pt>
                <pt idx="411">
                  <v>3.955696202531645</v>
                </pt>
                <pt idx="412">
                  <v>3.949447077409163</v>
                </pt>
                <pt idx="413">
                  <v>3.918495297805643</v>
                </pt>
                <pt idx="414">
                  <v>3.885003885003885</v>
                </pt>
                <pt idx="415">
                  <v>3.843197540353574</v>
                </pt>
                <pt idx="416">
                  <v>3.84172109104879</v>
                </pt>
                <pt idx="417">
                  <v>3.818251240931653</v>
                </pt>
                <pt idx="418">
                  <v>3.7821482602118</v>
                </pt>
                <pt idx="419">
                  <v>3.742514970059881</v>
                </pt>
                <pt idx="420">
                  <v>3.856536829926726</v>
                </pt>
                <pt idx="421">
                  <v>3.852080123266564</v>
                </pt>
                <pt idx="422">
                  <v>3.816793893129771</v>
                </pt>
                <pt idx="423">
                  <v>3.812428516965306</v>
                </pt>
                <pt idx="424">
                  <v>3.825554705432287</v>
                </pt>
                <pt idx="425">
                  <v>3.837298541826554</v>
                </pt>
                <pt idx="426">
                  <v>3.871467286101433</v>
                </pt>
                <pt idx="427">
                  <v>3.875968992248062</v>
                </pt>
                <pt idx="428">
                  <v>3.855050115651503</v>
                </pt>
                <pt idx="429">
                  <v>3.856536829926726</v>
                </pt>
                <pt idx="430">
                  <v>3.828483920367534</v>
                </pt>
                <pt idx="431">
                  <v>3.872966692486445</v>
                </pt>
                <pt idx="432">
                  <v>3.735524841240195</v>
                </pt>
                <pt idx="433">
                  <v>3.725782414307004</v>
                </pt>
                <pt idx="434">
                  <v>3.773584905660377</v>
                </pt>
                <pt idx="435">
                  <v>3.77643504531722</v>
                </pt>
                <pt idx="436">
                  <v>3.755163349605708</v>
                </pt>
                <pt idx="437">
                  <v>3.805175038051751</v>
                </pt>
                <pt idx="438">
                  <v>3.759398496240602</v>
                </pt>
                <pt idx="439">
                  <v>3.739715781600598</v>
                </pt>
                <pt idx="440">
                  <v>3.73134328358209</v>
                </pt>
                <pt idx="441">
                  <v>3.735524841240195</v>
                </pt>
                <pt idx="442">
                  <v>3.729951510630362</v>
                </pt>
                <pt idx="443">
                  <v>3.714710252600296</v>
                </pt>
                <pt idx="444">
                  <v>3.756574004507889</v>
                </pt>
                <pt idx="445">
                  <v>3.777861730260673</v>
                </pt>
                <pt idx="446">
                  <v>3.815337657382678</v>
                </pt>
                <pt idx="447">
                  <v>3.926187671770711</v>
                </pt>
                <pt idx="448">
                  <v>3.966679888932963</v>
                </pt>
                <pt idx="449">
                  <v>4.011231448054552</v>
                </pt>
                <pt idx="450">
                  <v>3.95882818685669</v>
                </pt>
                <pt idx="451">
                  <v>3.963535473642489</v>
                </pt>
                <pt idx="452">
                  <v>3.987240829346093</v>
                </pt>
                <pt idx="453">
                  <v>4.004805766920304</v>
                </pt>
                <pt idx="454">
                  <v>3.987240829346093</v>
                </pt>
                <pt idx="455">
                  <v>3.96039603960396</v>
                </pt>
                <pt idx="456">
                  <v>4</v>
                </pt>
                <pt idx="457">
                  <v>4.014452027298273</v>
                </pt>
                <pt idx="458">
                  <v>4.139072847682119</v>
                </pt>
                <pt idx="459">
                  <v>4.163197335553705</v>
                </pt>
                <pt idx="460">
                  <v>4.123711340206185</v>
                </pt>
                <pt idx="461">
                  <v>4.096681687832856</v>
                </pt>
                <pt idx="462">
                  <v>4.145936981757878</v>
                </pt>
                <pt idx="463">
                  <v>4.173622704507513</v>
                </pt>
                <pt idx="464">
                  <v>4.140786749482403</v>
                </pt>
                <pt idx="465">
                  <v>4.120313143798929</v>
                </pt>
                <pt idx="466">
                  <v>4.120313143798929</v>
                </pt>
                <pt idx="467">
                  <v>4.118616144975288</v>
                </pt>
                <pt idx="468">
                  <v>4.110152075626798</v>
                </pt>
                <pt idx="469">
                  <v>4.106776180698152</v>
                </pt>
                <pt idx="470">
                  <v>4.098360655737705</v>
                </pt>
                <pt idx="471">
                  <v>4.081632653061225</v>
                </pt>
                <pt idx="472">
                  <v>4.055150040551501</v>
                </pt>
                <pt idx="473">
                  <v>4.024144869215291</v>
                </pt>
                <pt idx="474">
                  <v>3.988831272437176</v>
                </pt>
                <pt idx="475">
                  <v>3.940110323089047</v>
                </pt>
                <pt idx="476">
                  <v>3.924646781789639</v>
                </pt>
                <pt idx="477">
                  <v>3.918495297805643</v>
                </pt>
                <pt idx="478">
                  <v>3.897116134060795</v>
                </pt>
                <pt idx="479">
                  <v>3.904724716907458</v>
                </pt>
                <pt idx="480">
                  <v>3.878975950349107</v>
                </pt>
                <pt idx="481">
                  <v>3.895597974289053</v>
                </pt>
                <pt idx="482">
                  <v>3.862495171881036</v>
                </pt>
                <pt idx="483">
                  <v>3.819709702062643</v>
                </pt>
                <pt idx="484">
                  <v>3.812428516965307</v>
                </pt>
                <pt idx="485">
                  <v>3.799392097264437</v>
                </pt>
                <pt idx="486">
                  <v>3.815337657382678</v>
                </pt>
                <pt idx="487">
                  <v>3.933910306845004</v>
                </pt>
                <pt idx="488">
                  <v>3.878975950349107</v>
                </pt>
                <pt idx="489">
                  <v>3.847633705271258</v>
                </pt>
                <pt idx="490">
                  <v>3.825554705432287</v>
                </pt>
                <pt idx="491">
                  <v>3.810975609756098</v>
                </pt>
                <pt idx="492">
                  <v>3.793626707132018</v>
                </pt>
                <pt idx="493">
                  <v>3.772161448509996</v>
                </pt>
                <pt idx="494">
                  <v>3.750937734433609</v>
                </pt>
                <pt idx="495">
                  <v>3.756574004507888</v>
                </pt>
                <pt idx="496">
                  <v>3.748125937031484</v>
                </pt>
                <pt idx="497">
                  <v>3.694126339120798</v>
                </pt>
                <pt idx="498">
                  <v>3.681885125184094</v>
                </pt>
                <pt idx="499">
                  <v>3.713330857779428</v>
                </pt>
                <pt idx="500">
                  <v>3.706449221645664</v>
                </pt>
                <pt idx="501">
                  <v>3.696857670979667</v>
                </pt>
                <pt idx="502">
                  <v>3.681885125184094</v>
                </pt>
                <pt idx="503">
                  <v>3.668378576669112</v>
                </pt>
                <pt idx="504">
                  <v>3.650967506389193</v>
                </pt>
                <pt idx="505">
                  <v>3.663003663003663</v>
                </pt>
                <pt idx="506">
                  <v>3.702332469455757</v>
                </pt>
                <pt idx="507">
                  <v>3.713330857779428</v>
                </pt>
                <pt idx="508">
                  <v>3.661662394727206</v>
                </pt>
                <pt idx="509">
                  <v>3.653635367190355</v>
                </pt>
                <pt idx="510">
                  <v>3.766478342749529</v>
                </pt>
                <pt idx="511">
                  <v>3.720238095238095</v>
                </pt>
                <pt idx="512">
                  <v>3.775009437523594</v>
                </pt>
                <pt idx="513">
                  <v>3.748125937031484</v>
                </pt>
                <pt idx="514">
                  <v>3.80517503805175</v>
                </pt>
                <pt idx="515">
                  <v>3.636363636363636</v>
                </pt>
                <pt idx="516">
                  <v>3.654970760233918</v>
                </pt>
                <pt idx="517">
                  <v>3.632401017072285</v>
                </pt>
                <pt idx="518">
                  <v>3.608805485384338</v>
                </pt>
                <pt idx="519">
                  <v>3.593244699964067</v>
                </pt>
                <pt idx="520">
                  <v>3.57398141529664</v>
                </pt>
                <pt idx="521">
                  <v>3.579098067287044</v>
                </pt>
                <pt idx="522">
                  <v>3.620564808110065</v>
                </pt>
                <pt idx="523">
                  <v>3.736920777279522</v>
                </pt>
                <pt idx="524">
                  <v>3.749531308586427</v>
                </pt>
                <pt idx="525">
                  <v>3.721622627465575</v>
                </pt>
                <pt idx="526">
                  <v>3.683241252302026</v>
                </pt>
                <pt idx="527">
                  <v>3.656307129798902</v>
                </pt>
                <pt idx="528">
                  <v>3.63901018922853</v>
                </pt>
                <pt idx="529">
                  <v>3.646973012399708</v>
                </pt>
                <pt idx="530">
                  <v>3.685956505713233</v>
                </pt>
                <pt idx="531">
                  <v>3.65764447695684</v>
                </pt>
                <pt idx="532">
                  <v>3.644314868804664</v>
                </pt>
                <pt idx="533">
                  <v>3.654970760233919</v>
                </pt>
                <pt idx="534">
                  <v>3.660322108345535</v>
                </pt>
                <pt idx="535">
                  <v>3.727171077152442</v>
                </pt>
                <pt idx="536">
                  <v>3.70919881305638</v>
                </pt>
                <pt idx="537">
                  <v>3.68052999631947</v>
                </pt>
                <pt idx="538">
                  <v>3.656307129798903</v>
                </pt>
                <pt idx="539">
                  <v>3.652300949598247</v>
                </pt>
                <pt idx="540">
                  <v>3.661662394727207</v>
                </pt>
                <pt idx="541">
                  <v>3.684598378776713</v>
                </pt>
                <pt idx="542">
                  <v>3.675119441381845</v>
                </pt>
                <pt idx="543">
                  <v>3.692762186115214</v>
                </pt>
                <pt idx="544">
                  <v>3.739715781600598</v>
                </pt>
                <pt idx="545">
                  <v>3.9032006245121</v>
                </pt>
                <pt idx="546">
                  <v>3.821169277799006</v>
                </pt>
                <pt idx="547">
                  <v>3.83288616328095</v>
                </pt>
                <pt idx="548">
                  <v>3.84172109104879</v>
                </pt>
                <pt idx="549">
                  <v>3.885003885003885</v>
                </pt>
                <pt idx="550">
                  <v>3.888024883359254</v>
                </pt>
                <pt idx="551">
                  <v>3.802281368821293</v>
                </pt>
                <pt idx="552">
                  <v>3.779289493575207</v>
                </pt>
                <pt idx="553">
                  <v>3.743916136278548</v>
                </pt>
                <pt idx="554">
                  <v>3.739715781600598</v>
                </pt>
                <pt idx="555">
                  <v>2.973535533749628</v>
                </pt>
                <pt idx="556">
                  <v>2.920560747663552</v>
                </pt>
                <pt idx="557">
                  <v>2.888503755054882</v>
                </pt>
                <pt idx="558">
                  <v>2.875215641173088</v>
                </pt>
                <pt idx="559">
                  <v>2.873563218390805</v>
                </pt>
                <pt idx="560">
                  <v>2.860411899313501</v>
                </pt>
                <pt idx="561">
                  <v>2.853881278538813</v>
                </pt>
                <pt idx="562">
                  <v>2.861230329041488</v>
                </pt>
                <pt idx="563">
                  <v>2.841716396703609</v>
                </pt>
                <pt idx="564">
                  <v>2.855511136493432</v>
                </pt>
                <pt idx="565">
                  <v>2.894356005788713</v>
                </pt>
                <pt idx="566">
                  <v>2.898550724637681</v>
                </pt>
                <pt idx="567">
                  <v>2.908667830133798</v>
                </pt>
                <pt idx="568">
                  <v>2.922267679719463</v>
                </pt>
                <pt idx="569">
                  <v>2.904443799012489</v>
                </pt>
                <pt idx="570">
                  <v>2.877697841726619</v>
                </pt>
                <pt idx="571">
                  <v>2.853881278538813</v>
                </pt>
                <pt idx="572">
                  <v>2.844141069397042</v>
                </pt>
                <pt idx="573">
                  <v>2.820874471086036</v>
                </pt>
                <pt idx="574">
                  <v>2.818489289740699</v>
                </pt>
                <pt idx="575">
                  <v>2.817695125387433</v>
                </pt>
                <pt idx="576">
                  <v>2.781641168289291</v>
                </pt>
                <pt idx="577">
                  <v>2.787844995818233</v>
                </pt>
                <pt idx="578">
                  <v>2.805836139169473</v>
                </pt>
                <pt idx="579">
                  <v>2.86286859433152</v>
                </pt>
                <pt idx="580">
                  <v>2.85143997718848</v>
                </pt>
                <pt idx="581">
                  <v>2.901915264074289</v>
                </pt>
                <pt idx="582">
                  <v>2.884338044418806</v>
                </pt>
                <pt idx="583">
                  <v>2.856326763781777</v>
                </pt>
                <pt idx="584">
                  <v>2.838489923360772</v>
                </pt>
                <pt idx="585">
                  <v>2.790178571428571</v>
                </pt>
                <pt idx="586">
                  <v>2.763957987838585</v>
                </pt>
                <pt idx="587">
                  <v>2.731494127287626</v>
                </pt>
                <pt idx="588">
                  <v>2.717391304347826</v>
                </pt>
                <pt idx="589">
                  <v>2.699784017278618</v>
                </pt>
                <pt idx="590">
                  <v>2.687449610319806</v>
                </pt>
                <pt idx="591">
                  <v>2.674511901577962</v>
                </pt>
                <pt idx="592">
                  <v>2.678810608090008</v>
                </pt>
                <pt idx="593">
                  <v>2.671653753673524</v>
                </pt>
                <pt idx="594">
                  <v>2.698327037236913</v>
                </pt>
                <pt idx="595">
                  <v>2.706359945872801</v>
                </pt>
                <pt idx="596">
                  <v>2.728512960436563</v>
                </pt>
                <pt idx="597">
                  <v>2.534211860111506</v>
                </pt>
                <pt idx="598">
                  <v>2.470966147763776</v>
                </pt>
                <pt idx="599">
                  <v>2.660989888238425</v>
                </pt>
                <pt idx="600">
                  <v>2.56213169356905</v>
                </pt>
                <pt idx="601">
                  <v>2.507522567703109</v>
                </pt>
                <pt idx="602">
                  <v>2.472799208704253</v>
                </pt>
                <pt idx="603">
                  <v>2.466091245376079</v>
                </pt>
                <pt idx="604">
                  <v>2.446183953033268</v>
                </pt>
                <pt idx="605">
                  <v>2.421893921046258</v>
                </pt>
                <pt idx="606">
                  <v>2.403846153846154</v>
                </pt>
                <pt idx="607">
                  <v>2.378686964795433</v>
                </pt>
                <pt idx="608">
                  <v>2.365744026496333</v>
                </pt>
                <pt idx="609">
                  <v>2.391200382592062</v>
                </pt>
                <pt idx="610">
                  <v>2.370791844476055</v>
                </pt>
                <pt idx="611">
                  <v>2.374732842555212</v>
                </pt>
                <pt idx="612">
                  <v>2.369106846718787</v>
                </pt>
                <pt idx="613">
                  <v>2.374732842555213</v>
                </pt>
                <pt idx="614">
                  <v>2.380952380952381</v>
                </pt>
                <pt idx="615">
                  <v>2.375861249703017</v>
                </pt>
                <pt idx="616">
                  <v>2.362390739428302</v>
                </pt>
                <pt idx="617">
                  <v>2.340276152586005</v>
                </pt>
                <pt idx="618">
                  <v>2.353494939985879</v>
                </pt>
                <pt idx="619">
                  <v>2.335357309668379</v>
                </pt>
                <pt idx="620">
                  <v>2.320185614849188</v>
                </pt>
                <pt idx="621">
                  <v>2.305209774089442</v>
                </pt>
                <pt idx="622">
                  <v>2.312138728323699</v>
                </pt>
                <pt idx="623">
                  <v>2.305741295826608</v>
                </pt>
                <pt idx="624">
                  <v>2.314814814814815</v>
                </pt>
                <pt idx="625">
                  <v>2.31000231000231</v>
                </pt>
                <pt idx="626">
                  <v>2.31107002542177</v>
                </pt>
                <pt idx="627">
                  <v>2.295157218269451</v>
                </pt>
                <pt idx="628">
                  <v>2.294630564479119</v>
                </pt>
                <pt idx="629">
                  <v>2.319647413593134</v>
                </pt>
                <pt idx="630">
                  <v>2.371354043158644</v>
                </pt>
                <pt idx="631">
                  <v>2.346866932644919</v>
                </pt>
                <pt idx="632">
                  <v>2.365184484389783</v>
                </pt>
                <pt idx="633">
                  <v>2.350728725905031</v>
                </pt>
                <pt idx="634">
                  <v>2.357378595002357</v>
                </pt>
                <pt idx="635">
                  <v>2.331002331002331</v>
                </pt>
                <pt idx="636">
                  <v>2.310536044362292</v>
                </pt>
                <pt idx="637">
                  <v>2.2237046920169</v>
                </pt>
                <pt idx="638">
                  <v>2.204099625303064</v>
                </pt>
                <pt idx="639">
                  <v>2.228660574994429</v>
                </pt>
                <pt idx="640">
                  <v>2.266545784224842</v>
                </pt>
                <pt idx="641">
                  <v>2.351834430856067</v>
                </pt>
                <pt idx="642">
                  <v>2.359046945034206</v>
                </pt>
                <pt idx="643">
                  <v>2.302555836979047</v>
                </pt>
                <pt idx="644">
                  <v>2.318034306907742</v>
                </pt>
                <pt idx="645">
                  <v>2.298322224775914</v>
                </pt>
                <pt idx="646">
                  <v>2.30361667818475</v>
                </pt>
                <pt idx="647">
                  <v>2.331545814875263</v>
                </pt>
                <pt idx="648">
                  <v>2.349624060150376</v>
                </pt>
                <pt idx="649">
                  <v>2.320724065908563</v>
                </pt>
                <pt idx="650">
                  <v>2.31696014828545</v>
                </pt>
                <pt idx="651">
                  <v>2.297794117647058</v>
                </pt>
                <pt idx="652">
                  <v>2.288329519450801</v>
                </pt>
                <pt idx="653">
                  <v>2.273243919072517</v>
                </pt>
                <pt idx="654">
                  <v>2.285191956124315</v>
                </pt>
                <pt idx="655">
                  <v>2.273243919072517</v>
                </pt>
                <pt idx="656">
                  <v>2.261931689662972</v>
                </pt>
                <pt idx="657">
                  <v>2.265518803806072</v>
                </pt>
                <pt idx="658">
                  <v>2.275312855517634</v>
                </pt>
                <pt idx="659">
                  <v>2.261420171867933</v>
                </pt>
                <pt idx="660">
                  <v>2.267573696145125</v>
                </pt>
                <pt idx="661">
                  <v>2.260908885371919</v>
                </pt>
                <pt idx="662">
                  <v>2.262443438914027</v>
                </pt>
                <pt idx="663">
                  <v>2.254283137962128</v>
                </pt>
                <pt idx="664">
                  <v>2.285714285714286</v>
                </pt>
                <pt idx="665">
                  <v>2.29147571035747</v>
                </pt>
                <pt idx="666">
                  <v>2.267059623668102</v>
                </pt>
                <pt idx="667">
                  <v>2.272727272727273</v>
                </pt>
                <pt idx="668">
                  <v>2.247191011235955</v>
                </pt>
                <pt idx="669">
                  <v>2.232641214556821</v>
                </pt>
                <pt idx="670">
                  <v>2.225189141076992</v>
                </pt>
                <pt idx="671">
                  <v>2.228163992869875</v>
                </pt>
                <pt idx="672">
                  <v>2.243661655822302</v>
                </pt>
                <pt idx="673">
                  <v>2.255808707421611</v>
                </pt>
                <pt idx="674">
                  <v>2.226179875333927</v>
                </pt>
                <pt idx="675">
                  <v>2.209456473707468</v>
                </pt>
                <pt idx="676">
                  <v>2.202643171806168</v>
                </pt>
                <pt idx="677">
                  <v>2.215820961666297</v>
                </pt>
                <pt idx="678">
                  <v>2.21483942414175</v>
                </pt>
                <pt idx="679">
                  <v>2.215820961666297</v>
                </pt>
                <pt idx="680">
                  <v>2.190100744634254</v>
                </pt>
                <pt idx="681">
                  <v>2.183406113537118</v>
                </pt>
                <pt idx="682">
                  <v>2.230649118893598</v>
                </pt>
                <pt idx="683">
                  <v>2.250731487733513</v>
                </pt>
                <pt idx="684">
                  <v>2.297794117647058</v>
                </pt>
                <pt idx="685">
                  <v>2.253267237494367</v>
                </pt>
                <pt idx="686">
                  <v>2.229654403567447</v>
                </pt>
                <pt idx="687">
                  <v>2.247696111485727</v>
                </pt>
                <pt idx="688">
                  <v>2.237637055269635</v>
                </pt>
                <pt idx="689">
                  <v>2.229654403567447</v>
                </pt>
                <pt idx="690">
                  <v>2.224199288256228</v>
                </pt>
                <pt idx="691">
                  <v>2.228163992869875</v>
                </pt>
                <pt idx="692">
                  <v>2.269632319564231</v>
                </pt>
                <pt idx="693">
                  <v>2.266032177656923</v>
                </pt>
                <pt idx="694">
                  <v>2.295684113865932</v>
                </pt>
                <pt idx="695">
                  <v>2.352941176470588</v>
                </pt>
                <pt idx="696">
                  <v>2.340823970037453</v>
                </pt>
                <pt idx="697">
                  <v>2.37925291458482</v>
                </pt>
                <pt idx="698">
                  <v>2.432498175626368</v>
                </pt>
                <pt idx="699">
                  <v>2.425418384671356</v>
                </pt>
                <pt idx="700">
                  <v>2.30467849734962</v>
                </pt>
                <pt idx="701">
                  <v>2.298850574712644</v>
                </pt>
                <pt idx="702">
                  <v>2.326663564448581</v>
                </pt>
                <pt idx="703">
                  <v>2.310536044362292</v>
                </pt>
                <pt idx="704">
                  <v>2.332089552238806</v>
                </pt>
                <pt idx="705">
                  <v>2.322340919647004</v>
                </pt>
                <pt idx="706">
                  <v>2.272727272727273</v>
                </pt>
                <pt idx="707">
                  <v>2.301495972382048</v>
                </pt>
                <pt idx="708">
                  <v>2.332633543270352</v>
                </pt>
                <pt idx="709">
                  <v>2.363507445048452</v>
                </pt>
                <pt idx="710">
                  <v>2.386634844868735</v>
                </pt>
                <pt idx="711">
                  <v>2.455192732629512</v>
                </pt>
                <pt idx="712">
                  <v>2.444987775061125</v>
                </pt>
                <pt idx="713">
                  <v>2.460629921259843</v>
                </pt>
                <pt idx="714">
                  <v>2.457606291472106</v>
                </pt>
                <pt idx="715">
                  <v>2.46669955599408</v>
                </pt>
                <pt idx="716">
                  <v>2.439024390243902</v>
                </pt>
                <pt idx="717">
                  <v>2.402113860196973</v>
                </pt>
                <pt idx="718">
                  <v>2.401536983669549</v>
                </pt>
                <pt idx="719">
                  <v>2.390057361376673</v>
                </pt>
                <pt idx="720">
                  <v>2.389486260454003</v>
                </pt>
                <pt idx="721">
                  <v>2.38208670795617</v>
                </pt>
                <pt idx="722">
                  <v>2.359603586597451</v>
                </pt>
                <pt idx="723">
                  <v>2.339181286549707</v>
                </pt>
                <pt idx="724">
                  <v>2.318034306907742</v>
                </pt>
                <pt idx="725">
                  <v>2.307869836141242</v>
                </pt>
                <pt idx="726">
                  <v>2.298322224775914</v>
                </pt>
                <pt idx="727">
                  <v>2.289901534234028</v>
                </pt>
                <pt idx="728">
                  <v>2.283626398721169</v>
                </pt>
                <pt idx="729">
                  <v>2.275830678197543</v>
                </pt>
                <pt idx="730">
                  <v>2.287282708142726</v>
                </pt>
                <pt idx="731">
                  <v>2.289901534234028</v>
                </pt>
                <pt idx="732">
                  <v>2.274277916761429</v>
                </pt>
                <pt idx="733">
                  <v>2.289377289377289</v>
                </pt>
                <pt idx="734">
                  <v>2.303086135421465</v>
                </pt>
                <pt idx="735">
                  <v>2.308402585410896</v>
                </pt>
                <pt idx="736">
                  <v>2.365744026496333</v>
                </pt>
                <pt idx="737">
                  <v>2.362948960302457</v>
                </pt>
                <pt idx="738">
                  <v>2.362390739428302</v>
                </pt>
                <pt idx="739">
                  <v>2.360717658168083</v>
                </pt>
                <pt idx="740">
                  <v>2.363507445048452</v>
                </pt>
                <pt idx="741">
                  <v>2.359046945034206</v>
                </pt>
                <pt idx="742">
                  <v>2.309468822170901</v>
                </pt>
                <pt idx="743">
                  <v>2.297794117647058</v>
                </pt>
                <pt idx="744">
                  <v>2.273760800363802</v>
                </pt>
                <pt idx="745">
                  <v>2.279462046956918</v>
                </pt>
                <pt idx="746">
                  <v>2.338087444470423</v>
                </pt>
                <pt idx="747">
                  <v>2.318034306907742</v>
                </pt>
                <pt idx="748">
                  <v>2.34246896228625</v>
                </pt>
                <pt idx="749">
                  <v>2.361275088547816</v>
                </pt>
                <pt idx="750">
                  <v>2.410800385728062</v>
                </pt>
                <pt idx="751">
                  <v>2.508780732563974</v>
                </pt>
                <pt idx="752">
                  <v>2.455795677799607</v>
                </pt>
                <pt idx="753">
                  <v>2.447381302006853</v>
                </pt>
                <pt idx="754">
                  <v>2.42306760358614</v>
                </pt>
                <pt idx="755">
                  <v>2.422480620155039</v>
                </pt>
                <pt idx="756">
                  <v>2.402113860196973</v>
                </pt>
                <pt idx="757">
                  <v>2.45398773006135</v>
                </pt>
                <pt idx="758">
                  <v>2.4906600249066</v>
                </pt>
                <pt idx="759">
                  <v>2.444987775061125</v>
                </pt>
                <pt idx="760">
                  <v>2.493765586034913</v>
                </pt>
                <pt idx="761">
                  <v>2.631578947368421</v>
                </pt>
                <pt idx="762">
                  <v>2.667377967457988</v>
                </pt>
                <pt idx="763">
                  <v>2.60078023407022</v>
                </pt>
                <pt idx="764">
                  <v>2.61369576581286</v>
                </pt>
                <pt idx="765">
                  <v>2.579979360165119</v>
                </pt>
                <pt idx="766">
                  <v>2.584647195657793</v>
                </pt>
                <pt idx="767">
                  <v>2.719608376393799</v>
                </pt>
                <pt idx="768">
                  <v>2.681684097613301</v>
                </pt>
                <pt idx="769">
                  <v>2.660989888238425</v>
                </pt>
                <pt idx="770">
                  <v>2.687449610319807</v>
                </pt>
                <pt idx="771">
                  <v>2.686727565824826</v>
                </pt>
                <pt idx="772">
                  <v>2.74423710208562</v>
                </pt>
                <pt idx="773">
                  <v>2.818489289740699</v>
                </pt>
                <pt idx="774">
                  <v>2.830455703368242</v>
                </pt>
                <pt idx="775">
                  <v>2.827254735651682</v>
                </pt>
                <pt idx="776">
                  <v>2.906131938390003</v>
                </pt>
                <pt idx="777">
                  <v>2.896871378910776</v>
                </pt>
                <pt idx="778">
                  <v>2.900232018561485</v>
                </pt>
                <pt idx="779">
                  <v>2.84738041002278</v>
                </pt>
                <pt idx="780">
                  <v>2.810567734682406</v>
                </pt>
                <pt idx="781">
                  <v>2.841716396703609</v>
                </pt>
                <pt idx="782">
                  <v>2.869440459110474</v>
                </pt>
                <pt idx="783">
                  <v>2.884338044418806</v>
                </pt>
                <pt idx="784">
                  <v>2.920560747663552</v>
                </pt>
                <pt idx="785">
                  <v>2.99043062200957</v>
                </pt>
                <pt idx="786">
                  <v>2.985965959988056</v>
                </pt>
                <pt idx="787">
                  <v>2.980625931445604</v>
                </pt>
                <pt idx="788">
                  <v>2.910360884749709</v>
                </pt>
                <pt idx="789">
                  <v>2.894356005788712</v>
                </pt>
                <pt idx="790">
                  <v>2.901915264074289</v>
                </pt>
                <pt idx="791">
                  <v>2.943773918163085</v>
                </pt>
                <pt idx="792">
                  <v>2.931691586045148</v>
                </pt>
                <pt idx="793">
                  <v>2.947244326554671</v>
                </pt>
                <pt idx="794">
                  <v>2.965599051008303</v>
                </pt>
                <pt idx="795">
                  <v>2.94290759270159</v>
                </pt>
                <pt idx="796">
                  <v>2.883506343713956</v>
                </pt>
                <pt idx="797">
                  <v>2.816901408450704</v>
                </pt>
                <pt idx="798">
                  <v>2.801905295601009</v>
                </pt>
                <pt idx="799">
                  <v>2.764722145424385</v>
                </pt>
                <pt idx="800">
                  <v>2.734481815695926</v>
                </pt>
                <pt idx="801">
                  <v>2.761668047500691</v>
                </pt>
                <pt idx="802">
                  <v>2.779321845469706</v>
                </pt>
                <pt idx="803">
                  <v>2.769315978953199</v>
                </pt>
                <pt idx="804">
                  <v>2.966478789676653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axId val="284490368"/>
        <axId val="285147520"/>
      </barChart>
      <lineChart>
        <grouping val="standard"/>
        <varyColors val="0"/>
        <ser>
          <idx val="1"/>
          <order val="1"/>
          <tx>
            <strRef>
              <f>'EVI 2025 Workings'!$AB$1</f>
              <strCache>
                <ptCount val="1"/>
                <pt idx="0">
                  <v>Smallcap Earning Yield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'EVI 2025 Workings'!$B$2:$B$806</f>
              <numCache>
                <formatCode>m/d/yyyy</formatCode>
                <ptCount val="805"/>
                <pt idx="0">
                  <v>44564</v>
                </pt>
                <pt idx="1">
                  <v>44565</v>
                </pt>
                <pt idx="2">
                  <v>44566</v>
                </pt>
                <pt idx="3">
                  <v>44567</v>
                </pt>
                <pt idx="4">
                  <v>44568</v>
                </pt>
                <pt idx="5">
                  <v>44571</v>
                </pt>
                <pt idx="6">
                  <v>44572</v>
                </pt>
                <pt idx="7">
                  <v>44573</v>
                </pt>
                <pt idx="8">
                  <v>44574</v>
                </pt>
                <pt idx="9">
                  <v>44575</v>
                </pt>
                <pt idx="10">
                  <v>44578</v>
                </pt>
                <pt idx="11">
                  <v>44579</v>
                </pt>
                <pt idx="12">
                  <v>44580</v>
                </pt>
                <pt idx="13">
                  <v>44581</v>
                </pt>
                <pt idx="14">
                  <v>44582</v>
                </pt>
                <pt idx="15">
                  <v>44585</v>
                </pt>
                <pt idx="16">
                  <v>44586</v>
                </pt>
                <pt idx="17">
                  <v>44588</v>
                </pt>
                <pt idx="18">
                  <v>44589</v>
                </pt>
                <pt idx="19">
                  <v>44592</v>
                </pt>
                <pt idx="20">
                  <v>44593</v>
                </pt>
                <pt idx="21">
                  <v>44594</v>
                </pt>
                <pt idx="22">
                  <v>44595</v>
                </pt>
                <pt idx="23">
                  <v>44596</v>
                </pt>
                <pt idx="24">
                  <v>44599</v>
                </pt>
                <pt idx="25">
                  <v>44600</v>
                </pt>
                <pt idx="26">
                  <v>44601</v>
                </pt>
                <pt idx="27">
                  <v>44602</v>
                </pt>
                <pt idx="28">
                  <v>44603</v>
                </pt>
                <pt idx="29">
                  <v>44606</v>
                </pt>
                <pt idx="30">
                  <v>44607</v>
                </pt>
                <pt idx="31">
                  <v>44608</v>
                </pt>
                <pt idx="32">
                  <v>44609</v>
                </pt>
                <pt idx="33">
                  <v>44610</v>
                </pt>
                <pt idx="34">
                  <v>44613</v>
                </pt>
                <pt idx="35">
                  <v>44614</v>
                </pt>
                <pt idx="36">
                  <v>44615</v>
                </pt>
                <pt idx="37">
                  <v>44616</v>
                </pt>
                <pt idx="38">
                  <v>44617</v>
                </pt>
                <pt idx="39">
                  <v>44620</v>
                </pt>
                <pt idx="40">
                  <v>44622</v>
                </pt>
                <pt idx="41">
                  <v>44623</v>
                </pt>
                <pt idx="42">
                  <v>44624</v>
                </pt>
                <pt idx="43">
                  <v>44627</v>
                </pt>
                <pt idx="44">
                  <v>44628</v>
                </pt>
                <pt idx="45">
                  <v>44629</v>
                </pt>
                <pt idx="46">
                  <v>44630</v>
                </pt>
                <pt idx="47">
                  <v>44631</v>
                </pt>
                <pt idx="48">
                  <v>44634</v>
                </pt>
                <pt idx="49">
                  <v>44635</v>
                </pt>
                <pt idx="50">
                  <v>44636</v>
                </pt>
                <pt idx="51">
                  <v>44637</v>
                </pt>
                <pt idx="52">
                  <v>44641</v>
                </pt>
                <pt idx="53">
                  <v>44642</v>
                </pt>
                <pt idx="54">
                  <v>44643</v>
                </pt>
                <pt idx="55">
                  <v>44644</v>
                </pt>
                <pt idx="56">
                  <v>44645</v>
                </pt>
                <pt idx="57">
                  <v>44648</v>
                </pt>
                <pt idx="58">
                  <v>44649</v>
                </pt>
                <pt idx="59">
                  <v>44650</v>
                </pt>
                <pt idx="60">
                  <v>44651</v>
                </pt>
                <pt idx="61">
                  <v>44652</v>
                </pt>
                <pt idx="62">
                  <v>44655</v>
                </pt>
                <pt idx="63">
                  <v>44656</v>
                </pt>
                <pt idx="64">
                  <v>44657</v>
                </pt>
                <pt idx="65">
                  <v>44658</v>
                </pt>
                <pt idx="66">
                  <v>44659</v>
                </pt>
                <pt idx="67">
                  <v>44662</v>
                </pt>
                <pt idx="68">
                  <v>44663</v>
                </pt>
                <pt idx="69">
                  <v>44664</v>
                </pt>
                <pt idx="70">
                  <v>44669</v>
                </pt>
                <pt idx="71">
                  <v>44670</v>
                </pt>
                <pt idx="72">
                  <v>44671</v>
                </pt>
                <pt idx="73">
                  <v>44672</v>
                </pt>
                <pt idx="74">
                  <v>44673</v>
                </pt>
                <pt idx="75">
                  <v>44676</v>
                </pt>
                <pt idx="76">
                  <v>44677</v>
                </pt>
                <pt idx="77">
                  <v>44678</v>
                </pt>
                <pt idx="78">
                  <v>44679</v>
                </pt>
                <pt idx="79">
                  <v>44680</v>
                </pt>
                <pt idx="80">
                  <v>44683</v>
                </pt>
                <pt idx="81">
                  <v>44685</v>
                </pt>
                <pt idx="82">
                  <v>44686</v>
                </pt>
                <pt idx="83">
                  <v>44687</v>
                </pt>
                <pt idx="84">
                  <v>44690</v>
                </pt>
                <pt idx="85">
                  <v>44691</v>
                </pt>
                <pt idx="86">
                  <v>44692</v>
                </pt>
                <pt idx="87">
                  <v>44693</v>
                </pt>
                <pt idx="88">
                  <v>44694</v>
                </pt>
                <pt idx="89">
                  <v>44697</v>
                </pt>
                <pt idx="90">
                  <v>44698</v>
                </pt>
                <pt idx="91">
                  <v>44699</v>
                </pt>
                <pt idx="92">
                  <v>44700</v>
                </pt>
                <pt idx="93">
                  <v>44701</v>
                </pt>
                <pt idx="94">
                  <v>44704</v>
                </pt>
                <pt idx="95">
                  <v>44705</v>
                </pt>
                <pt idx="96">
                  <v>44706</v>
                </pt>
                <pt idx="97">
                  <v>44707</v>
                </pt>
                <pt idx="98">
                  <v>44708</v>
                </pt>
                <pt idx="99">
                  <v>44711</v>
                </pt>
                <pt idx="100">
                  <v>44712</v>
                </pt>
                <pt idx="101">
                  <v>44713</v>
                </pt>
                <pt idx="102">
                  <v>44714</v>
                </pt>
                <pt idx="103">
                  <v>44715</v>
                </pt>
                <pt idx="104">
                  <v>44718</v>
                </pt>
                <pt idx="105">
                  <v>44719</v>
                </pt>
                <pt idx="106">
                  <v>44720</v>
                </pt>
                <pt idx="107">
                  <v>44721</v>
                </pt>
                <pt idx="108">
                  <v>44722</v>
                </pt>
                <pt idx="109">
                  <v>44725</v>
                </pt>
                <pt idx="110">
                  <v>44726</v>
                </pt>
                <pt idx="111">
                  <v>44727</v>
                </pt>
                <pt idx="112">
                  <v>44728</v>
                </pt>
                <pt idx="113">
                  <v>44729</v>
                </pt>
                <pt idx="114">
                  <v>44732</v>
                </pt>
                <pt idx="115">
                  <v>44733</v>
                </pt>
                <pt idx="116">
                  <v>44734</v>
                </pt>
                <pt idx="117">
                  <v>44735</v>
                </pt>
                <pt idx="118">
                  <v>44736</v>
                </pt>
                <pt idx="119">
                  <v>44739</v>
                </pt>
                <pt idx="120">
                  <v>44740</v>
                </pt>
                <pt idx="121">
                  <v>44741</v>
                </pt>
                <pt idx="122">
                  <v>44742</v>
                </pt>
                <pt idx="123">
                  <v>44743</v>
                </pt>
                <pt idx="124">
                  <v>44746</v>
                </pt>
                <pt idx="125">
                  <v>44747</v>
                </pt>
                <pt idx="126">
                  <v>44748</v>
                </pt>
                <pt idx="127">
                  <v>44749</v>
                </pt>
                <pt idx="128">
                  <v>44750</v>
                </pt>
                <pt idx="129">
                  <v>44753</v>
                </pt>
                <pt idx="130">
                  <v>44754</v>
                </pt>
                <pt idx="131">
                  <v>44755</v>
                </pt>
                <pt idx="132">
                  <v>44756</v>
                </pt>
                <pt idx="133">
                  <v>44757</v>
                </pt>
                <pt idx="134">
                  <v>44760</v>
                </pt>
                <pt idx="135">
                  <v>44761</v>
                </pt>
                <pt idx="136">
                  <v>44762</v>
                </pt>
                <pt idx="137">
                  <v>44763</v>
                </pt>
                <pt idx="138">
                  <v>44764</v>
                </pt>
                <pt idx="139">
                  <v>44767</v>
                </pt>
                <pt idx="140">
                  <v>44768</v>
                </pt>
                <pt idx="141">
                  <v>44769</v>
                </pt>
                <pt idx="142">
                  <v>44770</v>
                </pt>
                <pt idx="143">
                  <v>44771</v>
                </pt>
                <pt idx="144">
                  <v>44774</v>
                </pt>
                <pt idx="145">
                  <v>44775</v>
                </pt>
                <pt idx="146">
                  <v>44776</v>
                </pt>
                <pt idx="147">
                  <v>44777</v>
                </pt>
                <pt idx="148">
                  <v>44778</v>
                </pt>
                <pt idx="149">
                  <v>44781</v>
                </pt>
                <pt idx="150">
                  <v>44783</v>
                </pt>
                <pt idx="151">
                  <v>44784</v>
                </pt>
                <pt idx="152">
                  <v>44785</v>
                </pt>
                <pt idx="153">
                  <v>44789</v>
                </pt>
                <pt idx="154">
                  <v>44790</v>
                </pt>
                <pt idx="155">
                  <v>44791</v>
                </pt>
                <pt idx="156">
                  <v>44792</v>
                </pt>
                <pt idx="157">
                  <v>44795</v>
                </pt>
                <pt idx="158">
                  <v>44796</v>
                </pt>
                <pt idx="159">
                  <v>44797</v>
                </pt>
                <pt idx="160">
                  <v>44798</v>
                </pt>
                <pt idx="161">
                  <v>44799</v>
                </pt>
                <pt idx="162">
                  <v>44802</v>
                </pt>
                <pt idx="163">
                  <v>44803</v>
                </pt>
                <pt idx="164">
                  <v>44805</v>
                </pt>
                <pt idx="165">
                  <v>44806</v>
                </pt>
                <pt idx="166">
                  <v>44809</v>
                </pt>
                <pt idx="167">
                  <v>44810</v>
                </pt>
                <pt idx="168">
                  <v>44811</v>
                </pt>
                <pt idx="169">
                  <v>44812</v>
                </pt>
                <pt idx="170">
                  <v>44813</v>
                </pt>
                <pt idx="171">
                  <v>44816</v>
                </pt>
                <pt idx="172">
                  <v>44817</v>
                </pt>
                <pt idx="173">
                  <v>44818</v>
                </pt>
                <pt idx="174">
                  <v>44819</v>
                </pt>
                <pt idx="175">
                  <v>44820</v>
                </pt>
                <pt idx="176">
                  <v>44823</v>
                </pt>
                <pt idx="177">
                  <v>44824</v>
                </pt>
                <pt idx="178">
                  <v>44825</v>
                </pt>
                <pt idx="179">
                  <v>44826</v>
                </pt>
                <pt idx="180">
                  <v>44827</v>
                </pt>
                <pt idx="181">
                  <v>44830</v>
                </pt>
                <pt idx="182">
                  <v>44831</v>
                </pt>
                <pt idx="183">
                  <v>44832</v>
                </pt>
                <pt idx="184">
                  <v>44833</v>
                </pt>
                <pt idx="185">
                  <v>44834</v>
                </pt>
                <pt idx="186">
                  <v>44837</v>
                </pt>
                <pt idx="187">
                  <v>44838</v>
                </pt>
                <pt idx="188">
                  <v>44840</v>
                </pt>
                <pt idx="189">
                  <v>44841</v>
                </pt>
                <pt idx="190">
                  <v>44844</v>
                </pt>
                <pt idx="191">
                  <v>44845</v>
                </pt>
                <pt idx="192">
                  <v>44846</v>
                </pt>
                <pt idx="193">
                  <v>44847</v>
                </pt>
                <pt idx="194">
                  <v>44848</v>
                </pt>
                <pt idx="195">
                  <v>44851</v>
                </pt>
                <pt idx="196">
                  <v>44852</v>
                </pt>
                <pt idx="197">
                  <v>44853</v>
                </pt>
                <pt idx="198">
                  <v>44854</v>
                </pt>
                <pt idx="199">
                  <v>44855</v>
                </pt>
                <pt idx="200">
                  <v>44858</v>
                </pt>
                <pt idx="201">
                  <v>44859</v>
                </pt>
                <pt idx="202">
                  <v>44861</v>
                </pt>
                <pt idx="203">
                  <v>44862</v>
                </pt>
                <pt idx="204">
                  <v>44865</v>
                </pt>
                <pt idx="205">
                  <v>44866</v>
                </pt>
                <pt idx="206">
                  <v>44867</v>
                </pt>
                <pt idx="207">
                  <v>44868</v>
                </pt>
                <pt idx="208">
                  <v>44869</v>
                </pt>
                <pt idx="209">
                  <v>44872</v>
                </pt>
                <pt idx="210">
                  <v>44874</v>
                </pt>
                <pt idx="211">
                  <v>44875</v>
                </pt>
                <pt idx="212">
                  <v>44876</v>
                </pt>
                <pt idx="213">
                  <v>44879</v>
                </pt>
                <pt idx="214">
                  <v>44880</v>
                </pt>
                <pt idx="215">
                  <v>44881</v>
                </pt>
                <pt idx="216">
                  <v>44882</v>
                </pt>
                <pt idx="217">
                  <v>44883</v>
                </pt>
                <pt idx="218">
                  <v>44886</v>
                </pt>
                <pt idx="219">
                  <v>44887</v>
                </pt>
                <pt idx="220">
                  <v>44888</v>
                </pt>
                <pt idx="221">
                  <v>44889</v>
                </pt>
                <pt idx="222">
                  <v>44890</v>
                </pt>
                <pt idx="223">
                  <v>44893</v>
                </pt>
                <pt idx="224">
                  <v>44894</v>
                </pt>
                <pt idx="225">
                  <v>44895</v>
                </pt>
                <pt idx="226">
                  <v>44896</v>
                </pt>
                <pt idx="227">
                  <v>44897</v>
                </pt>
                <pt idx="228">
                  <v>44900</v>
                </pt>
                <pt idx="229">
                  <v>44901</v>
                </pt>
                <pt idx="230">
                  <v>44902</v>
                </pt>
                <pt idx="231">
                  <v>44903</v>
                </pt>
                <pt idx="232">
                  <v>44904</v>
                </pt>
                <pt idx="233">
                  <v>44907</v>
                </pt>
                <pt idx="234">
                  <v>44908</v>
                </pt>
                <pt idx="235">
                  <v>44909</v>
                </pt>
                <pt idx="236">
                  <v>44910</v>
                </pt>
                <pt idx="237">
                  <v>44911</v>
                </pt>
                <pt idx="238">
                  <v>44914</v>
                </pt>
                <pt idx="239">
                  <v>44915</v>
                </pt>
                <pt idx="240">
                  <v>44916</v>
                </pt>
                <pt idx="241">
                  <v>44917</v>
                </pt>
                <pt idx="242">
                  <v>44918</v>
                </pt>
                <pt idx="243">
                  <v>44921</v>
                </pt>
                <pt idx="244">
                  <v>44922</v>
                </pt>
                <pt idx="245">
                  <v>44923</v>
                </pt>
                <pt idx="246">
                  <v>44924</v>
                </pt>
                <pt idx="247">
                  <v>44925</v>
                </pt>
                <pt idx="248">
                  <v>44928</v>
                </pt>
                <pt idx="249">
                  <v>44929</v>
                </pt>
                <pt idx="250">
                  <v>44930</v>
                </pt>
                <pt idx="251">
                  <v>44931</v>
                </pt>
                <pt idx="252">
                  <v>44932</v>
                </pt>
                <pt idx="253">
                  <v>44935</v>
                </pt>
                <pt idx="254">
                  <v>44936</v>
                </pt>
                <pt idx="255">
                  <v>44937</v>
                </pt>
                <pt idx="256">
                  <v>44938</v>
                </pt>
                <pt idx="257">
                  <v>44939</v>
                </pt>
                <pt idx="258">
                  <v>44942</v>
                </pt>
                <pt idx="259">
                  <v>44943</v>
                </pt>
                <pt idx="260">
                  <v>44944</v>
                </pt>
                <pt idx="261">
                  <v>44945</v>
                </pt>
                <pt idx="262">
                  <v>44946</v>
                </pt>
                <pt idx="263">
                  <v>44949</v>
                </pt>
                <pt idx="264">
                  <v>44950</v>
                </pt>
                <pt idx="265">
                  <v>44951</v>
                </pt>
                <pt idx="266">
                  <v>44953</v>
                </pt>
                <pt idx="267">
                  <v>44956</v>
                </pt>
                <pt idx="268">
                  <v>44957</v>
                </pt>
                <pt idx="269">
                  <v>44958</v>
                </pt>
                <pt idx="270">
                  <v>44959</v>
                </pt>
                <pt idx="271">
                  <v>44960</v>
                </pt>
                <pt idx="272">
                  <v>44963</v>
                </pt>
                <pt idx="273">
                  <v>44964</v>
                </pt>
                <pt idx="274">
                  <v>44965</v>
                </pt>
                <pt idx="275">
                  <v>44966</v>
                </pt>
                <pt idx="276">
                  <v>44967</v>
                </pt>
                <pt idx="277">
                  <v>44970</v>
                </pt>
                <pt idx="278">
                  <v>44971</v>
                </pt>
                <pt idx="279">
                  <v>44972</v>
                </pt>
                <pt idx="280">
                  <v>44973</v>
                </pt>
                <pt idx="281">
                  <v>44974</v>
                </pt>
                <pt idx="282">
                  <v>44977</v>
                </pt>
                <pt idx="283">
                  <v>44978</v>
                </pt>
                <pt idx="284">
                  <v>44979</v>
                </pt>
                <pt idx="285">
                  <v>44980</v>
                </pt>
                <pt idx="286">
                  <v>44981</v>
                </pt>
                <pt idx="287">
                  <v>44984</v>
                </pt>
                <pt idx="288">
                  <v>44985</v>
                </pt>
                <pt idx="289">
                  <v>44986</v>
                </pt>
                <pt idx="290">
                  <v>44987</v>
                </pt>
                <pt idx="291">
                  <v>44988</v>
                </pt>
                <pt idx="292">
                  <v>44991</v>
                </pt>
                <pt idx="293">
                  <v>44993</v>
                </pt>
                <pt idx="294">
                  <v>44994</v>
                </pt>
                <pt idx="295">
                  <v>44995</v>
                </pt>
                <pt idx="296">
                  <v>44998</v>
                </pt>
                <pt idx="297">
                  <v>44999</v>
                </pt>
                <pt idx="298">
                  <v>45000</v>
                </pt>
                <pt idx="299">
                  <v>45001</v>
                </pt>
                <pt idx="300">
                  <v>45002</v>
                </pt>
                <pt idx="301">
                  <v>45005</v>
                </pt>
                <pt idx="302">
                  <v>45006</v>
                </pt>
                <pt idx="303">
                  <v>45007</v>
                </pt>
                <pt idx="304">
                  <v>45008</v>
                </pt>
                <pt idx="305">
                  <v>45009</v>
                </pt>
                <pt idx="306">
                  <v>45012</v>
                </pt>
                <pt idx="307">
                  <v>45013</v>
                </pt>
                <pt idx="308">
                  <v>45014</v>
                </pt>
                <pt idx="309">
                  <v>45016</v>
                </pt>
                <pt idx="310">
                  <v>45019</v>
                </pt>
                <pt idx="311">
                  <v>45021</v>
                </pt>
                <pt idx="312">
                  <v>45022</v>
                </pt>
                <pt idx="313">
                  <v>45026</v>
                </pt>
                <pt idx="314">
                  <v>45027</v>
                </pt>
                <pt idx="315">
                  <v>45028</v>
                </pt>
                <pt idx="316">
                  <v>45029</v>
                </pt>
                <pt idx="317">
                  <v>45033</v>
                </pt>
                <pt idx="318">
                  <v>45034</v>
                </pt>
                <pt idx="319">
                  <v>45035</v>
                </pt>
                <pt idx="320">
                  <v>45036</v>
                </pt>
                <pt idx="321">
                  <v>45037</v>
                </pt>
                <pt idx="322">
                  <v>45040</v>
                </pt>
                <pt idx="323">
                  <v>45041</v>
                </pt>
                <pt idx="324">
                  <v>45042</v>
                </pt>
                <pt idx="325">
                  <v>45043</v>
                </pt>
                <pt idx="326">
                  <v>45044</v>
                </pt>
                <pt idx="327">
                  <v>45048</v>
                </pt>
                <pt idx="328">
                  <v>45049</v>
                </pt>
                <pt idx="329">
                  <v>45050</v>
                </pt>
                <pt idx="330">
                  <v>45051</v>
                </pt>
                <pt idx="331">
                  <v>45054</v>
                </pt>
                <pt idx="332">
                  <v>45055</v>
                </pt>
                <pt idx="333">
                  <v>45056</v>
                </pt>
                <pt idx="334">
                  <v>45057</v>
                </pt>
                <pt idx="335">
                  <v>45058</v>
                </pt>
                <pt idx="336">
                  <v>45061</v>
                </pt>
                <pt idx="337">
                  <v>45062</v>
                </pt>
                <pt idx="338">
                  <v>45063</v>
                </pt>
                <pt idx="339">
                  <v>45064</v>
                </pt>
                <pt idx="340">
                  <v>45065</v>
                </pt>
                <pt idx="341">
                  <v>45068</v>
                </pt>
                <pt idx="342">
                  <v>45069</v>
                </pt>
                <pt idx="343">
                  <v>45070</v>
                </pt>
                <pt idx="344">
                  <v>45071</v>
                </pt>
                <pt idx="345">
                  <v>45072</v>
                </pt>
                <pt idx="346">
                  <v>45075</v>
                </pt>
                <pt idx="347">
                  <v>45076</v>
                </pt>
                <pt idx="348">
                  <v>45077</v>
                </pt>
                <pt idx="349">
                  <v>45078</v>
                </pt>
                <pt idx="350">
                  <v>45079</v>
                </pt>
                <pt idx="351">
                  <v>45082</v>
                </pt>
                <pt idx="352">
                  <v>45083</v>
                </pt>
                <pt idx="353">
                  <v>45084</v>
                </pt>
                <pt idx="354">
                  <v>45085</v>
                </pt>
                <pt idx="355">
                  <v>45086</v>
                </pt>
                <pt idx="356">
                  <v>45089</v>
                </pt>
                <pt idx="357">
                  <v>45090</v>
                </pt>
                <pt idx="358">
                  <v>45091</v>
                </pt>
                <pt idx="359">
                  <v>45092</v>
                </pt>
                <pt idx="360">
                  <v>45093</v>
                </pt>
                <pt idx="361">
                  <v>45096</v>
                </pt>
                <pt idx="362">
                  <v>45097</v>
                </pt>
                <pt idx="363">
                  <v>45098</v>
                </pt>
                <pt idx="364">
                  <v>45099</v>
                </pt>
                <pt idx="365">
                  <v>45100</v>
                </pt>
                <pt idx="366">
                  <v>45103</v>
                </pt>
                <pt idx="367">
                  <v>45104</v>
                </pt>
                <pt idx="368">
                  <v>45105</v>
                </pt>
                <pt idx="369">
                  <v>45107</v>
                </pt>
                <pt idx="370">
                  <v>45110</v>
                </pt>
                <pt idx="371">
                  <v>45111</v>
                </pt>
                <pt idx="372">
                  <v>45112</v>
                </pt>
                <pt idx="373">
                  <v>45113</v>
                </pt>
                <pt idx="374">
                  <v>45114</v>
                </pt>
                <pt idx="375">
                  <v>45117</v>
                </pt>
                <pt idx="376">
                  <v>45118</v>
                </pt>
                <pt idx="377">
                  <v>45119</v>
                </pt>
                <pt idx="378">
                  <v>45120</v>
                </pt>
                <pt idx="379">
                  <v>45121</v>
                </pt>
                <pt idx="380">
                  <v>45124</v>
                </pt>
                <pt idx="381">
                  <v>45125</v>
                </pt>
                <pt idx="382">
                  <v>45126</v>
                </pt>
                <pt idx="383">
                  <v>45127</v>
                </pt>
                <pt idx="384">
                  <v>45128</v>
                </pt>
                <pt idx="385">
                  <v>45131</v>
                </pt>
                <pt idx="386">
                  <v>45132</v>
                </pt>
                <pt idx="387">
                  <v>45133</v>
                </pt>
                <pt idx="388">
                  <v>45134</v>
                </pt>
                <pt idx="389">
                  <v>45135</v>
                </pt>
                <pt idx="390">
                  <v>45138</v>
                </pt>
                <pt idx="391">
                  <v>45139</v>
                </pt>
                <pt idx="392">
                  <v>45140</v>
                </pt>
                <pt idx="393">
                  <v>45141</v>
                </pt>
                <pt idx="394">
                  <v>45142</v>
                </pt>
                <pt idx="395">
                  <v>45145</v>
                </pt>
                <pt idx="396">
                  <v>45146</v>
                </pt>
                <pt idx="397">
                  <v>45147</v>
                </pt>
                <pt idx="398">
                  <v>45148</v>
                </pt>
                <pt idx="399">
                  <v>45149</v>
                </pt>
                <pt idx="400">
                  <v>45152</v>
                </pt>
                <pt idx="401">
                  <v>45154</v>
                </pt>
                <pt idx="402">
                  <v>45155</v>
                </pt>
                <pt idx="403">
                  <v>45156</v>
                </pt>
                <pt idx="404">
                  <v>45159</v>
                </pt>
                <pt idx="405">
                  <v>45160</v>
                </pt>
                <pt idx="406">
                  <v>45161</v>
                </pt>
                <pt idx="407">
                  <v>45162</v>
                </pt>
                <pt idx="408">
                  <v>45163</v>
                </pt>
                <pt idx="409">
                  <v>45166</v>
                </pt>
                <pt idx="410">
                  <v>45167</v>
                </pt>
                <pt idx="411">
                  <v>45168</v>
                </pt>
                <pt idx="412">
                  <v>45169</v>
                </pt>
                <pt idx="413">
                  <v>45170</v>
                </pt>
                <pt idx="414">
                  <v>45173</v>
                </pt>
                <pt idx="415">
                  <v>45174</v>
                </pt>
                <pt idx="416">
                  <v>45175</v>
                </pt>
                <pt idx="417">
                  <v>45176</v>
                </pt>
                <pt idx="418">
                  <v>45177</v>
                </pt>
                <pt idx="419">
                  <v>45180</v>
                </pt>
                <pt idx="420">
                  <v>45181</v>
                </pt>
                <pt idx="421">
                  <v>45182</v>
                </pt>
                <pt idx="422">
                  <v>45183</v>
                </pt>
                <pt idx="423">
                  <v>45184</v>
                </pt>
                <pt idx="424">
                  <v>45187</v>
                </pt>
                <pt idx="425">
                  <v>45189</v>
                </pt>
                <pt idx="426">
                  <v>45190</v>
                </pt>
                <pt idx="427">
                  <v>45191</v>
                </pt>
                <pt idx="428">
                  <v>45194</v>
                </pt>
                <pt idx="429">
                  <v>45195</v>
                </pt>
                <pt idx="430">
                  <v>45196</v>
                </pt>
                <pt idx="431">
                  <v>45197</v>
                </pt>
                <pt idx="432">
                  <v>45198</v>
                </pt>
                <pt idx="433">
                  <v>45202</v>
                </pt>
                <pt idx="434">
                  <v>45203</v>
                </pt>
                <pt idx="435">
                  <v>45204</v>
                </pt>
                <pt idx="436">
                  <v>45205</v>
                </pt>
                <pt idx="437">
                  <v>45208</v>
                </pt>
                <pt idx="438">
                  <v>45209</v>
                </pt>
                <pt idx="439">
                  <v>45210</v>
                </pt>
                <pt idx="440">
                  <v>45211</v>
                </pt>
                <pt idx="441">
                  <v>45212</v>
                </pt>
                <pt idx="442">
                  <v>45215</v>
                </pt>
                <pt idx="443">
                  <v>45216</v>
                </pt>
                <pt idx="444">
                  <v>45217</v>
                </pt>
                <pt idx="445">
                  <v>45218</v>
                </pt>
                <pt idx="446">
                  <v>45219</v>
                </pt>
                <pt idx="447">
                  <v>45222</v>
                </pt>
                <pt idx="448">
                  <v>45224</v>
                </pt>
                <pt idx="449">
                  <v>45225</v>
                </pt>
                <pt idx="450">
                  <v>45226</v>
                </pt>
                <pt idx="451">
                  <v>45229</v>
                </pt>
                <pt idx="452">
                  <v>45230</v>
                </pt>
                <pt idx="453">
                  <v>45231</v>
                </pt>
                <pt idx="454">
                  <v>45232</v>
                </pt>
                <pt idx="455">
                  <v>45233</v>
                </pt>
                <pt idx="456">
                  <v>45236</v>
                </pt>
                <pt idx="457">
                  <v>45237</v>
                </pt>
                <pt idx="458">
                  <v>45238</v>
                </pt>
                <pt idx="459">
                  <v>45239</v>
                </pt>
                <pt idx="460">
                  <v>45240</v>
                </pt>
                <pt idx="461">
                  <v>45242</v>
                </pt>
                <pt idx="462">
                  <v>45243</v>
                </pt>
                <pt idx="463">
                  <v>45245</v>
                </pt>
                <pt idx="464">
                  <v>45246</v>
                </pt>
                <pt idx="465">
                  <v>45247</v>
                </pt>
                <pt idx="466">
                  <v>45250</v>
                </pt>
                <pt idx="467">
                  <v>45251</v>
                </pt>
                <pt idx="468">
                  <v>45252</v>
                </pt>
                <pt idx="469">
                  <v>45253</v>
                </pt>
                <pt idx="470">
                  <v>45254</v>
                </pt>
                <pt idx="471">
                  <v>45258</v>
                </pt>
                <pt idx="472">
                  <v>45259</v>
                </pt>
                <pt idx="473">
                  <v>45260</v>
                </pt>
                <pt idx="474">
                  <v>45261</v>
                </pt>
                <pt idx="475">
                  <v>45264</v>
                </pt>
                <pt idx="476">
                  <v>45265</v>
                </pt>
                <pt idx="477">
                  <v>45266</v>
                </pt>
                <pt idx="478">
                  <v>45267</v>
                </pt>
                <pt idx="479">
                  <v>45268</v>
                </pt>
                <pt idx="480">
                  <v>45271</v>
                </pt>
                <pt idx="481">
                  <v>45272</v>
                </pt>
                <pt idx="482">
                  <v>45273</v>
                </pt>
                <pt idx="483">
                  <v>45274</v>
                </pt>
                <pt idx="484">
                  <v>45275</v>
                </pt>
                <pt idx="485">
                  <v>45278</v>
                </pt>
                <pt idx="486">
                  <v>45279</v>
                </pt>
                <pt idx="487">
                  <v>45280</v>
                </pt>
                <pt idx="488">
                  <v>45281</v>
                </pt>
                <pt idx="489">
                  <v>45282</v>
                </pt>
                <pt idx="490">
                  <v>45286</v>
                </pt>
                <pt idx="491">
                  <v>45287</v>
                </pt>
                <pt idx="492">
                  <v>45288</v>
                </pt>
                <pt idx="493">
                  <v>45289</v>
                </pt>
                <pt idx="494">
                  <v>45292</v>
                </pt>
                <pt idx="495">
                  <v>45293</v>
                </pt>
                <pt idx="496">
                  <v>45294</v>
                </pt>
                <pt idx="497">
                  <v>45295</v>
                </pt>
                <pt idx="498">
                  <v>45296</v>
                </pt>
                <pt idx="499">
                  <v>45299</v>
                </pt>
                <pt idx="500">
                  <v>45300</v>
                </pt>
                <pt idx="501">
                  <v>45301</v>
                </pt>
                <pt idx="502">
                  <v>45302</v>
                </pt>
                <pt idx="503">
                  <v>45303</v>
                </pt>
                <pt idx="504">
                  <v>45306</v>
                </pt>
                <pt idx="505">
                  <v>45307</v>
                </pt>
                <pt idx="506">
                  <v>45308</v>
                </pt>
                <pt idx="507">
                  <v>45309</v>
                </pt>
                <pt idx="508">
                  <v>45310</v>
                </pt>
                <pt idx="509">
                  <v>45311</v>
                </pt>
                <pt idx="510">
                  <v>45314</v>
                </pt>
                <pt idx="511">
                  <v>45315</v>
                </pt>
                <pt idx="512">
                  <v>45316</v>
                </pt>
                <pt idx="513">
                  <v>45320</v>
                </pt>
                <pt idx="514">
                  <v>45321</v>
                </pt>
                <pt idx="515">
                  <v>45322</v>
                </pt>
                <pt idx="516">
                  <v>45323</v>
                </pt>
                <pt idx="517">
                  <v>45324</v>
                </pt>
                <pt idx="518">
                  <v>45327</v>
                </pt>
                <pt idx="519">
                  <v>45328</v>
                </pt>
                <pt idx="520">
                  <v>45329</v>
                </pt>
                <pt idx="521">
                  <v>45330</v>
                </pt>
                <pt idx="522">
                  <v>45331</v>
                </pt>
                <pt idx="523">
                  <v>45334</v>
                </pt>
                <pt idx="524">
                  <v>45335</v>
                </pt>
                <pt idx="525">
                  <v>45336</v>
                </pt>
                <pt idx="526">
                  <v>45337</v>
                </pt>
                <pt idx="527">
                  <v>45338</v>
                </pt>
                <pt idx="528">
                  <v>45341</v>
                </pt>
                <pt idx="529">
                  <v>45342</v>
                </pt>
                <pt idx="530">
                  <v>45343</v>
                </pt>
                <pt idx="531">
                  <v>45344</v>
                </pt>
                <pt idx="532">
                  <v>45345</v>
                </pt>
                <pt idx="533">
                  <v>45348</v>
                </pt>
                <pt idx="534">
                  <v>45349</v>
                </pt>
                <pt idx="535">
                  <v>45350</v>
                </pt>
                <pt idx="536">
                  <v>45351</v>
                </pt>
                <pt idx="537">
                  <v>45352</v>
                </pt>
                <pt idx="538">
                  <v>45353</v>
                </pt>
                <pt idx="539">
                  <v>45355</v>
                </pt>
                <pt idx="540">
                  <v>45356</v>
                </pt>
                <pt idx="541">
                  <v>45357</v>
                </pt>
                <pt idx="542">
                  <v>45358</v>
                </pt>
                <pt idx="543">
                  <v>45362</v>
                </pt>
                <pt idx="544">
                  <v>45363</v>
                </pt>
                <pt idx="545">
                  <v>45364</v>
                </pt>
                <pt idx="546">
                  <v>45365</v>
                </pt>
                <pt idx="547">
                  <v>45366</v>
                </pt>
                <pt idx="548">
                  <v>45369</v>
                </pt>
                <pt idx="549">
                  <v>45370</v>
                </pt>
                <pt idx="550">
                  <v>45371</v>
                </pt>
                <pt idx="551">
                  <v>45372</v>
                </pt>
                <pt idx="552">
                  <v>45373</v>
                </pt>
                <pt idx="553">
                  <v>45377</v>
                </pt>
                <pt idx="554">
                  <v>45378</v>
                </pt>
                <pt idx="555">
                  <v>45379</v>
                </pt>
                <pt idx="556">
                  <v>45383</v>
                </pt>
                <pt idx="557">
                  <v>45384</v>
                </pt>
                <pt idx="558">
                  <v>45385</v>
                </pt>
                <pt idx="559">
                  <v>45386</v>
                </pt>
                <pt idx="560">
                  <v>45387</v>
                </pt>
                <pt idx="561">
                  <v>45390</v>
                </pt>
                <pt idx="562">
                  <v>45391</v>
                </pt>
                <pt idx="563">
                  <v>45392</v>
                </pt>
                <pt idx="564">
                  <v>45394</v>
                </pt>
                <pt idx="565">
                  <v>45397</v>
                </pt>
                <pt idx="566">
                  <v>45398</v>
                </pt>
                <pt idx="567">
                  <v>45400</v>
                </pt>
                <pt idx="568">
                  <v>45401</v>
                </pt>
                <pt idx="569">
                  <v>45404</v>
                </pt>
                <pt idx="570">
                  <v>45405</v>
                </pt>
                <pt idx="571">
                  <v>45406</v>
                </pt>
                <pt idx="572">
                  <v>45407</v>
                </pt>
                <pt idx="573">
                  <v>45408</v>
                </pt>
                <pt idx="574">
                  <v>45411</v>
                </pt>
                <pt idx="575">
                  <v>45412</v>
                </pt>
                <pt idx="576">
                  <v>45414</v>
                </pt>
                <pt idx="577">
                  <v>45415</v>
                </pt>
                <pt idx="578">
                  <v>45418</v>
                </pt>
                <pt idx="579">
                  <v>45419</v>
                </pt>
                <pt idx="580">
                  <v>45420</v>
                </pt>
                <pt idx="581">
                  <v>45421</v>
                </pt>
                <pt idx="582">
                  <v>45422</v>
                </pt>
                <pt idx="583">
                  <v>45425</v>
                </pt>
                <pt idx="584">
                  <v>45426</v>
                </pt>
                <pt idx="585">
                  <v>45427</v>
                </pt>
                <pt idx="586">
                  <v>45428</v>
                </pt>
                <pt idx="587">
                  <v>45429</v>
                </pt>
                <pt idx="588">
                  <v>45430</v>
                </pt>
                <pt idx="589">
                  <v>45433</v>
                </pt>
                <pt idx="590">
                  <v>45434</v>
                </pt>
                <pt idx="591">
                  <v>45435</v>
                </pt>
                <pt idx="592">
                  <v>45436</v>
                </pt>
                <pt idx="593">
                  <v>45439</v>
                </pt>
                <pt idx="594">
                  <v>45440</v>
                </pt>
                <pt idx="595">
                  <v>45441</v>
                </pt>
                <pt idx="596">
                  <v>45442</v>
                </pt>
                <pt idx="597">
                  <v>45443</v>
                </pt>
                <pt idx="598">
                  <v>45446</v>
                </pt>
                <pt idx="599">
                  <v>45447</v>
                </pt>
                <pt idx="600">
                  <v>45448</v>
                </pt>
                <pt idx="601">
                  <v>45449</v>
                </pt>
                <pt idx="602">
                  <v>45450</v>
                </pt>
                <pt idx="603">
                  <v>45453</v>
                </pt>
                <pt idx="604">
                  <v>45454</v>
                </pt>
                <pt idx="605">
                  <v>45455</v>
                </pt>
                <pt idx="606">
                  <v>45456</v>
                </pt>
                <pt idx="607">
                  <v>45457</v>
                </pt>
                <pt idx="608">
                  <v>45461</v>
                </pt>
                <pt idx="609">
                  <v>45462</v>
                </pt>
                <pt idx="610">
                  <v>45463</v>
                </pt>
                <pt idx="611">
                  <v>45464</v>
                </pt>
                <pt idx="612">
                  <v>45467</v>
                </pt>
                <pt idx="613">
                  <v>45468</v>
                </pt>
                <pt idx="614">
                  <v>45469</v>
                </pt>
                <pt idx="615">
                  <v>45470</v>
                </pt>
                <pt idx="616">
                  <v>45471</v>
                </pt>
                <pt idx="617">
                  <v>45474</v>
                </pt>
                <pt idx="618">
                  <v>45475</v>
                </pt>
                <pt idx="619">
                  <v>45476</v>
                </pt>
                <pt idx="620">
                  <v>45477</v>
                </pt>
                <pt idx="621">
                  <v>45478</v>
                </pt>
                <pt idx="622">
                  <v>45481</v>
                </pt>
                <pt idx="623">
                  <v>45482</v>
                </pt>
                <pt idx="624">
                  <v>45483</v>
                </pt>
                <pt idx="625">
                  <v>45484</v>
                </pt>
                <pt idx="626">
                  <v>45485</v>
                </pt>
                <pt idx="627">
                  <v>45488</v>
                </pt>
                <pt idx="628">
                  <v>45489</v>
                </pt>
                <pt idx="629">
                  <v>45491</v>
                </pt>
                <pt idx="630">
                  <v>45492</v>
                </pt>
                <pt idx="631">
                  <v>45495</v>
                </pt>
                <pt idx="632">
                  <v>45496</v>
                </pt>
                <pt idx="633">
                  <v>45497</v>
                </pt>
                <pt idx="634">
                  <v>45498</v>
                </pt>
                <pt idx="635">
                  <v>45499</v>
                </pt>
                <pt idx="636">
                  <v>45502</v>
                </pt>
                <pt idx="637">
                  <v>45503</v>
                </pt>
                <pt idx="638">
                  <v>45504</v>
                </pt>
                <pt idx="639">
                  <v>45505</v>
                </pt>
                <pt idx="640">
                  <v>45506</v>
                </pt>
                <pt idx="641">
                  <v>45509</v>
                </pt>
                <pt idx="642">
                  <v>45510</v>
                </pt>
                <pt idx="643">
                  <v>45511</v>
                </pt>
                <pt idx="644">
                  <v>45512</v>
                </pt>
                <pt idx="645">
                  <v>45513</v>
                </pt>
                <pt idx="646">
                  <v>45516</v>
                </pt>
                <pt idx="647">
                  <v>45517</v>
                </pt>
                <pt idx="648">
                  <v>45518</v>
                </pt>
                <pt idx="649">
                  <v>45520</v>
                </pt>
                <pt idx="650">
                  <v>45523</v>
                </pt>
                <pt idx="651">
                  <v>45524</v>
                </pt>
                <pt idx="652">
                  <v>45525</v>
                </pt>
                <pt idx="653">
                  <v>45526</v>
                </pt>
                <pt idx="654">
                  <v>45527</v>
                </pt>
                <pt idx="655">
                  <v>45530</v>
                </pt>
                <pt idx="656">
                  <v>45531</v>
                </pt>
                <pt idx="657">
                  <v>45532</v>
                </pt>
                <pt idx="658">
                  <v>45533</v>
                </pt>
                <pt idx="659">
                  <v>45534</v>
                </pt>
                <pt idx="660">
                  <v>45537</v>
                </pt>
                <pt idx="661">
                  <v>45538</v>
                </pt>
                <pt idx="662">
                  <v>45539</v>
                </pt>
                <pt idx="663">
                  <v>45540</v>
                </pt>
                <pt idx="664">
                  <v>45541</v>
                </pt>
                <pt idx="665">
                  <v>45544</v>
                </pt>
                <pt idx="666">
                  <v>45545</v>
                </pt>
                <pt idx="667">
                  <v>45546</v>
                </pt>
                <pt idx="668">
                  <v>45547</v>
                </pt>
                <pt idx="669">
                  <v>45548</v>
                </pt>
                <pt idx="670">
                  <v>45551</v>
                </pt>
                <pt idx="671">
                  <v>45552</v>
                </pt>
                <pt idx="672">
                  <v>45553</v>
                </pt>
                <pt idx="673">
                  <v>45554</v>
                </pt>
                <pt idx="674">
                  <v>45555</v>
                </pt>
                <pt idx="675">
                  <v>45558</v>
                </pt>
                <pt idx="676">
                  <v>45559</v>
                </pt>
                <pt idx="677">
                  <v>45560</v>
                </pt>
                <pt idx="678">
                  <v>45561</v>
                </pt>
                <pt idx="679">
                  <v>45562</v>
                </pt>
                <pt idx="680">
                  <v>45565</v>
                </pt>
                <pt idx="681">
                  <v>45566</v>
                </pt>
                <pt idx="682">
                  <v>45568</v>
                </pt>
                <pt idx="683">
                  <v>45569</v>
                </pt>
                <pt idx="684">
                  <v>45572</v>
                </pt>
                <pt idx="685">
                  <v>45573</v>
                </pt>
                <pt idx="686">
                  <v>45574</v>
                </pt>
                <pt idx="687">
                  <v>45575</v>
                </pt>
                <pt idx="688">
                  <v>45576</v>
                </pt>
                <pt idx="689">
                  <v>45579</v>
                </pt>
                <pt idx="690">
                  <v>45580</v>
                </pt>
                <pt idx="691">
                  <v>45581</v>
                </pt>
                <pt idx="692">
                  <v>45582</v>
                </pt>
                <pt idx="693">
                  <v>45583</v>
                </pt>
                <pt idx="694">
                  <v>45586</v>
                </pt>
                <pt idx="695">
                  <v>45587</v>
                </pt>
                <pt idx="696">
                  <v>45588</v>
                </pt>
                <pt idx="697">
                  <v>45589</v>
                </pt>
                <pt idx="698">
                  <v>45590</v>
                </pt>
                <pt idx="699">
                  <v>45593</v>
                </pt>
                <pt idx="700">
                  <v>45594</v>
                </pt>
                <pt idx="701">
                  <v>45595</v>
                </pt>
                <pt idx="702">
                  <v>45596</v>
                </pt>
                <pt idx="703">
                  <v>45597</v>
                </pt>
                <pt idx="704">
                  <v>45600</v>
                </pt>
                <pt idx="705">
                  <v>45601</v>
                </pt>
                <pt idx="706">
                  <v>45602</v>
                </pt>
                <pt idx="707">
                  <v>45603</v>
                </pt>
                <pt idx="708">
                  <v>45604</v>
                </pt>
                <pt idx="709">
                  <v>45607</v>
                </pt>
                <pt idx="710">
                  <v>45608</v>
                </pt>
                <pt idx="711">
                  <v>45609</v>
                </pt>
                <pt idx="712">
                  <v>45610</v>
                </pt>
                <pt idx="713">
                  <v>45614</v>
                </pt>
                <pt idx="714">
                  <v>45615</v>
                </pt>
                <pt idx="715">
                  <v>45617</v>
                </pt>
                <pt idx="716">
                  <v>45618</v>
                </pt>
                <pt idx="717">
                  <v>45621</v>
                </pt>
                <pt idx="718">
                  <v>45622</v>
                </pt>
                <pt idx="719">
                  <v>45623</v>
                </pt>
                <pt idx="720">
                  <v>45624</v>
                </pt>
                <pt idx="721">
                  <v>45625</v>
                </pt>
                <pt idx="722">
                  <v>45628</v>
                </pt>
                <pt idx="723">
                  <v>45629</v>
                </pt>
                <pt idx="724">
                  <v>45630</v>
                </pt>
                <pt idx="725">
                  <v>45631</v>
                </pt>
                <pt idx="726">
                  <v>45632</v>
                </pt>
                <pt idx="727">
                  <v>45635</v>
                </pt>
                <pt idx="728">
                  <v>45636</v>
                </pt>
                <pt idx="729">
                  <v>45637</v>
                </pt>
                <pt idx="730">
                  <v>45638</v>
                </pt>
                <pt idx="731">
                  <v>45639</v>
                </pt>
                <pt idx="732">
                  <v>45642</v>
                </pt>
                <pt idx="733">
                  <v>45643</v>
                </pt>
                <pt idx="734">
                  <v>45644</v>
                </pt>
                <pt idx="735">
                  <v>45645</v>
                </pt>
                <pt idx="736">
                  <v>45646</v>
                </pt>
                <pt idx="737">
                  <v>45649</v>
                </pt>
                <pt idx="738">
                  <v>45650</v>
                </pt>
                <pt idx="739">
                  <v>45652</v>
                </pt>
                <pt idx="740">
                  <v>45653</v>
                </pt>
                <pt idx="741">
                  <v>45656</v>
                </pt>
                <pt idx="742">
                  <v>45657</v>
                </pt>
                <pt idx="743">
                  <v>45658</v>
                </pt>
                <pt idx="744">
                  <v>45659</v>
                </pt>
                <pt idx="745">
                  <v>45660</v>
                </pt>
                <pt idx="746">
                  <v>45663</v>
                </pt>
                <pt idx="747">
                  <v>45664</v>
                </pt>
                <pt idx="748">
                  <v>45665</v>
                </pt>
                <pt idx="749">
                  <v>45666</v>
                </pt>
                <pt idx="750">
                  <v>45667</v>
                </pt>
                <pt idx="751">
                  <v>45670</v>
                </pt>
                <pt idx="752">
                  <v>45671</v>
                </pt>
                <pt idx="753">
                  <v>45672</v>
                </pt>
                <pt idx="754">
                  <v>45673</v>
                </pt>
                <pt idx="755">
                  <v>45674</v>
                </pt>
                <pt idx="756">
                  <v>45677</v>
                </pt>
                <pt idx="757">
                  <v>45678</v>
                </pt>
                <pt idx="758">
                  <v>45679</v>
                </pt>
                <pt idx="759">
                  <v>45680</v>
                </pt>
                <pt idx="760">
                  <v>45681</v>
                </pt>
                <pt idx="761">
                  <v>45684</v>
                </pt>
                <pt idx="762">
                  <v>45685</v>
                </pt>
                <pt idx="763">
                  <v>45686</v>
                </pt>
                <pt idx="764">
                  <v>45687</v>
                </pt>
                <pt idx="765">
                  <v>45688</v>
                </pt>
                <pt idx="766">
                  <v>45689</v>
                </pt>
                <pt idx="767">
                  <v>45691</v>
                </pt>
                <pt idx="768">
                  <v>45692</v>
                </pt>
                <pt idx="769">
                  <v>45693</v>
                </pt>
                <pt idx="770">
                  <v>45694</v>
                </pt>
                <pt idx="771">
                  <v>45695</v>
                </pt>
                <pt idx="772">
                  <v>45698</v>
                </pt>
                <pt idx="773">
                  <v>45699</v>
                </pt>
                <pt idx="774">
                  <v>45700</v>
                </pt>
                <pt idx="775">
                  <v>45701</v>
                </pt>
                <pt idx="776">
                  <v>45702</v>
                </pt>
                <pt idx="777">
                  <v>45705</v>
                </pt>
                <pt idx="778">
                  <v>45706</v>
                </pt>
                <pt idx="779">
                  <v>45707</v>
                </pt>
                <pt idx="780">
                  <v>45708</v>
                </pt>
                <pt idx="781">
                  <v>45709</v>
                </pt>
                <pt idx="782">
                  <v>45712</v>
                </pt>
                <pt idx="783">
                  <v>45713</v>
                </pt>
                <pt idx="784">
                  <v>45715</v>
                </pt>
                <pt idx="785">
                  <v>45716</v>
                </pt>
                <pt idx="786">
                  <v>45719</v>
                </pt>
                <pt idx="787">
                  <v>45720</v>
                </pt>
                <pt idx="788">
                  <v>45721</v>
                </pt>
                <pt idx="789">
                  <v>45722</v>
                </pt>
                <pt idx="790">
                  <v>45723</v>
                </pt>
                <pt idx="791">
                  <v>45726</v>
                </pt>
                <pt idx="792">
                  <v>45727</v>
                </pt>
                <pt idx="793">
                  <v>45728</v>
                </pt>
                <pt idx="794">
                  <v>45729</v>
                </pt>
                <pt idx="795">
                  <v>45733</v>
                </pt>
                <pt idx="796">
                  <v>45734</v>
                </pt>
                <pt idx="797">
                  <v>45735</v>
                </pt>
                <pt idx="798">
                  <v>45736</v>
                </pt>
                <pt idx="799">
                  <v>45737</v>
                </pt>
                <pt idx="800">
                  <v>45740</v>
                </pt>
                <pt idx="801">
                  <v>45741</v>
                </pt>
                <pt idx="802">
                  <v>45742</v>
                </pt>
                <pt idx="803">
                  <v>45743</v>
                </pt>
                <pt idx="804">
                  <v>45744</v>
                </pt>
              </numCache>
            </numRef>
          </cat>
          <val>
            <numRef>
              <f>'EVI 2025 Workings'!$AB$2:$AB$806</f>
              <numCache>
                <formatCode>0.00</formatCode>
                <ptCount val="805"/>
                <pt idx="0">
                  <v>3.180661577608142</v>
                </pt>
                <pt idx="1">
                  <v>3.163555836760518</v>
                </pt>
                <pt idx="2">
                  <v>3.162555344718533</v>
                </pt>
                <pt idx="3">
                  <v>3.158559696778269</v>
                </pt>
                <pt idx="4">
                  <v>3.145643284051589</v>
                </pt>
                <pt idx="5">
                  <v>3.097893432465924</v>
                </pt>
                <pt idx="6">
                  <v>3.095017022593624</v>
                </pt>
                <pt idx="7">
                  <v>3.075976622577669</v>
                </pt>
                <pt idx="8">
                  <v>3.063725490196078</v>
                </pt>
                <pt idx="9">
                  <v>3.042287800425921</v>
                </pt>
                <pt idx="10">
                  <v>3.029385034837928</v>
                </pt>
                <pt idx="11">
                  <v>3.092145949288806</v>
                </pt>
                <pt idx="12">
                  <v>3.092145949288806</v>
                </pt>
                <pt idx="13">
                  <v>3.097893432465924</v>
                </pt>
                <pt idx="14">
                  <v>3.135779241141424</v>
                </pt>
                <pt idx="15">
                  <v>3.288391976323578</v>
                </pt>
                <pt idx="16">
                  <v>3.288391976323578</v>
                </pt>
                <pt idx="17">
                  <v>3.304692663582287</v>
                </pt>
                <pt idx="18">
                  <v>3.266906239790917</v>
                </pt>
                <pt idx="19">
                  <v>3.299241174529858</v>
                </pt>
                <pt idx="20">
                  <v>3.337783711615488</v>
                </pt>
                <pt idx="21">
                  <v>3.312355084465055</v>
                </pt>
                <pt idx="22">
                  <v>3.321155762205247</v>
                </pt>
                <pt idx="23">
                  <v>3.347840642785403</v>
                </pt>
                <pt idx="24">
                  <v>3.386386725364036</v>
                </pt>
                <pt idx="25">
                  <v>3.460207612456748</v>
                </pt>
                <pt idx="26">
                  <v>3.460207612456748</v>
                </pt>
                <pt idx="27">
                  <v>3.489183531053734</v>
                </pt>
                <pt idx="28">
                  <v>3.552397868561279</v>
                </pt>
                <pt idx="29">
                  <v>3.700962250185048</v>
                </pt>
                <pt idx="30">
                  <v>3.685956505713232</v>
                </pt>
                <pt idx="31">
                  <v>3.62844702467344</v>
                </pt>
                <pt idx="32">
                  <v>3.633720930232557</v>
                </pt>
                <pt idx="33">
                  <v>3.664345914254306</v>
                </pt>
                <pt idx="34">
                  <v>3.76081233546446</v>
                </pt>
                <pt idx="35">
                  <v>3.835826620636747</v>
                </pt>
                <pt idx="36">
                  <v>3.790750568612585</v>
                </pt>
                <pt idx="37">
                  <v>4.025764895330113</v>
                </pt>
                <pt idx="38">
                  <v>3.862495171881035</v>
                </pt>
                <pt idx="39">
                  <v>3.822629969418961</v>
                </pt>
                <pt idx="40">
                  <v>3.783579265985622</v>
                </pt>
                <pt idx="41">
                  <v>3.769317753486619</v>
                </pt>
                <pt idx="42">
                  <v>3.829950210647262</v>
                </pt>
                <pt idx="43">
                  <v>3.920031360250882</v>
                </pt>
                <pt idx="44">
                  <v>3.866976024748646</v>
                </pt>
                <pt idx="45">
                  <v>3.786444528587656</v>
                </pt>
                <pt idx="46">
                  <v>3.734129947722181</v>
                </pt>
                <pt idx="47">
                  <v>3.700962250185048</v>
                </pt>
                <pt idx="48">
                  <v>3.685956505713233</v>
                </pt>
                <pt idx="49">
                  <v>3.716090672612412</v>
                </pt>
                <pt idx="50">
                  <v>3.676470588235294</v>
                </pt>
                <pt idx="51">
                  <v>3.632401017072284</v>
                </pt>
                <pt idx="52">
                  <v>3.623188405797102</v>
                </pt>
                <pt idx="53">
                  <v>3.612716763005781</v>
                </pt>
                <pt idx="54">
                  <v>3.61794500723589</v>
                </pt>
                <pt idx="55">
                  <v>3.606202668589974</v>
                </pt>
                <pt idx="56">
                  <v>3.619254433586681</v>
                </pt>
                <pt idx="57">
                  <v>3.641660597232338</v>
                </pt>
                <pt idx="58">
                  <v>3.619254433586681</v>
                </pt>
                <pt idx="59">
                  <v>3.586800573888092</v>
                </pt>
                <pt idx="60">
                  <v>4.096681687832855</v>
                </pt>
                <pt idx="61">
                  <v>4.020908725371934</v>
                </pt>
                <pt idx="62">
                  <v>3.96039603960396</v>
                </pt>
                <pt idx="63">
                  <v>3.923107100823853</v>
                </pt>
                <pt idx="64">
                  <v>3.90625</v>
                </pt>
                <pt idx="65">
                  <v>3.904724716907458</v>
                </pt>
                <pt idx="66">
                  <v>3.874467260751647</v>
                </pt>
                <pt idx="67">
                  <v>3.868471953578336</v>
                </pt>
                <pt idx="68">
                  <v>3.924646781789639</v>
                </pt>
                <pt idx="69">
                  <v>3.910833007430582</v>
                </pt>
                <pt idx="70">
                  <v>3.944773175542406</v>
                </pt>
                <pt idx="71">
                  <v>4.019292604501608</v>
                </pt>
                <pt idx="72">
                  <v>4.019292604501608</v>
                </pt>
                <pt idx="73">
                  <v>3.966679888932963</v>
                </pt>
                <pt idx="74">
                  <v>3.982477100756671</v>
                </pt>
                <pt idx="75">
                  <v>4.06669377795852</v>
                </pt>
                <pt idx="76">
                  <v>4.025764895330113</v>
                </pt>
                <pt idx="77">
                  <v>4.058441558441558</v>
                </pt>
                <pt idx="78">
                  <v>4.048582995951417</v>
                </pt>
                <pt idx="79">
                  <v>4.088307440719541</v>
                </pt>
                <pt idx="80">
                  <v>4.123711340206185</v>
                </pt>
                <pt idx="81">
                  <v>4.221190375685943</v>
                </pt>
                <pt idx="82">
                  <v>4.271678769756514</v>
                </pt>
                <pt idx="83">
                  <v>4.370629370629371</v>
                </pt>
                <pt idx="84">
                  <v>4.4543429844098</v>
                </pt>
                <pt idx="85">
                  <v>4.597701149425287</v>
                </pt>
                <pt idx="86">
                  <v>4.79156684235745</v>
                </pt>
                <pt idx="87">
                  <v>4.8661800486618</v>
                </pt>
                <pt idx="88">
                  <v>4.8661800486618</v>
                </pt>
                <pt idx="89">
                  <v>4.854368932038835</v>
                </pt>
                <pt idx="90">
                  <v>4.750593824228028</v>
                </pt>
                <pt idx="91">
                  <v>4.737091425864519</v>
                </pt>
                <pt idx="92">
                  <v>4.889975550122249</v>
                </pt>
                <pt idx="93">
                  <v>4.793863854266539</v>
                </pt>
                <pt idx="94">
                  <v>4.833252779120348</v>
                </pt>
                <pt idx="95">
                  <v>4.940711462450593</v>
                </pt>
                <pt idx="96">
                  <v>5.094243504839532</v>
                </pt>
                <pt idx="97">
                  <v>5.073566717402334</v>
                </pt>
                <pt idx="98">
                  <v>5.005005005005005</v>
                </pt>
                <pt idx="99">
                  <v>4.914004914004914</v>
                </pt>
                <pt idx="100">
                  <v>4.782400765184123</v>
                </pt>
                <pt idx="101">
                  <v>4.734848484848484</v>
                </pt>
                <pt idx="102">
                  <v>4.716981132075472</v>
                </pt>
                <pt idx="103">
                  <v>4.748338081671415</v>
                </pt>
                <pt idx="104">
                  <v>4.777830864787386</v>
                </pt>
                <pt idx="105">
                  <v>4.805382027871216</v>
                </pt>
                <pt idx="106">
                  <v>4.814636494944632</v>
                </pt>
                <pt idx="107">
                  <v>4.812319538017324</v>
                </pt>
                <pt idx="108">
                  <v>4.854368932038835</v>
                </pt>
                <pt idx="109">
                  <v>5.032712632108706</v>
                </pt>
                <pt idx="110">
                  <v>5.047955577990914</v>
                </pt>
                <pt idx="111">
                  <v>5.02008032128514</v>
                </pt>
                <pt idx="112">
                  <v>5.178663904712584</v>
                </pt>
                <pt idx="113">
                  <v>5.221932114882506</v>
                </pt>
                <pt idx="114">
                  <v>5.387931034482759</v>
                </pt>
                <pt idx="115">
                  <v>5.227391531625719</v>
                </pt>
                <pt idx="116">
                  <v>5.282620179609086</v>
                </pt>
                <pt idx="117">
                  <v>5.221932114882507</v>
                </pt>
                <pt idx="118">
                  <v>5.133470225872689</v>
                </pt>
                <pt idx="119">
                  <v>5.053057099545224</v>
                </pt>
                <pt idx="120">
                  <v>5.055611729019211</v>
                </pt>
                <pt idx="121">
                  <v>5.083884087442806</v>
                </pt>
                <pt idx="122">
                  <v>5.094243504839532</v>
                </pt>
                <pt idx="123">
                  <v>5.08130081300813</v>
                </pt>
                <pt idx="124">
                  <v>5.058168942842691</v>
                </pt>
                <pt idx="125">
                  <v>5.045408678102927</v>
                </pt>
                <pt idx="126">
                  <v>5.017561465127948</v>
                </pt>
                <pt idx="127">
                  <v>4.952947003467063</v>
                </pt>
                <pt idx="128">
                  <v>4.940711462450593</v>
                </pt>
                <pt idx="129">
                  <v>4.899559039686428</v>
                </pt>
                <pt idx="130">
                  <v>4.916420845624385</v>
                </pt>
                <pt idx="131">
                  <v>4.906771344455349</v>
                </pt>
                <pt idx="132">
                  <v>4.943153732081068</v>
                </pt>
                <pt idx="133">
                  <v>4.923682914820286</v>
                </pt>
                <pt idx="134">
                  <v>4.847309743092584</v>
                </pt>
                <pt idx="135">
                  <v>4.81000481000481</v>
                </pt>
                <pt idx="136">
                  <v>4.780114722753346</v>
                </pt>
                <pt idx="137">
                  <v>4.737091425864519</v>
                </pt>
                <pt idx="138">
                  <v>4.725897920604915</v>
                </pt>
                <pt idx="139">
                  <v>4.875670404680643</v>
                </pt>
                <pt idx="140">
                  <v>4.928536224741253</v>
                </pt>
                <pt idx="141">
                  <v>4.955401387512389</v>
                </pt>
                <pt idx="142">
                  <v>4.911591355599215</v>
                </pt>
                <pt idx="143">
                  <v>4.859086491739554</v>
                </pt>
                <pt idx="144">
                  <v>4.837929366231252</v>
                </pt>
                <pt idx="145">
                  <v>4.906771344455349</v>
                </pt>
                <pt idx="146">
                  <v>4.928536224741252</v>
                </pt>
                <pt idx="147">
                  <v>4.938271604938271</v>
                </pt>
                <pt idx="148">
                  <v>4.96031746031746</v>
                </pt>
                <pt idx="149">
                  <v>4.914004914004914</v>
                </pt>
                <pt idx="150">
                  <v>4.923682914820286</v>
                </pt>
                <pt idx="151">
                  <v>5.047955577990914</v>
                </pt>
                <pt idx="152">
                  <v>5.083884087442806</v>
                </pt>
                <pt idx="153">
                  <v>5.254860746190226</v>
                </pt>
                <pt idx="154">
                  <v>5.274261603375527</v>
                </pt>
                <pt idx="155">
                  <v>5.260389268805891</v>
                </pt>
                <pt idx="156">
                  <v>5.307855626326965</v>
                </pt>
                <pt idx="157">
                  <v>5.356186395286556</v>
                </pt>
                <pt idx="158">
                  <v>5.302226935312832</v>
                </pt>
                <pt idx="159">
                  <v>5.257623554153523</v>
                </pt>
                <pt idx="160">
                  <v>5.238344683080147</v>
                </pt>
                <pt idx="161">
                  <v>5.202913631633715</v>
                </pt>
                <pt idx="162">
                  <v>5.232862375719519</v>
                </pt>
                <pt idx="163">
                  <v>5.167958656330749</v>
                </pt>
                <pt idx="164">
                  <v>5.154639175257732</v>
                </pt>
                <pt idx="165">
                  <v>5.141388174807198</v>
                </pt>
                <pt idx="166">
                  <v>5.091649694501018</v>
                </pt>
                <pt idx="167">
                  <v>5.076142131979696</v>
                </pt>
                <pt idx="168">
                  <v>5.035246727089628</v>
                </pt>
                <pt idx="169">
                  <v>5</v>
                </pt>
                <pt idx="170">
                  <v>4.995004995004996</v>
                </pt>
                <pt idx="171">
                  <v>4.948045522018802</v>
                </pt>
                <pt idx="172">
                  <v>4.943153732081067</v>
                </pt>
                <pt idx="173">
                  <v>4.938271604938272</v>
                </pt>
                <pt idx="174">
                  <v>4.940711462450594</v>
                </pt>
                <pt idx="175">
                  <v>5.055611729019211</v>
                </pt>
                <pt idx="176">
                  <v>5.094243504839532</v>
                </pt>
                <pt idx="177">
                  <v>5.035246727089628</v>
                </pt>
                <pt idx="178">
                  <v>5.068423720223011</v>
                </pt>
                <pt idx="179">
                  <v>5.040322580645161</v>
                </pt>
                <pt idx="180">
                  <v>5.141388174807198</v>
                </pt>
                <pt idx="181">
                  <v>5.319148936170213</v>
                </pt>
                <pt idx="182">
                  <v>5.291005291005291</v>
                </pt>
                <pt idx="183">
                  <v>5.313496280552603</v>
                </pt>
                <pt idx="184">
                  <v>5.282620179609086</v>
                </pt>
                <pt idx="185">
                  <v>5.313496280552603</v>
                </pt>
                <pt idx="186">
                  <v>5.336179295624333</v>
                </pt>
                <pt idx="187">
                  <v>5.265929436545551</v>
                </pt>
                <pt idx="188">
                  <v>5.211047420531526</v>
                </pt>
                <pt idx="189">
                  <v>5.192107995846313</v>
                </pt>
                <pt idx="190">
                  <v>5.221932114882507</v>
                </pt>
                <pt idx="191">
                  <v>5.305039787798408</v>
                </pt>
                <pt idx="192">
                  <v>5.279831045406547</v>
                </pt>
                <pt idx="193">
                  <v>5.31632110579479</v>
                </pt>
                <pt idx="194">
                  <v>5.313496280552603</v>
                </pt>
                <pt idx="195">
                  <v>5.302226935312832</v>
                </pt>
                <pt idx="196">
                  <v>5.254860746190226</v>
                </pt>
                <pt idx="197">
                  <v>5.257623554153523</v>
                </pt>
                <pt idx="198">
                  <v>5.254860746190226</v>
                </pt>
                <pt idx="199">
                  <v>5.277044854881266</v>
                </pt>
                <pt idx="200">
                  <v>5.227391531625719</v>
                </pt>
                <pt idx="201">
                  <v>5.277044854881266</v>
                </pt>
                <pt idx="202">
                  <v>5.254860746190226</v>
                </pt>
                <pt idx="203">
                  <v>5.274261603375527</v>
                </pt>
                <pt idx="204">
                  <v>5.249343832020998</v>
                </pt>
                <pt idx="205">
                  <v>5.221932114882507</v>
                </pt>
                <pt idx="206">
                  <v>5.21376433785193</v>
                </pt>
                <pt idx="207">
                  <v>5.205622071837585</v>
                </pt>
                <pt idx="208">
                  <v>5.194805194805195</v>
                </pt>
                <pt idx="209">
                  <v>5.200208008320333</v>
                </pt>
                <pt idx="210">
                  <v>5.219206680584551</v>
                </pt>
                <pt idx="211">
                  <v>5.268703898840886</v>
                </pt>
                <pt idx="212">
                  <v>5.235602094240837</v>
                </pt>
                <pt idx="213">
                  <v>5.230125523012552</v>
                </pt>
                <pt idx="214">
                  <v>5.313496280552603</v>
                </pt>
                <pt idx="215">
                  <v>5.373455131649651</v>
                </pt>
                <pt idx="216">
                  <v>5.382131324004306</v>
                </pt>
                <pt idx="217">
                  <v>5.411255411255411</v>
                </pt>
                <pt idx="218">
                  <v>5.405405405405405</v>
                </pt>
                <pt idx="219">
                  <v>5.411255411255411</v>
                </pt>
                <pt idx="220">
                  <v>5.379236148466918</v>
                </pt>
                <pt idx="221">
                  <v>5.350454788657035</v>
                </pt>
                <pt idx="222">
                  <v>5.307855626326965</v>
                </pt>
                <pt idx="223">
                  <v>5.252100840336134</v>
                </pt>
                <pt idx="224">
                  <v>5.271481286241434</v>
                </pt>
                <pt idx="225">
                  <v>5.243838489774515</v>
                </pt>
                <pt idx="226">
                  <v>5.221932114882507</v>
                </pt>
                <pt idx="227">
                  <v>5.186721991701244</v>
                </pt>
                <pt idx="228">
                  <v>5.170630816959669</v>
                </pt>
                <pt idx="229">
                  <v>5.181347150259067</v>
                </pt>
                <pt idx="230">
                  <v>5.202913631633716</v>
                </pt>
                <pt idx="231">
                  <v>5.173305742369375</v>
                </pt>
                <pt idx="232">
                  <v>5.227391531625719</v>
                </pt>
                <pt idx="233">
                  <v>5.200208008320333</v>
                </pt>
                <pt idx="234">
                  <v>5.170630816959669</v>
                </pt>
                <pt idx="235">
                  <v>5.136106831022085</v>
                </pt>
                <pt idx="236">
                  <v>5.159958720330238</v>
                </pt>
                <pt idx="237">
                  <v>5.200208008320333</v>
                </pt>
                <pt idx="238">
                  <v>5.186721991701245</v>
                </pt>
                <pt idx="239">
                  <v>5.197505197505198</v>
                </pt>
                <pt idx="240">
                  <v>5.305039787798408</v>
                </pt>
                <pt idx="241">
                  <v>5.399568034557236</v>
                </pt>
                <pt idx="242">
                  <v>5.646527385657821</v>
                </pt>
                <pt idx="243">
                  <v>5.46448087431694</v>
                </pt>
                <pt idx="244">
                  <v>5.399568034557236</v>
                </pt>
                <pt idx="245">
                  <v>5.387931034482759</v>
                </pt>
                <pt idx="246">
                  <v>5.379236148466918</v>
                </pt>
                <pt idx="247">
                  <v>5.252100840336134</v>
                </pt>
                <pt idx="248">
                  <v>5.213764337851929</v>
                </pt>
                <pt idx="249">
                  <v>5.205622071837585</v>
                </pt>
                <pt idx="250">
                  <v>5.252100840336134</v>
                </pt>
                <pt idx="251">
                  <v>5.254860746190226</v>
                </pt>
                <pt idx="252">
                  <v>5.293806246691371</v>
                </pt>
                <pt idx="253">
                  <v>5.274261603375527</v>
                </pt>
                <pt idx="254">
                  <v>5.299417064122946</v>
                </pt>
                <pt idx="255">
                  <v>5.296610169491526</v>
                </pt>
                <pt idx="256">
                  <v>5.293806246691371</v>
                </pt>
                <pt idx="257">
                  <v>5.279831045406547</v>
                </pt>
                <pt idx="258">
                  <v>5.282620179609086</v>
                </pt>
                <pt idx="259">
                  <v>5.299417064122946</v>
                </pt>
                <pt idx="260">
                  <v>5.277044854881266</v>
                </pt>
                <pt idx="261">
                  <v>5.28820729772607</v>
                </pt>
                <pt idx="262">
                  <v>5.333333333333334</v>
                </pt>
                <pt idx="263">
                  <v>5.347593582887701</v>
                </pt>
                <pt idx="264">
                  <v>5.382131324004306</v>
                </pt>
                <pt idx="265">
                  <v>5.44069640914037</v>
                </pt>
                <pt idx="266">
                  <v>5.537098560354375</v>
                </pt>
                <pt idx="267">
                  <v>5.561735261401558</v>
                </pt>
                <pt idx="268">
                  <v>5.411255411255411</v>
                </pt>
                <pt idx="269">
                  <v>5.473453749315818</v>
                </pt>
                <pt idx="270">
                  <v>5.482456140350878</v>
                </pt>
                <pt idx="271">
                  <v>5.515719801434087</v>
                </pt>
                <pt idx="272">
                  <v>5.509641873278238</v>
                </pt>
                <pt idx="273">
                  <v>5.552470849528039</v>
                </pt>
                <pt idx="274">
                  <v>5.515719801434087</v>
                </pt>
                <pt idx="275">
                  <v>5.524861878453038</v>
                </pt>
                <pt idx="276">
                  <v>5.509641873278238</v>
                </pt>
                <pt idx="277">
                  <v>5.595970900951315</v>
                </pt>
                <pt idx="278">
                  <v>5.63063063063063</v>
                </pt>
                <pt idx="279">
                  <v>5.592841163310962</v>
                </pt>
                <pt idx="280">
                  <v>5.521811154058531</v>
                </pt>
                <pt idx="281">
                  <v>5.476451259583789</v>
                </pt>
                <pt idx="282">
                  <v>5.494505494505495</v>
                </pt>
                <pt idx="283">
                  <v>5.512679162072767</v>
                </pt>
                <pt idx="284">
                  <v>5.574136008918617</v>
                </pt>
                <pt idx="285">
                  <v>5.564830272676684</v>
                </pt>
                <pt idx="286">
                  <v>5.580357142857142</v>
                </pt>
                <pt idx="287">
                  <v>5.64652738565782</v>
                </pt>
                <pt idx="288">
                  <v>5.627462014631401</v>
                </pt>
                <pt idx="289">
                  <v>5.558643690939411</v>
                </pt>
                <pt idx="290">
                  <v>5.577244841048522</v>
                </pt>
                <pt idx="291">
                  <v>5.537098560354375</v>
                </pt>
                <pt idx="292">
                  <v>5.482456140350878</v>
                </pt>
                <pt idx="293">
                  <v>5.467468562055768</v>
                </pt>
                <pt idx="294">
                  <v>5.48546352166758</v>
                </pt>
                <pt idx="295">
                  <v>5.524861878453039</v>
                </pt>
                <pt idx="296">
                  <v>5.643340857787811</v>
                </pt>
                <pt idx="297">
                  <v>5.691519635742743</v>
                </pt>
                <pt idx="298">
                  <v>5.681818181818182</v>
                </pt>
                <pt idx="299">
                  <v>5.720823798627003</v>
                </pt>
                <pt idx="300">
                  <v>5.685048322910744</v>
                </pt>
                <pt idx="301">
                  <v>5.73394495412844</v>
                </pt>
                <pt idx="302">
                  <v>5.707762557077626</v>
                </pt>
                <pt idx="303">
                  <v>5.675368898978433</v>
                </pt>
                <pt idx="304">
                  <v>5.694760820045558</v>
                </pt>
                <pt idx="305">
                  <v>5.780346820809249</v>
                </pt>
                <pt idx="306">
                  <v>5.868544600938968</v>
                </pt>
                <pt idx="307">
                  <v>5.917159763313609</v>
                </pt>
                <pt idx="308">
                  <v>5.817335660267597</v>
                </pt>
                <pt idx="309">
                  <v>5.903187721369538</v>
                </pt>
                <pt idx="310">
                  <v>5.858230814294083</v>
                </pt>
                <pt idx="311">
                  <v>5.813953488372093</v>
                </pt>
                <pt idx="312">
                  <v>5.770340450086556</v>
                </pt>
                <pt idx="313">
                  <v>5.760368663594471</v>
                </pt>
                <pt idx="314">
                  <v>5.73394495412844</v>
                </pt>
                <pt idx="315">
                  <v>5.714285714285714</v>
                </pt>
                <pt idx="316">
                  <v>5.694760820045559</v>
                </pt>
                <pt idx="317">
                  <v>5.685048322910745</v>
                </pt>
                <pt idx="318">
                  <v>5.681818181818182</v>
                </pt>
                <pt idx="319">
                  <v>5.685048322910744</v>
                </pt>
                <pt idx="320">
                  <v>5.656108597285068</v>
                </pt>
                <pt idx="321">
                  <v>5.6657223796034</v>
                </pt>
                <pt idx="322">
                  <v>5.63063063063063</v>
                </pt>
                <pt idx="323">
                  <v>5.614823133071309</v>
                </pt>
                <pt idx="324">
                  <v>5.592841163310962</v>
                </pt>
                <pt idx="325">
                  <v>5.558643690939411</v>
                </pt>
                <pt idx="326">
                  <v>5.485463521667581</v>
                </pt>
                <pt idx="327">
                  <v>5.461496450027307</v>
                </pt>
                <pt idx="328">
                  <v>5.46448087431694</v>
                </pt>
                <pt idx="329">
                  <v>5.411255411255411</v>
                </pt>
                <pt idx="330">
                  <v>5.446623093681917</v>
                </pt>
                <pt idx="331">
                  <v>5.387931034482759</v>
                </pt>
                <pt idx="332">
                  <v>5.405405405405405</v>
                </pt>
                <pt idx="333">
                  <v>5.411255411255412</v>
                </pt>
                <pt idx="334">
                  <v>5.359056806002144</v>
                </pt>
                <pt idx="335">
                  <v>5.373455131649651</v>
                </pt>
                <pt idx="336">
                  <v>5.333333333333333</v>
                </pt>
                <pt idx="337">
                  <v>5.396654074473826</v>
                </pt>
                <pt idx="338">
                  <v>5.370569280343716</v>
                </pt>
                <pt idx="339">
                  <v>5.393743257820929</v>
                </pt>
                <pt idx="340">
                  <v>5.399568034557236</v>
                </pt>
                <pt idx="341">
                  <v>5.361930294906167</v>
                </pt>
                <pt idx="342">
                  <v>5.330490405117271</v>
                </pt>
                <pt idx="343">
                  <v>5.305039787798408</v>
                </pt>
                <pt idx="344">
                  <v>5.279831045406547</v>
                </pt>
                <pt idx="345">
                  <v>5.230125523012552</v>
                </pt>
                <pt idx="346">
                  <v>5.211047420531527</v>
                </pt>
                <pt idx="347">
                  <v>5.167958656330748</v>
                </pt>
                <pt idx="348">
                  <v>5.128205128205128</v>
                </pt>
                <pt idx="349">
                  <v>5.058168942842691</v>
                </pt>
                <pt idx="350">
                  <v>4.997501249375311</v>
                </pt>
                <pt idx="351">
                  <v>4.992511233150275</v>
                </pt>
                <pt idx="352">
                  <v>4.965243296921549</v>
                </pt>
                <pt idx="353">
                  <v>4.911591355599215</v>
                </pt>
                <pt idx="354">
                  <v>4.943153732081067</v>
                </pt>
                <pt idx="355">
                  <v>4.948045522018802</v>
                </pt>
                <pt idx="356">
                  <v>4.916420845624385</v>
                </pt>
                <pt idx="357">
                  <v>4.880429477794046</v>
                </pt>
                <pt idx="358">
                  <v>4.8661800486618</v>
                </pt>
                <pt idx="359">
                  <v>4.852013585638041</v>
                </pt>
                <pt idx="360">
                  <v>4.812319538017324</v>
                </pt>
                <pt idx="361">
                  <v>4.798464491362764</v>
                </pt>
                <pt idx="362">
                  <v>4.777830864787386</v>
                </pt>
                <pt idx="363">
                  <v>4.775549188156638</v>
                </pt>
                <pt idx="364">
                  <v>4.81000481000481</v>
                </pt>
                <pt idx="365">
                  <v>4.861448711716091</v>
                </pt>
                <pt idx="366">
                  <v>4.828585224529213</v>
                </pt>
                <pt idx="367">
                  <v>4.800768122899664</v>
                </pt>
                <pt idx="368">
                  <v>4.793863854266539</v>
                </pt>
                <pt idx="369">
                  <v>4.81000481000481</v>
                </pt>
                <pt idx="370">
                  <v>4.766444232602479</v>
                </pt>
                <pt idx="371">
                  <v>4.761904761904763</v>
                </pt>
                <pt idx="372">
                  <v>4.73260766682442</v>
                </pt>
                <pt idx="373">
                  <v>4.692632566870014</v>
                </pt>
                <pt idx="374">
                  <v>4.708097928436912</v>
                </pt>
                <pt idx="375">
                  <v>4.723665564478035</v>
                </pt>
                <pt idx="376">
                  <v>4.679457182966776</v>
                </pt>
                <pt idx="377">
                  <v>4.655493482309125</v>
                </pt>
                <pt idx="378">
                  <v>4.688232536333803</v>
                </pt>
                <pt idx="379">
                  <v>4.627487274409995</v>
                </pt>
                <pt idx="380">
                  <v>4.599816007359706</v>
                </pt>
                <pt idx="381">
                  <v>4.63821892393321</v>
                </pt>
                <pt idx="382">
                  <v>4.616805170821792</v>
                </pt>
                <pt idx="383">
                  <v>4.606172270842929</v>
                </pt>
                <pt idx="384">
                  <v>4.595588235294117</v>
                </pt>
                <pt idx="385">
                  <v>4.593477262287552</v>
                </pt>
                <pt idx="386">
                  <v>4.606172270842929</v>
                </pt>
                <pt idx="387">
                  <v>4.593477262287552</v>
                </pt>
                <pt idx="388">
                  <v>4.587155963302752</v>
                </pt>
                <pt idx="389">
                  <v>4.44642063139173</v>
                </pt>
                <pt idx="390">
                  <v>4.411116012351124</v>
                </pt>
                <pt idx="391">
                  <v>4.393673110720562</v>
                </pt>
                <pt idx="392">
                  <v>4.450378282153983</v>
                </pt>
                <pt idx="393">
                  <v>4.436557231588288</v>
                </pt>
                <pt idx="394">
                  <v>4.41696113074205</v>
                </pt>
                <pt idx="395">
                  <v>4.42282176028306</v>
                </pt>
                <pt idx="396">
                  <v>4.397537379067722</v>
                </pt>
                <pt idx="397">
                  <v>4.372540445999125</v>
                </pt>
                <pt idx="398">
                  <v>4.338394793926247</v>
                </pt>
                <pt idx="399">
                  <v>4.385964912280701</v>
                </pt>
                <pt idx="400">
                  <v>4.41306266548985</v>
                </pt>
                <pt idx="401">
                  <v>4.389815627743634</v>
                </pt>
                <pt idx="402">
                  <v>4.382120946538124</v>
                </pt>
                <pt idx="403">
                  <v>4.393673110720562</v>
                </pt>
                <pt idx="404">
                  <v>4.357298474945534</v>
                </pt>
                <pt idx="405">
                  <v>4.3122035360069</v>
                </pt>
                <pt idx="406">
                  <v>4.280821917808219</v>
                </pt>
                <pt idx="407">
                  <v>4.286326618088299</v>
                </pt>
                <pt idx="408">
                  <v>4.297378599054577</v>
                </pt>
                <pt idx="409">
                  <v>4.278990158322635</v>
                </pt>
                <pt idx="410">
                  <v>4.251700680272108</v>
                </pt>
                <pt idx="411">
                  <v>4.214075010535187</v>
                </pt>
                <pt idx="412">
                  <v>4.158004158004158</v>
                </pt>
                <pt idx="413">
                  <v>4.128819157720892</v>
                </pt>
                <pt idx="414">
                  <v>4.086636697997548</v>
                </pt>
                <pt idx="415">
                  <v>4.061738424045491</v>
                </pt>
                <pt idx="416">
                  <v>4.058441558441558</v>
                </pt>
                <pt idx="417">
                  <v>4.033884630899556</v>
                </pt>
                <pt idx="418">
                  <v>4.011231448054553</v>
                </pt>
                <pt idx="419">
                  <v>3.971405877680699</v>
                </pt>
                <pt idx="420">
                  <v>4.132231404958678</v>
                </pt>
                <pt idx="421">
                  <v>4.091653027823241</v>
                </pt>
                <pt idx="422">
                  <v>4.042037186742118</v>
                </pt>
                <pt idx="423">
                  <v>4.032258064516129</v>
                </pt>
                <pt idx="424">
                  <v>4.053506282934737</v>
                </pt>
                <pt idx="425">
                  <v>4.076640847941296</v>
                </pt>
                <pt idx="426">
                  <v>4.122011541632316</v>
                </pt>
                <pt idx="427">
                  <v>4.122011541632316</v>
                </pt>
                <pt idx="428">
                  <v>4.116920543433513</v>
                </pt>
                <pt idx="429">
                  <v>4.101722723543888</v>
                </pt>
                <pt idx="430">
                  <v>4.071661237785016</v>
                </pt>
                <pt idx="431">
                  <v>4.084967320261438</v>
                </pt>
                <pt idx="432">
                  <v>4.074979625101874</v>
                </pt>
                <pt idx="433">
                  <v>4.050222762251924</v>
                </pt>
                <pt idx="434">
                  <v>4.096681687832855</v>
                </pt>
                <pt idx="435">
                  <v>4.073319755600814</v>
                </pt>
                <pt idx="436">
                  <v>4.046944556859571</v>
                </pt>
                <pt idx="437">
                  <v>4.113533525298232</v>
                </pt>
                <pt idx="438">
                  <v>4.068348250610252</v>
                </pt>
                <pt idx="439">
                  <v>4.040404040404041</v>
                </pt>
                <pt idx="440">
                  <v>4.011231448054553</v>
                </pt>
                <pt idx="441">
                  <v>4.017677782241864</v>
                </pt>
                <pt idx="442">
                  <v>4.009623095429029</v>
                </pt>
                <pt idx="443">
                  <v>3.982477100756671</v>
                </pt>
                <pt idx="444">
                  <v>4.016064257028113</v>
                </pt>
                <pt idx="445">
                  <v>4.020908725371934</v>
                </pt>
                <pt idx="446">
                  <v>4.053506282934738</v>
                </pt>
                <pt idx="447">
                  <v>4.240882103477523</v>
                </pt>
                <pt idx="448">
                  <v>4.299226139294927</v>
                </pt>
                <pt idx="449">
                  <v>4.308487720809995</v>
                </pt>
                <pt idx="450">
                  <v>4.228329809725159</v>
                </pt>
                <pt idx="451">
                  <v>4.248088360237893</v>
                </pt>
                <pt idx="452">
                  <v>4.262574595055414</v>
                </pt>
                <pt idx="453">
                  <v>4.22654268808115</v>
                </pt>
                <pt idx="454">
                  <v>4.215851602023609</v>
                </pt>
                <pt idx="455">
                  <v>4.173622704507513</v>
                </pt>
                <pt idx="456">
                  <v>4.125412541254125</v>
                </pt>
                <pt idx="457">
                  <v>4.111842105263158</v>
                </pt>
                <pt idx="458">
                  <v>4.073319755600814</v>
                </pt>
                <pt idx="459">
                  <v>4.081632653061225</v>
                </pt>
                <pt idx="460">
                  <v>4.100041000410004</v>
                </pt>
                <pt idx="461">
                  <v>4.048582995951417</v>
                </pt>
                <pt idx="462">
                  <v>4.058441558441558</v>
                </pt>
                <pt idx="463">
                  <v>4.00962309542903</v>
                </pt>
                <pt idx="464">
                  <v>3.998400639744102</v>
                </pt>
                <pt idx="465">
                  <v>3.98406374501992</v>
                </pt>
                <pt idx="466">
                  <v>3.982477100756671</v>
                </pt>
                <pt idx="467">
                  <v>3.97456279809221</v>
                </pt>
                <pt idx="468">
                  <v>4.00962309542903</v>
                </pt>
                <pt idx="469">
                  <v>3.988831272437176</v>
                </pt>
                <pt idx="470">
                  <v>3.982477100756671</v>
                </pt>
                <pt idx="471">
                  <v>3.972983710766785</v>
                </pt>
                <pt idx="472">
                  <v>3.943217665615142</v>
                </pt>
                <pt idx="473">
                  <v>3.901677721420211</v>
                </pt>
                <pt idx="474">
                  <v>3.880481179666279</v>
                </pt>
                <pt idx="475">
                  <v>3.83288616328095</v>
                </pt>
                <pt idx="476">
                  <v>3.827018752391887</v>
                </pt>
                <pt idx="477">
                  <v>3.816793893129771</v>
                </pt>
                <pt idx="478">
                  <v>3.80517503805175</v>
                </pt>
                <pt idx="479">
                  <v>3.838771593090212</v>
                </pt>
                <pt idx="480">
                  <v>3.816793893129771</v>
                </pt>
                <pt idx="481">
                  <v>3.821169277799007</v>
                </pt>
                <pt idx="482">
                  <v>3.79794910748196</v>
                </pt>
                <pt idx="483">
                  <v>3.767897513187641</v>
                </pt>
                <pt idx="484">
                  <v>3.741114852225963</v>
                </pt>
                <pt idx="485">
                  <v>3.725782414307004</v>
                </pt>
                <pt idx="486">
                  <v>3.723008190618019</v>
                </pt>
                <pt idx="487">
                  <v>3.852080123266564</v>
                </pt>
                <pt idx="488">
                  <v>3.787878787878788</v>
                </pt>
                <pt idx="489">
                  <v>3.749531308586426</v>
                </pt>
                <pt idx="490">
                  <v>3.738317757009346</v>
                </pt>
                <pt idx="491">
                  <v>3.727171077152441</v>
                </pt>
                <pt idx="492">
                  <v>3.705075954057059</v>
                </pt>
                <pt idx="493">
                  <v>3.653635367190354</v>
                </pt>
                <pt idx="494">
                  <v>3.631082062454611</v>
                </pt>
                <pt idx="495">
                  <v>3.632401017072285</v>
                </pt>
                <pt idx="496">
                  <v>3.627130939426913</v>
                </pt>
                <pt idx="497">
                  <v>3.590664272890485</v>
                </pt>
                <pt idx="498">
                  <v>3.566333808844508</v>
                </pt>
                <pt idx="499">
                  <v>3.588087549336204</v>
                </pt>
                <pt idx="500">
                  <v>3.575259206292457</v>
                </pt>
                <pt idx="501">
                  <v>3.567606136282554</v>
                </pt>
                <pt idx="502">
                  <v>3.536067892503535</v>
                </pt>
                <pt idx="503">
                  <v>3.522367030644593</v>
                </pt>
                <pt idx="504">
                  <v>3.51493848857645</v>
                </pt>
                <pt idx="505">
                  <v>3.524850193866761</v>
                </pt>
                <pt idx="506">
                  <v>3.565062388591801</v>
                </pt>
                <pt idx="507">
                  <v>3.570153516601214</v>
                </pt>
                <pt idx="508">
                  <v>3.538570417551309</v>
                </pt>
                <pt idx="509">
                  <v>3.523608174770966</v>
                </pt>
                <pt idx="510">
                  <v>3.625815808556926</v>
                </pt>
                <pt idx="511">
                  <v>3.581661891117478</v>
                </pt>
                <pt idx="512">
                  <v>3.572704537334762</v>
                </pt>
                <pt idx="513">
                  <v>3.54735721887194</v>
                </pt>
                <pt idx="514">
                  <v>3.543586109142452</v>
                </pt>
                <pt idx="515">
                  <v>3.477051460361613</v>
                </pt>
                <pt idx="516">
                  <v>3.483106931382793</v>
                </pt>
                <pt idx="517">
                  <v>3.469812630117973</v>
                </pt>
                <pt idx="518">
                  <v>3.463803255975061</v>
                </pt>
                <pt idx="519">
                  <v>3.439972480220158</v>
                </pt>
                <pt idx="520">
                  <v>3.435245620061834</v>
                </pt>
                <pt idx="521">
                  <v>3.459010722933241</v>
                </pt>
                <pt idx="522">
                  <v>3.506311360448808</v>
                </pt>
                <pt idx="523">
                  <v>3.650967506389193</v>
                </pt>
                <pt idx="524">
                  <v>3.631082062454612</v>
                </pt>
                <pt idx="525">
                  <v>3.580379520229144</v>
                </pt>
                <pt idx="526">
                  <v>3.534817956875221</v>
                </pt>
                <pt idx="527">
                  <v>3.496503496503496</v>
                </pt>
                <pt idx="528">
                  <v>3.466204506065858</v>
                </pt>
                <pt idx="529">
                  <v>3.479471120389701</v>
                </pt>
                <pt idx="530">
                  <v>3.506311360448808</v>
                </pt>
                <pt idx="531">
                  <v>3.485535029627048</v>
                </pt>
                <pt idx="532">
                  <v>3.466204506065858</v>
                </pt>
                <pt idx="533">
                  <v>3.47101700798334</v>
                </pt>
                <pt idx="534">
                  <v>3.41646737273659</v>
                </pt>
                <pt idx="535">
                  <v>3.483106931382793</v>
                </pt>
                <pt idx="536">
                  <v>3.466204506065858</v>
                </pt>
                <pt idx="537">
                  <v>3.444712366517396</v>
                </pt>
                <pt idx="538">
                  <v>3.419972640218878</v>
                </pt>
                <pt idx="539">
                  <v>3.441156228492774</v>
                </pt>
                <pt idx="540">
                  <v>3.463803255975061</v>
                </pt>
                <pt idx="541">
                  <v>3.53356890459364</v>
                </pt>
                <pt idx="542">
                  <v>3.505082369435681</v>
                </pt>
                <pt idx="543">
                  <v>3.576537911301859</v>
                </pt>
                <pt idx="544">
                  <v>3.650967506389193</v>
                </pt>
                <pt idx="545">
                  <v>3.850596842510589</v>
                </pt>
                <pt idx="546">
                  <v>3.734129947722181</v>
                </pt>
                <pt idx="547">
                  <v>3.725782414307004</v>
                </pt>
                <pt idx="548">
                  <v>3.736920777279522</v>
                </pt>
                <pt idx="549">
                  <v>3.7821482602118</v>
                </pt>
                <pt idx="550">
                  <v>3.777861730260673</v>
                </pt>
                <pt idx="551">
                  <v>3.694126339120798</v>
                </pt>
                <pt idx="552">
                  <v>3.664345914254306</v>
                </pt>
                <pt idx="553">
                  <v>3.663003663003663</v>
                </pt>
                <pt idx="554">
                  <v>3.632401017072284</v>
                </pt>
                <pt idx="555">
                  <v>3.759398496240602</v>
                </pt>
                <pt idx="556">
                  <v>3.648303538854432</v>
                </pt>
                <pt idx="557">
                  <v>3.61271676300578</v>
                </pt>
                <pt idx="558">
                  <v>3.575259206292456</v>
                </pt>
                <pt idx="559">
                  <v>3.553660270078181</v>
                </pt>
                <pt idx="560">
                  <v>3.532320734722713</v>
                </pt>
                <pt idx="561">
                  <v>3.523608174770966</v>
                </pt>
                <pt idx="562">
                  <v>3.522367030644593</v>
                </pt>
                <pt idx="563">
                  <v>3.50140056022409</v>
                </pt>
                <pt idx="564">
                  <v>3.516174402250352</v>
                </pt>
                <pt idx="565">
                  <v>3.570153516601214</v>
                </pt>
                <pt idx="566">
                  <v>3.5486160397445</v>
                </pt>
                <pt idx="567">
                  <v>3.5486160397445</v>
                </pt>
                <pt idx="568">
                  <v>3.556187766714082</v>
                </pt>
                <pt idx="569">
                  <v>3.508771929824561</v>
                </pt>
                <pt idx="570">
                  <v>3.490401396160558</v>
                </pt>
                <pt idx="571">
                  <v>3.46860908775581</v>
                </pt>
                <pt idx="572">
                  <v>3.442340791738383</v>
                </pt>
                <pt idx="573">
                  <v>3.427004797806717</v>
                </pt>
                <pt idx="574">
                  <v>3.436426116838488</v>
                </pt>
                <pt idx="575">
                  <v>3.450655624568668</v>
                </pt>
                <pt idx="576">
                  <v>3.46380325597506</v>
                </pt>
                <pt idx="577">
                  <v>3.507541213609259</v>
                </pt>
                <pt idx="578">
                  <v>3.546099290780142</v>
                </pt>
                <pt idx="579">
                  <v>3.621876131836292</v>
                </pt>
                <pt idx="580">
                  <v>3.602305475504322</v>
                </pt>
                <pt idx="581">
                  <v>3.728560775540641</v>
                </pt>
                <pt idx="582">
                  <v>3.70919881305638</v>
                </pt>
                <pt idx="583">
                  <v>3.721622627465575</v>
                </pt>
                <pt idx="584">
                  <v>3.669724770642202</v>
                </pt>
                <pt idx="585">
                  <v>3.649635036496351</v>
                </pt>
                <pt idx="586">
                  <v>3.661662394727207</v>
                </pt>
                <pt idx="587">
                  <v>3.598416696653473</v>
                </pt>
                <pt idx="588">
                  <v>3.566333808844508</v>
                </pt>
                <pt idx="589">
                  <v>3.581661891117478</v>
                </pt>
                <pt idx="590">
                  <v>3.581661891117478</v>
                </pt>
                <pt idx="591">
                  <v>3.572704537334762</v>
                </pt>
                <pt idx="592">
                  <v>3.57398141529664</v>
                </pt>
                <pt idx="593">
                  <v>3.561253561253561</v>
                </pt>
                <pt idx="594">
                  <v>3.5650623885918</v>
                </pt>
                <pt idx="595">
                  <v>3.576537911301859</v>
                </pt>
                <pt idx="596">
                  <v>3.625815808556926</v>
                </pt>
                <pt idx="597">
                  <v>3.607503607503607</v>
                </pt>
                <pt idx="598">
                  <v>3.539823008849558</v>
                </pt>
                <pt idx="599">
                  <v>3.793626707132018</v>
                </pt>
                <pt idx="600">
                  <v>3.669724770642202</v>
                </pt>
                <pt idx="601">
                  <v>3.561253561253561</v>
                </pt>
                <pt idx="602">
                  <v>3.486750348675034</v>
                </pt>
                <pt idx="603">
                  <v>3.441156228492774</v>
                </pt>
                <pt idx="604">
                  <v>3.419972640218879</v>
                </pt>
                <pt idx="605">
                  <v>3.387533875338754</v>
                </pt>
                <pt idx="606">
                  <v>3.360215053763441</v>
                </pt>
                <pt idx="607">
                  <v>3.332222592469177</v>
                </pt>
                <pt idx="608">
                  <v>3.299241174529858</v>
                </pt>
                <pt idx="609">
                  <v>3.316749585406302</v>
                </pt>
                <pt idx="610">
                  <v>3.294892915980231</v>
                </pt>
                <pt idx="611">
                  <v>3.297065611605671</v>
                </pt>
                <pt idx="612">
                  <v>3.295978905735003</v>
                </pt>
                <pt idx="613">
                  <v>3.293807641633729</v>
                </pt>
                <pt idx="614">
                  <v>3.287310979618672</v>
                </pt>
                <pt idx="615">
                  <v>3.305785123966942</v>
                </pt>
                <pt idx="616">
                  <v>3.257328990228013</v>
                </pt>
                <pt idx="617">
                  <v>3.209242618741977</v>
                </pt>
                <pt idx="618">
                  <v>3.214400514304082</v>
                </pt>
                <pt idx="619">
                  <v>3.185727938834023</v>
                </pt>
                <pt idx="620">
                  <v>3.168567807351077</v>
                </pt>
                <pt idx="621">
                  <v>3.147623544224111</v>
                </pt>
                <pt idx="622">
                  <v>3.155569580309245</v>
                </pt>
                <pt idx="623">
                  <v>3.148614609571788</v>
                </pt>
                <pt idx="624">
                  <v>3.169572107765452</v>
                </pt>
                <pt idx="625">
                  <v>3.15059861373661</v>
                </pt>
                <pt idx="626">
                  <v>3.153579312519709</v>
                </pt>
                <pt idx="627">
                  <v>3.142677561282212</v>
                </pt>
                <pt idx="628">
                  <v>3.136762860727729</v>
                </pt>
                <pt idx="629">
                  <v>3.175611305176246</v>
                </pt>
                <pt idx="630">
                  <v>3.246753246753246</v>
                </pt>
                <pt idx="631">
                  <v>3.227888960619755</v>
                </pt>
                <pt idx="632">
                  <v>3.263707571801567</v>
                </pt>
                <pt idx="633">
                  <v>3.2</v>
                </pt>
                <pt idx="634">
                  <v>3.209242618741977</v>
                </pt>
                <pt idx="635">
                  <v>3.178639542275906</v>
                </pt>
                <pt idx="636">
                  <v>3.146633102580239</v>
                </pt>
                <pt idx="637">
                  <v>3.133813851457224</v>
                </pt>
                <pt idx="638">
                  <v>3.143665513989312</v>
                </pt>
                <pt idx="639">
                  <v>3.170577045022195</v>
                </pt>
                <pt idx="640">
                  <v>3.199999999999999</v>
                </pt>
                <pt idx="641">
                  <v>3.348961821835232</v>
                </pt>
                <pt idx="642">
                  <v>3.369272237196766</v>
                </pt>
                <pt idx="643">
                  <v>3.284072249589491</v>
                </pt>
                <pt idx="644">
                  <v>3.271180896303565</v>
                </pt>
                <pt idx="645">
                  <v>3.259452411994785</v>
                </pt>
                <pt idx="646">
                  <v>3.2605151613955</v>
                </pt>
                <pt idx="647">
                  <v>3.33000333000333</v>
                </pt>
                <pt idx="648">
                  <v>3.372681281618887</v>
                </pt>
                <pt idx="649">
                  <v>3.3101621979477</v>
                </pt>
                <pt idx="650">
                  <v>3.262642740619902</v>
                </pt>
                <pt idx="651">
                  <v>3.244646333549643</v>
                </pt>
                <pt idx="652">
                  <v>3.209242618741977</v>
                </pt>
                <pt idx="653">
                  <v>3.2</v>
                </pt>
                <pt idx="654">
                  <v>3.195909236177692</v>
                </pt>
                <pt idx="655">
                  <v>3.182686187141948</v>
                </pt>
                <pt idx="656">
                  <v>3.158559696778269</v>
                </pt>
                <pt idx="657">
                  <v>3.164556962025316</v>
                </pt>
                <pt idx="658">
                  <v>3.182686187141948</v>
                </pt>
                <pt idx="659">
                  <v>3.166561114629513</v>
                </pt>
                <pt idx="660">
                  <v>3.169572107765452</v>
                </pt>
                <pt idx="661">
                  <v>3.15059861373661</v>
                </pt>
                <pt idx="662">
                  <v>3.140703517587939</v>
                </pt>
                <pt idx="663">
                  <v>3.111387678904791</v>
                </pt>
                <pt idx="664">
                  <v>3.143665513989312</v>
                </pt>
                <pt idx="665">
                  <v>3.169572107765452</v>
                </pt>
                <pt idx="666">
                  <v>3.130870381966186</v>
                </pt>
                <pt idx="667">
                  <v>3.155569580309245</v>
                </pt>
                <pt idx="668">
                  <v>3.130870381966186</v>
                </pt>
                <pt idx="669">
                  <v>3.103662321539416</v>
                </pt>
                <pt idx="670">
                  <v>3.098853424233034</v>
                </pt>
                <pt idx="671">
                  <v>3.1201248049922</v>
                </pt>
                <pt idx="672">
                  <v>3.130870381966186</v>
                </pt>
                <pt idx="673">
                  <v>3.166561114629513</v>
                </pt>
                <pt idx="674">
                  <v>3.133813851457223</v>
                </pt>
                <pt idx="675">
                  <v>3.110419906687403</v>
                </pt>
                <pt idx="676">
                  <v>3.117206982543641</v>
                </pt>
                <pt idx="677">
                  <v>3.127932436659368</v>
                </pt>
                <pt idx="678">
                  <v>3.142677561282212</v>
                </pt>
                <pt idx="679">
                  <v>3.148614609571788</v>
                </pt>
                <pt idx="680">
                  <v>2.985965959988056</v>
                </pt>
                <pt idx="681">
                  <v>2.966478789676654</v>
                </pt>
                <pt idx="682">
                  <v>3.023888720895071</v>
                </pt>
                <pt idx="683">
                  <v>3.050640634533252</v>
                </pt>
                <pt idx="684">
                  <v>3.138731952291275</v>
                </pt>
                <pt idx="685">
                  <v>3.074085459575776</v>
                </pt>
                <pt idx="686">
                  <v>3.036744609778318</v>
                </pt>
                <pt idx="687">
                  <v>3.01659125188537</v>
                </pt>
                <pt idx="688">
                  <v>3.003003003003003</v>
                </pt>
                <pt idx="689">
                  <v>2.994011976047904</v>
                </pt>
                <pt idx="690">
                  <v>2.961208172934557</v>
                </pt>
                <pt idx="691">
                  <v>2.954209748892171</v>
                </pt>
                <pt idx="692">
                  <v>2.994908655286014</v>
                </pt>
                <pt idx="693">
                  <v>2.996703626011388</v>
                </pt>
                <pt idx="694">
                  <v>3.049710277523635</v>
                </pt>
                <pt idx="695">
                  <v>3.187759005419191</v>
                </pt>
                <pt idx="696">
                  <v>3.15955766192733</v>
                </pt>
                <pt idx="697">
                  <v>3.152585119798235</v>
                </pt>
                <pt idx="698">
                  <v>3.224766204450177</v>
                </pt>
                <pt idx="699">
                  <v>3.166561114629513</v>
                </pt>
                <pt idx="700">
                  <v>3.149606299212598</v>
                </pt>
                <pt idx="701">
                  <v>3.112356053532524</v>
                </pt>
                <pt idx="702">
                  <v>3.089280197713933</v>
                </pt>
                <pt idx="703">
                  <v>3.057169061449098</v>
                </pt>
                <pt idx="704">
                  <v>3.122073056509522</v>
                </pt>
                <pt idx="705">
                  <v>3.106554830692762</v>
                </pt>
                <pt idx="706">
                  <v>3.047851264858275</v>
                </pt>
                <pt idx="707">
                  <v>3.063725490196078</v>
                </pt>
                <pt idx="708">
                  <v>3.111387678904791</v>
                </pt>
                <pt idx="709">
                  <v>3.142677561282213</v>
                </pt>
                <pt idx="710">
                  <v>3.177629488401652</v>
                </pt>
                <pt idx="711">
                  <v>3.265839320705421</v>
                </pt>
                <pt idx="712">
                  <v>3.241491085899514</v>
                </pt>
                <pt idx="713">
                  <v>3.274394237066143</v>
                </pt>
                <pt idx="714">
                  <v>3.279763857002296</v>
                </pt>
                <pt idx="715">
                  <v>3.110419906687403</v>
                </pt>
                <pt idx="716">
                  <v>3.075030750307503</v>
                </pt>
                <pt idx="717">
                  <v>3.012048192771084</v>
                </pt>
                <pt idx="718">
                  <v>2.99311583358276</v>
                </pt>
                <pt idx="719">
                  <v>2.962962962962963</v>
                </pt>
                <pt idx="720">
                  <v>2.958579881656805</v>
                </pt>
                <pt idx="721">
                  <v>2.931691586045148</v>
                </pt>
                <pt idx="722">
                  <v>2.9120559114735</v>
                </pt>
                <pt idx="723">
                  <v>2.884338044418806</v>
                </pt>
                <pt idx="724">
                  <v>2.86286859433152</v>
                </pt>
                <pt idx="725">
                  <v>2.849002849002849</v>
                </pt>
                <pt idx="726">
                  <v>2.833663927458204</v>
                </pt>
                <pt idx="727">
                  <v>2.82326369282891</v>
                </pt>
                <pt idx="728">
                  <v>2.815315315315315</v>
                </pt>
                <pt idx="729">
                  <v>2.807411566535654</v>
                </pt>
                <pt idx="730">
                  <v>2.833663927458203</v>
                </pt>
                <pt idx="731">
                  <v>2.844141069397043</v>
                </pt>
                <pt idx="732">
                  <v>2.832058906825262</v>
                </pt>
                <pt idx="733">
                  <v>2.84738041002278</v>
                </pt>
                <pt idx="734">
                  <v>2.86697247706422</v>
                </pt>
                <pt idx="735">
                  <v>2.876869965477561</v>
                </pt>
                <pt idx="736">
                  <v>2.935995302407516</v>
                </pt>
                <pt idx="737">
                  <v>2.94811320754717</v>
                </pt>
                <pt idx="738">
                  <v>2.939447383891828</v>
                </pt>
                <pt idx="739">
                  <v>2.940311673037343</v>
                </pt>
                <pt idx="740">
                  <v>2.932551319648093</v>
                </pt>
                <pt idx="741">
                  <v>2.944640753828033</v>
                </pt>
                <pt idx="742">
                  <v>2.907822041291073</v>
                </pt>
                <pt idx="743">
                  <v>2.881844380403458</v>
                </pt>
                <pt idx="744">
                  <v>2.866150759529951</v>
                </pt>
                <pt idx="745">
                  <v>2.871912693854107</v>
                </pt>
                <pt idx="746">
                  <v>2.956830277942046</v>
                </pt>
                <pt idx="747">
                  <v>2.915451895043732</v>
                </pt>
                <pt idx="748">
                  <v>2.956830277942046</v>
                </pt>
                <pt idx="749">
                  <v>2.991325157044571</v>
                </pt>
                <pt idx="750">
                  <v>3.06654400490647</v>
                </pt>
                <pt idx="751">
                  <v>3.193867773874162</v>
                </pt>
                <pt idx="752">
                  <v>3.14070351758794</v>
                </pt>
                <pt idx="753">
                  <v>3.126954346466542</v>
                </pt>
                <pt idx="754">
                  <v>3.059975520195839</v>
                </pt>
                <pt idx="755">
                  <v>3.059039461609055</v>
                </pt>
                <pt idx="756">
                  <v>3.035822707953856</v>
                </pt>
                <pt idx="757">
                  <v>3.085467448318421</v>
                </pt>
                <pt idx="758">
                  <v>3.144654088050315</v>
                </pt>
                <pt idx="759">
                  <v>3.133813851457223</v>
                </pt>
                <pt idx="760">
                  <v>3.202049311559398</v>
                </pt>
                <pt idx="761">
                  <v>3.327787021630615</v>
                </pt>
                <pt idx="762">
                  <v>3.38409475465313</v>
                </pt>
                <pt idx="763">
                  <v>3.356831151393084</v>
                </pt>
                <pt idx="764">
                  <v>3.356831151393085</v>
                </pt>
                <pt idx="765">
                  <v>3.313452617627568</v>
                </pt>
                <pt idx="766">
                  <v>3.290556103981573</v>
                </pt>
                <pt idx="767">
                  <v>3.346720214190094</v>
                </pt>
                <pt idx="768">
                  <v>3.306878306878307</v>
                </pt>
                <pt idx="769">
                  <v>3.257328990228013</v>
                </pt>
                <pt idx="770">
                  <v>3.245699448231094</v>
                </pt>
                <pt idx="771">
                  <v>3.277613897082923</v>
                </pt>
                <pt idx="772">
                  <v>3.355704697986576</v>
                </pt>
                <pt idx="773">
                  <v>3.474635163307853</v>
                </pt>
                <pt idx="774">
                  <v>3.52485019386676</v>
                </pt>
                <pt idx="775">
                  <v>3.542330853701736</v>
                </pt>
                <pt idx="776">
                  <v>3.633720930232558</v>
                </pt>
                <pt idx="777">
                  <v>3.633720930232558</v>
                </pt>
                <pt idx="778">
                  <v>3.72300819061802</v>
                </pt>
                <pt idx="779">
                  <v>3.641660597232338</v>
                </pt>
                <pt idx="780">
                  <v>3.597122302158273</v>
                </pt>
                <pt idx="781">
                  <v>3.61794500723589</v>
                </pt>
                <pt idx="782">
                  <v>3.661662394727207</v>
                </pt>
                <pt idx="783">
                  <v>3.679175864606328</v>
                </pt>
                <pt idx="784">
                  <v>3.741114852225963</v>
                </pt>
                <pt idx="785">
                  <v>3.83288616328095</v>
                </pt>
                <pt idx="786">
                  <v>3.858024691358025</v>
                </pt>
                <pt idx="787">
                  <v>3.812428516965307</v>
                </pt>
                <pt idx="788">
                  <v>3.711952487008166</v>
                </pt>
                <pt idx="789">
                  <v>3.65764447695684</v>
                </pt>
                <pt idx="790">
                  <v>3.632401017072285</v>
                </pt>
                <pt idx="791">
                  <v>3.703703703703704</v>
                </pt>
                <pt idx="792">
                  <v>3.727171077152442</v>
                </pt>
                <pt idx="793">
                  <v>3.736920777279521</v>
                </pt>
                <pt idx="794">
                  <v>3.763643206624012</v>
                </pt>
                <pt idx="795">
                  <v>3.750937734433609</v>
                </pt>
                <pt idx="796">
                  <v>3.654970760233919</v>
                </pt>
                <pt idx="797">
                  <v>3.584229390681004</v>
                </pt>
                <pt idx="798">
                  <v>3.556187766714082</v>
                </pt>
                <pt idx="799">
                  <v>3.461405330564209</v>
                </pt>
                <pt idx="800">
                  <v>3.428179636612958</v>
                </pt>
                <pt idx="801">
                  <v>3.474635163307853</v>
                </pt>
                <pt idx="802">
                  <v>3.52485019386676</v>
                </pt>
                <pt idx="803">
                  <v>3.491620111731844</v>
                </pt>
                <pt idx="804">
                  <v>3.399048266485384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85150592"/>
        <axId val="285149056"/>
      </lineChart>
      <dateAx>
        <axId val="284490368"/>
        <scaling>
          <orientation val="minMax"/>
        </scaling>
        <delete val="0"/>
        <axPos val="b"/>
        <numFmt formatCode="m/d/yyyy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85147520"/>
        <crosses val="autoZero"/>
        <lblOffset val="100"/>
        <baseTimeUnit val="days"/>
      </dateAx>
      <valAx>
        <axId val="2851475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84490368"/>
        <crosses val="autoZero"/>
        <crossBetween val="between"/>
      </valAx>
      <dateAx>
        <axId val="285150592"/>
        <scaling>
          <orientation val="minMax"/>
        </scaling>
        <delete val="1"/>
        <axPos val="b"/>
        <numFmt formatCode="m/d/yyyy" sourceLinked="1"/>
        <majorTickMark val="out"/>
        <minorTickMark val="none"/>
        <tickLblPos val="nextTo"/>
        <crossAx val="285149056"/>
        <crosses val="autoZero"/>
        <lblOffset val="100"/>
        <baseTimeUnit val="days"/>
      </dateAx>
      <valAx>
        <axId val="285149056"/>
        <scaling>
          <orientation val="minMax"/>
        </scaling>
        <delete val="0"/>
        <axPos val="r"/>
        <numFmt formatCode="0.00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85150592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 xml:space="preserve"> Index vs Nifty PE</a:t>
            </a:r>
            <a:endParaRPr lang="en-GB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'EVI 2025 Workings'!$O$1</f>
              <strCache>
                <ptCount val="1"/>
                <pt idx="0">
                  <v>Nifty 50 pe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'EVI 2025 Workings'!$B$2:$B$806</f>
              <numCache>
                <formatCode>m/d/yyyy</formatCode>
                <ptCount val="805"/>
                <pt idx="0">
                  <v>44564</v>
                </pt>
                <pt idx="1">
                  <v>44565</v>
                </pt>
                <pt idx="2">
                  <v>44566</v>
                </pt>
                <pt idx="3">
                  <v>44567</v>
                </pt>
                <pt idx="4">
                  <v>44568</v>
                </pt>
                <pt idx="5">
                  <v>44571</v>
                </pt>
                <pt idx="6">
                  <v>44572</v>
                </pt>
                <pt idx="7">
                  <v>44573</v>
                </pt>
                <pt idx="8">
                  <v>44574</v>
                </pt>
                <pt idx="9">
                  <v>44575</v>
                </pt>
                <pt idx="10">
                  <v>44578</v>
                </pt>
                <pt idx="11">
                  <v>44579</v>
                </pt>
                <pt idx="12">
                  <v>44580</v>
                </pt>
                <pt idx="13">
                  <v>44581</v>
                </pt>
                <pt idx="14">
                  <v>44582</v>
                </pt>
                <pt idx="15">
                  <v>44585</v>
                </pt>
                <pt idx="16">
                  <v>44586</v>
                </pt>
                <pt idx="17">
                  <v>44588</v>
                </pt>
                <pt idx="18">
                  <v>44589</v>
                </pt>
                <pt idx="19">
                  <v>44592</v>
                </pt>
                <pt idx="20">
                  <v>44593</v>
                </pt>
                <pt idx="21">
                  <v>44594</v>
                </pt>
                <pt idx="22">
                  <v>44595</v>
                </pt>
                <pt idx="23">
                  <v>44596</v>
                </pt>
                <pt idx="24">
                  <v>44599</v>
                </pt>
                <pt idx="25">
                  <v>44600</v>
                </pt>
                <pt idx="26">
                  <v>44601</v>
                </pt>
                <pt idx="27">
                  <v>44602</v>
                </pt>
                <pt idx="28">
                  <v>44603</v>
                </pt>
                <pt idx="29">
                  <v>44606</v>
                </pt>
                <pt idx="30">
                  <v>44607</v>
                </pt>
                <pt idx="31">
                  <v>44608</v>
                </pt>
                <pt idx="32">
                  <v>44609</v>
                </pt>
                <pt idx="33">
                  <v>44610</v>
                </pt>
                <pt idx="34">
                  <v>44613</v>
                </pt>
                <pt idx="35">
                  <v>44614</v>
                </pt>
                <pt idx="36">
                  <v>44615</v>
                </pt>
                <pt idx="37">
                  <v>44616</v>
                </pt>
                <pt idx="38">
                  <v>44617</v>
                </pt>
                <pt idx="39">
                  <v>44620</v>
                </pt>
                <pt idx="40">
                  <v>44622</v>
                </pt>
                <pt idx="41">
                  <v>44623</v>
                </pt>
                <pt idx="42">
                  <v>44624</v>
                </pt>
                <pt idx="43">
                  <v>44627</v>
                </pt>
                <pt idx="44">
                  <v>44628</v>
                </pt>
                <pt idx="45">
                  <v>44629</v>
                </pt>
                <pt idx="46">
                  <v>44630</v>
                </pt>
                <pt idx="47">
                  <v>44631</v>
                </pt>
                <pt idx="48">
                  <v>44634</v>
                </pt>
                <pt idx="49">
                  <v>44635</v>
                </pt>
                <pt idx="50">
                  <v>44636</v>
                </pt>
                <pt idx="51">
                  <v>44637</v>
                </pt>
                <pt idx="52">
                  <v>44641</v>
                </pt>
                <pt idx="53">
                  <v>44642</v>
                </pt>
                <pt idx="54">
                  <v>44643</v>
                </pt>
                <pt idx="55">
                  <v>44644</v>
                </pt>
                <pt idx="56">
                  <v>44645</v>
                </pt>
                <pt idx="57">
                  <v>44648</v>
                </pt>
                <pt idx="58">
                  <v>44649</v>
                </pt>
                <pt idx="59">
                  <v>44650</v>
                </pt>
                <pt idx="60">
                  <v>44651</v>
                </pt>
                <pt idx="61">
                  <v>44652</v>
                </pt>
                <pt idx="62">
                  <v>44655</v>
                </pt>
                <pt idx="63">
                  <v>44656</v>
                </pt>
                <pt idx="64">
                  <v>44657</v>
                </pt>
                <pt idx="65">
                  <v>44658</v>
                </pt>
                <pt idx="66">
                  <v>44659</v>
                </pt>
                <pt idx="67">
                  <v>44662</v>
                </pt>
                <pt idx="68">
                  <v>44663</v>
                </pt>
                <pt idx="69">
                  <v>44664</v>
                </pt>
                <pt idx="70">
                  <v>44669</v>
                </pt>
                <pt idx="71">
                  <v>44670</v>
                </pt>
                <pt idx="72">
                  <v>44671</v>
                </pt>
                <pt idx="73">
                  <v>44672</v>
                </pt>
                <pt idx="74">
                  <v>44673</v>
                </pt>
                <pt idx="75">
                  <v>44676</v>
                </pt>
                <pt idx="76">
                  <v>44677</v>
                </pt>
                <pt idx="77">
                  <v>44678</v>
                </pt>
                <pt idx="78">
                  <v>44679</v>
                </pt>
                <pt idx="79">
                  <v>44680</v>
                </pt>
                <pt idx="80">
                  <v>44683</v>
                </pt>
                <pt idx="81">
                  <v>44685</v>
                </pt>
                <pt idx="82">
                  <v>44686</v>
                </pt>
                <pt idx="83">
                  <v>44687</v>
                </pt>
                <pt idx="84">
                  <v>44690</v>
                </pt>
                <pt idx="85">
                  <v>44691</v>
                </pt>
                <pt idx="86">
                  <v>44692</v>
                </pt>
                <pt idx="87">
                  <v>44693</v>
                </pt>
                <pt idx="88">
                  <v>44694</v>
                </pt>
                <pt idx="89">
                  <v>44697</v>
                </pt>
                <pt idx="90">
                  <v>44698</v>
                </pt>
                <pt idx="91">
                  <v>44699</v>
                </pt>
                <pt idx="92">
                  <v>44700</v>
                </pt>
                <pt idx="93">
                  <v>44701</v>
                </pt>
                <pt idx="94">
                  <v>44704</v>
                </pt>
                <pt idx="95">
                  <v>44705</v>
                </pt>
                <pt idx="96">
                  <v>44706</v>
                </pt>
                <pt idx="97">
                  <v>44707</v>
                </pt>
                <pt idx="98">
                  <v>44708</v>
                </pt>
                <pt idx="99">
                  <v>44711</v>
                </pt>
                <pt idx="100">
                  <v>44712</v>
                </pt>
                <pt idx="101">
                  <v>44713</v>
                </pt>
                <pt idx="102">
                  <v>44714</v>
                </pt>
                <pt idx="103">
                  <v>44715</v>
                </pt>
                <pt idx="104">
                  <v>44718</v>
                </pt>
                <pt idx="105">
                  <v>44719</v>
                </pt>
                <pt idx="106">
                  <v>44720</v>
                </pt>
                <pt idx="107">
                  <v>44721</v>
                </pt>
                <pt idx="108">
                  <v>44722</v>
                </pt>
                <pt idx="109">
                  <v>44725</v>
                </pt>
                <pt idx="110">
                  <v>44726</v>
                </pt>
                <pt idx="111">
                  <v>44727</v>
                </pt>
                <pt idx="112">
                  <v>44728</v>
                </pt>
                <pt idx="113">
                  <v>44729</v>
                </pt>
                <pt idx="114">
                  <v>44732</v>
                </pt>
                <pt idx="115">
                  <v>44733</v>
                </pt>
                <pt idx="116">
                  <v>44734</v>
                </pt>
                <pt idx="117">
                  <v>44735</v>
                </pt>
                <pt idx="118">
                  <v>44736</v>
                </pt>
                <pt idx="119">
                  <v>44739</v>
                </pt>
                <pt idx="120">
                  <v>44740</v>
                </pt>
                <pt idx="121">
                  <v>44741</v>
                </pt>
                <pt idx="122">
                  <v>44742</v>
                </pt>
                <pt idx="123">
                  <v>44743</v>
                </pt>
                <pt idx="124">
                  <v>44746</v>
                </pt>
                <pt idx="125">
                  <v>44747</v>
                </pt>
                <pt idx="126">
                  <v>44748</v>
                </pt>
                <pt idx="127">
                  <v>44749</v>
                </pt>
                <pt idx="128">
                  <v>44750</v>
                </pt>
                <pt idx="129">
                  <v>44753</v>
                </pt>
                <pt idx="130">
                  <v>44754</v>
                </pt>
                <pt idx="131">
                  <v>44755</v>
                </pt>
                <pt idx="132">
                  <v>44756</v>
                </pt>
                <pt idx="133">
                  <v>44757</v>
                </pt>
                <pt idx="134">
                  <v>44760</v>
                </pt>
                <pt idx="135">
                  <v>44761</v>
                </pt>
                <pt idx="136">
                  <v>44762</v>
                </pt>
                <pt idx="137">
                  <v>44763</v>
                </pt>
                <pt idx="138">
                  <v>44764</v>
                </pt>
                <pt idx="139">
                  <v>44767</v>
                </pt>
                <pt idx="140">
                  <v>44768</v>
                </pt>
                <pt idx="141">
                  <v>44769</v>
                </pt>
                <pt idx="142">
                  <v>44770</v>
                </pt>
                <pt idx="143">
                  <v>44771</v>
                </pt>
                <pt idx="144">
                  <v>44774</v>
                </pt>
                <pt idx="145">
                  <v>44775</v>
                </pt>
                <pt idx="146">
                  <v>44776</v>
                </pt>
                <pt idx="147">
                  <v>44777</v>
                </pt>
                <pt idx="148">
                  <v>44778</v>
                </pt>
                <pt idx="149">
                  <v>44781</v>
                </pt>
                <pt idx="150">
                  <v>44783</v>
                </pt>
                <pt idx="151">
                  <v>44784</v>
                </pt>
                <pt idx="152">
                  <v>44785</v>
                </pt>
                <pt idx="153">
                  <v>44789</v>
                </pt>
                <pt idx="154">
                  <v>44790</v>
                </pt>
                <pt idx="155">
                  <v>44791</v>
                </pt>
                <pt idx="156">
                  <v>44792</v>
                </pt>
                <pt idx="157">
                  <v>44795</v>
                </pt>
                <pt idx="158">
                  <v>44796</v>
                </pt>
                <pt idx="159">
                  <v>44797</v>
                </pt>
                <pt idx="160">
                  <v>44798</v>
                </pt>
                <pt idx="161">
                  <v>44799</v>
                </pt>
                <pt idx="162">
                  <v>44802</v>
                </pt>
                <pt idx="163">
                  <v>44803</v>
                </pt>
                <pt idx="164">
                  <v>44805</v>
                </pt>
                <pt idx="165">
                  <v>44806</v>
                </pt>
                <pt idx="166">
                  <v>44809</v>
                </pt>
                <pt idx="167">
                  <v>44810</v>
                </pt>
                <pt idx="168">
                  <v>44811</v>
                </pt>
                <pt idx="169">
                  <v>44812</v>
                </pt>
                <pt idx="170">
                  <v>44813</v>
                </pt>
                <pt idx="171">
                  <v>44816</v>
                </pt>
                <pt idx="172">
                  <v>44817</v>
                </pt>
                <pt idx="173">
                  <v>44818</v>
                </pt>
                <pt idx="174">
                  <v>44819</v>
                </pt>
                <pt idx="175">
                  <v>44820</v>
                </pt>
                <pt idx="176">
                  <v>44823</v>
                </pt>
                <pt idx="177">
                  <v>44824</v>
                </pt>
                <pt idx="178">
                  <v>44825</v>
                </pt>
                <pt idx="179">
                  <v>44826</v>
                </pt>
                <pt idx="180">
                  <v>44827</v>
                </pt>
                <pt idx="181">
                  <v>44830</v>
                </pt>
                <pt idx="182">
                  <v>44831</v>
                </pt>
                <pt idx="183">
                  <v>44832</v>
                </pt>
                <pt idx="184">
                  <v>44833</v>
                </pt>
                <pt idx="185">
                  <v>44834</v>
                </pt>
                <pt idx="186">
                  <v>44837</v>
                </pt>
                <pt idx="187">
                  <v>44838</v>
                </pt>
                <pt idx="188">
                  <v>44840</v>
                </pt>
                <pt idx="189">
                  <v>44841</v>
                </pt>
                <pt idx="190">
                  <v>44844</v>
                </pt>
                <pt idx="191">
                  <v>44845</v>
                </pt>
                <pt idx="192">
                  <v>44846</v>
                </pt>
                <pt idx="193">
                  <v>44847</v>
                </pt>
                <pt idx="194">
                  <v>44848</v>
                </pt>
                <pt idx="195">
                  <v>44851</v>
                </pt>
                <pt idx="196">
                  <v>44852</v>
                </pt>
                <pt idx="197">
                  <v>44853</v>
                </pt>
                <pt idx="198">
                  <v>44854</v>
                </pt>
                <pt idx="199">
                  <v>44855</v>
                </pt>
                <pt idx="200">
                  <v>44858</v>
                </pt>
                <pt idx="201">
                  <v>44859</v>
                </pt>
                <pt idx="202">
                  <v>44861</v>
                </pt>
                <pt idx="203">
                  <v>44862</v>
                </pt>
                <pt idx="204">
                  <v>44865</v>
                </pt>
                <pt idx="205">
                  <v>44866</v>
                </pt>
                <pt idx="206">
                  <v>44867</v>
                </pt>
                <pt idx="207">
                  <v>44868</v>
                </pt>
                <pt idx="208">
                  <v>44869</v>
                </pt>
                <pt idx="209">
                  <v>44872</v>
                </pt>
                <pt idx="210">
                  <v>44874</v>
                </pt>
                <pt idx="211">
                  <v>44875</v>
                </pt>
                <pt idx="212">
                  <v>44876</v>
                </pt>
                <pt idx="213">
                  <v>44879</v>
                </pt>
                <pt idx="214">
                  <v>44880</v>
                </pt>
                <pt idx="215">
                  <v>44881</v>
                </pt>
                <pt idx="216">
                  <v>44882</v>
                </pt>
                <pt idx="217">
                  <v>44883</v>
                </pt>
                <pt idx="218">
                  <v>44886</v>
                </pt>
                <pt idx="219">
                  <v>44887</v>
                </pt>
                <pt idx="220">
                  <v>44888</v>
                </pt>
                <pt idx="221">
                  <v>44889</v>
                </pt>
                <pt idx="222">
                  <v>44890</v>
                </pt>
                <pt idx="223">
                  <v>44893</v>
                </pt>
                <pt idx="224">
                  <v>44894</v>
                </pt>
                <pt idx="225">
                  <v>44895</v>
                </pt>
                <pt idx="226">
                  <v>44896</v>
                </pt>
                <pt idx="227">
                  <v>44897</v>
                </pt>
                <pt idx="228">
                  <v>44900</v>
                </pt>
                <pt idx="229">
                  <v>44901</v>
                </pt>
                <pt idx="230">
                  <v>44902</v>
                </pt>
                <pt idx="231">
                  <v>44903</v>
                </pt>
                <pt idx="232">
                  <v>44904</v>
                </pt>
                <pt idx="233">
                  <v>44907</v>
                </pt>
                <pt idx="234">
                  <v>44908</v>
                </pt>
                <pt idx="235">
                  <v>44909</v>
                </pt>
                <pt idx="236">
                  <v>44910</v>
                </pt>
                <pt idx="237">
                  <v>44911</v>
                </pt>
                <pt idx="238">
                  <v>44914</v>
                </pt>
                <pt idx="239">
                  <v>44915</v>
                </pt>
                <pt idx="240">
                  <v>44916</v>
                </pt>
                <pt idx="241">
                  <v>44917</v>
                </pt>
                <pt idx="242">
                  <v>44918</v>
                </pt>
                <pt idx="243">
                  <v>44921</v>
                </pt>
                <pt idx="244">
                  <v>44922</v>
                </pt>
                <pt idx="245">
                  <v>44923</v>
                </pt>
                <pt idx="246">
                  <v>44924</v>
                </pt>
                <pt idx="247">
                  <v>44925</v>
                </pt>
                <pt idx="248">
                  <v>44928</v>
                </pt>
                <pt idx="249">
                  <v>44929</v>
                </pt>
                <pt idx="250">
                  <v>44930</v>
                </pt>
                <pt idx="251">
                  <v>44931</v>
                </pt>
                <pt idx="252">
                  <v>44932</v>
                </pt>
                <pt idx="253">
                  <v>44935</v>
                </pt>
                <pt idx="254">
                  <v>44936</v>
                </pt>
                <pt idx="255">
                  <v>44937</v>
                </pt>
                <pt idx="256">
                  <v>44938</v>
                </pt>
                <pt idx="257">
                  <v>44939</v>
                </pt>
                <pt idx="258">
                  <v>44942</v>
                </pt>
                <pt idx="259">
                  <v>44943</v>
                </pt>
                <pt idx="260">
                  <v>44944</v>
                </pt>
                <pt idx="261">
                  <v>44945</v>
                </pt>
                <pt idx="262">
                  <v>44946</v>
                </pt>
                <pt idx="263">
                  <v>44949</v>
                </pt>
                <pt idx="264">
                  <v>44950</v>
                </pt>
                <pt idx="265">
                  <v>44951</v>
                </pt>
                <pt idx="266">
                  <v>44953</v>
                </pt>
                <pt idx="267">
                  <v>44956</v>
                </pt>
                <pt idx="268">
                  <v>44957</v>
                </pt>
                <pt idx="269">
                  <v>44958</v>
                </pt>
                <pt idx="270">
                  <v>44959</v>
                </pt>
                <pt idx="271">
                  <v>44960</v>
                </pt>
                <pt idx="272">
                  <v>44963</v>
                </pt>
                <pt idx="273">
                  <v>44964</v>
                </pt>
                <pt idx="274">
                  <v>44965</v>
                </pt>
                <pt idx="275">
                  <v>44966</v>
                </pt>
                <pt idx="276">
                  <v>44967</v>
                </pt>
                <pt idx="277">
                  <v>44970</v>
                </pt>
                <pt idx="278">
                  <v>44971</v>
                </pt>
                <pt idx="279">
                  <v>44972</v>
                </pt>
                <pt idx="280">
                  <v>44973</v>
                </pt>
                <pt idx="281">
                  <v>44974</v>
                </pt>
                <pt idx="282">
                  <v>44977</v>
                </pt>
                <pt idx="283">
                  <v>44978</v>
                </pt>
                <pt idx="284">
                  <v>44979</v>
                </pt>
                <pt idx="285">
                  <v>44980</v>
                </pt>
                <pt idx="286">
                  <v>44981</v>
                </pt>
                <pt idx="287">
                  <v>44984</v>
                </pt>
                <pt idx="288">
                  <v>44985</v>
                </pt>
                <pt idx="289">
                  <v>44986</v>
                </pt>
                <pt idx="290">
                  <v>44987</v>
                </pt>
                <pt idx="291">
                  <v>44988</v>
                </pt>
                <pt idx="292">
                  <v>44991</v>
                </pt>
                <pt idx="293">
                  <v>44993</v>
                </pt>
                <pt idx="294">
                  <v>44994</v>
                </pt>
                <pt idx="295">
                  <v>44995</v>
                </pt>
                <pt idx="296">
                  <v>44998</v>
                </pt>
                <pt idx="297">
                  <v>44999</v>
                </pt>
                <pt idx="298">
                  <v>45000</v>
                </pt>
                <pt idx="299">
                  <v>45001</v>
                </pt>
                <pt idx="300">
                  <v>45002</v>
                </pt>
                <pt idx="301">
                  <v>45005</v>
                </pt>
                <pt idx="302">
                  <v>45006</v>
                </pt>
                <pt idx="303">
                  <v>45007</v>
                </pt>
                <pt idx="304">
                  <v>45008</v>
                </pt>
                <pt idx="305">
                  <v>45009</v>
                </pt>
                <pt idx="306">
                  <v>45012</v>
                </pt>
                <pt idx="307">
                  <v>45013</v>
                </pt>
                <pt idx="308">
                  <v>45014</v>
                </pt>
                <pt idx="309">
                  <v>45016</v>
                </pt>
                <pt idx="310">
                  <v>45019</v>
                </pt>
                <pt idx="311">
                  <v>45021</v>
                </pt>
                <pt idx="312">
                  <v>45022</v>
                </pt>
                <pt idx="313">
                  <v>45026</v>
                </pt>
                <pt idx="314">
                  <v>45027</v>
                </pt>
                <pt idx="315">
                  <v>45028</v>
                </pt>
                <pt idx="316">
                  <v>45029</v>
                </pt>
                <pt idx="317">
                  <v>45033</v>
                </pt>
                <pt idx="318">
                  <v>45034</v>
                </pt>
                <pt idx="319">
                  <v>45035</v>
                </pt>
                <pt idx="320">
                  <v>45036</v>
                </pt>
                <pt idx="321">
                  <v>45037</v>
                </pt>
                <pt idx="322">
                  <v>45040</v>
                </pt>
                <pt idx="323">
                  <v>45041</v>
                </pt>
                <pt idx="324">
                  <v>45042</v>
                </pt>
                <pt idx="325">
                  <v>45043</v>
                </pt>
                <pt idx="326">
                  <v>45044</v>
                </pt>
                <pt idx="327">
                  <v>45048</v>
                </pt>
                <pt idx="328">
                  <v>45049</v>
                </pt>
                <pt idx="329">
                  <v>45050</v>
                </pt>
                <pt idx="330">
                  <v>45051</v>
                </pt>
                <pt idx="331">
                  <v>45054</v>
                </pt>
                <pt idx="332">
                  <v>45055</v>
                </pt>
                <pt idx="333">
                  <v>45056</v>
                </pt>
                <pt idx="334">
                  <v>45057</v>
                </pt>
                <pt idx="335">
                  <v>45058</v>
                </pt>
                <pt idx="336">
                  <v>45061</v>
                </pt>
                <pt idx="337">
                  <v>45062</v>
                </pt>
                <pt idx="338">
                  <v>45063</v>
                </pt>
                <pt idx="339">
                  <v>45064</v>
                </pt>
                <pt idx="340">
                  <v>45065</v>
                </pt>
                <pt idx="341">
                  <v>45068</v>
                </pt>
                <pt idx="342">
                  <v>45069</v>
                </pt>
                <pt idx="343">
                  <v>45070</v>
                </pt>
                <pt idx="344">
                  <v>45071</v>
                </pt>
                <pt idx="345">
                  <v>45072</v>
                </pt>
                <pt idx="346">
                  <v>45075</v>
                </pt>
                <pt idx="347">
                  <v>45076</v>
                </pt>
                <pt idx="348">
                  <v>45077</v>
                </pt>
                <pt idx="349">
                  <v>45078</v>
                </pt>
                <pt idx="350">
                  <v>45079</v>
                </pt>
                <pt idx="351">
                  <v>45082</v>
                </pt>
                <pt idx="352">
                  <v>45083</v>
                </pt>
                <pt idx="353">
                  <v>45084</v>
                </pt>
                <pt idx="354">
                  <v>45085</v>
                </pt>
                <pt idx="355">
                  <v>45086</v>
                </pt>
                <pt idx="356">
                  <v>45089</v>
                </pt>
                <pt idx="357">
                  <v>45090</v>
                </pt>
                <pt idx="358">
                  <v>45091</v>
                </pt>
                <pt idx="359">
                  <v>45092</v>
                </pt>
                <pt idx="360">
                  <v>45093</v>
                </pt>
                <pt idx="361">
                  <v>45096</v>
                </pt>
                <pt idx="362">
                  <v>45097</v>
                </pt>
                <pt idx="363">
                  <v>45098</v>
                </pt>
                <pt idx="364">
                  <v>45099</v>
                </pt>
                <pt idx="365">
                  <v>45100</v>
                </pt>
                <pt idx="366">
                  <v>45103</v>
                </pt>
                <pt idx="367">
                  <v>45104</v>
                </pt>
                <pt idx="368">
                  <v>45105</v>
                </pt>
                <pt idx="369">
                  <v>45107</v>
                </pt>
                <pt idx="370">
                  <v>45110</v>
                </pt>
                <pt idx="371">
                  <v>45111</v>
                </pt>
                <pt idx="372">
                  <v>45112</v>
                </pt>
                <pt idx="373">
                  <v>45113</v>
                </pt>
                <pt idx="374">
                  <v>45114</v>
                </pt>
                <pt idx="375">
                  <v>45117</v>
                </pt>
                <pt idx="376">
                  <v>45118</v>
                </pt>
                <pt idx="377">
                  <v>45119</v>
                </pt>
                <pt idx="378">
                  <v>45120</v>
                </pt>
                <pt idx="379">
                  <v>45121</v>
                </pt>
                <pt idx="380">
                  <v>45124</v>
                </pt>
                <pt idx="381">
                  <v>45125</v>
                </pt>
                <pt idx="382">
                  <v>45126</v>
                </pt>
                <pt idx="383">
                  <v>45127</v>
                </pt>
                <pt idx="384">
                  <v>45128</v>
                </pt>
                <pt idx="385">
                  <v>45131</v>
                </pt>
                <pt idx="386">
                  <v>45132</v>
                </pt>
                <pt idx="387">
                  <v>45133</v>
                </pt>
                <pt idx="388">
                  <v>45134</v>
                </pt>
                <pt idx="389">
                  <v>45135</v>
                </pt>
                <pt idx="390">
                  <v>45138</v>
                </pt>
                <pt idx="391">
                  <v>45139</v>
                </pt>
                <pt idx="392">
                  <v>45140</v>
                </pt>
                <pt idx="393">
                  <v>45141</v>
                </pt>
                <pt idx="394">
                  <v>45142</v>
                </pt>
                <pt idx="395">
                  <v>45145</v>
                </pt>
                <pt idx="396">
                  <v>45146</v>
                </pt>
                <pt idx="397">
                  <v>45147</v>
                </pt>
                <pt idx="398">
                  <v>45148</v>
                </pt>
                <pt idx="399">
                  <v>45149</v>
                </pt>
                <pt idx="400">
                  <v>45152</v>
                </pt>
                <pt idx="401">
                  <v>45154</v>
                </pt>
                <pt idx="402">
                  <v>45155</v>
                </pt>
                <pt idx="403">
                  <v>45156</v>
                </pt>
                <pt idx="404">
                  <v>45159</v>
                </pt>
                <pt idx="405">
                  <v>45160</v>
                </pt>
                <pt idx="406">
                  <v>45161</v>
                </pt>
                <pt idx="407">
                  <v>45162</v>
                </pt>
                <pt idx="408">
                  <v>45163</v>
                </pt>
                <pt idx="409">
                  <v>45166</v>
                </pt>
                <pt idx="410">
                  <v>45167</v>
                </pt>
                <pt idx="411">
                  <v>45168</v>
                </pt>
                <pt idx="412">
                  <v>45169</v>
                </pt>
                <pt idx="413">
                  <v>45170</v>
                </pt>
                <pt idx="414">
                  <v>45173</v>
                </pt>
                <pt idx="415">
                  <v>45174</v>
                </pt>
                <pt idx="416">
                  <v>45175</v>
                </pt>
                <pt idx="417">
                  <v>45176</v>
                </pt>
                <pt idx="418">
                  <v>45177</v>
                </pt>
                <pt idx="419">
                  <v>45180</v>
                </pt>
                <pt idx="420">
                  <v>45181</v>
                </pt>
                <pt idx="421">
                  <v>45182</v>
                </pt>
                <pt idx="422">
                  <v>45183</v>
                </pt>
                <pt idx="423">
                  <v>45184</v>
                </pt>
                <pt idx="424">
                  <v>45187</v>
                </pt>
                <pt idx="425">
                  <v>45189</v>
                </pt>
                <pt idx="426">
                  <v>45190</v>
                </pt>
                <pt idx="427">
                  <v>45191</v>
                </pt>
                <pt idx="428">
                  <v>45194</v>
                </pt>
                <pt idx="429">
                  <v>45195</v>
                </pt>
                <pt idx="430">
                  <v>45196</v>
                </pt>
                <pt idx="431">
                  <v>45197</v>
                </pt>
                <pt idx="432">
                  <v>45198</v>
                </pt>
                <pt idx="433">
                  <v>45202</v>
                </pt>
                <pt idx="434">
                  <v>45203</v>
                </pt>
                <pt idx="435">
                  <v>45204</v>
                </pt>
                <pt idx="436">
                  <v>45205</v>
                </pt>
                <pt idx="437">
                  <v>45208</v>
                </pt>
                <pt idx="438">
                  <v>45209</v>
                </pt>
                <pt idx="439">
                  <v>45210</v>
                </pt>
                <pt idx="440">
                  <v>45211</v>
                </pt>
                <pt idx="441">
                  <v>45212</v>
                </pt>
                <pt idx="442">
                  <v>45215</v>
                </pt>
                <pt idx="443">
                  <v>45216</v>
                </pt>
                <pt idx="444">
                  <v>45217</v>
                </pt>
                <pt idx="445">
                  <v>45218</v>
                </pt>
                <pt idx="446">
                  <v>45219</v>
                </pt>
                <pt idx="447">
                  <v>45222</v>
                </pt>
                <pt idx="448">
                  <v>45224</v>
                </pt>
                <pt idx="449">
                  <v>45225</v>
                </pt>
                <pt idx="450">
                  <v>45226</v>
                </pt>
                <pt idx="451">
                  <v>45229</v>
                </pt>
                <pt idx="452">
                  <v>45230</v>
                </pt>
                <pt idx="453">
                  <v>45231</v>
                </pt>
                <pt idx="454">
                  <v>45232</v>
                </pt>
                <pt idx="455">
                  <v>45233</v>
                </pt>
                <pt idx="456">
                  <v>45236</v>
                </pt>
                <pt idx="457">
                  <v>45237</v>
                </pt>
                <pt idx="458">
                  <v>45238</v>
                </pt>
                <pt idx="459">
                  <v>45239</v>
                </pt>
                <pt idx="460">
                  <v>45240</v>
                </pt>
                <pt idx="461">
                  <v>45242</v>
                </pt>
                <pt idx="462">
                  <v>45243</v>
                </pt>
                <pt idx="463">
                  <v>45245</v>
                </pt>
                <pt idx="464">
                  <v>45246</v>
                </pt>
                <pt idx="465">
                  <v>45247</v>
                </pt>
                <pt idx="466">
                  <v>45250</v>
                </pt>
                <pt idx="467">
                  <v>45251</v>
                </pt>
                <pt idx="468">
                  <v>45252</v>
                </pt>
                <pt idx="469">
                  <v>45253</v>
                </pt>
                <pt idx="470">
                  <v>45254</v>
                </pt>
                <pt idx="471">
                  <v>45258</v>
                </pt>
                <pt idx="472">
                  <v>45259</v>
                </pt>
                <pt idx="473">
                  <v>45260</v>
                </pt>
                <pt idx="474">
                  <v>45261</v>
                </pt>
                <pt idx="475">
                  <v>45264</v>
                </pt>
                <pt idx="476">
                  <v>45265</v>
                </pt>
                <pt idx="477">
                  <v>45266</v>
                </pt>
                <pt idx="478">
                  <v>45267</v>
                </pt>
                <pt idx="479">
                  <v>45268</v>
                </pt>
                <pt idx="480">
                  <v>45271</v>
                </pt>
                <pt idx="481">
                  <v>45272</v>
                </pt>
                <pt idx="482">
                  <v>45273</v>
                </pt>
                <pt idx="483">
                  <v>45274</v>
                </pt>
                <pt idx="484">
                  <v>45275</v>
                </pt>
                <pt idx="485">
                  <v>45278</v>
                </pt>
                <pt idx="486">
                  <v>45279</v>
                </pt>
                <pt idx="487">
                  <v>45280</v>
                </pt>
                <pt idx="488">
                  <v>45281</v>
                </pt>
                <pt idx="489">
                  <v>45282</v>
                </pt>
                <pt idx="490">
                  <v>45286</v>
                </pt>
                <pt idx="491">
                  <v>45287</v>
                </pt>
                <pt idx="492">
                  <v>45288</v>
                </pt>
                <pt idx="493">
                  <v>45289</v>
                </pt>
                <pt idx="494">
                  <v>45292</v>
                </pt>
                <pt idx="495">
                  <v>45293</v>
                </pt>
                <pt idx="496">
                  <v>45294</v>
                </pt>
                <pt idx="497">
                  <v>45295</v>
                </pt>
                <pt idx="498">
                  <v>45296</v>
                </pt>
                <pt idx="499">
                  <v>45299</v>
                </pt>
                <pt idx="500">
                  <v>45300</v>
                </pt>
                <pt idx="501">
                  <v>45301</v>
                </pt>
                <pt idx="502">
                  <v>45302</v>
                </pt>
                <pt idx="503">
                  <v>45303</v>
                </pt>
                <pt idx="504">
                  <v>45306</v>
                </pt>
                <pt idx="505">
                  <v>45307</v>
                </pt>
                <pt idx="506">
                  <v>45308</v>
                </pt>
                <pt idx="507">
                  <v>45309</v>
                </pt>
                <pt idx="508">
                  <v>45310</v>
                </pt>
                <pt idx="509">
                  <v>45311</v>
                </pt>
                <pt idx="510">
                  <v>45314</v>
                </pt>
                <pt idx="511">
                  <v>45315</v>
                </pt>
                <pt idx="512">
                  <v>45316</v>
                </pt>
                <pt idx="513">
                  <v>45320</v>
                </pt>
                <pt idx="514">
                  <v>45321</v>
                </pt>
                <pt idx="515">
                  <v>45322</v>
                </pt>
                <pt idx="516">
                  <v>45323</v>
                </pt>
                <pt idx="517">
                  <v>45324</v>
                </pt>
                <pt idx="518">
                  <v>45327</v>
                </pt>
                <pt idx="519">
                  <v>45328</v>
                </pt>
                <pt idx="520">
                  <v>45329</v>
                </pt>
                <pt idx="521">
                  <v>45330</v>
                </pt>
                <pt idx="522">
                  <v>45331</v>
                </pt>
                <pt idx="523">
                  <v>45334</v>
                </pt>
                <pt idx="524">
                  <v>45335</v>
                </pt>
                <pt idx="525">
                  <v>45336</v>
                </pt>
                <pt idx="526">
                  <v>45337</v>
                </pt>
                <pt idx="527">
                  <v>45338</v>
                </pt>
                <pt idx="528">
                  <v>45341</v>
                </pt>
                <pt idx="529">
                  <v>45342</v>
                </pt>
                <pt idx="530">
                  <v>45343</v>
                </pt>
                <pt idx="531">
                  <v>45344</v>
                </pt>
                <pt idx="532">
                  <v>45345</v>
                </pt>
                <pt idx="533">
                  <v>45348</v>
                </pt>
                <pt idx="534">
                  <v>45349</v>
                </pt>
                <pt idx="535">
                  <v>45350</v>
                </pt>
                <pt idx="536">
                  <v>45351</v>
                </pt>
                <pt idx="537">
                  <v>45352</v>
                </pt>
                <pt idx="538">
                  <v>45353</v>
                </pt>
                <pt idx="539">
                  <v>45355</v>
                </pt>
                <pt idx="540">
                  <v>45356</v>
                </pt>
                <pt idx="541">
                  <v>45357</v>
                </pt>
                <pt idx="542">
                  <v>45358</v>
                </pt>
                <pt idx="543">
                  <v>45362</v>
                </pt>
                <pt idx="544">
                  <v>45363</v>
                </pt>
                <pt idx="545">
                  <v>45364</v>
                </pt>
                <pt idx="546">
                  <v>45365</v>
                </pt>
                <pt idx="547">
                  <v>45366</v>
                </pt>
                <pt idx="548">
                  <v>45369</v>
                </pt>
                <pt idx="549">
                  <v>45370</v>
                </pt>
                <pt idx="550">
                  <v>45371</v>
                </pt>
                <pt idx="551">
                  <v>45372</v>
                </pt>
                <pt idx="552">
                  <v>45373</v>
                </pt>
                <pt idx="553">
                  <v>45377</v>
                </pt>
                <pt idx="554">
                  <v>45378</v>
                </pt>
                <pt idx="555">
                  <v>45379</v>
                </pt>
                <pt idx="556">
                  <v>45383</v>
                </pt>
                <pt idx="557">
                  <v>45384</v>
                </pt>
                <pt idx="558">
                  <v>45385</v>
                </pt>
                <pt idx="559">
                  <v>45386</v>
                </pt>
                <pt idx="560">
                  <v>45387</v>
                </pt>
                <pt idx="561">
                  <v>45390</v>
                </pt>
                <pt idx="562">
                  <v>45391</v>
                </pt>
                <pt idx="563">
                  <v>45392</v>
                </pt>
                <pt idx="564">
                  <v>45394</v>
                </pt>
                <pt idx="565">
                  <v>45397</v>
                </pt>
                <pt idx="566">
                  <v>45398</v>
                </pt>
                <pt idx="567">
                  <v>45400</v>
                </pt>
                <pt idx="568">
                  <v>45401</v>
                </pt>
                <pt idx="569">
                  <v>45404</v>
                </pt>
                <pt idx="570">
                  <v>45405</v>
                </pt>
                <pt idx="571">
                  <v>45406</v>
                </pt>
                <pt idx="572">
                  <v>45407</v>
                </pt>
                <pt idx="573">
                  <v>45408</v>
                </pt>
                <pt idx="574">
                  <v>45411</v>
                </pt>
                <pt idx="575">
                  <v>45412</v>
                </pt>
                <pt idx="576">
                  <v>45414</v>
                </pt>
                <pt idx="577">
                  <v>45415</v>
                </pt>
                <pt idx="578">
                  <v>45418</v>
                </pt>
                <pt idx="579">
                  <v>45419</v>
                </pt>
                <pt idx="580">
                  <v>45420</v>
                </pt>
                <pt idx="581">
                  <v>45421</v>
                </pt>
                <pt idx="582">
                  <v>45422</v>
                </pt>
                <pt idx="583">
                  <v>45425</v>
                </pt>
                <pt idx="584">
                  <v>45426</v>
                </pt>
                <pt idx="585">
                  <v>45427</v>
                </pt>
                <pt idx="586">
                  <v>45428</v>
                </pt>
                <pt idx="587">
                  <v>45429</v>
                </pt>
                <pt idx="588">
                  <v>45430</v>
                </pt>
                <pt idx="589">
                  <v>45433</v>
                </pt>
                <pt idx="590">
                  <v>45434</v>
                </pt>
                <pt idx="591">
                  <v>45435</v>
                </pt>
                <pt idx="592">
                  <v>45436</v>
                </pt>
                <pt idx="593">
                  <v>45439</v>
                </pt>
                <pt idx="594">
                  <v>45440</v>
                </pt>
                <pt idx="595">
                  <v>45441</v>
                </pt>
                <pt idx="596">
                  <v>45442</v>
                </pt>
                <pt idx="597">
                  <v>45443</v>
                </pt>
                <pt idx="598">
                  <v>45446</v>
                </pt>
                <pt idx="599">
                  <v>45447</v>
                </pt>
                <pt idx="600">
                  <v>45448</v>
                </pt>
                <pt idx="601">
                  <v>45449</v>
                </pt>
                <pt idx="602">
                  <v>45450</v>
                </pt>
                <pt idx="603">
                  <v>45453</v>
                </pt>
                <pt idx="604">
                  <v>45454</v>
                </pt>
                <pt idx="605">
                  <v>45455</v>
                </pt>
                <pt idx="606">
                  <v>45456</v>
                </pt>
                <pt idx="607">
                  <v>45457</v>
                </pt>
                <pt idx="608">
                  <v>45461</v>
                </pt>
                <pt idx="609">
                  <v>45462</v>
                </pt>
                <pt idx="610">
                  <v>45463</v>
                </pt>
                <pt idx="611">
                  <v>45464</v>
                </pt>
                <pt idx="612">
                  <v>45467</v>
                </pt>
                <pt idx="613">
                  <v>45468</v>
                </pt>
                <pt idx="614">
                  <v>45469</v>
                </pt>
                <pt idx="615">
                  <v>45470</v>
                </pt>
                <pt idx="616">
                  <v>45471</v>
                </pt>
                <pt idx="617">
                  <v>45474</v>
                </pt>
                <pt idx="618">
                  <v>45475</v>
                </pt>
                <pt idx="619">
                  <v>45476</v>
                </pt>
                <pt idx="620">
                  <v>45477</v>
                </pt>
                <pt idx="621">
                  <v>45478</v>
                </pt>
                <pt idx="622">
                  <v>45481</v>
                </pt>
                <pt idx="623">
                  <v>45482</v>
                </pt>
                <pt idx="624">
                  <v>45483</v>
                </pt>
                <pt idx="625">
                  <v>45484</v>
                </pt>
                <pt idx="626">
                  <v>45485</v>
                </pt>
                <pt idx="627">
                  <v>45488</v>
                </pt>
                <pt idx="628">
                  <v>45489</v>
                </pt>
                <pt idx="629">
                  <v>45491</v>
                </pt>
                <pt idx="630">
                  <v>45492</v>
                </pt>
                <pt idx="631">
                  <v>45495</v>
                </pt>
                <pt idx="632">
                  <v>45496</v>
                </pt>
                <pt idx="633">
                  <v>45497</v>
                </pt>
                <pt idx="634">
                  <v>45498</v>
                </pt>
                <pt idx="635">
                  <v>45499</v>
                </pt>
                <pt idx="636">
                  <v>45502</v>
                </pt>
                <pt idx="637">
                  <v>45503</v>
                </pt>
                <pt idx="638">
                  <v>45504</v>
                </pt>
                <pt idx="639">
                  <v>45505</v>
                </pt>
                <pt idx="640">
                  <v>45506</v>
                </pt>
                <pt idx="641">
                  <v>45509</v>
                </pt>
                <pt idx="642">
                  <v>45510</v>
                </pt>
                <pt idx="643">
                  <v>45511</v>
                </pt>
                <pt idx="644">
                  <v>45512</v>
                </pt>
                <pt idx="645">
                  <v>45513</v>
                </pt>
                <pt idx="646">
                  <v>45516</v>
                </pt>
                <pt idx="647">
                  <v>45517</v>
                </pt>
                <pt idx="648">
                  <v>45518</v>
                </pt>
                <pt idx="649">
                  <v>45520</v>
                </pt>
                <pt idx="650">
                  <v>45523</v>
                </pt>
                <pt idx="651">
                  <v>45524</v>
                </pt>
                <pt idx="652">
                  <v>45525</v>
                </pt>
                <pt idx="653">
                  <v>45526</v>
                </pt>
                <pt idx="654">
                  <v>45527</v>
                </pt>
                <pt idx="655">
                  <v>45530</v>
                </pt>
                <pt idx="656">
                  <v>45531</v>
                </pt>
                <pt idx="657">
                  <v>45532</v>
                </pt>
                <pt idx="658">
                  <v>45533</v>
                </pt>
                <pt idx="659">
                  <v>45534</v>
                </pt>
                <pt idx="660">
                  <v>45537</v>
                </pt>
                <pt idx="661">
                  <v>45538</v>
                </pt>
                <pt idx="662">
                  <v>45539</v>
                </pt>
                <pt idx="663">
                  <v>45540</v>
                </pt>
                <pt idx="664">
                  <v>45541</v>
                </pt>
                <pt idx="665">
                  <v>45544</v>
                </pt>
                <pt idx="666">
                  <v>45545</v>
                </pt>
                <pt idx="667">
                  <v>45546</v>
                </pt>
                <pt idx="668">
                  <v>45547</v>
                </pt>
                <pt idx="669">
                  <v>45548</v>
                </pt>
                <pt idx="670">
                  <v>45551</v>
                </pt>
                <pt idx="671">
                  <v>45552</v>
                </pt>
                <pt idx="672">
                  <v>45553</v>
                </pt>
                <pt idx="673">
                  <v>45554</v>
                </pt>
                <pt idx="674">
                  <v>45555</v>
                </pt>
                <pt idx="675">
                  <v>45558</v>
                </pt>
                <pt idx="676">
                  <v>45559</v>
                </pt>
                <pt idx="677">
                  <v>45560</v>
                </pt>
                <pt idx="678">
                  <v>45561</v>
                </pt>
                <pt idx="679">
                  <v>45562</v>
                </pt>
                <pt idx="680">
                  <v>45565</v>
                </pt>
                <pt idx="681">
                  <v>45566</v>
                </pt>
                <pt idx="682">
                  <v>45568</v>
                </pt>
                <pt idx="683">
                  <v>45569</v>
                </pt>
                <pt idx="684">
                  <v>45572</v>
                </pt>
                <pt idx="685">
                  <v>45573</v>
                </pt>
                <pt idx="686">
                  <v>45574</v>
                </pt>
                <pt idx="687">
                  <v>45575</v>
                </pt>
                <pt idx="688">
                  <v>45576</v>
                </pt>
                <pt idx="689">
                  <v>45579</v>
                </pt>
                <pt idx="690">
                  <v>45580</v>
                </pt>
                <pt idx="691">
                  <v>45581</v>
                </pt>
                <pt idx="692">
                  <v>45582</v>
                </pt>
                <pt idx="693">
                  <v>45583</v>
                </pt>
                <pt idx="694">
                  <v>45586</v>
                </pt>
                <pt idx="695">
                  <v>45587</v>
                </pt>
                <pt idx="696">
                  <v>45588</v>
                </pt>
                <pt idx="697">
                  <v>45589</v>
                </pt>
                <pt idx="698">
                  <v>45590</v>
                </pt>
                <pt idx="699">
                  <v>45593</v>
                </pt>
                <pt idx="700">
                  <v>45594</v>
                </pt>
                <pt idx="701">
                  <v>45595</v>
                </pt>
                <pt idx="702">
                  <v>45596</v>
                </pt>
                <pt idx="703">
                  <v>45597</v>
                </pt>
                <pt idx="704">
                  <v>45600</v>
                </pt>
                <pt idx="705">
                  <v>45601</v>
                </pt>
                <pt idx="706">
                  <v>45602</v>
                </pt>
                <pt idx="707">
                  <v>45603</v>
                </pt>
                <pt idx="708">
                  <v>45604</v>
                </pt>
                <pt idx="709">
                  <v>45607</v>
                </pt>
                <pt idx="710">
                  <v>45608</v>
                </pt>
                <pt idx="711">
                  <v>45609</v>
                </pt>
                <pt idx="712">
                  <v>45610</v>
                </pt>
                <pt idx="713">
                  <v>45614</v>
                </pt>
                <pt idx="714">
                  <v>45615</v>
                </pt>
                <pt idx="715">
                  <v>45617</v>
                </pt>
                <pt idx="716">
                  <v>45618</v>
                </pt>
                <pt idx="717">
                  <v>45621</v>
                </pt>
                <pt idx="718">
                  <v>45622</v>
                </pt>
                <pt idx="719">
                  <v>45623</v>
                </pt>
                <pt idx="720">
                  <v>45624</v>
                </pt>
                <pt idx="721">
                  <v>45625</v>
                </pt>
                <pt idx="722">
                  <v>45628</v>
                </pt>
                <pt idx="723">
                  <v>45629</v>
                </pt>
                <pt idx="724">
                  <v>45630</v>
                </pt>
                <pt idx="725">
                  <v>45631</v>
                </pt>
                <pt idx="726">
                  <v>45632</v>
                </pt>
                <pt idx="727">
                  <v>45635</v>
                </pt>
                <pt idx="728">
                  <v>45636</v>
                </pt>
                <pt idx="729">
                  <v>45637</v>
                </pt>
                <pt idx="730">
                  <v>45638</v>
                </pt>
                <pt idx="731">
                  <v>45639</v>
                </pt>
                <pt idx="732">
                  <v>45642</v>
                </pt>
                <pt idx="733">
                  <v>45643</v>
                </pt>
                <pt idx="734">
                  <v>45644</v>
                </pt>
                <pt idx="735">
                  <v>45645</v>
                </pt>
                <pt idx="736">
                  <v>45646</v>
                </pt>
                <pt idx="737">
                  <v>45649</v>
                </pt>
                <pt idx="738">
                  <v>45650</v>
                </pt>
                <pt idx="739">
                  <v>45652</v>
                </pt>
                <pt idx="740">
                  <v>45653</v>
                </pt>
                <pt idx="741">
                  <v>45656</v>
                </pt>
                <pt idx="742">
                  <v>45657</v>
                </pt>
                <pt idx="743">
                  <v>45658</v>
                </pt>
                <pt idx="744">
                  <v>45659</v>
                </pt>
                <pt idx="745">
                  <v>45660</v>
                </pt>
                <pt idx="746">
                  <v>45663</v>
                </pt>
                <pt idx="747">
                  <v>45664</v>
                </pt>
                <pt idx="748">
                  <v>45665</v>
                </pt>
                <pt idx="749">
                  <v>45666</v>
                </pt>
                <pt idx="750">
                  <v>45667</v>
                </pt>
                <pt idx="751">
                  <v>45670</v>
                </pt>
                <pt idx="752">
                  <v>45671</v>
                </pt>
                <pt idx="753">
                  <v>45672</v>
                </pt>
                <pt idx="754">
                  <v>45673</v>
                </pt>
                <pt idx="755">
                  <v>45674</v>
                </pt>
                <pt idx="756">
                  <v>45677</v>
                </pt>
                <pt idx="757">
                  <v>45678</v>
                </pt>
                <pt idx="758">
                  <v>45679</v>
                </pt>
                <pt idx="759">
                  <v>45680</v>
                </pt>
                <pt idx="760">
                  <v>45681</v>
                </pt>
                <pt idx="761">
                  <v>45684</v>
                </pt>
                <pt idx="762">
                  <v>45685</v>
                </pt>
                <pt idx="763">
                  <v>45686</v>
                </pt>
                <pt idx="764">
                  <v>45687</v>
                </pt>
                <pt idx="765">
                  <v>45688</v>
                </pt>
                <pt idx="766">
                  <v>45689</v>
                </pt>
                <pt idx="767">
                  <v>45691</v>
                </pt>
                <pt idx="768">
                  <v>45692</v>
                </pt>
                <pt idx="769">
                  <v>45693</v>
                </pt>
                <pt idx="770">
                  <v>45694</v>
                </pt>
                <pt idx="771">
                  <v>45695</v>
                </pt>
                <pt idx="772">
                  <v>45698</v>
                </pt>
                <pt idx="773">
                  <v>45699</v>
                </pt>
                <pt idx="774">
                  <v>45700</v>
                </pt>
                <pt idx="775">
                  <v>45701</v>
                </pt>
                <pt idx="776">
                  <v>45702</v>
                </pt>
                <pt idx="777">
                  <v>45705</v>
                </pt>
                <pt idx="778">
                  <v>45706</v>
                </pt>
                <pt idx="779">
                  <v>45707</v>
                </pt>
                <pt idx="780">
                  <v>45708</v>
                </pt>
                <pt idx="781">
                  <v>45709</v>
                </pt>
                <pt idx="782">
                  <v>45712</v>
                </pt>
                <pt idx="783">
                  <v>45713</v>
                </pt>
                <pt idx="784">
                  <v>45715</v>
                </pt>
                <pt idx="785">
                  <v>45716</v>
                </pt>
                <pt idx="786">
                  <v>45719</v>
                </pt>
                <pt idx="787">
                  <v>45720</v>
                </pt>
                <pt idx="788">
                  <v>45721</v>
                </pt>
                <pt idx="789">
                  <v>45722</v>
                </pt>
                <pt idx="790">
                  <v>45723</v>
                </pt>
                <pt idx="791">
                  <v>45726</v>
                </pt>
                <pt idx="792">
                  <v>45727</v>
                </pt>
                <pt idx="793">
                  <v>45728</v>
                </pt>
                <pt idx="794">
                  <v>45729</v>
                </pt>
                <pt idx="795">
                  <v>45733</v>
                </pt>
                <pt idx="796">
                  <v>45734</v>
                </pt>
                <pt idx="797">
                  <v>45735</v>
                </pt>
                <pt idx="798">
                  <v>45736</v>
                </pt>
                <pt idx="799">
                  <v>45737</v>
                </pt>
                <pt idx="800">
                  <v>45740</v>
                </pt>
                <pt idx="801">
                  <v>45741</v>
                </pt>
                <pt idx="802">
                  <v>45742</v>
                </pt>
                <pt idx="803">
                  <v>45743</v>
                </pt>
                <pt idx="804">
                  <v>45744</v>
                </pt>
              </numCache>
            </numRef>
          </cat>
          <val>
            <numRef>
              <f>'EVI 2025 Workings'!$O$2:$O$806</f>
              <numCache>
                <formatCode>0.00</formatCode>
                <ptCount val="805"/>
                <pt idx="0">
                  <v>24.49</v>
                </pt>
                <pt idx="1">
                  <v>24.74</v>
                </pt>
                <pt idx="2">
                  <v>24.91</v>
                </pt>
                <pt idx="3">
                  <v>24.66</v>
                </pt>
                <pt idx="4">
                  <v>24.75</v>
                </pt>
                <pt idx="5">
                  <v>25.01</v>
                </pt>
                <pt idx="6">
                  <v>25.09</v>
                </pt>
                <pt idx="7">
                  <v>25.3</v>
                </pt>
                <pt idx="8">
                  <v>25.37</v>
                </pt>
                <pt idx="9">
                  <v>25.3</v>
                </pt>
                <pt idx="10">
                  <v>25.37</v>
                </pt>
                <pt idx="11">
                  <v>25</v>
                </pt>
                <pt idx="12">
                  <v>24.76</v>
                </pt>
                <pt idx="13">
                  <v>24.47</v>
                </pt>
                <pt idx="14">
                  <v>24.29</v>
                </pt>
                <pt idx="15">
                  <v>23.63</v>
                </pt>
                <pt idx="16">
                  <v>23.47</v>
                </pt>
                <pt idx="17">
                  <v>23.09</v>
                </pt>
                <pt idx="18">
                  <v>23.1</v>
                </pt>
                <pt idx="19">
                  <v>23.42</v>
                </pt>
                <pt idx="20">
                  <v>23.62</v>
                </pt>
                <pt idx="21">
                  <v>23.95</v>
                </pt>
                <pt idx="22">
                  <v>23.65</v>
                </pt>
                <pt idx="23">
                  <v>23.56</v>
                </pt>
                <pt idx="24">
                  <v>23.11</v>
                </pt>
                <pt idx="25">
                  <v>22.83</v>
                </pt>
                <pt idx="26">
                  <v>23.09</v>
                </pt>
                <pt idx="27">
                  <v>22.98</v>
                </pt>
                <pt idx="28">
                  <v>22.68</v>
                </pt>
                <pt idx="29">
                  <v>21.85</v>
                </pt>
                <pt idx="30">
                  <v>22.36</v>
                </pt>
                <pt idx="31">
                  <v>22.27</v>
                </pt>
                <pt idx="32">
                  <v>22.25</v>
                </pt>
                <pt idx="33">
                  <v>22.21</v>
                </pt>
                <pt idx="34">
                  <v>22.12</v>
                </pt>
                <pt idx="35">
                  <v>21.97</v>
                </pt>
                <pt idx="36">
                  <v>21.94</v>
                </pt>
                <pt idx="37">
                  <v>20.89</v>
                </pt>
                <pt idx="38">
                  <v>21.42</v>
                </pt>
                <pt idx="39">
                  <v>21.59</v>
                </pt>
                <pt idx="40">
                  <v>21.35</v>
                </pt>
                <pt idx="41">
                  <v>21.21</v>
                </pt>
                <pt idx="42">
                  <v>20.89</v>
                </pt>
                <pt idx="43">
                  <v>20.39</v>
                </pt>
                <pt idx="44">
                  <v>20.59</v>
                </pt>
                <pt idx="45">
                  <v>21.01</v>
                </pt>
                <pt idx="46">
                  <v>21.34</v>
                </pt>
                <pt idx="47">
                  <v>21.38</v>
                </pt>
                <pt idx="48">
                  <v>21.69</v>
                </pt>
                <pt idx="49">
                  <v>21.42</v>
                </pt>
                <pt idx="50">
                  <v>21.82</v>
                </pt>
                <pt idx="51">
                  <v>22.23</v>
                </pt>
                <pt idx="52">
                  <v>22.01</v>
                </pt>
                <pt idx="53">
                  <v>22.26</v>
                </pt>
                <pt idx="54">
                  <v>22.17</v>
                </pt>
                <pt idx="55">
                  <v>22.14</v>
                </pt>
                <pt idx="56">
                  <v>22.05</v>
                </pt>
                <pt idx="57">
                  <v>22.14</v>
                </pt>
                <pt idx="58">
                  <v>22.27</v>
                </pt>
                <pt idx="59">
                  <v>22.5</v>
                </pt>
                <pt idx="60">
                  <v>22.92</v>
                </pt>
                <pt idx="61">
                  <v>23.19</v>
                </pt>
                <pt idx="62">
                  <v>23.69</v>
                </pt>
                <pt idx="63">
                  <v>23.57</v>
                </pt>
                <pt idx="64">
                  <v>23.37</v>
                </pt>
                <pt idx="65">
                  <v>23.15</v>
                </pt>
                <pt idx="66">
                  <v>23.34</v>
                </pt>
                <pt idx="67">
                  <v>23.2</v>
                </pt>
                <pt idx="68">
                  <v>23.01</v>
                </pt>
                <pt idx="69">
                  <v>22.92</v>
                </pt>
                <pt idx="70">
                  <v>22.53</v>
                </pt>
                <pt idx="71">
                  <v>22.1</v>
                </pt>
                <pt idx="72">
                  <v>22.33</v>
                </pt>
                <pt idx="73">
                  <v>22.67</v>
                </pt>
                <pt idx="74">
                  <v>22.38</v>
                </pt>
                <pt idx="75">
                  <v>22.03</v>
                </pt>
                <pt idx="76">
                  <v>22.17</v>
                </pt>
                <pt idx="77">
                  <v>21.96</v>
                </pt>
                <pt idx="78">
                  <v>22.2</v>
                </pt>
                <pt idx="79">
                  <v>22.01</v>
                </pt>
                <pt idx="80">
                  <v>21.87</v>
                </pt>
                <pt idx="81">
                  <v>21.31</v>
                </pt>
                <pt idx="82">
                  <v>21.24</v>
                </pt>
                <pt idx="83">
                  <v>20.89</v>
                </pt>
                <pt idx="84">
                  <v>20.75</v>
                </pt>
                <pt idx="85">
                  <v>20.42</v>
                </pt>
                <pt idx="86">
                  <v>20.32</v>
                </pt>
                <pt idx="87">
                  <v>19.87</v>
                </pt>
                <pt idx="88">
                  <v>19.83</v>
                </pt>
                <pt idx="89">
                  <v>19.72</v>
                </pt>
                <pt idx="90">
                  <v>20.12</v>
                </pt>
                <pt idx="91">
                  <v>20.09</v>
                </pt>
                <pt idx="92">
                  <v>19.51</v>
                </pt>
                <pt idx="93">
                  <v>20.05</v>
                </pt>
                <pt idx="94">
                  <v>20.01</v>
                </pt>
                <pt idx="95">
                  <v>19.87</v>
                </pt>
                <pt idx="96">
                  <v>19.74</v>
                </pt>
                <pt idx="97">
                  <v>19.88</v>
                </pt>
                <pt idx="98">
                  <v>20.27</v>
                </pt>
                <pt idx="99">
                  <v>20.65</v>
                </pt>
                <pt idx="100">
                  <v>20.44</v>
                </pt>
                <pt idx="101">
                  <v>20.45</v>
                </pt>
                <pt idx="102">
                  <v>20.58</v>
                </pt>
                <pt idx="103">
                  <v>20.52</v>
                </pt>
                <pt idx="104">
                  <v>20.5</v>
                </pt>
                <pt idx="105">
                  <v>20.31</v>
                </pt>
                <pt idx="106">
                  <v>20.24</v>
                </pt>
                <pt idx="107">
                  <v>20.39</v>
                </pt>
                <pt idx="108">
                  <v>20.05</v>
                </pt>
                <pt idx="109">
                  <v>19.52</v>
                </pt>
                <pt idx="110">
                  <v>19.47</v>
                </pt>
                <pt idx="111">
                  <v>19.42</v>
                </pt>
                <pt idx="112">
                  <v>19.01</v>
                </pt>
                <pt idx="113">
                  <v>18.92</v>
                </pt>
                <pt idx="114">
                  <v>18.99</v>
                </pt>
                <pt idx="115">
                  <v>19.35</v>
                </pt>
                <pt idx="116">
                  <v>19.07</v>
                </pt>
                <pt idx="117">
                  <v>19.25</v>
                </pt>
                <pt idx="118">
                  <v>19.43</v>
                </pt>
                <pt idx="119">
                  <v>19.59</v>
                </pt>
                <pt idx="120">
                  <v>19.61</v>
                </pt>
                <pt idx="121">
                  <v>19.55</v>
                </pt>
                <pt idx="122">
                  <v>19.5</v>
                </pt>
                <pt idx="123">
                  <v>19.46</v>
                </pt>
                <pt idx="124">
                  <v>19.57</v>
                </pt>
                <pt idx="125">
                  <v>19.54</v>
                </pt>
                <pt idx="126">
                  <v>19.76</v>
                </pt>
                <pt idx="127">
                  <v>19.93</v>
                </pt>
                <pt idx="128">
                  <v>20.04</v>
                </pt>
                <pt idx="129">
                  <v>20.03</v>
                </pt>
                <pt idx="130">
                  <v>19.83</v>
                </pt>
                <pt idx="131">
                  <v>19.72</v>
                </pt>
                <pt idx="132">
                  <v>19.69</v>
                </pt>
                <pt idx="133">
                  <v>19.82</v>
                </pt>
                <pt idx="134">
                  <v>20.11</v>
                </pt>
                <pt idx="135">
                  <v>20.18</v>
                </pt>
                <pt idx="136">
                  <v>20.33</v>
                </pt>
                <pt idx="137">
                  <v>20.43</v>
                </pt>
                <pt idx="138">
                  <v>20.55</v>
                </pt>
                <pt idx="139">
                  <v>20.44</v>
                </pt>
                <pt idx="140">
                  <v>20.17</v>
                </pt>
                <pt idx="141">
                  <v>20.19</v>
                </pt>
                <pt idx="142">
                  <v>20.49</v>
                </pt>
                <pt idx="143">
                  <v>20.73</v>
                </pt>
                <pt idx="144">
                  <v>20.9</v>
                </pt>
                <pt idx="145">
                  <v>20.86</v>
                </pt>
                <pt idx="146">
                  <v>20.85</v>
                </pt>
                <pt idx="147">
                  <v>20.85</v>
                </pt>
                <pt idx="148">
                  <v>20.86</v>
                </pt>
                <pt idx="149">
                  <v>21.02</v>
                </pt>
                <pt idx="150">
                  <v>21.11</v>
                </pt>
                <pt idx="151">
                  <v>21.29</v>
                </pt>
                <pt idx="152">
                  <v>21.18</v>
                </pt>
                <pt idx="153">
                  <v>21.34</v>
                </pt>
                <pt idx="154">
                  <v>21.42</v>
                </pt>
                <pt idx="155">
                  <v>21.44</v>
                </pt>
                <pt idx="156">
                  <v>21.2</v>
                </pt>
                <pt idx="157">
                  <v>20.88</v>
                </pt>
                <pt idx="158">
                  <v>20.98</v>
                </pt>
                <pt idx="159">
                  <v>21.02</v>
                </pt>
                <pt idx="160">
                  <v>20.92</v>
                </pt>
                <pt idx="161">
                  <v>20.96</v>
                </pt>
                <pt idx="162">
                  <v>20.67</v>
                </pt>
                <pt idx="163">
                  <v>21.2</v>
                </pt>
                <pt idx="164">
                  <v>20.94</v>
                </pt>
                <pt idx="165">
                  <v>20.94</v>
                </pt>
                <pt idx="166">
                  <v>21.09</v>
                </pt>
                <pt idx="167">
                  <v>21.08</v>
                </pt>
                <pt idx="168">
                  <v>21.04</v>
                </pt>
                <pt idx="169">
                  <v>21.25</v>
                </pt>
                <pt idx="170">
                  <v>21.29</v>
                </pt>
                <pt idx="171">
                  <v>21.41</v>
                </pt>
                <pt idx="172">
                  <v>21.57</v>
                </pt>
                <pt idx="173">
                  <v>21.49</v>
                </pt>
                <pt idx="174">
                  <v>21.34</v>
                </pt>
                <pt idx="175">
                  <v>20.93</v>
                </pt>
                <pt idx="176">
                  <v>21.04</v>
                </pt>
                <pt idx="177">
                  <v>21.27</v>
                </pt>
                <pt idx="178">
                  <v>21.15</v>
                </pt>
                <pt idx="179">
                  <v>21.05</v>
                </pt>
                <pt idx="180">
                  <v>20.69</v>
                </pt>
                <pt idx="181">
                  <v>20.31</v>
                </pt>
                <pt idx="182">
                  <v>20.3</v>
                </pt>
                <pt idx="183">
                  <v>20.13</v>
                </pt>
                <pt idx="184">
                  <v>20.08</v>
                </pt>
                <pt idx="185">
                  <v>20.64</v>
                </pt>
                <pt idx="186">
                  <v>20.39</v>
                </pt>
                <pt idx="187">
                  <v>20.86</v>
                </pt>
                <pt idx="188">
                  <v>20.93</v>
                </pt>
                <pt idx="189">
                  <v>20.9</v>
                </pt>
                <pt idx="190">
                  <v>20.82</v>
                </pt>
                <pt idx="191">
                  <v>20.51</v>
                </pt>
                <pt idx="192">
                  <v>20.67</v>
                </pt>
                <pt idx="193">
                  <v>20.53</v>
                </pt>
                <pt idx="194">
                  <v>20.74</v>
                </pt>
                <pt idx="195">
                  <v>20.86</v>
                </pt>
                <pt idx="196">
                  <v>20.99</v>
                </pt>
                <pt idx="197">
                  <v>21.02</v>
                </pt>
                <pt idx="198">
                  <v>21.06</v>
                </pt>
                <pt idx="199">
                  <v>21.07</v>
                </pt>
                <pt idx="200">
                  <v>21.26</v>
                </pt>
                <pt idx="201">
                  <v>21</v>
                </pt>
                <pt idx="202">
                  <v>21.1</v>
                </pt>
                <pt idx="203">
                  <v>21.15</v>
                </pt>
                <pt idx="204">
                  <v>21.42</v>
                </pt>
                <pt idx="205">
                  <v>22</v>
                </pt>
                <pt idx="206">
                  <v>21.82</v>
                </pt>
                <pt idx="207">
                  <v>21.79</v>
                </pt>
                <pt idx="208">
                  <v>21.77</v>
                </pt>
                <pt idx="209">
                  <v>21.71</v>
                </pt>
                <pt idx="210">
                  <v>21.66</v>
                </pt>
                <pt idx="211">
                  <v>21.53</v>
                </pt>
                <pt idx="212">
                  <v>21.92</v>
                </pt>
                <pt idx="213">
                  <v>21.79</v>
                </pt>
                <pt idx="214">
                  <v>21.89</v>
                </pt>
                <pt idx="215">
                  <v>21.91</v>
                </pt>
                <pt idx="216">
                  <v>21.83</v>
                </pt>
                <pt idx="217">
                  <v>21.79</v>
                </pt>
                <pt idx="218">
                  <v>21.82</v>
                </pt>
                <pt idx="219">
                  <v>21.93</v>
                </pt>
                <pt idx="220">
                  <v>21.95</v>
                </pt>
                <pt idx="221">
                  <v>22.21</v>
                </pt>
                <pt idx="222">
                  <v>22.25</v>
                </pt>
                <pt idx="223">
                  <v>22.31</v>
                </pt>
                <pt idx="224">
                  <v>22.37</v>
                </pt>
                <pt idx="225">
                  <v>22.54</v>
                </pt>
                <pt idx="226">
                  <v>22.61</v>
                </pt>
                <pt idx="227">
                  <v>22.47</v>
                </pt>
                <pt idx="228">
                  <v>22.47</v>
                </pt>
                <pt idx="229">
                  <v>22.4</v>
                </pt>
                <pt idx="230">
                  <v>22.31</v>
                </pt>
                <pt idx="231">
                  <v>22.36</v>
                </pt>
                <pt idx="232">
                  <v>22.23</v>
                </pt>
                <pt idx="233">
                  <v>22.23</v>
                </pt>
                <pt idx="234">
                  <v>22.36</v>
                </pt>
                <pt idx="235">
                  <v>22.43</v>
                </pt>
                <pt idx="236">
                  <v>22.13</v>
                </pt>
                <pt idx="237">
                  <v>21.96</v>
                </pt>
                <pt idx="238">
                  <v>22.14</v>
                </pt>
                <pt idx="239">
                  <v>22.1</v>
                </pt>
                <pt idx="240">
                  <v>21.87</v>
                </pt>
                <pt idx="241">
                  <v>21.79</v>
                </pt>
                <pt idx="242">
                  <v>21.4</v>
                </pt>
                <pt idx="243">
                  <v>21.65</v>
                </pt>
                <pt idx="244">
                  <v>21.79</v>
                </pt>
                <pt idx="245">
                  <v>21.78</v>
                </pt>
                <pt idx="246">
                  <v>21.86</v>
                </pt>
                <pt idx="247">
                  <v>21.79</v>
                </pt>
                <pt idx="248">
                  <v>21.9</v>
                </pt>
                <pt idx="249">
                  <v>21.94</v>
                </pt>
                <pt idx="250">
                  <v>21.71</v>
                </pt>
                <pt idx="251">
                  <v>21.65</v>
                </pt>
                <pt idx="252">
                  <v>21.49</v>
                </pt>
                <pt idx="253">
                  <v>21.78</v>
                </pt>
                <pt idx="254">
                  <v>21.56</v>
                </pt>
                <pt idx="255">
                  <v>21.52</v>
                </pt>
                <pt idx="256">
                  <v>21.47</v>
                </pt>
                <pt idx="257">
                  <v>21.54</v>
                </pt>
                <pt idx="258">
                  <v>21.34</v>
                </pt>
                <pt idx="259">
                  <v>21.53</v>
                </pt>
                <pt idx="260">
                  <v>21.67</v>
                </pt>
                <pt idx="261">
                  <v>21.56</v>
                </pt>
                <pt idx="262">
                  <v>21.46</v>
                </pt>
                <pt idx="263">
                  <v>21.6</v>
                </pt>
                <pt idx="264">
                  <v>21.49</v>
                </pt>
                <pt idx="265">
                  <v>21.19</v>
                </pt>
                <pt idx="266">
                  <v>20.7</v>
                </pt>
                <pt idx="267">
                  <v>20.73</v>
                </pt>
                <pt idx="268">
                  <v>20.73</v>
                </pt>
                <pt idx="269">
                  <v>20.68</v>
                </pt>
                <pt idx="270">
                  <v>20.59</v>
                </pt>
                <pt idx="271">
                  <v>20.86</v>
                </pt>
                <pt idx="272">
                  <v>20.71</v>
                </pt>
                <pt idx="273">
                  <v>20.5</v>
                </pt>
                <pt idx="274">
                  <v>21.1</v>
                </pt>
                <pt idx="275">
                  <v>21.11</v>
                </pt>
                <pt idx="276">
                  <v>21.06</v>
                </pt>
                <pt idx="277">
                  <v>21.05</v>
                </pt>
                <pt idx="278">
                  <v>21.21</v>
                </pt>
                <pt idx="279">
                  <v>21.31</v>
                </pt>
                <pt idx="280">
                  <v>21.26</v>
                </pt>
                <pt idx="281">
                  <v>21.15</v>
                </pt>
                <pt idx="282">
                  <v>21.04</v>
                </pt>
                <pt idx="283">
                  <v>21.01</v>
                </pt>
                <pt idx="284">
                  <v>20.69</v>
                </pt>
                <pt idx="285">
                  <v>20.64</v>
                </pt>
                <pt idx="286">
                  <v>20.58</v>
                </pt>
                <pt idx="287">
                  <v>20.49</v>
                </pt>
                <pt idx="288">
                  <v>20.39</v>
                </pt>
                <pt idx="289">
                  <v>20.56</v>
                </pt>
                <pt idx="290">
                  <v>20.41</v>
                </pt>
                <pt idx="291">
                  <v>20.73</v>
                </pt>
                <pt idx="292">
                  <v>20.87</v>
                </pt>
                <pt idx="293">
                  <v>20.92</v>
                </pt>
                <pt idx="294">
                  <v>20.73</v>
                </pt>
                <pt idx="295">
                  <v>20.52</v>
                </pt>
                <pt idx="296">
                  <v>20.21</v>
                </pt>
                <pt idx="297">
                  <v>20.08</v>
                </pt>
                <pt idx="298">
                  <v>20</v>
                </pt>
                <pt idx="299">
                  <v>20.01</v>
                </pt>
                <pt idx="300">
                  <v>20.15</v>
                </pt>
                <pt idx="301">
                  <v>20.02</v>
                </pt>
                <pt idx="302">
                  <v>20.16</v>
                </pt>
                <pt idx="303">
                  <v>20.21</v>
                </pt>
                <pt idx="304">
                  <v>20.12</v>
                </pt>
                <pt idx="305">
                  <v>19.97</v>
                </pt>
                <pt idx="306">
                  <v>20</v>
                </pt>
                <pt idx="307">
                  <v>19.97</v>
                </pt>
                <pt idx="308">
                  <v>20.13</v>
                </pt>
                <pt idx="309">
                  <v>20.44</v>
                </pt>
                <pt idx="310">
                  <v>20.48</v>
                </pt>
                <pt idx="311">
                  <v>20.67</v>
                </pt>
                <pt idx="312">
                  <v>20.72</v>
                </pt>
                <pt idx="313">
                  <v>20.75</v>
                </pt>
                <pt idx="314">
                  <v>20.86</v>
                </pt>
                <pt idx="315">
                  <v>20.97</v>
                </pt>
                <pt idx="316">
                  <v>20.99</v>
                </pt>
                <pt idx="317">
                  <v>20.82</v>
                </pt>
                <pt idx="318">
                  <v>20.65</v>
                </pt>
                <pt idx="319">
                  <v>20.6</v>
                </pt>
                <pt idx="320">
                  <v>20.61</v>
                </pt>
                <pt idx="321">
                  <v>20.61</v>
                </pt>
                <pt idx="322">
                  <v>20.74</v>
                </pt>
                <pt idx="323">
                  <v>20.56</v>
                </pt>
                <pt idx="324">
                  <v>20.59</v>
                </pt>
                <pt idx="325">
                  <v>20.7</v>
                </pt>
                <pt idx="326">
                  <v>20.87</v>
                </pt>
                <pt idx="327">
                  <v>20.92</v>
                </pt>
                <pt idx="328">
                  <v>21.33</v>
                </pt>
                <pt idx="329">
                  <v>21.85</v>
                </pt>
                <pt idx="330">
                  <v>21.62</v>
                </pt>
                <pt idx="331">
                  <v>21.77</v>
                </pt>
                <pt idx="332">
                  <v>21.77</v>
                </pt>
                <pt idx="333">
                  <v>21.88</v>
                </pt>
                <pt idx="334">
                  <v>21.86</v>
                </pt>
                <pt idx="335">
                  <v>21.82</v>
                </pt>
                <pt idx="336">
                  <v>21.92</v>
                </pt>
                <pt idx="337">
                  <v>21.59</v>
                </pt>
                <pt idx="338">
                  <v>21.47</v>
                </pt>
                <pt idx="339">
                  <v>21.39</v>
                </pt>
                <pt idx="340">
                  <v>21.48</v>
                </pt>
                <pt idx="341">
                  <v>21.36</v>
                </pt>
                <pt idx="342">
                  <v>21.41</v>
                </pt>
                <pt idx="343">
                  <v>21.24</v>
                </pt>
                <pt idx="344">
                  <v>21.28</v>
                </pt>
                <pt idx="345">
                  <v>21.54</v>
                </pt>
                <pt idx="346">
                  <v>21.65</v>
                </pt>
                <pt idx="347">
                  <v>21.7</v>
                </pt>
                <pt idx="348">
                  <v>21.59</v>
                </pt>
                <pt idx="349">
                  <v>21.53</v>
                </pt>
                <pt idx="350">
                  <v>21.58</v>
                </pt>
                <pt idx="351">
                  <v>21.65</v>
                </pt>
                <pt idx="352">
                  <v>21.66</v>
                </pt>
                <pt idx="353">
                  <v>21.81</v>
                </pt>
                <pt idx="354">
                  <v>21.7</v>
                </pt>
                <pt idx="355">
                  <v>21.62</v>
                </pt>
                <pt idx="356">
                  <v>21.66</v>
                </pt>
                <pt idx="357">
                  <v>21.79</v>
                </pt>
                <pt idx="358">
                  <v>21.84</v>
                </pt>
                <pt idx="359">
                  <v>21.76</v>
                </pt>
                <pt idx="360">
                  <v>21.92</v>
                </pt>
                <pt idx="361">
                  <v>21.84</v>
                </pt>
                <pt idx="362">
                  <v>21.91</v>
                </pt>
                <pt idx="363">
                  <v>21.96</v>
                </pt>
                <pt idx="364">
                  <v>21.85</v>
                </pt>
                <pt idx="365">
                  <v>21.73</v>
                </pt>
                <pt idx="366">
                  <v>21.76</v>
                </pt>
                <pt idx="367">
                  <v>21.9</v>
                </pt>
                <pt idx="368">
                  <v>22.08</v>
                </pt>
                <pt idx="369">
                  <v>22.36</v>
                </pt>
                <pt idx="370">
                  <v>22.51</v>
                </pt>
                <pt idx="371">
                  <v>22.59</v>
                </pt>
                <pt idx="372">
                  <v>22.6</v>
                </pt>
                <pt idx="373">
                  <v>22.72</v>
                </pt>
                <pt idx="374">
                  <v>22.52</v>
                </pt>
                <pt idx="375">
                  <v>22.55</v>
                </pt>
                <pt idx="376">
                  <v>22.65</v>
                </pt>
                <pt idx="377">
                  <v>22.58</v>
                </pt>
                <pt idx="378">
                  <v>23.81</v>
                </pt>
                <pt idx="379">
                  <v>23.96</v>
                </pt>
                <pt idx="380">
                  <v>24.14</v>
                </pt>
                <pt idx="381">
                  <v>24.18</v>
                </pt>
                <pt idx="382">
                  <v>24.09</v>
                </pt>
                <pt idx="383">
                  <v>24.24</v>
                </pt>
                <pt idx="384">
                  <v>23.95</v>
                </pt>
                <pt idx="385">
                  <v>23.83</v>
                </pt>
                <pt idx="386">
                  <v>23.55</v>
                </pt>
                <pt idx="387">
                  <v>23.97</v>
                </pt>
                <pt idx="388">
                  <v>23.83</v>
                </pt>
                <pt idx="389">
                  <v>22.91</v>
                </pt>
                <pt idx="390">
                  <v>23.01</v>
                </pt>
                <pt idx="391">
                  <v>22.96</v>
                </pt>
                <pt idx="392">
                  <v>22.72</v>
                </pt>
                <pt idx="393">
                  <v>22.55</v>
                </pt>
                <pt idx="394">
                  <v>22.71</v>
                </pt>
                <pt idx="395">
                  <v>22.83</v>
                </pt>
                <pt idx="396">
                  <v>22.73</v>
                </pt>
                <pt idx="397">
                  <v>22.81</v>
                </pt>
                <pt idx="398">
                  <v>22.77</v>
                </pt>
                <pt idx="399">
                  <v>22.63</v>
                </pt>
                <pt idx="400">
                  <v>22.64</v>
                </pt>
                <pt idx="401">
                  <v>22.52</v>
                </pt>
                <pt idx="402">
                  <v>22.39</v>
                </pt>
                <pt idx="403">
                  <v>22.32</v>
                </pt>
                <pt idx="404">
                  <v>22.42</v>
                </pt>
                <pt idx="405">
                  <v>22.13</v>
                </pt>
                <pt idx="406">
                  <v>22.19</v>
                </pt>
                <pt idx="407">
                  <v>22.12</v>
                </pt>
                <pt idx="408">
                  <v>21.98</v>
                </pt>
                <pt idx="409">
                  <v>22.03</v>
                </pt>
                <pt idx="410">
                  <v>22.07</v>
                </pt>
                <pt idx="411">
                  <v>22.07</v>
                </pt>
                <pt idx="412">
                  <v>21.97</v>
                </pt>
                <pt idx="413">
                  <v>22.17</v>
                </pt>
                <pt idx="414">
                  <v>22.28</v>
                </pt>
                <pt idx="415">
                  <v>22.33</v>
                </pt>
                <pt idx="416">
                  <v>22.37</v>
                </pt>
                <pt idx="417">
                  <v>22.28</v>
                </pt>
                <pt idx="418">
                  <v>22.39</v>
                </pt>
                <pt idx="419">
                  <v>22.59</v>
                </pt>
                <pt idx="420">
                  <v>22.58</v>
                </pt>
                <pt idx="421">
                  <v>22.67</v>
                </pt>
                <pt idx="422">
                  <v>22.71</v>
                </pt>
                <pt idx="423">
                  <v>22.81</v>
                </pt>
                <pt idx="424">
                  <v>22.74</v>
                </pt>
                <pt idx="425">
                  <v>22.48</v>
                </pt>
                <pt idx="426">
                  <v>22.3</v>
                </pt>
                <pt idx="427">
                  <v>22.22</v>
                </pt>
                <pt idx="428">
                  <v>22.22</v>
                </pt>
                <pt idx="429">
                  <v>22.21</v>
                </pt>
                <pt idx="430">
                  <v>22.27</v>
                </pt>
                <pt idx="431">
                  <v>22.05</v>
                </pt>
                <pt idx="432">
                  <v>22.21</v>
                </pt>
                <pt idx="433">
                  <v>22.09</v>
                </pt>
                <pt idx="434">
                  <v>21.98</v>
                </pt>
                <pt idx="435">
                  <v>22.11</v>
                </pt>
                <pt idx="436">
                  <v>22.23</v>
                </pt>
                <pt idx="437">
                  <v>22.07</v>
                </pt>
                <pt idx="438">
                  <v>22.27</v>
                </pt>
                <pt idx="439">
                  <v>22.41</v>
                </pt>
                <pt idx="440">
                  <v>22.39</v>
                </pt>
                <pt idx="441">
                  <v>22.33</v>
                </pt>
                <pt idx="442">
                  <v>22.29</v>
                </pt>
                <pt idx="443">
                  <v>22.38</v>
                </pt>
                <pt idx="444">
                  <v>21.87</v>
                </pt>
                <pt idx="445">
                  <v>21.77</v>
                </pt>
                <pt idx="446">
                  <v>21.68</v>
                </pt>
                <pt idx="447">
                  <v>21.36</v>
                </pt>
                <pt idx="448">
                  <v>20.92</v>
                </pt>
                <pt idx="449">
                  <v>20.63</v>
                </pt>
                <pt idx="450">
                  <v>20.84</v>
                </pt>
                <pt idx="451">
                  <v>20.9</v>
                </pt>
                <pt idx="452">
                  <v>20.45</v>
                </pt>
                <pt idx="453">
                  <v>20.4</v>
                </pt>
                <pt idx="454">
                  <v>20.77</v>
                </pt>
                <pt idx="455">
                  <v>20.88</v>
                </pt>
                <pt idx="456">
                  <v>20.96</v>
                </pt>
                <pt idx="457">
                  <v>20.92</v>
                </pt>
                <pt idx="458">
                  <v>20.97</v>
                </pt>
                <pt idx="459">
                  <v>20.91</v>
                </pt>
                <pt idx="460">
                  <v>20.95</v>
                </pt>
                <pt idx="461">
                  <v>21.05</v>
                </pt>
                <pt idx="462">
                  <v>20.96</v>
                </pt>
                <pt idx="463">
                  <v>21.05</v>
                </pt>
                <pt idx="464">
                  <v>21.13</v>
                </pt>
                <pt idx="465">
                  <v>21.1</v>
                </pt>
                <pt idx="466">
                  <v>21.06</v>
                </pt>
                <pt idx="467">
                  <v>21.14</v>
                </pt>
                <pt idx="468">
                  <v>21.17</v>
                </pt>
                <pt idx="469">
                  <v>21.16</v>
                </pt>
                <pt idx="470">
                  <v>21.15</v>
                </pt>
                <pt idx="471">
                  <v>21.26</v>
                </pt>
                <pt idx="472">
                  <v>21.48</v>
                </pt>
                <pt idx="473">
                  <v>21.52</v>
                </pt>
                <pt idx="474">
                  <v>21.66</v>
                </pt>
                <pt idx="475">
                  <v>22.11</v>
                </pt>
                <pt idx="476">
                  <v>22.29</v>
                </pt>
                <pt idx="477">
                  <v>22.38</v>
                </pt>
                <pt idx="478">
                  <v>22.34</v>
                </pt>
                <pt idx="479">
                  <v>22.41</v>
                </pt>
                <pt idx="480">
                  <v>22.44</v>
                </pt>
                <pt idx="481">
                  <v>22.34</v>
                </pt>
                <pt idx="482">
                  <v>22.36</v>
                </pt>
                <pt idx="483">
                  <v>22.63</v>
                </pt>
                <pt idx="484">
                  <v>22.92</v>
                </pt>
                <pt idx="485">
                  <v>22.88</v>
                </pt>
                <pt idx="486">
                  <v>22.92</v>
                </pt>
                <pt idx="487">
                  <v>22.6</v>
                </pt>
                <pt idx="488">
                  <v>22.71</v>
                </pt>
                <pt idx="489">
                  <v>22.81</v>
                </pt>
                <pt idx="490">
                  <v>22.91</v>
                </pt>
                <pt idx="491">
                  <v>23.14</v>
                </pt>
                <pt idx="492">
                  <v>23.27</v>
                </pt>
                <pt idx="493">
                  <v>23.17</v>
                </pt>
                <pt idx="494">
                  <v>23.18</v>
                </pt>
                <pt idx="495">
                  <v>23.1</v>
                </pt>
                <pt idx="496">
                  <v>22.94</v>
                </pt>
                <pt idx="497">
                  <v>23.09</v>
                </pt>
                <pt idx="498">
                  <v>23.15</v>
                </pt>
                <pt idx="499">
                  <v>22.94</v>
                </pt>
                <pt idx="500">
                  <v>22.97</v>
                </pt>
                <pt idx="501">
                  <v>23.05</v>
                </pt>
                <pt idx="502">
                  <v>23.08</v>
                </pt>
                <pt idx="503">
                  <v>23.34</v>
                </pt>
                <pt idx="504">
                  <v>23.59</v>
                </pt>
                <pt idx="505">
                  <v>23.52</v>
                </pt>
                <pt idx="506">
                  <v>23.03</v>
                </pt>
                <pt idx="507">
                  <v>22.64</v>
                </pt>
                <pt idx="508">
                  <v>22.79</v>
                </pt>
                <pt idx="509">
                  <v>22.73</v>
                </pt>
                <pt idx="510">
                  <v>22.31</v>
                </pt>
                <pt idx="511">
                  <v>22.39</v>
                </pt>
                <pt idx="512">
                  <v>22.27</v>
                </pt>
                <pt idx="513">
                  <v>22.58</v>
                </pt>
                <pt idx="514">
                  <v>22.31</v>
                </pt>
                <pt idx="515">
                  <v>22.46</v>
                </pt>
                <pt idx="516">
                  <v>22.38</v>
                </pt>
                <pt idx="517">
                  <v>22.51</v>
                </pt>
                <pt idx="518">
                  <v>22.39</v>
                </pt>
                <pt idx="519">
                  <v>22.66</v>
                </pt>
                <pt idx="520">
                  <v>22.66</v>
                </pt>
                <pt idx="521">
                  <v>22.45</v>
                </pt>
                <pt idx="522">
                  <v>22.51</v>
                </pt>
                <pt idx="523">
                  <v>22.38</v>
                </pt>
                <pt idx="524">
                  <v>22.5</v>
                </pt>
                <pt idx="525">
                  <v>22.59</v>
                </pt>
                <pt idx="526">
                  <v>22.62</v>
                </pt>
                <pt idx="527">
                  <v>22.76</v>
                </pt>
                <pt idx="528">
                  <v>22.84</v>
                </pt>
                <pt idx="529">
                  <v>22.92</v>
                </pt>
                <pt idx="530">
                  <v>22.77</v>
                </pt>
                <pt idx="531">
                  <v>22.94</v>
                </pt>
                <pt idx="532">
                  <v>22.93</v>
                </pt>
                <pt idx="533">
                  <v>22.84</v>
                </pt>
                <pt idx="534">
                  <v>22.92</v>
                </pt>
                <pt idx="535">
                  <v>22.66</v>
                </pt>
                <pt idx="536">
                  <v>22.7</v>
                </pt>
                <pt idx="537">
                  <v>23.06</v>
                </pt>
                <pt idx="538">
                  <v>23.1</v>
                </pt>
                <pt idx="539">
                  <v>23.13</v>
                </pt>
                <pt idx="540">
                  <v>23.08</v>
                </pt>
                <pt idx="541">
                  <v>23.2</v>
                </pt>
                <pt idx="542">
                  <v>23.22</v>
                </pt>
                <pt idx="543">
                  <v>23.06</v>
                </pt>
                <pt idx="544">
                  <v>23.06</v>
                </pt>
                <pt idx="545">
                  <v>22.71</v>
                </pt>
                <pt idx="546">
                  <v>22.86</v>
                </pt>
                <pt idx="547">
                  <v>22.74</v>
                </pt>
                <pt idx="548">
                  <v>22.77</v>
                </pt>
                <pt idx="549">
                  <v>22.52</v>
                </pt>
                <pt idx="550">
                  <v>22.55</v>
                </pt>
                <pt idx="551">
                  <v>22.73</v>
                </pt>
                <pt idx="552">
                  <v>22.81</v>
                </pt>
                <pt idx="553">
                  <v>22.72</v>
                </pt>
                <pt idx="554">
                  <v>22.84</v>
                </pt>
                <pt idx="555">
                  <v>22.88</v>
                </pt>
                <pt idx="556">
                  <v>23.02</v>
                </pt>
                <pt idx="557">
                  <v>23.01</v>
                </pt>
                <pt idx="558">
                  <v>22.99</v>
                </pt>
                <pt idx="559">
                  <v>23.07</v>
                </pt>
                <pt idx="560">
                  <v>23.07</v>
                </pt>
                <pt idx="561">
                  <v>23.23</v>
                </pt>
                <pt idx="562">
                  <v>23.2</v>
                </pt>
                <pt idx="563">
                  <v>23.32</v>
                </pt>
                <pt idx="564">
                  <v>23.08</v>
                </pt>
                <pt idx="565">
                  <v>22.82</v>
                </pt>
                <pt idx="566">
                  <v>22.68</v>
                </pt>
                <pt idx="567">
                  <v>22.53</v>
                </pt>
                <pt idx="568">
                  <v>22.68</v>
                </pt>
                <pt idx="569">
                  <v>22.78</v>
                </pt>
                <pt idx="570">
                  <v>22.54</v>
                </pt>
                <pt idx="571">
                  <v>22.58</v>
                </pt>
                <pt idx="572">
                  <v>22.75</v>
                </pt>
                <pt idx="573">
                  <v>22</v>
                </pt>
                <pt idx="574">
                  <v>22.2</v>
                </pt>
                <pt idx="575">
                  <v>22</v>
                </pt>
                <pt idx="576">
                  <v>22.03</v>
                </pt>
                <pt idx="577">
                  <v>21.87</v>
                </pt>
                <pt idx="578">
                  <v>21.77</v>
                </pt>
                <pt idx="579">
                  <v>21.61</v>
                </pt>
                <pt idx="580">
                  <v>21.61</v>
                </pt>
                <pt idx="581">
                  <v>21.26</v>
                </pt>
                <pt idx="582">
                  <v>21.33</v>
                </pt>
                <pt idx="583">
                  <v>21.35</v>
                </pt>
                <pt idx="584">
                  <v>21.19</v>
                </pt>
                <pt idx="585">
                  <v>21.17</v>
                </pt>
                <pt idx="586">
                  <v>21.41</v>
                </pt>
                <pt idx="587">
                  <v>21.47</v>
                </pt>
                <pt idx="588">
                  <v>21.5</v>
                </pt>
                <pt idx="589">
                  <v>21.52</v>
                </pt>
                <pt idx="590">
                  <v>21.55</v>
                </pt>
                <pt idx="591">
                  <v>21.9</v>
                </pt>
                <pt idx="592">
                  <v>21.88</v>
                </pt>
                <pt idx="593">
                  <v>21.85</v>
                </pt>
                <pt idx="594">
                  <v>21.74</v>
                </pt>
                <pt idx="595">
                  <v>21.57</v>
                </pt>
                <pt idx="596">
                  <v>21.36</v>
                </pt>
                <pt idx="597">
                  <v>21.4</v>
                </pt>
                <pt idx="598">
                  <v>22.13</v>
                </pt>
                <pt idx="599">
                  <v>20.81</v>
                </pt>
                <pt idx="600">
                  <v>21.51</v>
                </pt>
                <pt idx="601">
                  <v>21.71</v>
                </pt>
                <pt idx="602">
                  <v>22.15</v>
                </pt>
                <pt idx="603">
                  <v>22.12</v>
                </pt>
                <pt idx="604">
                  <v>22.13</v>
                </pt>
                <pt idx="605">
                  <v>22.18</v>
                </pt>
                <pt idx="606">
                  <v>22.25</v>
                </pt>
                <pt idx="607">
                  <v>22.32</v>
                </pt>
                <pt idx="608">
                  <v>22.4</v>
                </pt>
                <pt idx="609">
                  <v>22.36</v>
                </pt>
                <pt idx="610">
                  <v>22.41</v>
                </pt>
                <pt idx="611">
                  <v>22.34</v>
                </pt>
                <pt idx="612">
                  <v>22.38</v>
                </pt>
                <pt idx="613">
                  <v>22.55</v>
                </pt>
                <pt idx="614">
                  <v>22.69</v>
                </pt>
                <pt idx="615">
                  <v>22.86</v>
                </pt>
                <pt idx="616">
                  <v>22.85</v>
                </pt>
                <pt idx="617">
                  <v>22.97</v>
                </pt>
                <pt idx="618">
                  <v>22.96</v>
                </pt>
                <pt idx="619">
                  <v>23.11</v>
                </pt>
                <pt idx="620">
                  <v>23.13</v>
                </pt>
                <pt idx="621">
                  <v>23.15</v>
                </pt>
                <pt idx="622">
                  <v>23.14</v>
                </pt>
                <pt idx="623">
                  <v>23.25</v>
                </pt>
                <pt idx="624">
                  <v>23.15</v>
                </pt>
                <pt idx="625">
                  <v>23.14</v>
                </pt>
                <pt idx="626">
                  <v>23.32</v>
                </pt>
                <pt idx="627">
                  <v>23.38</v>
                </pt>
                <pt idx="628">
                  <v>23.39</v>
                </pt>
                <pt idx="629">
                  <v>23.57</v>
                </pt>
                <pt idx="630">
                  <v>23.31</v>
                </pt>
                <pt idx="631">
                  <v>23.28</v>
                </pt>
                <pt idx="632">
                  <v>23.11</v>
                </pt>
                <pt idx="633">
                  <v>23.05</v>
                </pt>
                <pt idx="634">
                  <v>23.03</v>
                </pt>
                <pt idx="635">
                  <v>23.4</v>
                </pt>
                <pt idx="636">
                  <v>23.4</v>
                </pt>
                <pt idx="637">
                  <v>23.31</v>
                </pt>
                <pt idx="638">
                  <v>23.4</v>
                </pt>
                <pt idx="639">
                  <v>23.45</v>
                </pt>
                <pt idx="640">
                  <v>23.09</v>
                </pt>
                <pt idx="641">
                  <v>22.38</v>
                </pt>
                <pt idx="642">
                  <v>22.3</v>
                </pt>
                <pt idx="643">
                  <v>22.61</v>
                </pt>
                <pt idx="644">
                  <v>22.44</v>
                </pt>
                <pt idx="645">
                  <v>22.67</v>
                </pt>
                <pt idx="646">
                  <v>22.65</v>
                </pt>
                <pt idx="647">
                  <v>22.46</v>
                </pt>
                <pt idx="648">
                  <v>22.47</v>
                </pt>
                <pt idx="649">
                  <v>22.8</v>
                </pt>
                <pt idx="650">
                  <v>22.83</v>
                </pt>
                <pt idx="651">
                  <v>22.95</v>
                </pt>
                <pt idx="652">
                  <v>23.01</v>
                </pt>
                <pt idx="653">
                  <v>23.05</v>
                </pt>
                <pt idx="654">
                  <v>23.06</v>
                </pt>
                <pt idx="655">
                  <v>23.24</v>
                </pt>
                <pt idx="656">
                  <v>23.24</v>
                </pt>
                <pt idx="657">
                  <v>23.28</v>
                </pt>
                <pt idx="658">
                  <v>23.37</v>
                </pt>
                <pt idx="659">
                  <v>23.47</v>
                </pt>
                <pt idx="660">
                  <v>23.51</v>
                </pt>
                <pt idx="661">
                  <v>23.51</v>
                </pt>
                <pt idx="662">
                  <v>23.43</v>
                </pt>
                <pt idx="663">
                  <v>23.38</v>
                </pt>
                <pt idx="664">
                  <v>23.11</v>
                </pt>
                <pt idx="665">
                  <v>23.19</v>
                </pt>
                <pt idx="666">
                  <v>23.29</v>
                </pt>
                <pt idx="667">
                  <v>23.17</v>
                </pt>
                <pt idx="668">
                  <v>23.61</v>
                </pt>
                <pt idx="669">
                  <v>23.58</v>
                </pt>
                <pt idx="670">
                  <v>23.61</v>
                </pt>
                <pt idx="671">
                  <v>23.64</v>
                </pt>
                <pt idx="672">
                  <v>23.6</v>
                </pt>
                <pt idx="673">
                  <v>23.64</v>
                </pt>
                <pt idx="674">
                  <v>23.98</v>
                </pt>
                <pt idx="675">
                  <v>24.12</v>
                </pt>
                <pt idx="676">
                  <v>24.12</v>
                </pt>
                <pt idx="677">
                  <v>24.18</v>
                </pt>
                <pt idx="678">
                  <v>24.38</v>
                </pt>
                <pt idx="679">
                  <v>24.34</v>
                </pt>
                <pt idx="680">
                  <v>24.26</v>
                </pt>
                <pt idx="681">
                  <v>24.25</v>
                </pt>
                <pt idx="682">
                  <v>23.74</v>
                </pt>
                <pt idx="683">
                  <v>23.52</v>
                </pt>
                <pt idx="684">
                  <v>23.31</v>
                </pt>
                <pt idx="685">
                  <v>23.51</v>
                </pt>
                <pt idx="686">
                  <v>23.48</v>
                </pt>
                <pt idx="687">
                  <v>23.5</v>
                </pt>
                <pt idx="688">
                  <v>23.47</v>
                </pt>
                <pt idx="689">
                  <v>23.62</v>
                </pt>
                <pt idx="690">
                  <v>23.55</v>
                </pt>
                <pt idx="691">
                  <v>23.47</v>
                </pt>
                <pt idx="692">
                  <v>23.26</v>
                </pt>
                <pt idx="693">
                  <v>23.38</v>
                </pt>
                <pt idx="694">
                  <v>23.23</v>
                </pt>
                <pt idx="695">
                  <v>22.83</v>
                </pt>
                <pt idx="696">
                  <v>22.81</v>
                </pt>
                <pt idx="697">
                  <v>22.76</v>
                </pt>
                <pt idx="698">
                  <v>22.56</v>
                </pt>
                <pt idx="699">
                  <v>22.74</v>
                </pt>
                <pt idx="700">
                  <v>23.02</v>
                </pt>
                <pt idx="701">
                  <v>22.9</v>
                </pt>
                <pt idx="702">
                  <v>22.58</v>
                </pt>
                <pt idx="703">
                  <v>22.68</v>
                </pt>
                <pt idx="704">
                  <v>22.36</v>
                </pt>
                <pt idx="705">
                  <v>22.55</v>
                </pt>
                <pt idx="706">
                  <v>22.8</v>
                </pt>
                <pt idx="707">
                  <v>22.55</v>
                </pt>
                <pt idx="708">
                  <v>22.27</v>
                </pt>
                <pt idx="709">
                  <v>22.23</v>
                </pt>
                <pt idx="710">
                  <v>21.93</v>
                </pt>
                <pt idx="711">
                  <v>21.68</v>
                </pt>
                <pt idx="712">
                  <v>21.65</v>
                </pt>
                <pt idx="713">
                  <v>21.57</v>
                </pt>
                <pt idx="714">
                  <v>21.65</v>
                </pt>
                <pt idx="715">
                  <v>21.49</v>
                </pt>
                <pt idx="716">
                  <v>22.01</v>
                </pt>
                <pt idx="717">
                  <v>22.29</v>
                </pt>
                <pt idx="718">
                  <v>22.27</v>
                </pt>
                <pt idx="719">
                  <v>22.34</v>
                </pt>
                <pt idx="720">
                  <v>22.01</v>
                </pt>
                <pt idx="721">
                  <v>22.21</v>
                </pt>
                <pt idx="722">
                  <v>22.35</v>
                </pt>
                <pt idx="723">
                  <v>22.51</v>
                </pt>
                <pt idx="724">
                  <v>22.52</v>
                </pt>
                <pt idx="725">
                  <v>22.74</v>
                </pt>
                <pt idx="726">
                  <v>22.72</v>
                </pt>
                <pt idx="727">
                  <v>22.66</v>
                </pt>
                <pt idx="728">
                  <v>22.65</v>
                </pt>
                <pt idx="729">
                  <v>22.68</v>
                </pt>
                <pt idx="730">
                  <v>22.6</v>
                </pt>
                <pt idx="731">
                  <v>22.8</v>
                </pt>
                <pt idx="732">
                  <v>22.71</v>
                </pt>
                <pt idx="733">
                  <v>22.4</v>
                </pt>
                <pt idx="734">
                  <v>22.27</v>
                </pt>
                <pt idx="735">
                  <v>22.05</v>
                </pt>
                <pt idx="736">
                  <v>21.71</v>
                </pt>
                <pt idx="737">
                  <v>21.86</v>
                </pt>
                <pt idx="738">
                  <v>21.84</v>
                </pt>
                <pt idx="739">
                  <v>21.86</v>
                </pt>
                <pt idx="740">
                  <v>21.92</v>
                </pt>
                <pt idx="741">
                  <v>21.76</v>
                </pt>
                <pt idx="742">
                  <v>21.79</v>
                </pt>
                <pt idx="743">
                  <v>21.88</v>
                </pt>
                <pt idx="744">
                  <v>22.29</v>
                </pt>
                <pt idx="745">
                  <v>22.12</v>
                </pt>
                <pt idx="746">
                  <v>21.76</v>
                </pt>
                <pt idx="747">
                  <v>21.84</v>
                </pt>
                <pt idx="748">
                  <v>21.83</v>
                </pt>
                <pt idx="749">
                  <v>21.68</v>
                </pt>
                <pt idx="750">
                  <v>21.59</v>
                </pt>
                <pt idx="751">
                  <v>21.25</v>
                </pt>
                <pt idx="752">
                  <v>21.34</v>
                </pt>
                <pt idx="753">
                  <v>21.37</v>
                </pt>
                <pt idx="754">
                  <v>21.46</v>
                </pt>
                <pt idx="755">
                  <v>21.36</v>
                </pt>
                <pt idx="756">
                  <v>21.4</v>
                </pt>
                <pt idx="757">
                  <v>21.07</v>
                </pt>
                <pt idx="758">
                  <v>21.19</v>
                </pt>
                <pt idx="759">
                  <v>21.24</v>
                </pt>
                <pt idx="760">
                  <v>21.09</v>
                </pt>
                <pt idx="761">
                  <v>20.85</v>
                </pt>
                <pt idx="762">
                  <v>20.85</v>
                </pt>
                <pt idx="763">
                  <v>21.06</v>
                </pt>
                <pt idx="764">
                  <v>21.12</v>
                </pt>
                <pt idx="765">
                  <v>21.33</v>
                </pt>
                <pt idx="766">
                  <v>21.29</v>
                </pt>
                <pt idx="767">
                  <v>21.22</v>
                </pt>
                <pt idx="768">
                  <v>21.56</v>
                </pt>
                <pt idx="769">
                  <v>21.52</v>
                </pt>
                <pt idx="770">
                  <v>21.45</v>
                </pt>
                <pt idx="771">
                  <v>21.41</v>
                </pt>
                <pt idx="772">
                  <v>20.82</v>
                </pt>
                <pt idx="773">
                  <v>20.53</v>
                </pt>
                <pt idx="774">
                  <v>20.52</v>
                </pt>
                <pt idx="775">
                  <v>20.51</v>
                </pt>
                <pt idx="776">
                  <v>20.42</v>
                </pt>
                <pt idx="777">
                  <v>20.44</v>
                </pt>
                <pt idx="778">
                  <v>20.4</v>
                </pt>
                <pt idx="779">
                  <v>20.38</v>
                </pt>
                <pt idx="780">
                  <v>20.37</v>
                </pt>
                <pt idx="781">
                  <v>20.26</v>
                </pt>
                <pt idx="782">
                  <v>20.05</v>
                </pt>
                <pt idx="783">
                  <v>20.04</v>
                </pt>
                <pt idx="784">
                  <v>20.04</v>
                </pt>
                <pt idx="785">
                  <v>19.67</v>
                </pt>
                <pt idx="786">
                  <v>19.66</v>
                </pt>
                <pt idx="787">
                  <v>19.63</v>
                </pt>
                <pt idx="788">
                  <v>19.86</v>
                </pt>
                <pt idx="789">
                  <v>20.04</v>
                </pt>
                <pt idx="790">
                  <v>20.05</v>
                </pt>
                <pt idx="791">
                  <v>19.96</v>
                </pt>
                <pt idx="792">
                  <v>20</v>
                </pt>
                <pt idx="793">
                  <v>19.97</v>
                </pt>
                <pt idx="794">
                  <v>19.91</v>
                </pt>
                <pt idx="795">
                  <v>20.01</v>
                </pt>
                <pt idx="796">
                  <v>20.3</v>
                </pt>
                <pt idx="797">
                  <v>20.36</v>
                </pt>
                <pt idx="798">
                  <v>20.61</v>
                </pt>
                <pt idx="799">
                  <v>20.76</v>
                </pt>
                <pt idx="800">
                  <v>21.03</v>
                </pt>
                <pt idx="801">
                  <v>21.04</v>
                </pt>
                <pt idx="802">
                  <v>20.88</v>
                </pt>
                <pt idx="803">
                  <v>20.97</v>
                </pt>
                <pt idx="804">
                  <v>21.37</v>
                </pt>
              </numCache>
            </numRef>
          </val>
          <smooth val="0"/>
        </ser>
        <ser>
          <idx val="1"/>
          <order val="1"/>
          <tx>
            <strRef>
              <f>'EVI 2025 Workings'!$R$1</f>
              <strCache>
                <ptCount val="1"/>
                <pt idx="0">
                  <v>Dollar index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'EVI 2025 Workings'!$B$2:$B$806</f>
              <numCache>
                <formatCode>m/d/yyyy</formatCode>
                <ptCount val="805"/>
                <pt idx="0">
                  <v>44564</v>
                </pt>
                <pt idx="1">
                  <v>44565</v>
                </pt>
                <pt idx="2">
                  <v>44566</v>
                </pt>
                <pt idx="3">
                  <v>44567</v>
                </pt>
                <pt idx="4">
                  <v>44568</v>
                </pt>
                <pt idx="5">
                  <v>44571</v>
                </pt>
                <pt idx="6">
                  <v>44572</v>
                </pt>
                <pt idx="7">
                  <v>44573</v>
                </pt>
                <pt idx="8">
                  <v>44574</v>
                </pt>
                <pt idx="9">
                  <v>44575</v>
                </pt>
                <pt idx="10">
                  <v>44578</v>
                </pt>
                <pt idx="11">
                  <v>44579</v>
                </pt>
                <pt idx="12">
                  <v>44580</v>
                </pt>
                <pt idx="13">
                  <v>44581</v>
                </pt>
                <pt idx="14">
                  <v>44582</v>
                </pt>
                <pt idx="15">
                  <v>44585</v>
                </pt>
                <pt idx="16">
                  <v>44586</v>
                </pt>
                <pt idx="17">
                  <v>44588</v>
                </pt>
                <pt idx="18">
                  <v>44589</v>
                </pt>
                <pt idx="19">
                  <v>44592</v>
                </pt>
                <pt idx="20">
                  <v>44593</v>
                </pt>
                <pt idx="21">
                  <v>44594</v>
                </pt>
                <pt idx="22">
                  <v>44595</v>
                </pt>
                <pt idx="23">
                  <v>44596</v>
                </pt>
                <pt idx="24">
                  <v>44599</v>
                </pt>
                <pt idx="25">
                  <v>44600</v>
                </pt>
                <pt idx="26">
                  <v>44601</v>
                </pt>
                <pt idx="27">
                  <v>44602</v>
                </pt>
                <pt idx="28">
                  <v>44603</v>
                </pt>
                <pt idx="29">
                  <v>44606</v>
                </pt>
                <pt idx="30">
                  <v>44607</v>
                </pt>
                <pt idx="31">
                  <v>44608</v>
                </pt>
                <pt idx="32">
                  <v>44609</v>
                </pt>
                <pt idx="33">
                  <v>44610</v>
                </pt>
                <pt idx="34">
                  <v>44613</v>
                </pt>
                <pt idx="35">
                  <v>44614</v>
                </pt>
                <pt idx="36">
                  <v>44615</v>
                </pt>
                <pt idx="37">
                  <v>44616</v>
                </pt>
                <pt idx="38">
                  <v>44617</v>
                </pt>
                <pt idx="39">
                  <v>44620</v>
                </pt>
                <pt idx="40">
                  <v>44622</v>
                </pt>
                <pt idx="41">
                  <v>44623</v>
                </pt>
                <pt idx="42">
                  <v>44624</v>
                </pt>
                <pt idx="43">
                  <v>44627</v>
                </pt>
                <pt idx="44">
                  <v>44628</v>
                </pt>
                <pt idx="45">
                  <v>44629</v>
                </pt>
                <pt idx="46">
                  <v>44630</v>
                </pt>
                <pt idx="47">
                  <v>44631</v>
                </pt>
                <pt idx="48">
                  <v>44634</v>
                </pt>
                <pt idx="49">
                  <v>44635</v>
                </pt>
                <pt idx="50">
                  <v>44636</v>
                </pt>
                <pt idx="51">
                  <v>44637</v>
                </pt>
                <pt idx="52">
                  <v>44641</v>
                </pt>
                <pt idx="53">
                  <v>44642</v>
                </pt>
                <pt idx="54">
                  <v>44643</v>
                </pt>
                <pt idx="55">
                  <v>44644</v>
                </pt>
                <pt idx="56">
                  <v>44645</v>
                </pt>
                <pt idx="57">
                  <v>44648</v>
                </pt>
                <pt idx="58">
                  <v>44649</v>
                </pt>
                <pt idx="59">
                  <v>44650</v>
                </pt>
                <pt idx="60">
                  <v>44651</v>
                </pt>
                <pt idx="61">
                  <v>44652</v>
                </pt>
                <pt idx="62">
                  <v>44655</v>
                </pt>
                <pt idx="63">
                  <v>44656</v>
                </pt>
                <pt idx="64">
                  <v>44657</v>
                </pt>
                <pt idx="65">
                  <v>44658</v>
                </pt>
                <pt idx="66">
                  <v>44659</v>
                </pt>
                <pt idx="67">
                  <v>44662</v>
                </pt>
                <pt idx="68">
                  <v>44663</v>
                </pt>
                <pt idx="69">
                  <v>44664</v>
                </pt>
                <pt idx="70">
                  <v>44669</v>
                </pt>
                <pt idx="71">
                  <v>44670</v>
                </pt>
                <pt idx="72">
                  <v>44671</v>
                </pt>
                <pt idx="73">
                  <v>44672</v>
                </pt>
                <pt idx="74">
                  <v>44673</v>
                </pt>
                <pt idx="75">
                  <v>44676</v>
                </pt>
                <pt idx="76">
                  <v>44677</v>
                </pt>
                <pt idx="77">
                  <v>44678</v>
                </pt>
                <pt idx="78">
                  <v>44679</v>
                </pt>
                <pt idx="79">
                  <v>44680</v>
                </pt>
                <pt idx="80">
                  <v>44683</v>
                </pt>
                <pt idx="81">
                  <v>44685</v>
                </pt>
                <pt idx="82">
                  <v>44686</v>
                </pt>
                <pt idx="83">
                  <v>44687</v>
                </pt>
                <pt idx="84">
                  <v>44690</v>
                </pt>
                <pt idx="85">
                  <v>44691</v>
                </pt>
                <pt idx="86">
                  <v>44692</v>
                </pt>
                <pt idx="87">
                  <v>44693</v>
                </pt>
                <pt idx="88">
                  <v>44694</v>
                </pt>
                <pt idx="89">
                  <v>44697</v>
                </pt>
                <pt idx="90">
                  <v>44698</v>
                </pt>
                <pt idx="91">
                  <v>44699</v>
                </pt>
                <pt idx="92">
                  <v>44700</v>
                </pt>
                <pt idx="93">
                  <v>44701</v>
                </pt>
                <pt idx="94">
                  <v>44704</v>
                </pt>
                <pt idx="95">
                  <v>44705</v>
                </pt>
                <pt idx="96">
                  <v>44706</v>
                </pt>
                <pt idx="97">
                  <v>44707</v>
                </pt>
                <pt idx="98">
                  <v>44708</v>
                </pt>
                <pt idx="99">
                  <v>44711</v>
                </pt>
                <pt idx="100">
                  <v>44712</v>
                </pt>
                <pt idx="101">
                  <v>44713</v>
                </pt>
                <pt idx="102">
                  <v>44714</v>
                </pt>
                <pt idx="103">
                  <v>44715</v>
                </pt>
                <pt idx="104">
                  <v>44718</v>
                </pt>
                <pt idx="105">
                  <v>44719</v>
                </pt>
                <pt idx="106">
                  <v>44720</v>
                </pt>
                <pt idx="107">
                  <v>44721</v>
                </pt>
                <pt idx="108">
                  <v>44722</v>
                </pt>
                <pt idx="109">
                  <v>44725</v>
                </pt>
                <pt idx="110">
                  <v>44726</v>
                </pt>
                <pt idx="111">
                  <v>44727</v>
                </pt>
                <pt idx="112">
                  <v>44728</v>
                </pt>
                <pt idx="113">
                  <v>44729</v>
                </pt>
                <pt idx="114">
                  <v>44732</v>
                </pt>
                <pt idx="115">
                  <v>44733</v>
                </pt>
                <pt idx="116">
                  <v>44734</v>
                </pt>
                <pt idx="117">
                  <v>44735</v>
                </pt>
                <pt idx="118">
                  <v>44736</v>
                </pt>
                <pt idx="119">
                  <v>44739</v>
                </pt>
                <pt idx="120">
                  <v>44740</v>
                </pt>
                <pt idx="121">
                  <v>44741</v>
                </pt>
                <pt idx="122">
                  <v>44742</v>
                </pt>
                <pt idx="123">
                  <v>44743</v>
                </pt>
                <pt idx="124">
                  <v>44746</v>
                </pt>
                <pt idx="125">
                  <v>44747</v>
                </pt>
                <pt idx="126">
                  <v>44748</v>
                </pt>
                <pt idx="127">
                  <v>44749</v>
                </pt>
                <pt idx="128">
                  <v>44750</v>
                </pt>
                <pt idx="129">
                  <v>44753</v>
                </pt>
                <pt idx="130">
                  <v>44754</v>
                </pt>
                <pt idx="131">
                  <v>44755</v>
                </pt>
                <pt idx="132">
                  <v>44756</v>
                </pt>
                <pt idx="133">
                  <v>44757</v>
                </pt>
                <pt idx="134">
                  <v>44760</v>
                </pt>
                <pt idx="135">
                  <v>44761</v>
                </pt>
                <pt idx="136">
                  <v>44762</v>
                </pt>
                <pt idx="137">
                  <v>44763</v>
                </pt>
                <pt idx="138">
                  <v>44764</v>
                </pt>
                <pt idx="139">
                  <v>44767</v>
                </pt>
                <pt idx="140">
                  <v>44768</v>
                </pt>
                <pt idx="141">
                  <v>44769</v>
                </pt>
                <pt idx="142">
                  <v>44770</v>
                </pt>
                <pt idx="143">
                  <v>44771</v>
                </pt>
                <pt idx="144">
                  <v>44774</v>
                </pt>
                <pt idx="145">
                  <v>44775</v>
                </pt>
                <pt idx="146">
                  <v>44776</v>
                </pt>
                <pt idx="147">
                  <v>44777</v>
                </pt>
                <pt idx="148">
                  <v>44778</v>
                </pt>
                <pt idx="149">
                  <v>44781</v>
                </pt>
                <pt idx="150">
                  <v>44783</v>
                </pt>
                <pt idx="151">
                  <v>44784</v>
                </pt>
                <pt idx="152">
                  <v>44785</v>
                </pt>
                <pt idx="153">
                  <v>44789</v>
                </pt>
                <pt idx="154">
                  <v>44790</v>
                </pt>
                <pt idx="155">
                  <v>44791</v>
                </pt>
                <pt idx="156">
                  <v>44792</v>
                </pt>
                <pt idx="157">
                  <v>44795</v>
                </pt>
                <pt idx="158">
                  <v>44796</v>
                </pt>
                <pt idx="159">
                  <v>44797</v>
                </pt>
                <pt idx="160">
                  <v>44798</v>
                </pt>
                <pt idx="161">
                  <v>44799</v>
                </pt>
                <pt idx="162">
                  <v>44802</v>
                </pt>
                <pt idx="163">
                  <v>44803</v>
                </pt>
                <pt idx="164">
                  <v>44805</v>
                </pt>
                <pt idx="165">
                  <v>44806</v>
                </pt>
                <pt idx="166">
                  <v>44809</v>
                </pt>
                <pt idx="167">
                  <v>44810</v>
                </pt>
                <pt idx="168">
                  <v>44811</v>
                </pt>
                <pt idx="169">
                  <v>44812</v>
                </pt>
                <pt idx="170">
                  <v>44813</v>
                </pt>
                <pt idx="171">
                  <v>44816</v>
                </pt>
                <pt idx="172">
                  <v>44817</v>
                </pt>
                <pt idx="173">
                  <v>44818</v>
                </pt>
                <pt idx="174">
                  <v>44819</v>
                </pt>
                <pt idx="175">
                  <v>44820</v>
                </pt>
                <pt idx="176">
                  <v>44823</v>
                </pt>
                <pt idx="177">
                  <v>44824</v>
                </pt>
                <pt idx="178">
                  <v>44825</v>
                </pt>
                <pt idx="179">
                  <v>44826</v>
                </pt>
                <pt idx="180">
                  <v>44827</v>
                </pt>
                <pt idx="181">
                  <v>44830</v>
                </pt>
                <pt idx="182">
                  <v>44831</v>
                </pt>
                <pt idx="183">
                  <v>44832</v>
                </pt>
                <pt idx="184">
                  <v>44833</v>
                </pt>
                <pt idx="185">
                  <v>44834</v>
                </pt>
                <pt idx="186">
                  <v>44837</v>
                </pt>
                <pt idx="187">
                  <v>44838</v>
                </pt>
                <pt idx="188">
                  <v>44840</v>
                </pt>
                <pt idx="189">
                  <v>44841</v>
                </pt>
                <pt idx="190">
                  <v>44844</v>
                </pt>
                <pt idx="191">
                  <v>44845</v>
                </pt>
                <pt idx="192">
                  <v>44846</v>
                </pt>
                <pt idx="193">
                  <v>44847</v>
                </pt>
                <pt idx="194">
                  <v>44848</v>
                </pt>
                <pt idx="195">
                  <v>44851</v>
                </pt>
                <pt idx="196">
                  <v>44852</v>
                </pt>
                <pt idx="197">
                  <v>44853</v>
                </pt>
                <pt idx="198">
                  <v>44854</v>
                </pt>
                <pt idx="199">
                  <v>44855</v>
                </pt>
                <pt idx="200">
                  <v>44858</v>
                </pt>
                <pt idx="201">
                  <v>44859</v>
                </pt>
                <pt idx="202">
                  <v>44861</v>
                </pt>
                <pt idx="203">
                  <v>44862</v>
                </pt>
                <pt idx="204">
                  <v>44865</v>
                </pt>
                <pt idx="205">
                  <v>44866</v>
                </pt>
                <pt idx="206">
                  <v>44867</v>
                </pt>
                <pt idx="207">
                  <v>44868</v>
                </pt>
                <pt idx="208">
                  <v>44869</v>
                </pt>
                <pt idx="209">
                  <v>44872</v>
                </pt>
                <pt idx="210">
                  <v>44874</v>
                </pt>
                <pt idx="211">
                  <v>44875</v>
                </pt>
                <pt idx="212">
                  <v>44876</v>
                </pt>
                <pt idx="213">
                  <v>44879</v>
                </pt>
                <pt idx="214">
                  <v>44880</v>
                </pt>
                <pt idx="215">
                  <v>44881</v>
                </pt>
                <pt idx="216">
                  <v>44882</v>
                </pt>
                <pt idx="217">
                  <v>44883</v>
                </pt>
                <pt idx="218">
                  <v>44886</v>
                </pt>
                <pt idx="219">
                  <v>44887</v>
                </pt>
                <pt idx="220">
                  <v>44888</v>
                </pt>
                <pt idx="221">
                  <v>44889</v>
                </pt>
                <pt idx="222">
                  <v>44890</v>
                </pt>
                <pt idx="223">
                  <v>44893</v>
                </pt>
                <pt idx="224">
                  <v>44894</v>
                </pt>
                <pt idx="225">
                  <v>44895</v>
                </pt>
                <pt idx="226">
                  <v>44896</v>
                </pt>
                <pt idx="227">
                  <v>44897</v>
                </pt>
                <pt idx="228">
                  <v>44900</v>
                </pt>
                <pt idx="229">
                  <v>44901</v>
                </pt>
                <pt idx="230">
                  <v>44902</v>
                </pt>
                <pt idx="231">
                  <v>44903</v>
                </pt>
                <pt idx="232">
                  <v>44904</v>
                </pt>
                <pt idx="233">
                  <v>44907</v>
                </pt>
                <pt idx="234">
                  <v>44908</v>
                </pt>
                <pt idx="235">
                  <v>44909</v>
                </pt>
                <pt idx="236">
                  <v>44910</v>
                </pt>
                <pt idx="237">
                  <v>44911</v>
                </pt>
                <pt idx="238">
                  <v>44914</v>
                </pt>
                <pt idx="239">
                  <v>44915</v>
                </pt>
                <pt idx="240">
                  <v>44916</v>
                </pt>
                <pt idx="241">
                  <v>44917</v>
                </pt>
                <pt idx="242">
                  <v>44918</v>
                </pt>
                <pt idx="243">
                  <v>44921</v>
                </pt>
                <pt idx="244">
                  <v>44922</v>
                </pt>
                <pt idx="245">
                  <v>44923</v>
                </pt>
                <pt idx="246">
                  <v>44924</v>
                </pt>
                <pt idx="247">
                  <v>44925</v>
                </pt>
                <pt idx="248">
                  <v>44928</v>
                </pt>
                <pt idx="249">
                  <v>44929</v>
                </pt>
                <pt idx="250">
                  <v>44930</v>
                </pt>
                <pt idx="251">
                  <v>44931</v>
                </pt>
                <pt idx="252">
                  <v>44932</v>
                </pt>
                <pt idx="253">
                  <v>44935</v>
                </pt>
                <pt idx="254">
                  <v>44936</v>
                </pt>
                <pt idx="255">
                  <v>44937</v>
                </pt>
                <pt idx="256">
                  <v>44938</v>
                </pt>
                <pt idx="257">
                  <v>44939</v>
                </pt>
                <pt idx="258">
                  <v>44942</v>
                </pt>
                <pt idx="259">
                  <v>44943</v>
                </pt>
                <pt idx="260">
                  <v>44944</v>
                </pt>
                <pt idx="261">
                  <v>44945</v>
                </pt>
                <pt idx="262">
                  <v>44946</v>
                </pt>
                <pt idx="263">
                  <v>44949</v>
                </pt>
                <pt idx="264">
                  <v>44950</v>
                </pt>
                <pt idx="265">
                  <v>44951</v>
                </pt>
                <pt idx="266">
                  <v>44953</v>
                </pt>
                <pt idx="267">
                  <v>44956</v>
                </pt>
                <pt idx="268">
                  <v>44957</v>
                </pt>
                <pt idx="269">
                  <v>44958</v>
                </pt>
                <pt idx="270">
                  <v>44959</v>
                </pt>
                <pt idx="271">
                  <v>44960</v>
                </pt>
                <pt idx="272">
                  <v>44963</v>
                </pt>
                <pt idx="273">
                  <v>44964</v>
                </pt>
                <pt idx="274">
                  <v>44965</v>
                </pt>
                <pt idx="275">
                  <v>44966</v>
                </pt>
                <pt idx="276">
                  <v>44967</v>
                </pt>
                <pt idx="277">
                  <v>44970</v>
                </pt>
                <pt idx="278">
                  <v>44971</v>
                </pt>
                <pt idx="279">
                  <v>44972</v>
                </pt>
                <pt idx="280">
                  <v>44973</v>
                </pt>
                <pt idx="281">
                  <v>44974</v>
                </pt>
                <pt idx="282">
                  <v>44977</v>
                </pt>
                <pt idx="283">
                  <v>44978</v>
                </pt>
                <pt idx="284">
                  <v>44979</v>
                </pt>
                <pt idx="285">
                  <v>44980</v>
                </pt>
                <pt idx="286">
                  <v>44981</v>
                </pt>
                <pt idx="287">
                  <v>44984</v>
                </pt>
                <pt idx="288">
                  <v>44985</v>
                </pt>
                <pt idx="289">
                  <v>44986</v>
                </pt>
                <pt idx="290">
                  <v>44987</v>
                </pt>
                <pt idx="291">
                  <v>44988</v>
                </pt>
                <pt idx="292">
                  <v>44991</v>
                </pt>
                <pt idx="293">
                  <v>44993</v>
                </pt>
                <pt idx="294">
                  <v>44994</v>
                </pt>
                <pt idx="295">
                  <v>44995</v>
                </pt>
                <pt idx="296">
                  <v>44998</v>
                </pt>
                <pt idx="297">
                  <v>44999</v>
                </pt>
                <pt idx="298">
                  <v>45000</v>
                </pt>
                <pt idx="299">
                  <v>45001</v>
                </pt>
                <pt idx="300">
                  <v>45002</v>
                </pt>
                <pt idx="301">
                  <v>45005</v>
                </pt>
                <pt idx="302">
                  <v>45006</v>
                </pt>
                <pt idx="303">
                  <v>45007</v>
                </pt>
                <pt idx="304">
                  <v>45008</v>
                </pt>
                <pt idx="305">
                  <v>45009</v>
                </pt>
                <pt idx="306">
                  <v>45012</v>
                </pt>
                <pt idx="307">
                  <v>45013</v>
                </pt>
                <pt idx="308">
                  <v>45014</v>
                </pt>
                <pt idx="309">
                  <v>45016</v>
                </pt>
                <pt idx="310">
                  <v>45019</v>
                </pt>
                <pt idx="311">
                  <v>45021</v>
                </pt>
                <pt idx="312">
                  <v>45022</v>
                </pt>
                <pt idx="313">
                  <v>45026</v>
                </pt>
                <pt idx="314">
                  <v>45027</v>
                </pt>
                <pt idx="315">
                  <v>45028</v>
                </pt>
                <pt idx="316">
                  <v>45029</v>
                </pt>
                <pt idx="317">
                  <v>45033</v>
                </pt>
                <pt idx="318">
                  <v>45034</v>
                </pt>
                <pt idx="319">
                  <v>45035</v>
                </pt>
                <pt idx="320">
                  <v>45036</v>
                </pt>
                <pt idx="321">
                  <v>45037</v>
                </pt>
                <pt idx="322">
                  <v>45040</v>
                </pt>
                <pt idx="323">
                  <v>45041</v>
                </pt>
                <pt idx="324">
                  <v>45042</v>
                </pt>
                <pt idx="325">
                  <v>45043</v>
                </pt>
                <pt idx="326">
                  <v>45044</v>
                </pt>
                <pt idx="327">
                  <v>45048</v>
                </pt>
                <pt idx="328">
                  <v>45049</v>
                </pt>
                <pt idx="329">
                  <v>45050</v>
                </pt>
                <pt idx="330">
                  <v>45051</v>
                </pt>
                <pt idx="331">
                  <v>45054</v>
                </pt>
                <pt idx="332">
                  <v>45055</v>
                </pt>
                <pt idx="333">
                  <v>45056</v>
                </pt>
                <pt idx="334">
                  <v>45057</v>
                </pt>
                <pt idx="335">
                  <v>45058</v>
                </pt>
                <pt idx="336">
                  <v>45061</v>
                </pt>
                <pt idx="337">
                  <v>45062</v>
                </pt>
                <pt idx="338">
                  <v>45063</v>
                </pt>
                <pt idx="339">
                  <v>45064</v>
                </pt>
                <pt idx="340">
                  <v>45065</v>
                </pt>
                <pt idx="341">
                  <v>45068</v>
                </pt>
                <pt idx="342">
                  <v>45069</v>
                </pt>
                <pt idx="343">
                  <v>45070</v>
                </pt>
                <pt idx="344">
                  <v>45071</v>
                </pt>
                <pt idx="345">
                  <v>45072</v>
                </pt>
                <pt idx="346">
                  <v>45075</v>
                </pt>
                <pt idx="347">
                  <v>45076</v>
                </pt>
                <pt idx="348">
                  <v>45077</v>
                </pt>
                <pt idx="349">
                  <v>45078</v>
                </pt>
                <pt idx="350">
                  <v>45079</v>
                </pt>
                <pt idx="351">
                  <v>45082</v>
                </pt>
                <pt idx="352">
                  <v>45083</v>
                </pt>
                <pt idx="353">
                  <v>45084</v>
                </pt>
                <pt idx="354">
                  <v>45085</v>
                </pt>
                <pt idx="355">
                  <v>45086</v>
                </pt>
                <pt idx="356">
                  <v>45089</v>
                </pt>
                <pt idx="357">
                  <v>45090</v>
                </pt>
                <pt idx="358">
                  <v>45091</v>
                </pt>
                <pt idx="359">
                  <v>45092</v>
                </pt>
                <pt idx="360">
                  <v>45093</v>
                </pt>
                <pt idx="361">
                  <v>45096</v>
                </pt>
                <pt idx="362">
                  <v>45097</v>
                </pt>
                <pt idx="363">
                  <v>45098</v>
                </pt>
                <pt idx="364">
                  <v>45099</v>
                </pt>
                <pt idx="365">
                  <v>45100</v>
                </pt>
                <pt idx="366">
                  <v>45103</v>
                </pt>
                <pt idx="367">
                  <v>45104</v>
                </pt>
                <pt idx="368">
                  <v>45105</v>
                </pt>
                <pt idx="369">
                  <v>45107</v>
                </pt>
                <pt idx="370">
                  <v>45110</v>
                </pt>
                <pt idx="371">
                  <v>45111</v>
                </pt>
                <pt idx="372">
                  <v>45112</v>
                </pt>
                <pt idx="373">
                  <v>45113</v>
                </pt>
                <pt idx="374">
                  <v>45114</v>
                </pt>
                <pt idx="375">
                  <v>45117</v>
                </pt>
                <pt idx="376">
                  <v>45118</v>
                </pt>
                <pt idx="377">
                  <v>45119</v>
                </pt>
                <pt idx="378">
                  <v>45120</v>
                </pt>
                <pt idx="379">
                  <v>45121</v>
                </pt>
                <pt idx="380">
                  <v>45124</v>
                </pt>
                <pt idx="381">
                  <v>45125</v>
                </pt>
                <pt idx="382">
                  <v>45126</v>
                </pt>
                <pt idx="383">
                  <v>45127</v>
                </pt>
                <pt idx="384">
                  <v>45128</v>
                </pt>
                <pt idx="385">
                  <v>45131</v>
                </pt>
                <pt idx="386">
                  <v>45132</v>
                </pt>
                <pt idx="387">
                  <v>45133</v>
                </pt>
                <pt idx="388">
                  <v>45134</v>
                </pt>
                <pt idx="389">
                  <v>45135</v>
                </pt>
                <pt idx="390">
                  <v>45138</v>
                </pt>
                <pt idx="391">
                  <v>45139</v>
                </pt>
                <pt idx="392">
                  <v>45140</v>
                </pt>
                <pt idx="393">
                  <v>45141</v>
                </pt>
                <pt idx="394">
                  <v>45142</v>
                </pt>
                <pt idx="395">
                  <v>45145</v>
                </pt>
                <pt idx="396">
                  <v>45146</v>
                </pt>
                <pt idx="397">
                  <v>45147</v>
                </pt>
                <pt idx="398">
                  <v>45148</v>
                </pt>
                <pt idx="399">
                  <v>45149</v>
                </pt>
                <pt idx="400">
                  <v>45152</v>
                </pt>
                <pt idx="401">
                  <v>45154</v>
                </pt>
                <pt idx="402">
                  <v>45155</v>
                </pt>
                <pt idx="403">
                  <v>45156</v>
                </pt>
                <pt idx="404">
                  <v>45159</v>
                </pt>
                <pt idx="405">
                  <v>45160</v>
                </pt>
                <pt idx="406">
                  <v>45161</v>
                </pt>
                <pt idx="407">
                  <v>45162</v>
                </pt>
                <pt idx="408">
                  <v>45163</v>
                </pt>
                <pt idx="409">
                  <v>45166</v>
                </pt>
                <pt idx="410">
                  <v>45167</v>
                </pt>
                <pt idx="411">
                  <v>45168</v>
                </pt>
                <pt idx="412">
                  <v>45169</v>
                </pt>
                <pt idx="413">
                  <v>45170</v>
                </pt>
                <pt idx="414">
                  <v>45173</v>
                </pt>
                <pt idx="415">
                  <v>45174</v>
                </pt>
                <pt idx="416">
                  <v>45175</v>
                </pt>
                <pt idx="417">
                  <v>45176</v>
                </pt>
                <pt idx="418">
                  <v>45177</v>
                </pt>
                <pt idx="419">
                  <v>45180</v>
                </pt>
                <pt idx="420">
                  <v>45181</v>
                </pt>
                <pt idx="421">
                  <v>45182</v>
                </pt>
                <pt idx="422">
                  <v>45183</v>
                </pt>
                <pt idx="423">
                  <v>45184</v>
                </pt>
                <pt idx="424">
                  <v>45187</v>
                </pt>
                <pt idx="425">
                  <v>45189</v>
                </pt>
                <pt idx="426">
                  <v>45190</v>
                </pt>
                <pt idx="427">
                  <v>45191</v>
                </pt>
                <pt idx="428">
                  <v>45194</v>
                </pt>
                <pt idx="429">
                  <v>45195</v>
                </pt>
                <pt idx="430">
                  <v>45196</v>
                </pt>
                <pt idx="431">
                  <v>45197</v>
                </pt>
                <pt idx="432">
                  <v>45198</v>
                </pt>
                <pt idx="433">
                  <v>45202</v>
                </pt>
                <pt idx="434">
                  <v>45203</v>
                </pt>
                <pt idx="435">
                  <v>45204</v>
                </pt>
                <pt idx="436">
                  <v>45205</v>
                </pt>
                <pt idx="437">
                  <v>45208</v>
                </pt>
                <pt idx="438">
                  <v>45209</v>
                </pt>
                <pt idx="439">
                  <v>45210</v>
                </pt>
                <pt idx="440">
                  <v>45211</v>
                </pt>
                <pt idx="441">
                  <v>45212</v>
                </pt>
                <pt idx="442">
                  <v>45215</v>
                </pt>
                <pt idx="443">
                  <v>45216</v>
                </pt>
                <pt idx="444">
                  <v>45217</v>
                </pt>
                <pt idx="445">
                  <v>45218</v>
                </pt>
                <pt idx="446">
                  <v>45219</v>
                </pt>
                <pt idx="447">
                  <v>45222</v>
                </pt>
                <pt idx="448">
                  <v>45224</v>
                </pt>
                <pt idx="449">
                  <v>45225</v>
                </pt>
                <pt idx="450">
                  <v>45226</v>
                </pt>
                <pt idx="451">
                  <v>45229</v>
                </pt>
                <pt idx="452">
                  <v>45230</v>
                </pt>
                <pt idx="453">
                  <v>45231</v>
                </pt>
                <pt idx="454">
                  <v>45232</v>
                </pt>
                <pt idx="455">
                  <v>45233</v>
                </pt>
                <pt idx="456">
                  <v>45236</v>
                </pt>
                <pt idx="457">
                  <v>45237</v>
                </pt>
                <pt idx="458">
                  <v>45238</v>
                </pt>
                <pt idx="459">
                  <v>45239</v>
                </pt>
                <pt idx="460">
                  <v>45240</v>
                </pt>
                <pt idx="461">
                  <v>45242</v>
                </pt>
                <pt idx="462">
                  <v>45243</v>
                </pt>
                <pt idx="463">
                  <v>45245</v>
                </pt>
                <pt idx="464">
                  <v>45246</v>
                </pt>
                <pt idx="465">
                  <v>45247</v>
                </pt>
                <pt idx="466">
                  <v>45250</v>
                </pt>
                <pt idx="467">
                  <v>45251</v>
                </pt>
                <pt idx="468">
                  <v>45252</v>
                </pt>
                <pt idx="469">
                  <v>45253</v>
                </pt>
                <pt idx="470">
                  <v>45254</v>
                </pt>
                <pt idx="471">
                  <v>45258</v>
                </pt>
                <pt idx="472">
                  <v>45259</v>
                </pt>
                <pt idx="473">
                  <v>45260</v>
                </pt>
                <pt idx="474">
                  <v>45261</v>
                </pt>
                <pt idx="475">
                  <v>45264</v>
                </pt>
                <pt idx="476">
                  <v>45265</v>
                </pt>
                <pt idx="477">
                  <v>45266</v>
                </pt>
                <pt idx="478">
                  <v>45267</v>
                </pt>
                <pt idx="479">
                  <v>45268</v>
                </pt>
                <pt idx="480">
                  <v>45271</v>
                </pt>
                <pt idx="481">
                  <v>45272</v>
                </pt>
                <pt idx="482">
                  <v>45273</v>
                </pt>
                <pt idx="483">
                  <v>45274</v>
                </pt>
                <pt idx="484">
                  <v>45275</v>
                </pt>
                <pt idx="485">
                  <v>45278</v>
                </pt>
                <pt idx="486">
                  <v>45279</v>
                </pt>
                <pt idx="487">
                  <v>45280</v>
                </pt>
                <pt idx="488">
                  <v>45281</v>
                </pt>
                <pt idx="489">
                  <v>45282</v>
                </pt>
                <pt idx="490">
                  <v>45286</v>
                </pt>
                <pt idx="491">
                  <v>45287</v>
                </pt>
                <pt idx="492">
                  <v>45288</v>
                </pt>
                <pt idx="493">
                  <v>45289</v>
                </pt>
                <pt idx="494">
                  <v>45292</v>
                </pt>
                <pt idx="495">
                  <v>45293</v>
                </pt>
                <pt idx="496">
                  <v>45294</v>
                </pt>
                <pt idx="497">
                  <v>45295</v>
                </pt>
                <pt idx="498">
                  <v>45296</v>
                </pt>
                <pt idx="499">
                  <v>45299</v>
                </pt>
                <pt idx="500">
                  <v>45300</v>
                </pt>
                <pt idx="501">
                  <v>45301</v>
                </pt>
                <pt idx="502">
                  <v>45302</v>
                </pt>
                <pt idx="503">
                  <v>45303</v>
                </pt>
                <pt idx="504">
                  <v>45306</v>
                </pt>
                <pt idx="505">
                  <v>45307</v>
                </pt>
                <pt idx="506">
                  <v>45308</v>
                </pt>
                <pt idx="507">
                  <v>45309</v>
                </pt>
                <pt idx="508">
                  <v>45310</v>
                </pt>
                <pt idx="509">
                  <v>45311</v>
                </pt>
                <pt idx="510">
                  <v>45314</v>
                </pt>
                <pt idx="511">
                  <v>45315</v>
                </pt>
                <pt idx="512">
                  <v>45316</v>
                </pt>
                <pt idx="513">
                  <v>45320</v>
                </pt>
                <pt idx="514">
                  <v>45321</v>
                </pt>
                <pt idx="515">
                  <v>45322</v>
                </pt>
                <pt idx="516">
                  <v>45323</v>
                </pt>
                <pt idx="517">
                  <v>45324</v>
                </pt>
                <pt idx="518">
                  <v>45327</v>
                </pt>
                <pt idx="519">
                  <v>45328</v>
                </pt>
                <pt idx="520">
                  <v>45329</v>
                </pt>
                <pt idx="521">
                  <v>45330</v>
                </pt>
                <pt idx="522">
                  <v>45331</v>
                </pt>
                <pt idx="523">
                  <v>45334</v>
                </pt>
                <pt idx="524">
                  <v>45335</v>
                </pt>
                <pt idx="525">
                  <v>45336</v>
                </pt>
                <pt idx="526">
                  <v>45337</v>
                </pt>
                <pt idx="527">
                  <v>45338</v>
                </pt>
                <pt idx="528">
                  <v>45341</v>
                </pt>
                <pt idx="529">
                  <v>45342</v>
                </pt>
                <pt idx="530">
                  <v>45343</v>
                </pt>
                <pt idx="531">
                  <v>45344</v>
                </pt>
                <pt idx="532">
                  <v>45345</v>
                </pt>
                <pt idx="533">
                  <v>45348</v>
                </pt>
                <pt idx="534">
                  <v>45349</v>
                </pt>
                <pt idx="535">
                  <v>45350</v>
                </pt>
                <pt idx="536">
                  <v>45351</v>
                </pt>
                <pt idx="537">
                  <v>45352</v>
                </pt>
                <pt idx="538">
                  <v>45353</v>
                </pt>
                <pt idx="539">
                  <v>45355</v>
                </pt>
                <pt idx="540">
                  <v>45356</v>
                </pt>
                <pt idx="541">
                  <v>45357</v>
                </pt>
                <pt idx="542">
                  <v>45358</v>
                </pt>
                <pt idx="543">
                  <v>45362</v>
                </pt>
                <pt idx="544">
                  <v>45363</v>
                </pt>
                <pt idx="545">
                  <v>45364</v>
                </pt>
                <pt idx="546">
                  <v>45365</v>
                </pt>
                <pt idx="547">
                  <v>45366</v>
                </pt>
                <pt idx="548">
                  <v>45369</v>
                </pt>
                <pt idx="549">
                  <v>45370</v>
                </pt>
                <pt idx="550">
                  <v>45371</v>
                </pt>
                <pt idx="551">
                  <v>45372</v>
                </pt>
                <pt idx="552">
                  <v>45373</v>
                </pt>
                <pt idx="553">
                  <v>45377</v>
                </pt>
                <pt idx="554">
                  <v>45378</v>
                </pt>
                <pt idx="555">
                  <v>45379</v>
                </pt>
                <pt idx="556">
                  <v>45383</v>
                </pt>
                <pt idx="557">
                  <v>45384</v>
                </pt>
                <pt idx="558">
                  <v>45385</v>
                </pt>
                <pt idx="559">
                  <v>45386</v>
                </pt>
                <pt idx="560">
                  <v>45387</v>
                </pt>
                <pt idx="561">
                  <v>45390</v>
                </pt>
                <pt idx="562">
                  <v>45391</v>
                </pt>
                <pt idx="563">
                  <v>45392</v>
                </pt>
                <pt idx="564">
                  <v>45394</v>
                </pt>
                <pt idx="565">
                  <v>45397</v>
                </pt>
                <pt idx="566">
                  <v>45398</v>
                </pt>
                <pt idx="567">
                  <v>45400</v>
                </pt>
                <pt idx="568">
                  <v>45401</v>
                </pt>
                <pt idx="569">
                  <v>45404</v>
                </pt>
                <pt idx="570">
                  <v>45405</v>
                </pt>
                <pt idx="571">
                  <v>45406</v>
                </pt>
                <pt idx="572">
                  <v>45407</v>
                </pt>
                <pt idx="573">
                  <v>45408</v>
                </pt>
                <pt idx="574">
                  <v>45411</v>
                </pt>
                <pt idx="575">
                  <v>45412</v>
                </pt>
                <pt idx="576">
                  <v>45414</v>
                </pt>
                <pt idx="577">
                  <v>45415</v>
                </pt>
                <pt idx="578">
                  <v>45418</v>
                </pt>
                <pt idx="579">
                  <v>45419</v>
                </pt>
                <pt idx="580">
                  <v>45420</v>
                </pt>
                <pt idx="581">
                  <v>45421</v>
                </pt>
                <pt idx="582">
                  <v>45422</v>
                </pt>
                <pt idx="583">
                  <v>45425</v>
                </pt>
                <pt idx="584">
                  <v>45426</v>
                </pt>
                <pt idx="585">
                  <v>45427</v>
                </pt>
                <pt idx="586">
                  <v>45428</v>
                </pt>
                <pt idx="587">
                  <v>45429</v>
                </pt>
                <pt idx="588">
                  <v>45430</v>
                </pt>
                <pt idx="589">
                  <v>45433</v>
                </pt>
                <pt idx="590">
                  <v>45434</v>
                </pt>
                <pt idx="591">
                  <v>45435</v>
                </pt>
                <pt idx="592">
                  <v>45436</v>
                </pt>
                <pt idx="593">
                  <v>45439</v>
                </pt>
                <pt idx="594">
                  <v>45440</v>
                </pt>
                <pt idx="595">
                  <v>45441</v>
                </pt>
                <pt idx="596">
                  <v>45442</v>
                </pt>
                <pt idx="597">
                  <v>45443</v>
                </pt>
                <pt idx="598">
                  <v>45446</v>
                </pt>
                <pt idx="599">
                  <v>45447</v>
                </pt>
                <pt idx="600">
                  <v>45448</v>
                </pt>
                <pt idx="601">
                  <v>45449</v>
                </pt>
                <pt idx="602">
                  <v>45450</v>
                </pt>
                <pt idx="603">
                  <v>45453</v>
                </pt>
                <pt idx="604">
                  <v>45454</v>
                </pt>
                <pt idx="605">
                  <v>45455</v>
                </pt>
                <pt idx="606">
                  <v>45456</v>
                </pt>
                <pt idx="607">
                  <v>45457</v>
                </pt>
                <pt idx="608">
                  <v>45461</v>
                </pt>
                <pt idx="609">
                  <v>45462</v>
                </pt>
                <pt idx="610">
                  <v>45463</v>
                </pt>
                <pt idx="611">
                  <v>45464</v>
                </pt>
                <pt idx="612">
                  <v>45467</v>
                </pt>
                <pt idx="613">
                  <v>45468</v>
                </pt>
                <pt idx="614">
                  <v>45469</v>
                </pt>
                <pt idx="615">
                  <v>45470</v>
                </pt>
                <pt idx="616">
                  <v>45471</v>
                </pt>
                <pt idx="617">
                  <v>45474</v>
                </pt>
                <pt idx="618">
                  <v>45475</v>
                </pt>
                <pt idx="619">
                  <v>45476</v>
                </pt>
                <pt idx="620">
                  <v>45477</v>
                </pt>
                <pt idx="621">
                  <v>45478</v>
                </pt>
                <pt idx="622">
                  <v>45481</v>
                </pt>
                <pt idx="623">
                  <v>45482</v>
                </pt>
                <pt idx="624">
                  <v>45483</v>
                </pt>
                <pt idx="625">
                  <v>45484</v>
                </pt>
                <pt idx="626">
                  <v>45485</v>
                </pt>
                <pt idx="627">
                  <v>45488</v>
                </pt>
                <pt idx="628">
                  <v>45489</v>
                </pt>
                <pt idx="629">
                  <v>45491</v>
                </pt>
                <pt idx="630">
                  <v>45492</v>
                </pt>
                <pt idx="631">
                  <v>45495</v>
                </pt>
                <pt idx="632">
                  <v>45496</v>
                </pt>
                <pt idx="633">
                  <v>45497</v>
                </pt>
                <pt idx="634">
                  <v>45498</v>
                </pt>
                <pt idx="635">
                  <v>45499</v>
                </pt>
                <pt idx="636">
                  <v>45502</v>
                </pt>
                <pt idx="637">
                  <v>45503</v>
                </pt>
                <pt idx="638">
                  <v>45504</v>
                </pt>
                <pt idx="639">
                  <v>45505</v>
                </pt>
                <pt idx="640">
                  <v>45506</v>
                </pt>
                <pt idx="641">
                  <v>45509</v>
                </pt>
                <pt idx="642">
                  <v>45510</v>
                </pt>
                <pt idx="643">
                  <v>45511</v>
                </pt>
                <pt idx="644">
                  <v>45512</v>
                </pt>
                <pt idx="645">
                  <v>45513</v>
                </pt>
                <pt idx="646">
                  <v>45516</v>
                </pt>
                <pt idx="647">
                  <v>45517</v>
                </pt>
                <pt idx="648">
                  <v>45518</v>
                </pt>
                <pt idx="649">
                  <v>45520</v>
                </pt>
                <pt idx="650">
                  <v>45523</v>
                </pt>
                <pt idx="651">
                  <v>45524</v>
                </pt>
                <pt idx="652">
                  <v>45525</v>
                </pt>
                <pt idx="653">
                  <v>45526</v>
                </pt>
                <pt idx="654">
                  <v>45527</v>
                </pt>
                <pt idx="655">
                  <v>45530</v>
                </pt>
                <pt idx="656">
                  <v>45531</v>
                </pt>
                <pt idx="657">
                  <v>45532</v>
                </pt>
                <pt idx="658">
                  <v>45533</v>
                </pt>
                <pt idx="659">
                  <v>45534</v>
                </pt>
                <pt idx="660">
                  <v>45537</v>
                </pt>
                <pt idx="661">
                  <v>45538</v>
                </pt>
                <pt idx="662">
                  <v>45539</v>
                </pt>
                <pt idx="663">
                  <v>45540</v>
                </pt>
                <pt idx="664">
                  <v>45541</v>
                </pt>
                <pt idx="665">
                  <v>45544</v>
                </pt>
                <pt idx="666">
                  <v>45545</v>
                </pt>
                <pt idx="667">
                  <v>45546</v>
                </pt>
                <pt idx="668">
                  <v>45547</v>
                </pt>
                <pt idx="669">
                  <v>45548</v>
                </pt>
                <pt idx="670">
                  <v>45551</v>
                </pt>
                <pt idx="671">
                  <v>45552</v>
                </pt>
                <pt idx="672">
                  <v>45553</v>
                </pt>
                <pt idx="673">
                  <v>45554</v>
                </pt>
                <pt idx="674">
                  <v>45555</v>
                </pt>
                <pt idx="675">
                  <v>45558</v>
                </pt>
                <pt idx="676">
                  <v>45559</v>
                </pt>
                <pt idx="677">
                  <v>45560</v>
                </pt>
                <pt idx="678">
                  <v>45561</v>
                </pt>
                <pt idx="679">
                  <v>45562</v>
                </pt>
                <pt idx="680">
                  <v>45565</v>
                </pt>
                <pt idx="681">
                  <v>45566</v>
                </pt>
                <pt idx="682">
                  <v>45568</v>
                </pt>
                <pt idx="683">
                  <v>45569</v>
                </pt>
                <pt idx="684">
                  <v>45572</v>
                </pt>
                <pt idx="685">
                  <v>45573</v>
                </pt>
                <pt idx="686">
                  <v>45574</v>
                </pt>
                <pt idx="687">
                  <v>45575</v>
                </pt>
                <pt idx="688">
                  <v>45576</v>
                </pt>
                <pt idx="689">
                  <v>45579</v>
                </pt>
                <pt idx="690">
                  <v>45580</v>
                </pt>
                <pt idx="691">
                  <v>45581</v>
                </pt>
                <pt idx="692">
                  <v>45582</v>
                </pt>
                <pt idx="693">
                  <v>45583</v>
                </pt>
                <pt idx="694">
                  <v>45586</v>
                </pt>
                <pt idx="695">
                  <v>45587</v>
                </pt>
                <pt idx="696">
                  <v>45588</v>
                </pt>
                <pt idx="697">
                  <v>45589</v>
                </pt>
                <pt idx="698">
                  <v>45590</v>
                </pt>
                <pt idx="699">
                  <v>45593</v>
                </pt>
                <pt idx="700">
                  <v>45594</v>
                </pt>
                <pt idx="701">
                  <v>45595</v>
                </pt>
                <pt idx="702">
                  <v>45596</v>
                </pt>
                <pt idx="703">
                  <v>45597</v>
                </pt>
                <pt idx="704">
                  <v>45600</v>
                </pt>
                <pt idx="705">
                  <v>45601</v>
                </pt>
                <pt idx="706">
                  <v>45602</v>
                </pt>
                <pt idx="707">
                  <v>45603</v>
                </pt>
                <pt idx="708">
                  <v>45604</v>
                </pt>
                <pt idx="709">
                  <v>45607</v>
                </pt>
                <pt idx="710">
                  <v>45608</v>
                </pt>
                <pt idx="711">
                  <v>45609</v>
                </pt>
                <pt idx="712">
                  <v>45610</v>
                </pt>
                <pt idx="713">
                  <v>45614</v>
                </pt>
                <pt idx="714">
                  <v>45615</v>
                </pt>
                <pt idx="715">
                  <v>45617</v>
                </pt>
                <pt idx="716">
                  <v>45618</v>
                </pt>
                <pt idx="717">
                  <v>45621</v>
                </pt>
                <pt idx="718">
                  <v>45622</v>
                </pt>
                <pt idx="719">
                  <v>45623</v>
                </pt>
                <pt idx="720">
                  <v>45624</v>
                </pt>
                <pt idx="721">
                  <v>45625</v>
                </pt>
                <pt idx="722">
                  <v>45628</v>
                </pt>
                <pt idx="723">
                  <v>45629</v>
                </pt>
                <pt idx="724">
                  <v>45630</v>
                </pt>
                <pt idx="725">
                  <v>45631</v>
                </pt>
                <pt idx="726">
                  <v>45632</v>
                </pt>
                <pt idx="727">
                  <v>45635</v>
                </pt>
                <pt idx="728">
                  <v>45636</v>
                </pt>
                <pt idx="729">
                  <v>45637</v>
                </pt>
                <pt idx="730">
                  <v>45638</v>
                </pt>
                <pt idx="731">
                  <v>45639</v>
                </pt>
                <pt idx="732">
                  <v>45642</v>
                </pt>
                <pt idx="733">
                  <v>45643</v>
                </pt>
                <pt idx="734">
                  <v>45644</v>
                </pt>
                <pt idx="735">
                  <v>45645</v>
                </pt>
                <pt idx="736">
                  <v>45646</v>
                </pt>
                <pt idx="737">
                  <v>45649</v>
                </pt>
                <pt idx="738">
                  <v>45650</v>
                </pt>
                <pt idx="739">
                  <v>45652</v>
                </pt>
                <pt idx="740">
                  <v>45653</v>
                </pt>
                <pt idx="741">
                  <v>45656</v>
                </pt>
                <pt idx="742">
                  <v>45657</v>
                </pt>
                <pt idx="743">
                  <v>45658</v>
                </pt>
                <pt idx="744">
                  <v>45659</v>
                </pt>
                <pt idx="745">
                  <v>45660</v>
                </pt>
                <pt idx="746">
                  <v>45663</v>
                </pt>
                <pt idx="747">
                  <v>45664</v>
                </pt>
                <pt idx="748">
                  <v>45665</v>
                </pt>
                <pt idx="749">
                  <v>45666</v>
                </pt>
                <pt idx="750">
                  <v>45667</v>
                </pt>
                <pt idx="751">
                  <v>45670</v>
                </pt>
                <pt idx="752">
                  <v>45671</v>
                </pt>
                <pt idx="753">
                  <v>45672</v>
                </pt>
                <pt idx="754">
                  <v>45673</v>
                </pt>
                <pt idx="755">
                  <v>45674</v>
                </pt>
                <pt idx="756">
                  <v>45677</v>
                </pt>
                <pt idx="757">
                  <v>45678</v>
                </pt>
                <pt idx="758">
                  <v>45679</v>
                </pt>
                <pt idx="759">
                  <v>45680</v>
                </pt>
                <pt idx="760">
                  <v>45681</v>
                </pt>
                <pt idx="761">
                  <v>45684</v>
                </pt>
                <pt idx="762">
                  <v>45685</v>
                </pt>
                <pt idx="763">
                  <v>45686</v>
                </pt>
                <pt idx="764">
                  <v>45687</v>
                </pt>
                <pt idx="765">
                  <v>45688</v>
                </pt>
                <pt idx="766">
                  <v>45689</v>
                </pt>
                <pt idx="767">
                  <v>45691</v>
                </pt>
                <pt idx="768">
                  <v>45692</v>
                </pt>
                <pt idx="769">
                  <v>45693</v>
                </pt>
                <pt idx="770">
                  <v>45694</v>
                </pt>
                <pt idx="771">
                  <v>45695</v>
                </pt>
                <pt idx="772">
                  <v>45698</v>
                </pt>
                <pt idx="773">
                  <v>45699</v>
                </pt>
                <pt idx="774">
                  <v>45700</v>
                </pt>
                <pt idx="775">
                  <v>45701</v>
                </pt>
                <pt idx="776">
                  <v>45702</v>
                </pt>
                <pt idx="777">
                  <v>45705</v>
                </pt>
                <pt idx="778">
                  <v>45706</v>
                </pt>
                <pt idx="779">
                  <v>45707</v>
                </pt>
                <pt idx="780">
                  <v>45708</v>
                </pt>
                <pt idx="781">
                  <v>45709</v>
                </pt>
                <pt idx="782">
                  <v>45712</v>
                </pt>
                <pt idx="783">
                  <v>45713</v>
                </pt>
                <pt idx="784">
                  <v>45715</v>
                </pt>
                <pt idx="785">
                  <v>45716</v>
                </pt>
                <pt idx="786">
                  <v>45719</v>
                </pt>
                <pt idx="787">
                  <v>45720</v>
                </pt>
                <pt idx="788">
                  <v>45721</v>
                </pt>
                <pt idx="789">
                  <v>45722</v>
                </pt>
                <pt idx="790">
                  <v>45723</v>
                </pt>
                <pt idx="791">
                  <v>45726</v>
                </pt>
                <pt idx="792">
                  <v>45727</v>
                </pt>
                <pt idx="793">
                  <v>45728</v>
                </pt>
                <pt idx="794">
                  <v>45729</v>
                </pt>
                <pt idx="795">
                  <v>45733</v>
                </pt>
                <pt idx="796">
                  <v>45734</v>
                </pt>
                <pt idx="797">
                  <v>45735</v>
                </pt>
                <pt idx="798">
                  <v>45736</v>
                </pt>
                <pt idx="799">
                  <v>45737</v>
                </pt>
                <pt idx="800">
                  <v>45740</v>
                </pt>
                <pt idx="801">
                  <v>45741</v>
                </pt>
                <pt idx="802">
                  <v>45742</v>
                </pt>
                <pt idx="803">
                  <v>45743</v>
                </pt>
                <pt idx="804">
                  <v>45744</v>
                </pt>
              </numCache>
            </numRef>
          </cat>
          <val>
            <numRef>
              <f>'EVI 2025 Workings'!$R$2:$R$806</f>
              <numCache>
                <formatCode>0.00</formatCode>
                <ptCount val="805"/>
                <pt idx="0">
                  <v>96.211</v>
                </pt>
                <pt idx="1">
                  <v>96.274</v>
                </pt>
                <pt idx="2">
                  <v>96.182</v>
                </pt>
                <pt idx="3">
                  <v>96.32599999999999</v>
                </pt>
                <pt idx="4">
                  <v>95.72199999999999</v>
                </pt>
                <pt idx="5">
                  <v>95.98999999999999</v>
                </pt>
                <pt idx="6">
                  <v>95.625</v>
                </pt>
                <pt idx="7">
                  <v>94.901</v>
                </pt>
                <pt idx="8">
                  <v>94.77500000000001</v>
                </pt>
                <pt idx="9">
                  <v>95.161</v>
                </pt>
                <pt idx="10">
                  <v>95.161</v>
                </pt>
                <pt idx="11">
                  <v>95.723</v>
                </pt>
                <pt idx="12">
                  <v>95.5</v>
                </pt>
                <pt idx="13">
                  <v>95.72499999999999</v>
                </pt>
                <pt idx="14">
                  <v>95.636</v>
                </pt>
                <pt idx="15">
                  <v>95.901</v>
                </pt>
                <pt idx="16">
                  <v>95.928</v>
                </pt>
                <pt idx="17">
                  <v>97.242</v>
                </pt>
                <pt idx="18">
                  <v>97.26600000000001</v>
                </pt>
                <pt idx="19">
                  <v>96.53700000000001</v>
                </pt>
                <pt idx="20">
                  <v>96.375</v>
                </pt>
                <pt idx="21">
                  <v>95.935</v>
                </pt>
                <pt idx="22">
                  <v>95.379</v>
                </pt>
                <pt idx="23">
                  <v>95.48</v>
                </pt>
                <pt idx="24">
                  <v>95.392</v>
                </pt>
                <pt idx="25">
                  <v>95.64100000000001</v>
                </pt>
                <pt idx="26">
                  <v>95.494</v>
                </pt>
                <pt idx="27">
                  <v>95.548</v>
                </pt>
                <pt idx="28">
                  <v>96.07299999999999</v>
                </pt>
                <pt idx="29">
                  <v>96.35599999999999</v>
                </pt>
                <pt idx="30">
                  <v>95.99299999999999</v>
                </pt>
                <pt idx="31">
                  <v>95.697</v>
                </pt>
                <pt idx="32">
                  <v>95.803</v>
                </pt>
                <pt idx="33">
                  <v>96.02200000000001</v>
                </pt>
                <pt idx="34">
                  <v>96.02</v>
                </pt>
                <pt idx="35">
                  <v>96.011</v>
                </pt>
                <pt idx="36">
                  <v>96.188</v>
                </pt>
                <pt idx="37">
                  <v>97.11799999999999</v>
                </pt>
                <pt idx="38">
                  <v>96.619</v>
                </pt>
                <pt idx="39">
                  <v>96.694</v>
                </pt>
                <pt idx="40">
                  <v>97.414</v>
                </pt>
                <pt idx="41">
                  <v>97.791</v>
                </pt>
                <pt idx="42">
                  <v>98.67100000000001</v>
                </pt>
                <pt idx="43">
                  <v>99.295</v>
                </pt>
                <pt idx="44">
                  <v>99.08</v>
                </pt>
                <pt idx="45">
                  <v>97.953</v>
                </pt>
                <pt idx="46">
                  <v>98.504</v>
                </pt>
                <pt idx="47">
                  <v>99.13</v>
                </pt>
                <pt idx="48">
                  <v>98.879</v>
                </pt>
                <pt idx="49">
                  <v>99.06399999999999</v>
                </pt>
                <pt idx="50">
                  <v>98.621</v>
                </pt>
                <pt idx="51">
                  <v>97.97499999999999</v>
                </pt>
                <pt idx="52">
                  <v>98.499</v>
                </pt>
                <pt idx="53">
                  <v>98.523</v>
                </pt>
                <pt idx="54">
                  <v>98.61499999999999</v>
                </pt>
                <pt idx="55">
                  <v>98.8</v>
                </pt>
                <pt idx="56">
                  <v>98.822</v>
                </pt>
                <pt idx="57">
                  <v>99.05500000000001</v>
                </pt>
                <pt idx="58">
                  <v>98.441</v>
                </pt>
                <pt idx="59">
                  <v>97.875</v>
                </pt>
                <pt idx="60">
                  <v>98.36</v>
                </pt>
                <pt idx="61">
                  <v>98.627</v>
                </pt>
                <pt idx="62">
                  <v>98.974</v>
                </pt>
                <pt idx="63">
                  <v>99.428</v>
                </pt>
                <pt idx="64">
                  <v>99.61499999999999</v>
                </pt>
                <pt idx="65">
                  <v>99.76000000000001</v>
                </pt>
                <pt idx="66">
                  <v>99.753</v>
                </pt>
                <pt idx="67">
                  <v>99.92400000000001</v>
                </pt>
                <pt idx="68">
                  <v>100.292</v>
                </pt>
                <pt idx="69">
                  <v>99.913</v>
                </pt>
                <pt idx="70">
                  <v>100.766</v>
                </pt>
                <pt idx="71">
                  <v>100.964</v>
                </pt>
                <pt idx="72">
                  <v>100.417</v>
                </pt>
                <pt idx="73">
                  <v>100.614</v>
                </pt>
                <pt idx="74">
                  <v>101.213</v>
                </pt>
                <pt idx="75">
                  <v>101.769</v>
                </pt>
                <pt idx="76">
                  <v>102.318</v>
                </pt>
                <pt idx="77">
                  <v>102.963</v>
                </pt>
                <pt idx="78">
                  <v>103.659</v>
                </pt>
                <pt idx="79">
                  <v>102.963</v>
                </pt>
                <pt idx="80">
                  <v>103.766</v>
                </pt>
                <pt idx="81">
                  <v>102.594</v>
                </pt>
                <pt idx="82">
                  <v>103.802</v>
                </pt>
                <pt idx="83">
                  <v>103.694</v>
                </pt>
                <pt idx="84">
                  <v>103.689</v>
                </pt>
                <pt idx="85">
                  <v>103.943</v>
                </pt>
                <pt idx="86">
                  <v>103.874</v>
                </pt>
                <pt idx="87">
                  <v>104.897</v>
                </pt>
                <pt idx="88">
                  <v>104.621</v>
                </pt>
                <pt idx="89">
                  <v>104.2</v>
                </pt>
                <pt idx="90">
                  <v>103.407</v>
                </pt>
                <pt idx="91">
                  <v>103.862</v>
                </pt>
                <pt idx="92">
                  <v>102.751</v>
                </pt>
                <pt idx="93">
                  <v>103.173</v>
                </pt>
                <pt idx="94">
                  <v>102.097</v>
                </pt>
                <pt idx="95">
                  <v>101.87</v>
                </pt>
                <pt idx="96">
                  <v>102.077</v>
                </pt>
                <pt idx="97">
                  <v>101.858</v>
                </pt>
                <pt idx="98">
                  <v>101.698</v>
                </pt>
                <pt idx="99">
                  <v>101.305</v>
                </pt>
                <pt idx="100">
                  <v>101.766</v>
                </pt>
                <pt idx="101">
                  <v>102.529</v>
                </pt>
                <pt idx="102">
                  <v>101.832</v>
                </pt>
                <pt idx="103">
                  <v>102.16</v>
                </pt>
                <pt idx="104">
                  <v>102.447</v>
                </pt>
                <pt idx="105">
                  <v>102.325</v>
                </pt>
                <pt idx="106">
                  <v>102.546</v>
                </pt>
                <pt idx="107">
                  <v>103.218</v>
                </pt>
                <pt idx="108">
                  <v>104.151</v>
                </pt>
                <pt idx="109">
                  <v>104.947</v>
                </pt>
                <pt idx="110">
                  <v>105.342</v>
                </pt>
                <pt idx="111">
                  <v>104.935</v>
                </pt>
                <pt idx="112">
                  <v>103.417</v>
                </pt>
                <pt idx="113">
                  <v>104.488</v>
                </pt>
                <pt idx="114">
                  <v>104.488</v>
                </pt>
                <pt idx="115">
                  <v>104.211</v>
                </pt>
                <pt idx="116">
                  <v>103.981</v>
                </pt>
                <pt idx="117">
                  <v>104.192</v>
                </pt>
                <pt idx="118">
                  <v>103.959</v>
                </pt>
                <pt idx="119">
                  <v>103.678</v>
                </pt>
                <pt idx="120">
                  <v>104.261</v>
                </pt>
                <pt idx="121">
                  <v>104.849</v>
                </pt>
                <pt idx="122">
                  <v>104.464</v>
                </pt>
                <pt idx="123">
                  <v>104.909</v>
                </pt>
                <pt idx="124">
                  <v>104.909</v>
                </pt>
                <pt idx="125">
                  <v>106.32</v>
                </pt>
                <pt idx="126">
                  <v>106.898</v>
                </pt>
                <pt idx="127">
                  <v>106.959</v>
                </pt>
                <pt idx="128">
                  <v>106.821</v>
                </pt>
                <pt idx="129">
                  <v>107.829</v>
                </pt>
                <pt idx="130">
                  <v>107.912</v>
                </pt>
                <pt idx="131">
                  <v>107.756</v>
                </pt>
                <pt idx="132">
                  <v>108.407</v>
                </pt>
                <pt idx="133">
                  <v>107.911</v>
                </pt>
                <pt idx="134">
                  <v>107.231</v>
                </pt>
                <pt idx="135">
                  <v>106.55</v>
                </pt>
                <pt idx="136">
                  <v>106.953</v>
                </pt>
                <pt idx="137">
                  <v>106.804</v>
                </pt>
                <pt idx="138">
                  <v>106.621</v>
                </pt>
                <pt idx="139">
                  <v>106.355</v>
                </pt>
                <pt idx="140">
                  <v>107.044</v>
                </pt>
                <pt idx="141">
                  <v>106.331</v>
                </pt>
                <pt idx="142">
                  <v>106.236</v>
                </pt>
                <pt idx="143">
                  <v>105.779</v>
                </pt>
                <pt idx="144">
                  <v>105.336</v>
                </pt>
                <pt idx="145">
                  <v>106.104</v>
                </pt>
                <pt idx="146">
                  <v>106.377</v>
                </pt>
                <pt idx="147">
                  <v>105.566</v>
                </pt>
                <pt idx="148">
                  <v>106.49</v>
                </pt>
                <pt idx="149">
                  <v>106.323</v>
                </pt>
                <pt idx="150">
                  <v>105.08</v>
                </pt>
                <pt idx="151">
                  <v>104.994</v>
                </pt>
                <pt idx="152">
                  <v>105.51</v>
                </pt>
                <pt idx="153">
                  <v>106.388</v>
                </pt>
                <pt idx="154">
                  <v>106.486</v>
                </pt>
                <pt idx="155">
                  <v>107.415</v>
                </pt>
                <pt idx="156">
                  <v>108.098</v>
                </pt>
                <pt idx="157">
                  <v>108.981</v>
                </pt>
                <pt idx="158">
                  <v>108.554</v>
                </pt>
                <pt idx="159">
                  <v>108.616</v>
                </pt>
                <pt idx="160">
                  <v>108.433</v>
                </pt>
                <pt idx="161">
                  <v>108.751</v>
                </pt>
                <pt idx="162">
                  <v>108.79</v>
                </pt>
                <pt idx="163">
                  <v>108.749</v>
                </pt>
                <pt idx="164">
                  <v>108.665</v>
                </pt>
                <pt idx="165">
                  <v>109.678</v>
                </pt>
                <pt idx="166">
                  <v>109.51</v>
                </pt>
                <pt idx="167">
                  <v>109.51</v>
                </pt>
                <pt idx="168">
                  <v>110.204</v>
                </pt>
                <pt idx="169">
                  <v>109.832</v>
                </pt>
                <pt idx="170">
                  <v>109.713</v>
                </pt>
                <pt idx="171">
                  <v>108.997</v>
                </pt>
                <pt idx="172">
                  <v>108.316</v>
                </pt>
                <pt idx="173">
                  <v>109.809</v>
                </pt>
                <pt idx="174">
                  <v>109.631</v>
                </pt>
                <pt idx="175">
                  <v>109.711</v>
                </pt>
                <pt idx="176">
                  <v>109.736</v>
                </pt>
                <pt idx="177">
                  <v>109.982</v>
                </pt>
                <pt idx="178">
                  <v>109.942</v>
                </pt>
                <pt idx="179">
                  <v>110.346</v>
                </pt>
                <pt idx="180">
                  <v>111.105</v>
                </pt>
                <pt idx="181">
                  <v>112.962</v>
                </pt>
                <pt idx="182">
                  <v>114.02</v>
                </pt>
                <pt idx="183">
                  <v>114.047</v>
                </pt>
                <pt idx="184">
                  <v>112.508</v>
                </pt>
                <pt idx="185">
                  <v>112.202</v>
                </pt>
                <pt idx="186">
                  <v>112.084</v>
                </pt>
                <pt idx="187">
                  <v>111.656</v>
                </pt>
                <pt idx="188">
                  <v>111.34</v>
                </pt>
                <pt idx="189">
                  <v>111.987</v>
                </pt>
                <pt idx="190">
                  <v>113.11</v>
                </pt>
                <pt idx="191">
                  <v>112.875</v>
                </pt>
                <pt idx="192">
                  <v>113.082</v>
                </pt>
                <pt idx="193">
                  <v>112.675</v>
                </pt>
                <pt idx="194">
                  <v>113.02</v>
                </pt>
                <pt idx="195">
                  <v>112.83</v>
                </pt>
                <pt idx="196">
                  <v>112.078</v>
                </pt>
                <pt idx="197">
                  <v>112.75</v>
                </pt>
                <pt idx="198">
                  <v>112.32</v>
                </pt>
                <pt idx="199">
                  <v>112.01</v>
                </pt>
                <pt idx="200">
                  <v>111.99</v>
                </pt>
                <pt idx="201">
                  <v>110.95</v>
                </pt>
                <pt idx="202">
                  <v>110.1</v>
                </pt>
                <pt idx="203">
                  <v>110.68</v>
                </pt>
                <pt idx="204">
                  <v>111.08</v>
                </pt>
                <pt idx="205">
                  <v>111.35</v>
                </pt>
                <pt idx="206">
                  <v>111.22</v>
                </pt>
                <pt idx="207">
                  <v>112.82</v>
                </pt>
                <pt idx="208">
                  <v>110.774</v>
                </pt>
                <pt idx="209">
                  <v>110.37</v>
                </pt>
                <pt idx="210">
                  <v>109.83</v>
                </pt>
                <pt idx="211">
                  <v>110.73</v>
                </pt>
                <pt idx="212">
                  <v>106.29</v>
                </pt>
                <pt idx="213">
                  <v>106.66</v>
                </pt>
                <pt idx="214">
                  <v>106.4</v>
                </pt>
                <pt idx="215">
                  <v>106.28</v>
                </pt>
                <pt idx="216">
                  <v>106.69</v>
                </pt>
                <pt idx="217">
                  <v>106.97</v>
                </pt>
                <pt idx="218">
                  <v>107.78</v>
                </pt>
                <pt idx="219">
                  <v>107.15</v>
                </pt>
                <pt idx="220">
                  <v>106.1</v>
                </pt>
                <pt idx="221">
                  <v>105.88</v>
                </pt>
                <pt idx="222">
                  <v>106</v>
                </pt>
                <pt idx="223">
                  <v>106.63</v>
                </pt>
                <pt idx="224">
                  <v>106.82</v>
                </pt>
                <pt idx="225">
                  <v>105.95</v>
                </pt>
                <pt idx="226">
                  <v>104.73</v>
                </pt>
                <pt idx="227">
                  <v>104.55</v>
                </pt>
                <pt idx="228">
                  <v>105.29</v>
                </pt>
                <pt idx="229">
                  <v>105.58</v>
                </pt>
                <pt idx="230">
                  <v>105.1</v>
                </pt>
                <pt idx="231">
                  <v>104.77</v>
                </pt>
                <pt idx="232">
                  <v>104.81</v>
                </pt>
                <pt idx="233">
                  <v>105.13</v>
                </pt>
                <pt idx="234">
                  <v>103.98</v>
                </pt>
                <pt idx="235">
                  <v>103.77</v>
                </pt>
                <pt idx="236">
                  <v>104.56</v>
                </pt>
                <pt idx="237">
                  <v>104.7</v>
                </pt>
                <pt idx="238">
                  <v>104.59</v>
                </pt>
                <pt idx="239">
                  <v>103.6</v>
                </pt>
                <pt idx="240">
                  <v>103.84</v>
                </pt>
                <pt idx="241">
                  <v>104.12</v>
                </pt>
                <pt idx="242">
                  <v>103.95</v>
                </pt>
                <pt idx="243">
                  <v>104.33</v>
                </pt>
                <pt idx="244">
                  <v>104.19</v>
                </pt>
                <pt idx="245">
                  <v>104.18</v>
                </pt>
                <pt idx="246">
                  <v>103.58</v>
                </pt>
                <pt idx="247">
                  <v>103.26</v>
                </pt>
                <pt idx="248">
                  <v>104.41</v>
                </pt>
                <pt idx="249">
                  <v>104.31</v>
                </pt>
                <pt idx="250">
                  <v>104.02</v>
                </pt>
                <pt idx="251">
                  <v>104.82</v>
                </pt>
                <pt idx="252">
                  <v>103.64</v>
                </pt>
                <pt idx="253">
                  <v>102.73</v>
                </pt>
                <pt idx="254">
                  <v>102.98</v>
                </pt>
                <pt idx="255">
                  <v>102.92</v>
                </pt>
                <pt idx="256">
                  <v>101.99</v>
                </pt>
                <pt idx="257">
                  <v>101.94</v>
                </pt>
                <pt idx="258">
                  <v>101.94</v>
                </pt>
                <pt idx="259">
                  <v>102.14</v>
                </pt>
                <pt idx="260">
                  <v>102.1</v>
                </pt>
                <pt idx="261">
                  <v>101.83</v>
                </pt>
                <pt idx="262">
                  <v>101.78</v>
                </pt>
                <pt idx="263">
                  <v>101.91</v>
                </pt>
                <pt idx="264">
                  <v>101.67</v>
                </pt>
                <pt idx="265">
                  <v>101.41</v>
                </pt>
                <pt idx="266">
                  <v>101.72</v>
                </pt>
                <pt idx="267">
                  <v>102.08</v>
                </pt>
                <pt idx="268">
                  <v>101.91</v>
                </pt>
                <pt idx="269">
                  <v>101.02</v>
                </pt>
                <pt idx="270">
                  <v>101.57</v>
                </pt>
                <pt idx="271">
                  <v>102.75</v>
                </pt>
                <pt idx="272">
                  <v>103.49</v>
                </pt>
                <pt idx="273">
                  <v>103.29</v>
                </pt>
                <pt idx="274">
                  <v>103.27</v>
                </pt>
                <pt idx="275">
                  <v>103.1</v>
                </pt>
                <pt idx="276">
                  <v>103.53</v>
                </pt>
                <pt idx="277">
                  <v>103.24</v>
                </pt>
                <pt idx="278">
                  <v>103.12</v>
                </pt>
                <pt idx="279">
                  <v>103.83</v>
                </pt>
                <pt idx="280">
                  <v>103.79</v>
                </pt>
                <pt idx="281">
                  <v>103.78</v>
                </pt>
                <pt idx="282">
                  <v>103.78</v>
                </pt>
                <pt idx="283">
                  <v>104.11</v>
                </pt>
                <pt idx="284">
                  <v>104.52</v>
                </pt>
                <pt idx="285">
                  <v>104.55</v>
                </pt>
                <pt idx="286">
                  <v>105.15</v>
                </pt>
                <pt idx="287">
                  <v>104.6</v>
                </pt>
                <pt idx="288">
                  <v>104.93</v>
                </pt>
                <pt idx="289">
                  <v>104.43</v>
                </pt>
                <pt idx="290">
                  <v>104.99</v>
                </pt>
                <pt idx="291">
                  <v>104.48</v>
                </pt>
                <pt idx="292">
                  <v>104.24</v>
                </pt>
                <pt idx="293">
                  <v>105.63</v>
                </pt>
                <pt idx="294">
                  <v>105.3</v>
                </pt>
                <pt idx="295">
                  <v>104.55</v>
                </pt>
                <pt idx="296">
                  <v>103.71</v>
                </pt>
                <pt idx="297">
                  <v>103.21</v>
                </pt>
                <pt idx="298">
                  <v>104.27</v>
                </pt>
                <pt idx="299">
                  <v>104.09</v>
                </pt>
                <pt idx="300">
                  <v>103.36</v>
                </pt>
                <pt idx="301">
                  <v>102.93</v>
                </pt>
                <pt idx="302">
                  <v>102.89</v>
                </pt>
                <pt idx="303">
                  <v>101.97</v>
                </pt>
                <pt idx="304">
                  <v>102.2</v>
                </pt>
                <pt idx="305">
                  <v>102.76</v>
                </pt>
                <pt idx="306">
                  <v>102.69</v>
                </pt>
                <pt idx="307">
                  <v>102.1</v>
                </pt>
                <pt idx="308">
                  <v>102.31</v>
                </pt>
                <pt idx="309">
                  <v>102.18</v>
                </pt>
                <pt idx="310">
                  <v>101.78</v>
                </pt>
                <pt idx="311">
                  <v>101.54</v>
                </pt>
                <pt idx="312">
                  <v>101.51</v>
                </pt>
                <pt idx="313">
                  <v>102.22</v>
                </pt>
                <pt idx="314">
                  <v>101.88</v>
                </pt>
                <pt idx="315">
                  <v>101.17</v>
                </pt>
                <pt idx="316">
                  <v>100.7</v>
                </pt>
                <pt idx="317">
                  <v>101.79</v>
                </pt>
                <pt idx="318">
                  <v>101.44</v>
                </pt>
                <pt idx="319">
                  <v>101.66</v>
                </pt>
                <pt idx="320">
                  <v>101.56</v>
                </pt>
                <pt idx="321">
                  <v>101.55</v>
                </pt>
                <pt idx="322">
                  <v>101.07</v>
                </pt>
                <pt idx="323">
                  <v>101.59</v>
                </pt>
                <pt idx="324">
                  <v>101.2</v>
                </pt>
                <pt idx="325">
                  <v>101.25</v>
                </pt>
                <pt idx="326">
                  <v>101.4</v>
                </pt>
                <pt idx="327">
                  <v>101.51</v>
                </pt>
                <pt idx="328">
                  <v>101.11</v>
                </pt>
                <pt idx="329">
                  <v>101.2</v>
                </pt>
                <pt idx="330">
                  <v>100.99</v>
                </pt>
                <pt idx="331">
                  <v>101.15</v>
                </pt>
                <pt idx="332">
                  <v>101.39</v>
                </pt>
                <pt idx="333">
                  <v>101.26</v>
                </pt>
                <pt idx="334">
                  <v>101.87</v>
                </pt>
                <pt idx="335">
                  <v>102.5</v>
                </pt>
                <pt idx="336">
                  <v>102.27</v>
                </pt>
                <pt idx="337">
                  <v>102.4</v>
                </pt>
                <pt idx="338">
                  <v>102.72</v>
                </pt>
                <pt idx="339">
                  <v>103.45</v>
                </pt>
                <pt idx="340">
                  <v>103.07</v>
                </pt>
                <pt idx="341">
                  <v>103.07</v>
                </pt>
                <pt idx="342">
                  <v>103.38</v>
                </pt>
                <pt idx="343">
                  <v>103.79</v>
                </pt>
                <pt idx="344">
                  <v>104.17</v>
                </pt>
                <pt idx="345">
                  <v>104.13</v>
                </pt>
                <pt idx="346">
                  <v>104.13</v>
                </pt>
                <pt idx="347">
                  <v>104.07</v>
                </pt>
                <pt idx="348">
                  <v>104.24</v>
                </pt>
                <pt idx="349">
                  <v>103.5</v>
                </pt>
                <pt idx="350">
                  <v>103.95</v>
                </pt>
                <pt idx="351">
                  <v>103.93</v>
                </pt>
                <pt idx="352">
                  <v>104.07</v>
                </pt>
                <pt idx="353">
                  <v>104.05</v>
                </pt>
                <pt idx="354">
                  <v>103.31</v>
                </pt>
                <pt idx="355">
                  <v>103.53</v>
                </pt>
                <pt idx="356">
                  <v>103.22</v>
                </pt>
                <pt idx="357">
                  <v>102.92</v>
                </pt>
                <pt idx="358">
                  <v>102.52</v>
                </pt>
                <pt idx="359">
                  <v>102.82</v>
                </pt>
                <pt idx="360">
                  <v>102.25</v>
                </pt>
                <pt idx="361">
                  <v>101.83</v>
                </pt>
                <pt idx="362">
                  <v>102.12</v>
                </pt>
                <pt idx="363">
                  <v>101.67</v>
                </pt>
                <pt idx="364">
                  <v>101.99</v>
                </pt>
                <pt idx="365">
                  <v>102.52</v>
                </pt>
                <pt idx="366">
                  <v>102.33</v>
                </pt>
                <pt idx="367">
                  <v>102.12</v>
                </pt>
                <pt idx="368">
                  <v>102.54</v>
                </pt>
                <pt idx="369">
                  <v>102.58</v>
                </pt>
                <pt idx="370">
                  <v>102.65</v>
                </pt>
                <pt idx="371">
                  <v>102.65</v>
                </pt>
                <pt idx="372">
                  <v>103.03</v>
                </pt>
                <pt idx="373">
                  <v>102.86</v>
                </pt>
                <pt idx="374">
                  <v>101.95</v>
                </pt>
                <pt idx="375">
                  <v>101.64</v>
                </pt>
                <pt idx="376">
                  <v>101.4</v>
                </pt>
                <pt idx="377">
                  <v>100.19</v>
                </pt>
                <pt idx="378">
                  <v>99.45</v>
                </pt>
                <pt idx="379">
                  <v>99.59999999999999</v>
                </pt>
                <pt idx="380">
                  <v>99.52</v>
                </pt>
                <pt idx="381">
                  <v>99.62</v>
                </pt>
                <pt idx="382">
                  <v>99.98</v>
                </pt>
                <pt idx="383">
                  <v>100.59</v>
                </pt>
                <pt idx="384">
                  <v>100.79</v>
                </pt>
                <pt idx="385">
                  <v>101.08</v>
                </pt>
                <pt idx="386">
                  <v>101.09</v>
                </pt>
                <pt idx="387">
                  <v>100.63</v>
                </pt>
                <pt idx="388">
                  <v>101.54</v>
                </pt>
                <pt idx="389">
                  <v>101.39</v>
                </pt>
                <pt idx="390">
                  <v>101.62</v>
                </pt>
                <pt idx="391">
                  <v>102.08</v>
                </pt>
                <pt idx="392">
                  <v>102.39</v>
                </pt>
                <pt idx="393">
                  <v>102.35</v>
                </pt>
                <pt idx="394">
                  <v>101.83</v>
                </pt>
                <pt idx="395">
                  <v>101.86</v>
                </pt>
                <pt idx="396">
                  <v>102.34</v>
                </pt>
                <pt idx="397">
                  <v>102.31</v>
                </pt>
                <pt idx="398">
                  <v>102.36</v>
                </pt>
                <pt idx="399">
                  <v>102.69</v>
                </pt>
                <pt idx="400">
                  <v>103.05</v>
                </pt>
                <pt idx="401">
                  <v>103.31</v>
                </pt>
                <pt idx="402">
                  <v>103.47</v>
                </pt>
                <pt idx="403">
                  <v>103.27</v>
                </pt>
                <pt idx="404">
                  <v>103.2</v>
                </pt>
                <pt idx="405">
                  <v>103.47</v>
                </pt>
                <pt idx="406">
                  <v>103.33</v>
                </pt>
                <pt idx="407">
                  <v>103.91</v>
                </pt>
                <pt idx="408">
                  <v>104.01</v>
                </pt>
                <pt idx="409">
                  <v>103.99</v>
                </pt>
                <pt idx="410">
                  <v>103.47</v>
                </pt>
                <pt idx="411">
                  <v>103.09</v>
                </pt>
                <pt idx="412">
                  <v>103.58</v>
                </pt>
                <pt idx="413">
                  <v>104.19</v>
                </pt>
                <pt idx="414">
                  <v>104.19</v>
                </pt>
                <pt idx="415">
                  <v>104.76</v>
                </pt>
                <pt idx="416">
                  <v>104.82</v>
                </pt>
                <pt idx="417">
                  <v>105.02</v>
                </pt>
                <pt idx="418">
                  <v>105.06</v>
                </pt>
                <pt idx="419">
                  <v>104.53</v>
                </pt>
                <pt idx="420">
                  <v>104.69</v>
                </pt>
                <pt idx="421">
                  <v>104.74</v>
                </pt>
                <pt idx="422">
                  <v>105.39</v>
                </pt>
                <pt idx="423">
                  <v>105.32</v>
                </pt>
                <pt idx="424">
                  <v>105.29</v>
                </pt>
                <pt idx="425">
                  <v>104.78</v>
                </pt>
                <pt idx="426">
                  <v>105.04</v>
                </pt>
                <pt idx="427">
                  <v>105.26</v>
                </pt>
                <pt idx="428">
                  <v>105.69</v>
                </pt>
                <pt idx="429">
                  <v>105.93</v>
                </pt>
                <pt idx="430">
                  <v>106.36</v>
                </pt>
                <pt idx="431">
                  <v>105.93</v>
                </pt>
                <pt idx="432">
                  <v>105.81</v>
                </pt>
                <pt idx="433">
                  <v>106.71</v>
                </pt>
                <pt idx="434">
                  <v>106.53</v>
                </pt>
                <pt idx="435">
                  <v>106.32</v>
                </pt>
                <pt idx="436">
                  <v>105.78</v>
                </pt>
                <pt idx="437">
                  <v>105.81</v>
                </pt>
                <pt idx="438">
                  <v>105.55</v>
                </pt>
                <pt idx="439">
                  <v>105.56</v>
                </pt>
                <pt idx="440">
                  <v>106.36</v>
                </pt>
                <pt idx="441">
                  <v>106.43</v>
                </pt>
                <pt idx="442">
                  <v>106.03</v>
                </pt>
                <pt idx="443">
                  <v>106.04</v>
                </pt>
                <pt idx="444">
                  <v>106.35</v>
                </pt>
                <pt idx="445">
                  <v>106.04</v>
                </pt>
                <pt idx="446">
                  <v>105.98</v>
                </pt>
                <pt idx="447">
                  <v>105.33</v>
                </pt>
                <pt idx="448">
                  <v>106.35</v>
                </pt>
                <pt idx="449">
                  <v>106.42</v>
                </pt>
                <pt idx="450">
                  <v>106.38</v>
                </pt>
                <pt idx="451">
                  <v>105.93</v>
                </pt>
                <pt idx="452">
                  <v>106.49</v>
                </pt>
                <pt idx="453">
                  <v>106.71</v>
                </pt>
                <pt idx="454">
                  <v>105.97</v>
                </pt>
                <pt idx="455">
                  <v>104.85</v>
                </pt>
                <pt idx="456">
                  <v>105.04</v>
                </pt>
                <pt idx="457">
                  <v>105.37</v>
                </pt>
                <pt idx="458">
                  <v>105.44</v>
                </pt>
                <pt idx="459">
                  <v>105.78</v>
                </pt>
                <pt idx="460">
                  <v>105.72</v>
                </pt>
                <pt idx="461">
                  <v>105.64</v>
                </pt>
                <pt idx="462">
                  <v>105.5</v>
                </pt>
                <pt idx="463">
                  <v>104.26</v>
                </pt>
                <pt idx="464">
                  <v>104.23</v>
                </pt>
                <pt idx="465">
                  <v>103.79</v>
                </pt>
                <pt idx="466">
                  <v>103.31</v>
                </pt>
                <pt idx="467">
                  <v>103.44</v>
                </pt>
                <pt idx="468">
                  <v>103.82</v>
                </pt>
                <pt idx="469">
                  <v>103.82</v>
                </pt>
                <pt idx="470">
                  <v>103.3</v>
                </pt>
                <pt idx="471">
                  <v>102.64</v>
                </pt>
                <pt idx="472">
                  <v>102.67</v>
                </pt>
                <pt idx="473">
                  <v>103.42</v>
                </pt>
                <pt idx="474">
                  <v>103.2</v>
                </pt>
                <pt idx="475">
                  <v>103.64</v>
                </pt>
                <pt idx="476">
                  <v>103.99</v>
                </pt>
                <pt idx="477">
                  <v>104.1</v>
                </pt>
                <pt idx="478">
                  <v>103.5</v>
                </pt>
                <pt idx="479">
                  <v>103.98</v>
                </pt>
                <pt idx="480">
                  <v>103.7</v>
                </pt>
                <pt idx="481">
                  <v>103.46</v>
                </pt>
                <pt idx="482">
                  <v>102.47</v>
                </pt>
                <pt idx="483">
                  <v>101.57</v>
                </pt>
                <pt idx="484">
                  <v>102.54</v>
                </pt>
                <pt idx="485">
                  <v>102.53</v>
                </pt>
                <pt idx="486">
                  <v>101.76</v>
                </pt>
                <pt idx="487">
                  <v>102.04</v>
                </pt>
                <pt idx="488">
                  <v>101.47</v>
                </pt>
                <pt idx="489">
                  <v>101.33</v>
                </pt>
                <pt idx="490">
                  <v>101.1</v>
                </pt>
                <pt idx="491">
                  <v>100.65</v>
                </pt>
                <pt idx="492">
                  <v>100.91</v>
                </pt>
                <pt idx="493">
                  <v>101.02</v>
                </pt>
                <pt idx="494">
                  <v>101.02</v>
                </pt>
                <pt idx="495">
                  <v>101.89</v>
                </pt>
                <pt idx="496">
                  <v>102.19</v>
                </pt>
                <pt idx="497">
                  <v>102.13</v>
                </pt>
                <pt idx="498">
                  <v>102.12</v>
                </pt>
                <pt idx="499">
                  <v>101.92</v>
                </pt>
                <pt idx="500">
                  <v>102.28</v>
                </pt>
                <pt idx="501">
                  <v>102.08</v>
                </pt>
                <pt idx="502">
                  <v>102.02</v>
                </pt>
                <pt idx="503">
                  <v>102.15</v>
                </pt>
                <pt idx="504">
                  <v>102.15</v>
                </pt>
                <pt idx="505">
                  <v>103.11</v>
                </pt>
                <pt idx="506">
                  <v>103.2</v>
                </pt>
                <pt idx="507">
                  <v>103.31</v>
                </pt>
                <pt idx="508">
                  <v>103.06</v>
                </pt>
                <pt idx="509">
                  <v>103.11</v>
                </pt>
                <pt idx="510">
                  <v>103.4</v>
                </pt>
                <pt idx="511">
                  <v>103.03</v>
                </pt>
                <pt idx="512">
                  <v>103.37</v>
                </pt>
                <pt idx="513">
                  <v>103.42</v>
                </pt>
                <pt idx="514">
                  <v>103.21</v>
                </pt>
                <pt idx="515">
                  <v>103.08</v>
                </pt>
                <pt idx="516">
                  <v>102.87</v>
                </pt>
                <pt idx="517">
                  <v>103.78</v>
                </pt>
                <pt idx="518">
                  <v>104.31</v>
                </pt>
                <pt idx="519">
                  <v>104.36</v>
                </pt>
                <pt idx="520">
                  <v>103.91</v>
                </pt>
                <pt idx="521">
                  <v>104.03</v>
                </pt>
                <pt idx="522">
                  <v>103.99</v>
                </pt>
                <pt idx="523">
                  <v>104.04</v>
                </pt>
                <pt idx="524">
                  <v>104.85</v>
                </pt>
                <pt idx="525">
                  <v>104.61</v>
                </pt>
                <pt idx="526">
                  <v>104.52</v>
                </pt>
                <pt idx="527">
                  <v>104.29</v>
                </pt>
                <pt idx="528">
                  <v>104.18</v>
                </pt>
                <pt idx="529">
                  <v>103.96</v>
                </pt>
                <pt idx="530">
                  <v>103.91</v>
                </pt>
                <pt idx="531">
                  <v>103.87</v>
                </pt>
                <pt idx="532">
                  <v>103.85</v>
                </pt>
                <pt idx="533">
                  <v>103.75</v>
                </pt>
                <pt idx="534">
                  <v>103.75</v>
                </pt>
                <pt idx="535">
                  <v>103.9</v>
                </pt>
                <pt idx="536">
                  <v>104.09</v>
                </pt>
                <pt idx="537">
                  <v>103.79</v>
                </pt>
                <pt idx="538">
                  <v>103.79</v>
                </pt>
                <pt idx="539">
                  <v>103.77</v>
                </pt>
                <pt idx="540">
                  <v>103.75</v>
                </pt>
                <pt idx="541">
                  <v>103.32</v>
                </pt>
                <pt idx="542">
                  <v>102.77</v>
                </pt>
                <pt idx="543">
                  <v>102.46</v>
                </pt>
                <pt idx="544">
                  <v>102.54</v>
                </pt>
                <pt idx="545">
                  <v>102.39</v>
                </pt>
                <pt idx="546">
                  <v>102.99</v>
                </pt>
                <pt idx="547">
                  <v>103.06</v>
                </pt>
                <pt idx="548">
                  <v>103.46</v>
                </pt>
                <pt idx="549">
                  <v>103.48</v>
                </pt>
                <pt idx="550">
                  <v>103.04</v>
                </pt>
                <pt idx="551">
                  <v>103.66</v>
                </pt>
                <pt idx="552">
                  <v>104.17</v>
                </pt>
                <pt idx="553">
                  <v>103.99</v>
                </pt>
                <pt idx="554">
                  <v>104.06</v>
                </pt>
                <pt idx="555">
                  <v>104.26</v>
                </pt>
                <pt idx="556">
                  <v>104.76</v>
                </pt>
                <pt idx="557">
                  <v>104.56</v>
                </pt>
                <pt idx="558">
                  <v>103.99</v>
                </pt>
                <pt idx="559">
                  <v>103.89</v>
                </pt>
                <pt idx="560">
                  <v>104.07</v>
                </pt>
                <pt idx="561">
                  <v>103.9</v>
                </pt>
                <pt idx="562">
                  <v>103.92</v>
                </pt>
                <pt idx="563">
                  <v>105.03</v>
                </pt>
                <pt idx="564">
                  <v>105.83</v>
                </pt>
                <pt idx="565">
                  <v>105.99</v>
                </pt>
                <pt idx="566">
                  <v>106.06</v>
                </pt>
                <pt idx="567">
                  <v>105.98</v>
                </pt>
                <pt idx="568">
                  <v>105.98</v>
                </pt>
                <pt idx="569">
                  <v>105.91</v>
                </pt>
                <pt idx="570">
                  <v>105.5</v>
                </pt>
                <pt idx="571">
                  <v>105.7</v>
                </pt>
                <pt idx="572">
                  <v>105.45</v>
                </pt>
                <pt idx="573">
                  <v>105.8</v>
                </pt>
                <pt idx="574">
                  <v>105.44</v>
                </pt>
                <pt idx="575">
                  <v>106.1</v>
                </pt>
                <pt idx="576">
                  <v>105.17</v>
                </pt>
                <pt idx="577">
                  <v>104.91</v>
                </pt>
                <pt idx="578">
                  <v>104.91</v>
                </pt>
                <pt idx="579">
                  <v>105.3</v>
                </pt>
                <pt idx="580">
                  <v>105.42</v>
                </pt>
                <pt idx="581">
                  <v>105.1</v>
                </pt>
                <pt idx="582">
                  <v>105.17</v>
                </pt>
                <pt idx="583">
                  <v>105.1</v>
                </pt>
                <pt idx="584">
                  <v>104.89</v>
                </pt>
                <pt idx="585">
                  <v>104.21</v>
                </pt>
                <pt idx="586">
                  <v>104.34</v>
                </pt>
                <pt idx="587">
                  <v>104.33</v>
                </pt>
                <pt idx="588">
                  <v>104.46</v>
                </pt>
                <pt idx="589">
                  <v>104.55</v>
                </pt>
                <pt idx="590">
                  <v>104.83</v>
                </pt>
                <pt idx="591">
                  <v>105.03</v>
                </pt>
                <pt idx="592">
                  <v>104.63</v>
                </pt>
                <pt idx="593">
                  <v>104.63</v>
                </pt>
                <pt idx="594">
                  <v>104.53</v>
                </pt>
                <pt idx="595">
                  <v>105.03</v>
                </pt>
                <pt idx="596">
                  <v>104.65</v>
                </pt>
                <pt idx="597">
                  <v>104.62</v>
                </pt>
                <pt idx="598">
                  <v>104.07</v>
                </pt>
                <pt idx="599">
                  <v>104.05</v>
                </pt>
                <pt idx="600">
                  <v>104.22</v>
                </pt>
                <pt idx="601">
                  <v>104.05</v>
                </pt>
                <pt idx="602">
                  <v>104.85</v>
                </pt>
                <pt idx="603">
                  <v>105.11</v>
                </pt>
                <pt idx="604">
                  <v>105.19</v>
                </pt>
                <pt idx="605">
                  <v>104.61</v>
                </pt>
                <pt idx="606">
                  <v>105.18</v>
                </pt>
                <pt idx="607">
                  <v>105.54</v>
                </pt>
                <pt idx="608">
                  <v>104.87</v>
                </pt>
                <pt idx="609">
                  <v>104.87</v>
                </pt>
                <pt idx="610">
                  <v>105.22</v>
                </pt>
                <pt idx="611">
                  <v>105.44</v>
                </pt>
                <pt idx="612">
                  <v>105.12</v>
                </pt>
                <pt idx="613">
                  <v>105.25</v>
                </pt>
                <pt idx="614">
                  <v>105.71</v>
                </pt>
                <pt idx="615">
                  <v>105.57</v>
                </pt>
                <pt idx="616">
                  <v>105.54</v>
                </pt>
                <pt idx="617">
                  <v>105.63</v>
                </pt>
                <pt idx="618">
                  <v>105.72</v>
                </pt>
                <pt idx="619">
                  <v>105.4</v>
                </pt>
                <pt idx="620">
                  <v>105.13</v>
                </pt>
                <pt idx="621">
                  <v>104.88</v>
                </pt>
                <pt idx="622">
                  <v>105</v>
                </pt>
                <pt idx="623">
                  <v>105.13</v>
                </pt>
                <pt idx="624">
                  <v>105.05</v>
                </pt>
                <pt idx="625">
                  <v>104.44</v>
                </pt>
                <pt idx="626">
                  <v>104.09</v>
                </pt>
                <pt idx="627">
                  <v>104.19</v>
                </pt>
                <pt idx="628">
                  <v>104.27</v>
                </pt>
                <pt idx="629">
                  <v>104.17</v>
                </pt>
                <pt idx="630">
                  <v>104.4</v>
                </pt>
                <pt idx="631">
                  <v>104.31</v>
                </pt>
                <pt idx="632">
                  <v>104.45</v>
                </pt>
                <pt idx="633">
                  <v>104.39</v>
                </pt>
                <pt idx="634">
                  <v>104.36</v>
                </pt>
                <pt idx="635">
                  <v>104.39</v>
                </pt>
                <pt idx="636">
                  <v>104.56</v>
                </pt>
                <pt idx="637">
                  <v>104.55</v>
                </pt>
                <pt idx="638">
                  <v>104.1</v>
                </pt>
                <pt idx="639">
                  <v>104.42</v>
                </pt>
                <pt idx="640">
                  <v>103.21</v>
                </pt>
                <pt idx="641">
                  <v>102.48</v>
                </pt>
                <pt idx="642">
                  <v>102.75</v>
                </pt>
                <pt idx="643">
                  <v>102.99</v>
                </pt>
                <pt idx="644">
                  <v>103.02</v>
                </pt>
                <pt idx="645">
                  <v>102.95</v>
                </pt>
                <pt idx="646">
                  <v>103.14</v>
                </pt>
                <pt idx="647">
                  <v>102.56</v>
                </pt>
                <pt idx="648">
                  <v>102.57</v>
                </pt>
                <pt idx="649">
                  <v>102.46</v>
                </pt>
                <pt idx="650">
                  <v>101.89</v>
                </pt>
                <pt idx="651">
                  <v>101.44</v>
                </pt>
                <pt idx="652">
                  <v>101.04</v>
                </pt>
                <pt idx="653">
                  <v>101.51</v>
                </pt>
                <pt idx="654">
                  <v>100.72</v>
                </pt>
                <pt idx="655">
                  <v>100.85</v>
                </pt>
                <pt idx="656">
                  <v>100.55</v>
                </pt>
                <pt idx="657">
                  <v>101.09</v>
                </pt>
                <pt idx="658">
                  <v>101.34</v>
                </pt>
                <pt idx="659">
                  <v>101.7</v>
                </pt>
                <pt idx="660">
                  <v>101.65</v>
                </pt>
                <pt idx="661">
                  <v>101.82</v>
                </pt>
                <pt idx="662">
                  <v>101.36</v>
                </pt>
                <pt idx="663">
                  <v>101.11</v>
                </pt>
                <pt idx="664">
                  <v>101.18</v>
                </pt>
                <pt idx="665">
                  <v>101.55</v>
                </pt>
                <pt idx="666">
                  <v>101.63</v>
                </pt>
                <pt idx="667">
                  <v>101.68</v>
                </pt>
                <pt idx="668">
                  <v>101.37</v>
                </pt>
                <pt idx="669">
                  <v>101.11</v>
                </pt>
                <pt idx="670">
                  <v>100.76</v>
                </pt>
                <pt idx="671">
                  <v>100.89</v>
                </pt>
                <pt idx="672">
                  <v>100.6</v>
                </pt>
                <pt idx="673">
                  <v>100.61</v>
                </pt>
                <pt idx="674">
                  <v>100.72</v>
                </pt>
                <pt idx="675">
                  <v>100.93</v>
                </pt>
                <pt idx="676">
                  <v>100.24</v>
                </pt>
                <pt idx="677">
                  <v>100.91</v>
                </pt>
                <pt idx="678">
                  <v>100.52</v>
                </pt>
                <pt idx="679">
                  <v>100.38</v>
                </pt>
                <pt idx="680">
                  <v>100.78</v>
                </pt>
                <pt idx="681">
                  <v>101.19</v>
                </pt>
                <pt idx="682">
                  <v>101.75</v>
                </pt>
                <pt idx="683">
                  <v>102.275</v>
                </pt>
                <pt idx="684">
                  <v>102.301</v>
                </pt>
                <pt idx="685">
                  <v>102.303</v>
                </pt>
                <pt idx="686">
                  <v>102.695</v>
                </pt>
                <pt idx="687">
                  <v>102.773</v>
                </pt>
                <pt idx="688">
                  <v>102.677</v>
                </pt>
                <pt idx="689">
                  <v>103.082</v>
                </pt>
                <pt idx="690">
                  <v>103.055</v>
                </pt>
                <pt idx="691">
                  <v>103.4</v>
                </pt>
                <pt idx="692">
                  <v>103.652</v>
                </pt>
                <pt idx="693">
                  <v>103.307</v>
                </pt>
                <pt idx="694">
                  <v>103.834</v>
                </pt>
                <pt idx="695">
                  <v>103.909</v>
                </pt>
                <pt idx="696">
                  <v>104.277</v>
                </pt>
                <pt idx="697">
                  <v>103.919</v>
                </pt>
                <pt idx="698">
                  <v>104.132</v>
                </pt>
                <pt idx="699">
                  <v>104.183</v>
                </pt>
                <pt idx="700">
                  <v>104.191</v>
                </pt>
                <pt idx="701">
                  <v>103.862</v>
                </pt>
                <pt idx="702">
                  <v>103.878</v>
                </pt>
                <pt idx="703">
                  <v>104.203</v>
                </pt>
                <pt idx="704">
                  <v>103.79</v>
                </pt>
                <pt idx="705">
                  <v>103.324</v>
                </pt>
                <pt idx="706">
                  <v>104.985</v>
                </pt>
                <pt idx="707">
                  <v>104.37</v>
                </pt>
                <pt idx="708">
                  <v>104.89</v>
                </pt>
                <pt idx="709">
                  <v>105.457</v>
                </pt>
                <pt idx="710">
                  <v>105.95</v>
                </pt>
                <pt idx="711">
                  <v>106.379</v>
                </pt>
                <pt idx="712">
                  <v>106.598</v>
                </pt>
                <pt idx="713">
                  <v>106.201</v>
                </pt>
                <pt idx="714">
                  <v>106.143</v>
                </pt>
                <pt idx="715">
                  <v>106.93</v>
                </pt>
                <pt idx="716">
                  <v>107.507</v>
                </pt>
                <pt idx="717">
                  <v>106.77</v>
                </pt>
                <pt idx="718">
                  <v>106.968</v>
                </pt>
                <pt idx="719">
                  <v>106.048</v>
                </pt>
                <pt idx="720">
                  <v>106.048</v>
                </pt>
                <pt idx="721">
                  <v>105.828</v>
                </pt>
                <pt idx="722">
                  <v>106.423</v>
                </pt>
                <pt idx="723">
                  <v>106.34</v>
                </pt>
                <pt idx="724">
                  <v>106.29</v>
                </pt>
                <pt idx="725">
                  <v>105.701</v>
                </pt>
                <pt idx="726">
                  <v>106.039</v>
                </pt>
                <pt idx="727">
                  <v>106.125</v>
                </pt>
                <pt idx="728">
                  <v>106.382</v>
                </pt>
                <pt idx="729">
                  <v>106.695</v>
                </pt>
                <pt idx="730">
                  <v>106.959</v>
                </pt>
                <pt idx="731">
                  <v>106.993</v>
                </pt>
                <pt idx="732">
                  <v>107.03</v>
                </pt>
                <pt idx="733">
                  <v>106.663</v>
                </pt>
                <pt idx="734">
                  <v>107.749</v>
                </pt>
                <pt idx="735">
                  <v>108.152</v>
                </pt>
                <pt idx="736">
                  <v>107.351</v>
                </pt>
                <pt idx="737">
                  <v>107.807</v>
                </pt>
                <pt idx="738">
                  <v>108.023</v>
                </pt>
                <pt idx="739">
                  <v>107.893</v>
                </pt>
                <pt idx="740">
                  <v>107.792</v>
                </pt>
                <pt idx="741">
                  <v>107.933</v>
                </pt>
                <pt idx="742">
                  <v>108.296</v>
                </pt>
                <pt idx="743">
                  <v>108.296</v>
                </pt>
                <pt idx="744">
                  <v>109.209</v>
                </pt>
                <pt idx="745">
                  <v>108.798</v>
                </pt>
                <pt idx="746">
                  <v>108.101</v>
                </pt>
                <pt idx="747">
                  <v>108.378</v>
                </pt>
                <pt idx="748">
                  <v>108.926</v>
                </pt>
                <pt idx="749">
                  <v>109.004</v>
                </pt>
                <pt idx="750">
                  <v>109.487</v>
                </pt>
                <pt idx="751">
                  <v>109.812</v>
                </pt>
                <pt idx="752">
                  <v>109.11</v>
                </pt>
                <pt idx="753">
                  <v>108.916</v>
                </pt>
                <pt idx="754">
                  <v>108.817</v>
                </pt>
                <pt idx="755">
                  <v>109.203</v>
                </pt>
                <pt idx="756">
                  <v>109.203</v>
                </pt>
                <pt idx="757">
                  <v>107.861</v>
                </pt>
                <pt idx="758">
                  <v>107.962</v>
                </pt>
                <pt idx="759">
                  <v>107.863</v>
                </pt>
                <pt idx="760">
                  <v>107.245</v>
                </pt>
                <pt idx="761">
                  <v>107.16</v>
                </pt>
                <pt idx="762">
                  <v>107.683</v>
                </pt>
                <pt idx="763">
                  <v>107.809</v>
                </pt>
                <pt idx="764">
                  <v>107.631</v>
                </pt>
                <pt idx="765">
                  <v>108.217</v>
                </pt>
                <pt idx="766">
                  <v>108.217</v>
                </pt>
                <pt idx="767">
                  <v>108.877</v>
                </pt>
                <pt idx="768">
                  <v>107.823</v>
                </pt>
                <pt idx="769">
                  <v>107.442</v>
                </pt>
                <pt idx="770">
                  <v>107.547</v>
                </pt>
                <pt idx="771">
                  <v>107.928</v>
                </pt>
                <pt idx="772">
                  <v>108.193</v>
                </pt>
                <pt idx="773">
                  <v>107.833</v>
                </pt>
                <pt idx="774">
                  <v>107.823</v>
                </pt>
                <pt idx="775">
                  <v>107.216</v>
                </pt>
                <pt idx="776">
                  <v>106.575</v>
                </pt>
                <pt idx="777">
                  <v>106.575</v>
                </pt>
                <pt idx="778">
                  <v>106.955</v>
                </pt>
                <pt idx="779">
                  <v>107.063</v>
                </pt>
                <pt idx="780">
                  <v>106.269</v>
                </pt>
                <pt idx="781">
                  <v>106.519</v>
                </pt>
                <pt idx="782">
                  <v>106.509</v>
                </pt>
                <pt idx="783">
                  <v>106.228</v>
                </pt>
                <pt idx="784">
                  <v>107.176</v>
                </pt>
                <pt idx="785">
                  <v>107.558</v>
                </pt>
                <pt idx="786">
                  <v>106.669</v>
                </pt>
                <pt idx="787">
                  <v>105.687</v>
                </pt>
                <pt idx="788">
                  <v>104.252</v>
                </pt>
                <pt idx="789">
                  <v>104.028</v>
                </pt>
                <pt idx="790">
                  <v>103.812</v>
                </pt>
                <pt idx="791">
                  <v>103.62</v>
                </pt>
                <pt idx="792">
                  <v>102.931</v>
                </pt>
                <pt idx="793">
                  <v>103.587</v>
                </pt>
                <pt idx="794">
                  <v>103.83</v>
                </pt>
                <pt idx="795">
                  <v>103.47</v>
                </pt>
                <pt idx="796">
                  <v>102.892</v>
                </pt>
                <pt idx="797">
                  <v>103.093</v>
                </pt>
                <pt idx="798">
                  <v>103.497</v>
                </pt>
                <pt idx="799">
                  <v>103.744</v>
                </pt>
                <pt idx="800">
                  <v>103.936</v>
                </pt>
                <pt idx="801">
                  <v>103.831</v>
                </pt>
                <pt idx="802">
                  <v>104.207</v>
                </pt>
                <pt idx="803">
                  <v>103.992</v>
                </pt>
                <pt idx="804">
                  <v>103.709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85513984"/>
        <axId val="285515776"/>
      </lineChart>
      <dateAx>
        <axId val="285513984"/>
        <scaling>
          <orientation val="minMax"/>
        </scaling>
        <delete val="0"/>
        <axPos val="b"/>
        <numFmt formatCode="m/d/yyyy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85515776"/>
        <crosses val="autoZero"/>
        <lblOffset val="100"/>
        <baseTimeUnit val="days"/>
      </dateAx>
      <valAx>
        <axId val="2855157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85513984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 xml:space="preserve"> Bond vs US Bond</a:t>
            </a:r>
            <a:endParaRPr lang="en-GB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'EVI 2025 Workings'!$K$1</f>
              <strCache>
                <ptCount val="1"/>
                <pt idx="0">
                  <v>India 10Yr Yield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'EVI 2025 Workings'!$B$2:$B$806</f>
              <numCache>
                <formatCode>m/d/yyyy</formatCode>
                <ptCount val="805"/>
                <pt idx="0">
                  <v>44564</v>
                </pt>
                <pt idx="1">
                  <v>44565</v>
                </pt>
                <pt idx="2">
                  <v>44566</v>
                </pt>
                <pt idx="3">
                  <v>44567</v>
                </pt>
                <pt idx="4">
                  <v>44568</v>
                </pt>
                <pt idx="5">
                  <v>44571</v>
                </pt>
                <pt idx="6">
                  <v>44572</v>
                </pt>
                <pt idx="7">
                  <v>44573</v>
                </pt>
                <pt idx="8">
                  <v>44574</v>
                </pt>
                <pt idx="9">
                  <v>44575</v>
                </pt>
                <pt idx="10">
                  <v>44578</v>
                </pt>
                <pt idx="11">
                  <v>44579</v>
                </pt>
                <pt idx="12">
                  <v>44580</v>
                </pt>
                <pt idx="13">
                  <v>44581</v>
                </pt>
                <pt idx="14">
                  <v>44582</v>
                </pt>
                <pt idx="15">
                  <v>44585</v>
                </pt>
                <pt idx="16">
                  <v>44586</v>
                </pt>
                <pt idx="17">
                  <v>44588</v>
                </pt>
                <pt idx="18">
                  <v>44589</v>
                </pt>
                <pt idx="19">
                  <v>44592</v>
                </pt>
                <pt idx="20">
                  <v>44593</v>
                </pt>
                <pt idx="21">
                  <v>44594</v>
                </pt>
                <pt idx="22">
                  <v>44595</v>
                </pt>
                <pt idx="23">
                  <v>44596</v>
                </pt>
                <pt idx="24">
                  <v>44599</v>
                </pt>
                <pt idx="25">
                  <v>44600</v>
                </pt>
                <pt idx="26">
                  <v>44601</v>
                </pt>
                <pt idx="27">
                  <v>44602</v>
                </pt>
                <pt idx="28">
                  <v>44603</v>
                </pt>
                <pt idx="29">
                  <v>44606</v>
                </pt>
                <pt idx="30">
                  <v>44607</v>
                </pt>
                <pt idx="31">
                  <v>44608</v>
                </pt>
                <pt idx="32">
                  <v>44609</v>
                </pt>
                <pt idx="33">
                  <v>44610</v>
                </pt>
                <pt idx="34">
                  <v>44613</v>
                </pt>
                <pt idx="35">
                  <v>44614</v>
                </pt>
                <pt idx="36">
                  <v>44615</v>
                </pt>
                <pt idx="37">
                  <v>44616</v>
                </pt>
                <pt idx="38">
                  <v>44617</v>
                </pt>
                <pt idx="39">
                  <v>44620</v>
                </pt>
                <pt idx="40">
                  <v>44622</v>
                </pt>
                <pt idx="41">
                  <v>44623</v>
                </pt>
                <pt idx="42">
                  <v>44624</v>
                </pt>
                <pt idx="43">
                  <v>44627</v>
                </pt>
                <pt idx="44">
                  <v>44628</v>
                </pt>
                <pt idx="45">
                  <v>44629</v>
                </pt>
                <pt idx="46">
                  <v>44630</v>
                </pt>
                <pt idx="47">
                  <v>44631</v>
                </pt>
                <pt idx="48">
                  <v>44634</v>
                </pt>
                <pt idx="49">
                  <v>44635</v>
                </pt>
                <pt idx="50">
                  <v>44636</v>
                </pt>
                <pt idx="51">
                  <v>44637</v>
                </pt>
                <pt idx="52">
                  <v>44641</v>
                </pt>
                <pt idx="53">
                  <v>44642</v>
                </pt>
                <pt idx="54">
                  <v>44643</v>
                </pt>
                <pt idx="55">
                  <v>44644</v>
                </pt>
                <pt idx="56">
                  <v>44645</v>
                </pt>
                <pt idx="57">
                  <v>44648</v>
                </pt>
                <pt idx="58">
                  <v>44649</v>
                </pt>
                <pt idx="59">
                  <v>44650</v>
                </pt>
                <pt idx="60">
                  <v>44651</v>
                </pt>
                <pt idx="61">
                  <v>44652</v>
                </pt>
                <pt idx="62">
                  <v>44655</v>
                </pt>
                <pt idx="63">
                  <v>44656</v>
                </pt>
                <pt idx="64">
                  <v>44657</v>
                </pt>
                <pt idx="65">
                  <v>44658</v>
                </pt>
                <pt idx="66">
                  <v>44659</v>
                </pt>
                <pt idx="67">
                  <v>44662</v>
                </pt>
                <pt idx="68">
                  <v>44663</v>
                </pt>
                <pt idx="69">
                  <v>44664</v>
                </pt>
                <pt idx="70">
                  <v>44669</v>
                </pt>
                <pt idx="71">
                  <v>44670</v>
                </pt>
                <pt idx="72">
                  <v>44671</v>
                </pt>
                <pt idx="73">
                  <v>44672</v>
                </pt>
                <pt idx="74">
                  <v>44673</v>
                </pt>
                <pt idx="75">
                  <v>44676</v>
                </pt>
                <pt idx="76">
                  <v>44677</v>
                </pt>
                <pt idx="77">
                  <v>44678</v>
                </pt>
                <pt idx="78">
                  <v>44679</v>
                </pt>
                <pt idx="79">
                  <v>44680</v>
                </pt>
                <pt idx="80">
                  <v>44683</v>
                </pt>
                <pt idx="81">
                  <v>44685</v>
                </pt>
                <pt idx="82">
                  <v>44686</v>
                </pt>
                <pt idx="83">
                  <v>44687</v>
                </pt>
                <pt idx="84">
                  <v>44690</v>
                </pt>
                <pt idx="85">
                  <v>44691</v>
                </pt>
                <pt idx="86">
                  <v>44692</v>
                </pt>
                <pt idx="87">
                  <v>44693</v>
                </pt>
                <pt idx="88">
                  <v>44694</v>
                </pt>
                <pt idx="89">
                  <v>44697</v>
                </pt>
                <pt idx="90">
                  <v>44698</v>
                </pt>
                <pt idx="91">
                  <v>44699</v>
                </pt>
                <pt idx="92">
                  <v>44700</v>
                </pt>
                <pt idx="93">
                  <v>44701</v>
                </pt>
                <pt idx="94">
                  <v>44704</v>
                </pt>
                <pt idx="95">
                  <v>44705</v>
                </pt>
                <pt idx="96">
                  <v>44706</v>
                </pt>
                <pt idx="97">
                  <v>44707</v>
                </pt>
                <pt idx="98">
                  <v>44708</v>
                </pt>
                <pt idx="99">
                  <v>44711</v>
                </pt>
                <pt idx="100">
                  <v>44712</v>
                </pt>
                <pt idx="101">
                  <v>44713</v>
                </pt>
                <pt idx="102">
                  <v>44714</v>
                </pt>
                <pt idx="103">
                  <v>44715</v>
                </pt>
                <pt idx="104">
                  <v>44718</v>
                </pt>
                <pt idx="105">
                  <v>44719</v>
                </pt>
                <pt idx="106">
                  <v>44720</v>
                </pt>
                <pt idx="107">
                  <v>44721</v>
                </pt>
                <pt idx="108">
                  <v>44722</v>
                </pt>
                <pt idx="109">
                  <v>44725</v>
                </pt>
                <pt idx="110">
                  <v>44726</v>
                </pt>
                <pt idx="111">
                  <v>44727</v>
                </pt>
                <pt idx="112">
                  <v>44728</v>
                </pt>
                <pt idx="113">
                  <v>44729</v>
                </pt>
                <pt idx="114">
                  <v>44732</v>
                </pt>
                <pt idx="115">
                  <v>44733</v>
                </pt>
                <pt idx="116">
                  <v>44734</v>
                </pt>
                <pt idx="117">
                  <v>44735</v>
                </pt>
                <pt idx="118">
                  <v>44736</v>
                </pt>
                <pt idx="119">
                  <v>44739</v>
                </pt>
                <pt idx="120">
                  <v>44740</v>
                </pt>
                <pt idx="121">
                  <v>44741</v>
                </pt>
                <pt idx="122">
                  <v>44742</v>
                </pt>
                <pt idx="123">
                  <v>44743</v>
                </pt>
                <pt idx="124">
                  <v>44746</v>
                </pt>
                <pt idx="125">
                  <v>44747</v>
                </pt>
                <pt idx="126">
                  <v>44748</v>
                </pt>
                <pt idx="127">
                  <v>44749</v>
                </pt>
                <pt idx="128">
                  <v>44750</v>
                </pt>
                <pt idx="129">
                  <v>44753</v>
                </pt>
                <pt idx="130">
                  <v>44754</v>
                </pt>
                <pt idx="131">
                  <v>44755</v>
                </pt>
                <pt idx="132">
                  <v>44756</v>
                </pt>
                <pt idx="133">
                  <v>44757</v>
                </pt>
                <pt idx="134">
                  <v>44760</v>
                </pt>
                <pt idx="135">
                  <v>44761</v>
                </pt>
                <pt idx="136">
                  <v>44762</v>
                </pt>
                <pt idx="137">
                  <v>44763</v>
                </pt>
                <pt idx="138">
                  <v>44764</v>
                </pt>
                <pt idx="139">
                  <v>44767</v>
                </pt>
                <pt idx="140">
                  <v>44768</v>
                </pt>
                <pt idx="141">
                  <v>44769</v>
                </pt>
                <pt idx="142">
                  <v>44770</v>
                </pt>
                <pt idx="143">
                  <v>44771</v>
                </pt>
                <pt idx="144">
                  <v>44774</v>
                </pt>
                <pt idx="145">
                  <v>44775</v>
                </pt>
                <pt idx="146">
                  <v>44776</v>
                </pt>
                <pt idx="147">
                  <v>44777</v>
                </pt>
                <pt idx="148">
                  <v>44778</v>
                </pt>
                <pt idx="149">
                  <v>44781</v>
                </pt>
                <pt idx="150">
                  <v>44783</v>
                </pt>
                <pt idx="151">
                  <v>44784</v>
                </pt>
                <pt idx="152">
                  <v>44785</v>
                </pt>
                <pt idx="153">
                  <v>44789</v>
                </pt>
                <pt idx="154">
                  <v>44790</v>
                </pt>
                <pt idx="155">
                  <v>44791</v>
                </pt>
                <pt idx="156">
                  <v>44792</v>
                </pt>
                <pt idx="157">
                  <v>44795</v>
                </pt>
                <pt idx="158">
                  <v>44796</v>
                </pt>
                <pt idx="159">
                  <v>44797</v>
                </pt>
                <pt idx="160">
                  <v>44798</v>
                </pt>
                <pt idx="161">
                  <v>44799</v>
                </pt>
                <pt idx="162">
                  <v>44802</v>
                </pt>
                <pt idx="163">
                  <v>44803</v>
                </pt>
                <pt idx="164">
                  <v>44805</v>
                </pt>
                <pt idx="165">
                  <v>44806</v>
                </pt>
                <pt idx="166">
                  <v>44809</v>
                </pt>
                <pt idx="167">
                  <v>44810</v>
                </pt>
                <pt idx="168">
                  <v>44811</v>
                </pt>
                <pt idx="169">
                  <v>44812</v>
                </pt>
                <pt idx="170">
                  <v>44813</v>
                </pt>
                <pt idx="171">
                  <v>44816</v>
                </pt>
                <pt idx="172">
                  <v>44817</v>
                </pt>
                <pt idx="173">
                  <v>44818</v>
                </pt>
                <pt idx="174">
                  <v>44819</v>
                </pt>
                <pt idx="175">
                  <v>44820</v>
                </pt>
                <pt idx="176">
                  <v>44823</v>
                </pt>
                <pt idx="177">
                  <v>44824</v>
                </pt>
                <pt idx="178">
                  <v>44825</v>
                </pt>
                <pt idx="179">
                  <v>44826</v>
                </pt>
                <pt idx="180">
                  <v>44827</v>
                </pt>
                <pt idx="181">
                  <v>44830</v>
                </pt>
                <pt idx="182">
                  <v>44831</v>
                </pt>
                <pt idx="183">
                  <v>44832</v>
                </pt>
                <pt idx="184">
                  <v>44833</v>
                </pt>
                <pt idx="185">
                  <v>44834</v>
                </pt>
                <pt idx="186">
                  <v>44837</v>
                </pt>
                <pt idx="187">
                  <v>44838</v>
                </pt>
                <pt idx="188">
                  <v>44840</v>
                </pt>
                <pt idx="189">
                  <v>44841</v>
                </pt>
                <pt idx="190">
                  <v>44844</v>
                </pt>
                <pt idx="191">
                  <v>44845</v>
                </pt>
                <pt idx="192">
                  <v>44846</v>
                </pt>
                <pt idx="193">
                  <v>44847</v>
                </pt>
                <pt idx="194">
                  <v>44848</v>
                </pt>
                <pt idx="195">
                  <v>44851</v>
                </pt>
                <pt idx="196">
                  <v>44852</v>
                </pt>
                <pt idx="197">
                  <v>44853</v>
                </pt>
                <pt idx="198">
                  <v>44854</v>
                </pt>
                <pt idx="199">
                  <v>44855</v>
                </pt>
                <pt idx="200">
                  <v>44858</v>
                </pt>
                <pt idx="201">
                  <v>44859</v>
                </pt>
                <pt idx="202">
                  <v>44861</v>
                </pt>
                <pt idx="203">
                  <v>44862</v>
                </pt>
                <pt idx="204">
                  <v>44865</v>
                </pt>
                <pt idx="205">
                  <v>44866</v>
                </pt>
                <pt idx="206">
                  <v>44867</v>
                </pt>
                <pt idx="207">
                  <v>44868</v>
                </pt>
                <pt idx="208">
                  <v>44869</v>
                </pt>
                <pt idx="209">
                  <v>44872</v>
                </pt>
                <pt idx="210">
                  <v>44874</v>
                </pt>
                <pt idx="211">
                  <v>44875</v>
                </pt>
                <pt idx="212">
                  <v>44876</v>
                </pt>
                <pt idx="213">
                  <v>44879</v>
                </pt>
                <pt idx="214">
                  <v>44880</v>
                </pt>
                <pt idx="215">
                  <v>44881</v>
                </pt>
                <pt idx="216">
                  <v>44882</v>
                </pt>
                <pt idx="217">
                  <v>44883</v>
                </pt>
                <pt idx="218">
                  <v>44886</v>
                </pt>
                <pt idx="219">
                  <v>44887</v>
                </pt>
                <pt idx="220">
                  <v>44888</v>
                </pt>
                <pt idx="221">
                  <v>44889</v>
                </pt>
                <pt idx="222">
                  <v>44890</v>
                </pt>
                <pt idx="223">
                  <v>44893</v>
                </pt>
                <pt idx="224">
                  <v>44894</v>
                </pt>
                <pt idx="225">
                  <v>44895</v>
                </pt>
                <pt idx="226">
                  <v>44896</v>
                </pt>
                <pt idx="227">
                  <v>44897</v>
                </pt>
                <pt idx="228">
                  <v>44900</v>
                </pt>
                <pt idx="229">
                  <v>44901</v>
                </pt>
                <pt idx="230">
                  <v>44902</v>
                </pt>
                <pt idx="231">
                  <v>44903</v>
                </pt>
                <pt idx="232">
                  <v>44904</v>
                </pt>
                <pt idx="233">
                  <v>44907</v>
                </pt>
                <pt idx="234">
                  <v>44908</v>
                </pt>
                <pt idx="235">
                  <v>44909</v>
                </pt>
                <pt idx="236">
                  <v>44910</v>
                </pt>
                <pt idx="237">
                  <v>44911</v>
                </pt>
                <pt idx="238">
                  <v>44914</v>
                </pt>
                <pt idx="239">
                  <v>44915</v>
                </pt>
                <pt idx="240">
                  <v>44916</v>
                </pt>
                <pt idx="241">
                  <v>44917</v>
                </pt>
                <pt idx="242">
                  <v>44918</v>
                </pt>
                <pt idx="243">
                  <v>44921</v>
                </pt>
                <pt idx="244">
                  <v>44922</v>
                </pt>
                <pt idx="245">
                  <v>44923</v>
                </pt>
                <pt idx="246">
                  <v>44924</v>
                </pt>
                <pt idx="247">
                  <v>44925</v>
                </pt>
                <pt idx="248">
                  <v>44928</v>
                </pt>
                <pt idx="249">
                  <v>44929</v>
                </pt>
                <pt idx="250">
                  <v>44930</v>
                </pt>
                <pt idx="251">
                  <v>44931</v>
                </pt>
                <pt idx="252">
                  <v>44932</v>
                </pt>
                <pt idx="253">
                  <v>44935</v>
                </pt>
                <pt idx="254">
                  <v>44936</v>
                </pt>
                <pt idx="255">
                  <v>44937</v>
                </pt>
                <pt idx="256">
                  <v>44938</v>
                </pt>
                <pt idx="257">
                  <v>44939</v>
                </pt>
                <pt idx="258">
                  <v>44942</v>
                </pt>
                <pt idx="259">
                  <v>44943</v>
                </pt>
                <pt idx="260">
                  <v>44944</v>
                </pt>
                <pt idx="261">
                  <v>44945</v>
                </pt>
                <pt idx="262">
                  <v>44946</v>
                </pt>
                <pt idx="263">
                  <v>44949</v>
                </pt>
                <pt idx="264">
                  <v>44950</v>
                </pt>
                <pt idx="265">
                  <v>44951</v>
                </pt>
                <pt idx="266">
                  <v>44953</v>
                </pt>
                <pt idx="267">
                  <v>44956</v>
                </pt>
                <pt idx="268">
                  <v>44957</v>
                </pt>
                <pt idx="269">
                  <v>44958</v>
                </pt>
                <pt idx="270">
                  <v>44959</v>
                </pt>
                <pt idx="271">
                  <v>44960</v>
                </pt>
                <pt idx="272">
                  <v>44963</v>
                </pt>
                <pt idx="273">
                  <v>44964</v>
                </pt>
                <pt idx="274">
                  <v>44965</v>
                </pt>
                <pt idx="275">
                  <v>44966</v>
                </pt>
                <pt idx="276">
                  <v>44967</v>
                </pt>
                <pt idx="277">
                  <v>44970</v>
                </pt>
                <pt idx="278">
                  <v>44971</v>
                </pt>
                <pt idx="279">
                  <v>44972</v>
                </pt>
                <pt idx="280">
                  <v>44973</v>
                </pt>
                <pt idx="281">
                  <v>44974</v>
                </pt>
                <pt idx="282">
                  <v>44977</v>
                </pt>
                <pt idx="283">
                  <v>44978</v>
                </pt>
                <pt idx="284">
                  <v>44979</v>
                </pt>
                <pt idx="285">
                  <v>44980</v>
                </pt>
                <pt idx="286">
                  <v>44981</v>
                </pt>
                <pt idx="287">
                  <v>44984</v>
                </pt>
                <pt idx="288">
                  <v>44985</v>
                </pt>
                <pt idx="289">
                  <v>44986</v>
                </pt>
                <pt idx="290">
                  <v>44987</v>
                </pt>
                <pt idx="291">
                  <v>44988</v>
                </pt>
                <pt idx="292">
                  <v>44991</v>
                </pt>
                <pt idx="293">
                  <v>44993</v>
                </pt>
                <pt idx="294">
                  <v>44994</v>
                </pt>
                <pt idx="295">
                  <v>44995</v>
                </pt>
                <pt idx="296">
                  <v>44998</v>
                </pt>
                <pt idx="297">
                  <v>44999</v>
                </pt>
                <pt idx="298">
                  <v>45000</v>
                </pt>
                <pt idx="299">
                  <v>45001</v>
                </pt>
                <pt idx="300">
                  <v>45002</v>
                </pt>
                <pt idx="301">
                  <v>45005</v>
                </pt>
                <pt idx="302">
                  <v>45006</v>
                </pt>
                <pt idx="303">
                  <v>45007</v>
                </pt>
                <pt idx="304">
                  <v>45008</v>
                </pt>
                <pt idx="305">
                  <v>45009</v>
                </pt>
                <pt idx="306">
                  <v>45012</v>
                </pt>
                <pt idx="307">
                  <v>45013</v>
                </pt>
                <pt idx="308">
                  <v>45014</v>
                </pt>
                <pt idx="309">
                  <v>45016</v>
                </pt>
                <pt idx="310">
                  <v>45019</v>
                </pt>
                <pt idx="311">
                  <v>45021</v>
                </pt>
                <pt idx="312">
                  <v>45022</v>
                </pt>
                <pt idx="313">
                  <v>45026</v>
                </pt>
                <pt idx="314">
                  <v>45027</v>
                </pt>
                <pt idx="315">
                  <v>45028</v>
                </pt>
                <pt idx="316">
                  <v>45029</v>
                </pt>
                <pt idx="317">
                  <v>45033</v>
                </pt>
                <pt idx="318">
                  <v>45034</v>
                </pt>
                <pt idx="319">
                  <v>45035</v>
                </pt>
                <pt idx="320">
                  <v>45036</v>
                </pt>
                <pt idx="321">
                  <v>45037</v>
                </pt>
                <pt idx="322">
                  <v>45040</v>
                </pt>
                <pt idx="323">
                  <v>45041</v>
                </pt>
                <pt idx="324">
                  <v>45042</v>
                </pt>
                <pt idx="325">
                  <v>45043</v>
                </pt>
                <pt idx="326">
                  <v>45044</v>
                </pt>
                <pt idx="327">
                  <v>45048</v>
                </pt>
                <pt idx="328">
                  <v>45049</v>
                </pt>
                <pt idx="329">
                  <v>45050</v>
                </pt>
                <pt idx="330">
                  <v>45051</v>
                </pt>
                <pt idx="331">
                  <v>45054</v>
                </pt>
                <pt idx="332">
                  <v>45055</v>
                </pt>
                <pt idx="333">
                  <v>45056</v>
                </pt>
                <pt idx="334">
                  <v>45057</v>
                </pt>
                <pt idx="335">
                  <v>45058</v>
                </pt>
                <pt idx="336">
                  <v>45061</v>
                </pt>
                <pt idx="337">
                  <v>45062</v>
                </pt>
                <pt idx="338">
                  <v>45063</v>
                </pt>
                <pt idx="339">
                  <v>45064</v>
                </pt>
                <pt idx="340">
                  <v>45065</v>
                </pt>
                <pt idx="341">
                  <v>45068</v>
                </pt>
                <pt idx="342">
                  <v>45069</v>
                </pt>
                <pt idx="343">
                  <v>45070</v>
                </pt>
                <pt idx="344">
                  <v>45071</v>
                </pt>
                <pt idx="345">
                  <v>45072</v>
                </pt>
                <pt idx="346">
                  <v>45075</v>
                </pt>
                <pt idx="347">
                  <v>45076</v>
                </pt>
                <pt idx="348">
                  <v>45077</v>
                </pt>
                <pt idx="349">
                  <v>45078</v>
                </pt>
                <pt idx="350">
                  <v>45079</v>
                </pt>
                <pt idx="351">
                  <v>45082</v>
                </pt>
                <pt idx="352">
                  <v>45083</v>
                </pt>
                <pt idx="353">
                  <v>45084</v>
                </pt>
                <pt idx="354">
                  <v>45085</v>
                </pt>
                <pt idx="355">
                  <v>45086</v>
                </pt>
                <pt idx="356">
                  <v>45089</v>
                </pt>
                <pt idx="357">
                  <v>45090</v>
                </pt>
                <pt idx="358">
                  <v>45091</v>
                </pt>
                <pt idx="359">
                  <v>45092</v>
                </pt>
                <pt idx="360">
                  <v>45093</v>
                </pt>
                <pt idx="361">
                  <v>45096</v>
                </pt>
                <pt idx="362">
                  <v>45097</v>
                </pt>
                <pt idx="363">
                  <v>45098</v>
                </pt>
                <pt idx="364">
                  <v>45099</v>
                </pt>
                <pt idx="365">
                  <v>45100</v>
                </pt>
                <pt idx="366">
                  <v>45103</v>
                </pt>
                <pt idx="367">
                  <v>45104</v>
                </pt>
                <pt idx="368">
                  <v>45105</v>
                </pt>
                <pt idx="369">
                  <v>45107</v>
                </pt>
                <pt idx="370">
                  <v>45110</v>
                </pt>
                <pt idx="371">
                  <v>45111</v>
                </pt>
                <pt idx="372">
                  <v>45112</v>
                </pt>
                <pt idx="373">
                  <v>45113</v>
                </pt>
                <pt idx="374">
                  <v>45114</v>
                </pt>
                <pt idx="375">
                  <v>45117</v>
                </pt>
                <pt idx="376">
                  <v>45118</v>
                </pt>
                <pt idx="377">
                  <v>45119</v>
                </pt>
                <pt idx="378">
                  <v>45120</v>
                </pt>
                <pt idx="379">
                  <v>45121</v>
                </pt>
                <pt idx="380">
                  <v>45124</v>
                </pt>
                <pt idx="381">
                  <v>45125</v>
                </pt>
                <pt idx="382">
                  <v>45126</v>
                </pt>
                <pt idx="383">
                  <v>45127</v>
                </pt>
                <pt idx="384">
                  <v>45128</v>
                </pt>
                <pt idx="385">
                  <v>45131</v>
                </pt>
                <pt idx="386">
                  <v>45132</v>
                </pt>
                <pt idx="387">
                  <v>45133</v>
                </pt>
                <pt idx="388">
                  <v>45134</v>
                </pt>
                <pt idx="389">
                  <v>45135</v>
                </pt>
                <pt idx="390">
                  <v>45138</v>
                </pt>
                <pt idx="391">
                  <v>45139</v>
                </pt>
                <pt idx="392">
                  <v>45140</v>
                </pt>
                <pt idx="393">
                  <v>45141</v>
                </pt>
                <pt idx="394">
                  <v>45142</v>
                </pt>
                <pt idx="395">
                  <v>45145</v>
                </pt>
                <pt idx="396">
                  <v>45146</v>
                </pt>
                <pt idx="397">
                  <v>45147</v>
                </pt>
                <pt idx="398">
                  <v>45148</v>
                </pt>
                <pt idx="399">
                  <v>45149</v>
                </pt>
                <pt idx="400">
                  <v>45152</v>
                </pt>
                <pt idx="401">
                  <v>45154</v>
                </pt>
                <pt idx="402">
                  <v>45155</v>
                </pt>
                <pt idx="403">
                  <v>45156</v>
                </pt>
                <pt idx="404">
                  <v>45159</v>
                </pt>
                <pt idx="405">
                  <v>45160</v>
                </pt>
                <pt idx="406">
                  <v>45161</v>
                </pt>
                <pt idx="407">
                  <v>45162</v>
                </pt>
                <pt idx="408">
                  <v>45163</v>
                </pt>
                <pt idx="409">
                  <v>45166</v>
                </pt>
                <pt idx="410">
                  <v>45167</v>
                </pt>
                <pt idx="411">
                  <v>45168</v>
                </pt>
                <pt idx="412">
                  <v>45169</v>
                </pt>
                <pt idx="413">
                  <v>45170</v>
                </pt>
                <pt idx="414">
                  <v>45173</v>
                </pt>
                <pt idx="415">
                  <v>45174</v>
                </pt>
                <pt idx="416">
                  <v>45175</v>
                </pt>
                <pt idx="417">
                  <v>45176</v>
                </pt>
                <pt idx="418">
                  <v>45177</v>
                </pt>
                <pt idx="419">
                  <v>45180</v>
                </pt>
                <pt idx="420">
                  <v>45181</v>
                </pt>
                <pt idx="421">
                  <v>45182</v>
                </pt>
                <pt idx="422">
                  <v>45183</v>
                </pt>
                <pt idx="423">
                  <v>45184</v>
                </pt>
                <pt idx="424">
                  <v>45187</v>
                </pt>
                <pt idx="425">
                  <v>45189</v>
                </pt>
                <pt idx="426">
                  <v>45190</v>
                </pt>
                <pt idx="427">
                  <v>45191</v>
                </pt>
                <pt idx="428">
                  <v>45194</v>
                </pt>
                <pt idx="429">
                  <v>45195</v>
                </pt>
                <pt idx="430">
                  <v>45196</v>
                </pt>
                <pt idx="431">
                  <v>45197</v>
                </pt>
                <pt idx="432">
                  <v>45198</v>
                </pt>
                <pt idx="433">
                  <v>45202</v>
                </pt>
                <pt idx="434">
                  <v>45203</v>
                </pt>
                <pt idx="435">
                  <v>45204</v>
                </pt>
                <pt idx="436">
                  <v>45205</v>
                </pt>
                <pt idx="437">
                  <v>45208</v>
                </pt>
                <pt idx="438">
                  <v>45209</v>
                </pt>
                <pt idx="439">
                  <v>45210</v>
                </pt>
                <pt idx="440">
                  <v>45211</v>
                </pt>
                <pt idx="441">
                  <v>45212</v>
                </pt>
                <pt idx="442">
                  <v>45215</v>
                </pt>
                <pt idx="443">
                  <v>45216</v>
                </pt>
                <pt idx="444">
                  <v>45217</v>
                </pt>
                <pt idx="445">
                  <v>45218</v>
                </pt>
                <pt idx="446">
                  <v>45219</v>
                </pt>
                <pt idx="447">
                  <v>45222</v>
                </pt>
                <pt idx="448">
                  <v>45224</v>
                </pt>
                <pt idx="449">
                  <v>45225</v>
                </pt>
                <pt idx="450">
                  <v>45226</v>
                </pt>
                <pt idx="451">
                  <v>45229</v>
                </pt>
                <pt idx="452">
                  <v>45230</v>
                </pt>
                <pt idx="453">
                  <v>45231</v>
                </pt>
                <pt idx="454">
                  <v>45232</v>
                </pt>
                <pt idx="455">
                  <v>45233</v>
                </pt>
                <pt idx="456">
                  <v>45236</v>
                </pt>
                <pt idx="457">
                  <v>45237</v>
                </pt>
                <pt idx="458">
                  <v>45238</v>
                </pt>
                <pt idx="459">
                  <v>45239</v>
                </pt>
                <pt idx="460">
                  <v>45240</v>
                </pt>
                <pt idx="461">
                  <v>45242</v>
                </pt>
                <pt idx="462">
                  <v>45243</v>
                </pt>
                <pt idx="463">
                  <v>45245</v>
                </pt>
                <pt idx="464">
                  <v>45246</v>
                </pt>
                <pt idx="465">
                  <v>45247</v>
                </pt>
                <pt idx="466">
                  <v>45250</v>
                </pt>
                <pt idx="467">
                  <v>45251</v>
                </pt>
                <pt idx="468">
                  <v>45252</v>
                </pt>
                <pt idx="469">
                  <v>45253</v>
                </pt>
                <pt idx="470">
                  <v>45254</v>
                </pt>
                <pt idx="471">
                  <v>45258</v>
                </pt>
                <pt idx="472">
                  <v>45259</v>
                </pt>
                <pt idx="473">
                  <v>45260</v>
                </pt>
                <pt idx="474">
                  <v>45261</v>
                </pt>
                <pt idx="475">
                  <v>45264</v>
                </pt>
                <pt idx="476">
                  <v>45265</v>
                </pt>
                <pt idx="477">
                  <v>45266</v>
                </pt>
                <pt idx="478">
                  <v>45267</v>
                </pt>
                <pt idx="479">
                  <v>45268</v>
                </pt>
                <pt idx="480">
                  <v>45271</v>
                </pt>
                <pt idx="481">
                  <v>45272</v>
                </pt>
                <pt idx="482">
                  <v>45273</v>
                </pt>
                <pt idx="483">
                  <v>45274</v>
                </pt>
                <pt idx="484">
                  <v>45275</v>
                </pt>
                <pt idx="485">
                  <v>45278</v>
                </pt>
                <pt idx="486">
                  <v>45279</v>
                </pt>
                <pt idx="487">
                  <v>45280</v>
                </pt>
                <pt idx="488">
                  <v>45281</v>
                </pt>
                <pt idx="489">
                  <v>45282</v>
                </pt>
                <pt idx="490">
                  <v>45286</v>
                </pt>
                <pt idx="491">
                  <v>45287</v>
                </pt>
                <pt idx="492">
                  <v>45288</v>
                </pt>
                <pt idx="493">
                  <v>45289</v>
                </pt>
                <pt idx="494">
                  <v>45292</v>
                </pt>
                <pt idx="495">
                  <v>45293</v>
                </pt>
                <pt idx="496">
                  <v>45294</v>
                </pt>
                <pt idx="497">
                  <v>45295</v>
                </pt>
                <pt idx="498">
                  <v>45296</v>
                </pt>
                <pt idx="499">
                  <v>45299</v>
                </pt>
                <pt idx="500">
                  <v>45300</v>
                </pt>
                <pt idx="501">
                  <v>45301</v>
                </pt>
                <pt idx="502">
                  <v>45302</v>
                </pt>
                <pt idx="503">
                  <v>45303</v>
                </pt>
                <pt idx="504">
                  <v>45306</v>
                </pt>
                <pt idx="505">
                  <v>45307</v>
                </pt>
                <pt idx="506">
                  <v>45308</v>
                </pt>
                <pt idx="507">
                  <v>45309</v>
                </pt>
                <pt idx="508">
                  <v>45310</v>
                </pt>
                <pt idx="509">
                  <v>45311</v>
                </pt>
                <pt idx="510">
                  <v>45314</v>
                </pt>
                <pt idx="511">
                  <v>45315</v>
                </pt>
                <pt idx="512">
                  <v>45316</v>
                </pt>
                <pt idx="513">
                  <v>45320</v>
                </pt>
                <pt idx="514">
                  <v>45321</v>
                </pt>
                <pt idx="515">
                  <v>45322</v>
                </pt>
                <pt idx="516">
                  <v>45323</v>
                </pt>
                <pt idx="517">
                  <v>45324</v>
                </pt>
                <pt idx="518">
                  <v>45327</v>
                </pt>
                <pt idx="519">
                  <v>45328</v>
                </pt>
                <pt idx="520">
                  <v>45329</v>
                </pt>
                <pt idx="521">
                  <v>45330</v>
                </pt>
                <pt idx="522">
                  <v>45331</v>
                </pt>
                <pt idx="523">
                  <v>45334</v>
                </pt>
                <pt idx="524">
                  <v>45335</v>
                </pt>
                <pt idx="525">
                  <v>45336</v>
                </pt>
                <pt idx="526">
                  <v>45337</v>
                </pt>
                <pt idx="527">
                  <v>45338</v>
                </pt>
                <pt idx="528">
                  <v>45341</v>
                </pt>
                <pt idx="529">
                  <v>45342</v>
                </pt>
                <pt idx="530">
                  <v>45343</v>
                </pt>
                <pt idx="531">
                  <v>45344</v>
                </pt>
                <pt idx="532">
                  <v>45345</v>
                </pt>
                <pt idx="533">
                  <v>45348</v>
                </pt>
                <pt idx="534">
                  <v>45349</v>
                </pt>
                <pt idx="535">
                  <v>45350</v>
                </pt>
                <pt idx="536">
                  <v>45351</v>
                </pt>
                <pt idx="537">
                  <v>45352</v>
                </pt>
                <pt idx="538">
                  <v>45353</v>
                </pt>
                <pt idx="539">
                  <v>45355</v>
                </pt>
                <pt idx="540">
                  <v>45356</v>
                </pt>
                <pt idx="541">
                  <v>45357</v>
                </pt>
                <pt idx="542">
                  <v>45358</v>
                </pt>
                <pt idx="543">
                  <v>45362</v>
                </pt>
                <pt idx="544">
                  <v>45363</v>
                </pt>
                <pt idx="545">
                  <v>45364</v>
                </pt>
                <pt idx="546">
                  <v>45365</v>
                </pt>
                <pt idx="547">
                  <v>45366</v>
                </pt>
                <pt idx="548">
                  <v>45369</v>
                </pt>
                <pt idx="549">
                  <v>45370</v>
                </pt>
                <pt idx="550">
                  <v>45371</v>
                </pt>
                <pt idx="551">
                  <v>45372</v>
                </pt>
                <pt idx="552">
                  <v>45373</v>
                </pt>
                <pt idx="553">
                  <v>45377</v>
                </pt>
                <pt idx="554">
                  <v>45378</v>
                </pt>
                <pt idx="555">
                  <v>45379</v>
                </pt>
                <pt idx="556">
                  <v>45383</v>
                </pt>
                <pt idx="557">
                  <v>45384</v>
                </pt>
                <pt idx="558">
                  <v>45385</v>
                </pt>
                <pt idx="559">
                  <v>45386</v>
                </pt>
                <pt idx="560">
                  <v>45387</v>
                </pt>
                <pt idx="561">
                  <v>45390</v>
                </pt>
                <pt idx="562">
                  <v>45391</v>
                </pt>
                <pt idx="563">
                  <v>45392</v>
                </pt>
                <pt idx="564">
                  <v>45394</v>
                </pt>
                <pt idx="565">
                  <v>45397</v>
                </pt>
                <pt idx="566">
                  <v>45398</v>
                </pt>
                <pt idx="567">
                  <v>45400</v>
                </pt>
                <pt idx="568">
                  <v>45401</v>
                </pt>
                <pt idx="569">
                  <v>45404</v>
                </pt>
                <pt idx="570">
                  <v>45405</v>
                </pt>
                <pt idx="571">
                  <v>45406</v>
                </pt>
                <pt idx="572">
                  <v>45407</v>
                </pt>
                <pt idx="573">
                  <v>45408</v>
                </pt>
                <pt idx="574">
                  <v>45411</v>
                </pt>
                <pt idx="575">
                  <v>45412</v>
                </pt>
                <pt idx="576">
                  <v>45414</v>
                </pt>
                <pt idx="577">
                  <v>45415</v>
                </pt>
                <pt idx="578">
                  <v>45418</v>
                </pt>
                <pt idx="579">
                  <v>45419</v>
                </pt>
                <pt idx="580">
                  <v>45420</v>
                </pt>
                <pt idx="581">
                  <v>45421</v>
                </pt>
                <pt idx="582">
                  <v>45422</v>
                </pt>
                <pt idx="583">
                  <v>45425</v>
                </pt>
                <pt idx="584">
                  <v>45426</v>
                </pt>
                <pt idx="585">
                  <v>45427</v>
                </pt>
                <pt idx="586">
                  <v>45428</v>
                </pt>
                <pt idx="587">
                  <v>45429</v>
                </pt>
                <pt idx="588">
                  <v>45430</v>
                </pt>
                <pt idx="589">
                  <v>45433</v>
                </pt>
                <pt idx="590">
                  <v>45434</v>
                </pt>
                <pt idx="591">
                  <v>45435</v>
                </pt>
                <pt idx="592">
                  <v>45436</v>
                </pt>
                <pt idx="593">
                  <v>45439</v>
                </pt>
                <pt idx="594">
                  <v>45440</v>
                </pt>
                <pt idx="595">
                  <v>45441</v>
                </pt>
                <pt idx="596">
                  <v>45442</v>
                </pt>
                <pt idx="597">
                  <v>45443</v>
                </pt>
                <pt idx="598">
                  <v>45446</v>
                </pt>
                <pt idx="599">
                  <v>45447</v>
                </pt>
                <pt idx="600">
                  <v>45448</v>
                </pt>
                <pt idx="601">
                  <v>45449</v>
                </pt>
                <pt idx="602">
                  <v>45450</v>
                </pt>
                <pt idx="603">
                  <v>45453</v>
                </pt>
                <pt idx="604">
                  <v>45454</v>
                </pt>
                <pt idx="605">
                  <v>45455</v>
                </pt>
                <pt idx="606">
                  <v>45456</v>
                </pt>
                <pt idx="607">
                  <v>45457</v>
                </pt>
                <pt idx="608">
                  <v>45461</v>
                </pt>
                <pt idx="609">
                  <v>45462</v>
                </pt>
                <pt idx="610">
                  <v>45463</v>
                </pt>
                <pt idx="611">
                  <v>45464</v>
                </pt>
                <pt idx="612">
                  <v>45467</v>
                </pt>
                <pt idx="613">
                  <v>45468</v>
                </pt>
                <pt idx="614">
                  <v>45469</v>
                </pt>
                <pt idx="615">
                  <v>45470</v>
                </pt>
                <pt idx="616">
                  <v>45471</v>
                </pt>
                <pt idx="617">
                  <v>45474</v>
                </pt>
                <pt idx="618">
                  <v>45475</v>
                </pt>
                <pt idx="619">
                  <v>45476</v>
                </pt>
                <pt idx="620">
                  <v>45477</v>
                </pt>
                <pt idx="621">
                  <v>45478</v>
                </pt>
                <pt idx="622">
                  <v>45481</v>
                </pt>
                <pt idx="623">
                  <v>45482</v>
                </pt>
                <pt idx="624">
                  <v>45483</v>
                </pt>
                <pt idx="625">
                  <v>45484</v>
                </pt>
                <pt idx="626">
                  <v>45485</v>
                </pt>
                <pt idx="627">
                  <v>45488</v>
                </pt>
                <pt idx="628">
                  <v>45489</v>
                </pt>
                <pt idx="629">
                  <v>45491</v>
                </pt>
                <pt idx="630">
                  <v>45492</v>
                </pt>
                <pt idx="631">
                  <v>45495</v>
                </pt>
                <pt idx="632">
                  <v>45496</v>
                </pt>
                <pt idx="633">
                  <v>45497</v>
                </pt>
                <pt idx="634">
                  <v>45498</v>
                </pt>
                <pt idx="635">
                  <v>45499</v>
                </pt>
                <pt idx="636">
                  <v>45502</v>
                </pt>
                <pt idx="637">
                  <v>45503</v>
                </pt>
                <pt idx="638">
                  <v>45504</v>
                </pt>
                <pt idx="639">
                  <v>45505</v>
                </pt>
                <pt idx="640">
                  <v>45506</v>
                </pt>
                <pt idx="641">
                  <v>45509</v>
                </pt>
                <pt idx="642">
                  <v>45510</v>
                </pt>
                <pt idx="643">
                  <v>45511</v>
                </pt>
                <pt idx="644">
                  <v>45512</v>
                </pt>
                <pt idx="645">
                  <v>45513</v>
                </pt>
                <pt idx="646">
                  <v>45516</v>
                </pt>
                <pt idx="647">
                  <v>45517</v>
                </pt>
                <pt idx="648">
                  <v>45518</v>
                </pt>
                <pt idx="649">
                  <v>45520</v>
                </pt>
                <pt idx="650">
                  <v>45523</v>
                </pt>
                <pt idx="651">
                  <v>45524</v>
                </pt>
                <pt idx="652">
                  <v>45525</v>
                </pt>
                <pt idx="653">
                  <v>45526</v>
                </pt>
                <pt idx="654">
                  <v>45527</v>
                </pt>
                <pt idx="655">
                  <v>45530</v>
                </pt>
                <pt idx="656">
                  <v>45531</v>
                </pt>
                <pt idx="657">
                  <v>45532</v>
                </pt>
                <pt idx="658">
                  <v>45533</v>
                </pt>
                <pt idx="659">
                  <v>45534</v>
                </pt>
                <pt idx="660">
                  <v>45537</v>
                </pt>
                <pt idx="661">
                  <v>45538</v>
                </pt>
                <pt idx="662">
                  <v>45539</v>
                </pt>
                <pt idx="663">
                  <v>45540</v>
                </pt>
                <pt idx="664">
                  <v>45541</v>
                </pt>
                <pt idx="665">
                  <v>45544</v>
                </pt>
                <pt idx="666">
                  <v>45545</v>
                </pt>
                <pt idx="667">
                  <v>45546</v>
                </pt>
                <pt idx="668">
                  <v>45547</v>
                </pt>
                <pt idx="669">
                  <v>45548</v>
                </pt>
                <pt idx="670">
                  <v>45551</v>
                </pt>
                <pt idx="671">
                  <v>45552</v>
                </pt>
                <pt idx="672">
                  <v>45553</v>
                </pt>
                <pt idx="673">
                  <v>45554</v>
                </pt>
                <pt idx="674">
                  <v>45555</v>
                </pt>
                <pt idx="675">
                  <v>45558</v>
                </pt>
                <pt idx="676">
                  <v>45559</v>
                </pt>
                <pt idx="677">
                  <v>45560</v>
                </pt>
                <pt idx="678">
                  <v>45561</v>
                </pt>
                <pt idx="679">
                  <v>45562</v>
                </pt>
                <pt idx="680">
                  <v>45565</v>
                </pt>
                <pt idx="681">
                  <v>45566</v>
                </pt>
                <pt idx="682">
                  <v>45568</v>
                </pt>
                <pt idx="683">
                  <v>45569</v>
                </pt>
                <pt idx="684">
                  <v>45572</v>
                </pt>
                <pt idx="685">
                  <v>45573</v>
                </pt>
                <pt idx="686">
                  <v>45574</v>
                </pt>
                <pt idx="687">
                  <v>45575</v>
                </pt>
                <pt idx="688">
                  <v>45576</v>
                </pt>
                <pt idx="689">
                  <v>45579</v>
                </pt>
                <pt idx="690">
                  <v>45580</v>
                </pt>
                <pt idx="691">
                  <v>45581</v>
                </pt>
                <pt idx="692">
                  <v>45582</v>
                </pt>
                <pt idx="693">
                  <v>45583</v>
                </pt>
                <pt idx="694">
                  <v>45586</v>
                </pt>
                <pt idx="695">
                  <v>45587</v>
                </pt>
                <pt idx="696">
                  <v>45588</v>
                </pt>
                <pt idx="697">
                  <v>45589</v>
                </pt>
                <pt idx="698">
                  <v>45590</v>
                </pt>
                <pt idx="699">
                  <v>45593</v>
                </pt>
                <pt idx="700">
                  <v>45594</v>
                </pt>
                <pt idx="701">
                  <v>45595</v>
                </pt>
                <pt idx="702">
                  <v>45596</v>
                </pt>
                <pt idx="703">
                  <v>45597</v>
                </pt>
                <pt idx="704">
                  <v>45600</v>
                </pt>
                <pt idx="705">
                  <v>45601</v>
                </pt>
                <pt idx="706">
                  <v>45602</v>
                </pt>
                <pt idx="707">
                  <v>45603</v>
                </pt>
                <pt idx="708">
                  <v>45604</v>
                </pt>
                <pt idx="709">
                  <v>45607</v>
                </pt>
                <pt idx="710">
                  <v>45608</v>
                </pt>
                <pt idx="711">
                  <v>45609</v>
                </pt>
                <pt idx="712">
                  <v>45610</v>
                </pt>
                <pt idx="713">
                  <v>45614</v>
                </pt>
                <pt idx="714">
                  <v>45615</v>
                </pt>
                <pt idx="715">
                  <v>45617</v>
                </pt>
                <pt idx="716">
                  <v>45618</v>
                </pt>
                <pt idx="717">
                  <v>45621</v>
                </pt>
                <pt idx="718">
                  <v>45622</v>
                </pt>
                <pt idx="719">
                  <v>45623</v>
                </pt>
                <pt idx="720">
                  <v>45624</v>
                </pt>
                <pt idx="721">
                  <v>45625</v>
                </pt>
                <pt idx="722">
                  <v>45628</v>
                </pt>
                <pt idx="723">
                  <v>45629</v>
                </pt>
                <pt idx="724">
                  <v>45630</v>
                </pt>
                <pt idx="725">
                  <v>45631</v>
                </pt>
                <pt idx="726">
                  <v>45632</v>
                </pt>
                <pt idx="727">
                  <v>45635</v>
                </pt>
                <pt idx="728">
                  <v>45636</v>
                </pt>
                <pt idx="729">
                  <v>45637</v>
                </pt>
                <pt idx="730">
                  <v>45638</v>
                </pt>
                <pt idx="731">
                  <v>45639</v>
                </pt>
                <pt idx="732">
                  <v>45642</v>
                </pt>
                <pt idx="733">
                  <v>45643</v>
                </pt>
                <pt idx="734">
                  <v>45644</v>
                </pt>
                <pt idx="735">
                  <v>45645</v>
                </pt>
                <pt idx="736">
                  <v>45646</v>
                </pt>
                <pt idx="737">
                  <v>45649</v>
                </pt>
                <pt idx="738">
                  <v>45650</v>
                </pt>
                <pt idx="739">
                  <v>45652</v>
                </pt>
                <pt idx="740">
                  <v>45653</v>
                </pt>
                <pt idx="741">
                  <v>45656</v>
                </pt>
                <pt idx="742">
                  <v>45657</v>
                </pt>
                <pt idx="743">
                  <v>45658</v>
                </pt>
                <pt idx="744">
                  <v>45659</v>
                </pt>
                <pt idx="745">
                  <v>45660</v>
                </pt>
                <pt idx="746">
                  <v>45663</v>
                </pt>
                <pt idx="747">
                  <v>45664</v>
                </pt>
                <pt idx="748">
                  <v>45665</v>
                </pt>
                <pt idx="749">
                  <v>45666</v>
                </pt>
                <pt idx="750">
                  <v>45667</v>
                </pt>
                <pt idx="751">
                  <v>45670</v>
                </pt>
                <pt idx="752">
                  <v>45671</v>
                </pt>
                <pt idx="753">
                  <v>45672</v>
                </pt>
                <pt idx="754">
                  <v>45673</v>
                </pt>
                <pt idx="755">
                  <v>45674</v>
                </pt>
                <pt idx="756">
                  <v>45677</v>
                </pt>
                <pt idx="757">
                  <v>45678</v>
                </pt>
                <pt idx="758">
                  <v>45679</v>
                </pt>
                <pt idx="759">
                  <v>45680</v>
                </pt>
                <pt idx="760">
                  <v>45681</v>
                </pt>
                <pt idx="761">
                  <v>45684</v>
                </pt>
                <pt idx="762">
                  <v>45685</v>
                </pt>
                <pt idx="763">
                  <v>45686</v>
                </pt>
                <pt idx="764">
                  <v>45687</v>
                </pt>
                <pt idx="765">
                  <v>45688</v>
                </pt>
                <pt idx="766">
                  <v>45689</v>
                </pt>
                <pt idx="767">
                  <v>45691</v>
                </pt>
                <pt idx="768">
                  <v>45692</v>
                </pt>
                <pt idx="769">
                  <v>45693</v>
                </pt>
                <pt idx="770">
                  <v>45694</v>
                </pt>
                <pt idx="771">
                  <v>45695</v>
                </pt>
                <pt idx="772">
                  <v>45698</v>
                </pt>
                <pt idx="773">
                  <v>45699</v>
                </pt>
                <pt idx="774">
                  <v>45700</v>
                </pt>
                <pt idx="775">
                  <v>45701</v>
                </pt>
                <pt idx="776">
                  <v>45702</v>
                </pt>
                <pt idx="777">
                  <v>45705</v>
                </pt>
                <pt idx="778">
                  <v>45706</v>
                </pt>
                <pt idx="779">
                  <v>45707</v>
                </pt>
                <pt idx="780">
                  <v>45708</v>
                </pt>
                <pt idx="781">
                  <v>45709</v>
                </pt>
                <pt idx="782">
                  <v>45712</v>
                </pt>
                <pt idx="783">
                  <v>45713</v>
                </pt>
                <pt idx="784">
                  <v>45715</v>
                </pt>
                <pt idx="785">
                  <v>45716</v>
                </pt>
                <pt idx="786">
                  <v>45719</v>
                </pt>
                <pt idx="787">
                  <v>45720</v>
                </pt>
                <pt idx="788">
                  <v>45721</v>
                </pt>
                <pt idx="789">
                  <v>45722</v>
                </pt>
                <pt idx="790">
                  <v>45723</v>
                </pt>
                <pt idx="791">
                  <v>45726</v>
                </pt>
                <pt idx="792">
                  <v>45727</v>
                </pt>
                <pt idx="793">
                  <v>45728</v>
                </pt>
                <pt idx="794">
                  <v>45729</v>
                </pt>
                <pt idx="795">
                  <v>45733</v>
                </pt>
                <pt idx="796">
                  <v>45734</v>
                </pt>
                <pt idx="797">
                  <v>45735</v>
                </pt>
                <pt idx="798">
                  <v>45736</v>
                </pt>
                <pt idx="799">
                  <v>45737</v>
                </pt>
                <pt idx="800">
                  <v>45740</v>
                </pt>
                <pt idx="801">
                  <v>45741</v>
                </pt>
                <pt idx="802">
                  <v>45742</v>
                </pt>
                <pt idx="803">
                  <v>45743</v>
                </pt>
                <pt idx="804">
                  <v>45744</v>
                </pt>
              </numCache>
            </numRef>
          </cat>
          <val>
            <numRef>
              <f>'EVI 2025 Workings'!$K$2:$K$806</f>
              <numCache>
                <formatCode>0.00</formatCode>
                <ptCount val="805"/>
                <pt idx="0">
                  <v>6.46</v>
                </pt>
                <pt idx="1">
                  <v>6.518</v>
                </pt>
                <pt idx="2">
                  <v>6.508</v>
                </pt>
                <pt idx="3">
                  <v>6.525</v>
                </pt>
                <pt idx="4">
                  <v>6.542</v>
                </pt>
                <pt idx="5">
                  <v>6.59</v>
                </pt>
                <pt idx="6">
                  <v>6.57</v>
                </pt>
                <pt idx="7">
                  <v>6.593</v>
                </pt>
                <pt idx="8">
                  <v>6.561</v>
                </pt>
                <pt idx="9">
                  <v>6.582</v>
                </pt>
                <pt idx="10">
                  <v>6.636</v>
                </pt>
                <pt idx="11">
                  <v>6.627</v>
                </pt>
                <pt idx="12">
                  <v>6.598</v>
                </pt>
                <pt idx="13">
                  <v>6.608</v>
                </pt>
                <pt idx="14">
                  <v>6.62</v>
                </pt>
                <pt idx="15">
                  <v>6.652</v>
                </pt>
                <pt idx="16">
                  <v>6.662</v>
                </pt>
                <pt idx="17">
                  <v>6.746</v>
                </pt>
                <pt idx="18">
                  <v>6.768</v>
                </pt>
                <pt idx="19">
                  <v>6.684</v>
                </pt>
                <pt idx="20">
                  <v>6.828</v>
                </pt>
                <pt idx="21">
                  <v>6.88</v>
                </pt>
                <pt idx="22">
                  <v>6.889</v>
                </pt>
                <pt idx="23">
                  <v>6.879</v>
                </pt>
                <pt idx="24">
                  <v>6.879</v>
                </pt>
                <pt idx="25">
                  <v>6.81</v>
                </pt>
                <pt idx="26">
                  <v>6.798</v>
                </pt>
                <pt idx="27">
                  <v>6.725</v>
                </pt>
                <pt idx="28">
                  <v>6.698</v>
                </pt>
                <pt idx="29">
                  <v>6.667</v>
                </pt>
                <pt idx="30">
                  <v>6.673</v>
                </pt>
                <pt idx="31">
                  <v>6.686</v>
                </pt>
                <pt idx="32">
                  <v>6.674</v>
                </pt>
                <pt idx="33">
                  <v>6.663</v>
                </pt>
                <pt idx="34">
                  <v>6.693</v>
                </pt>
                <pt idx="35">
                  <v>6.749</v>
                </pt>
                <pt idx="36">
                  <v>6.739</v>
                </pt>
                <pt idx="37">
                  <v>6.759</v>
                </pt>
                <pt idx="38">
                  <v>6.749</v>
                </pt>
                <pt idx="39">
                  <v>6.77</v>
                </pt>
                <pt idx="40">
                  <v>6.814</v>
                </pt>
                <pt idx="41">
                  <v>6.826</v>
                </pt>
                <pt idx="42">
                  <v>6.813</v>
                </pt>
                <pt idx="43">
                  <v>6.888</v>
                </pt>
                <pt idx="44">
                  <v>6.895</v>
                </pt>
                <pt idx="45">
                  <v>6.845</v>
                </pt>
                <pt idx="46">
                  <v>6.809</v>
                </pt>
                <pt idx="47">
                  <v>6.855</v>
                </pt>
                <pt idx="48">
                  <v>6.854</v>
                </pt>
                <pt idx="49">
                  <v>6.821</v>
                </pt>
                <pt idx="50">
                  <v>6.788</v>
                </pt>
                <pt idx="51">
                  <v>6.778</v>
                </pt>
                <pt idx="52">
                  <v>6.781</v>
                </pt>
                <pt idx="53">
                  <v>6.831</v>
                </pt>
                <pt idx="54">
                  <v>6.831</v>
                </pt>
                <pt idx="55">
                  <v>6.834</v>
                </pt>
                <pt idx="56">
                  <v>6.811</v>
                </pt>
                <pt idx="57">
                  <v>6.836</v>
                </pt>
                <pt idx="58">
                  <v>6.821</v>
                </pt>
                <pt idx="59">
                  <v>6.784</v>
                </pt>
                <pt idx="60">
                  <v>6.843</v>
                </pt>
                <pt idx="61">
                  <v>6.843</v>
                </pt>
                <pt idx="62">
                  <v>6.898</v>
                </pt>
                <pt idx="63">
                  <v>6.899</v>
                </pt>
                <pt idx="64">
                  <v>6.917</v>
                </pt>
                <pt idx="65">
                  <v>6.914</v>
                </pt>
                <pt idx="66">
                  <v>7.119</v>
                </pt>
                <pt idx="67">
                  <v>7.149</v>
                </pt>
                <pt idx="68">
                  <v>7.189</v>
                </pt>
                <pt idx="69">
                  <v>7.215</v>
                </pt>
                <pt idx="70">
                  <v>7.153</v>
                </pt>
                <pt idx="71">
                  <v>7.151</v>
                </pt>
                <pt idx="72">
                  <v>7.105</v>
                </pt>
                <pt idx="73">
                  <v>7.144</v>
                </pt>
                <pt idx="74">
                  <v>7.167</v>
                </pt>
                <pt idx="75">
                  <v>7.043</v>
                </pt>
                <pt idx="76">
                  <v>7.053</v>
                </pt>
                <pt idx="77">
                  <v>7.083</v>
                </pt>
                <pt idx="78">
                  <v>7.155</v>
                </pt>
                <pt idx="79">
                  <v>7.139</v>
                </pt>
                <pt idx="80">
                  <v>7.119</v>
                </pt>
                <pt idx="81">
                  <v>7.378</v>
                </pt>
                <pt idx="82">
                  <v>7.403</v>
                </pt>
                <pt idx="83">
                  <v>7.451</v>
                </pt>
                <pt idx="84">
                  <v>7.465</v>
                </pt>
                <pt idx="85">
                  <v>7.301</v>
                </pt>
                <pt idx="86">
                  <v>7.215</v>
                </pt>
                <pt idx="87">
                  <v>7.244</v>
                </pt>
                <pt idx="88">
                  <v>7.318</v>
                </pt>
                <pt idx="89">
                  <v>7.318</v>
                </pt>
                <pt idx="90">
                  <v>7.366</v>
                </pt>
                <pt idx="91">
                  <v>7.355</v>
                </pt>
                <pt idx="92">
                  <v>7.32</v>
                </pt>
                <pt idx="93">
                  <v>7.359</v>
                </pt>
                <pt idx="94">
                  <v>7.386</v>
                </pt>
                <pt idx="95">
                  <v>7.359</v>
                </pt>
                <pt idx="96">
                  <v>7.305</v>
                </pt>
                <pt idx="97">
                  <v>7.294</v>
                </pt>
                <pt idx="98">
                  <v>7.35</v>
                </pt>
                <pt idx="99">
                  <v>7.409</v>
                </pt>
                <pt idx="100">
                  <v>7.415</v>
                </pt>
                <pt idx="101">
                  <v>7.414</v>
                </pt>
                <pt idx="102">
                  <v>7.434</v>
                </pt>
                <pt idx="103">
                  <v>7.456</v>
                </pt>
                <pt idx="104">
                  <v>7.5</v>
                </pt>
                <pt idx="105">
                  <v>7.518</v>
                </pt>
                <pt idx="106">
                  <v>7.494</v>
                </pt>
                <pt idx="107">
                  <v>7.496</v>
                </pt>
                <pt idx="108">
                  <v>7.519</v>
                </pt>
                <pt idx="109">
                  <v>7.604</v>
                </pt>
                <pt idx="110">
                  <v>7.581</v>
                </pt>
                <pt idx="111">
                  <v>7.592</v>
                </pt>
                <pt idx="112">
                  <v>7.617</v>
                </pt>
                <pt idx="113">
                  <v>7.546</v>
                </pt>
                <pt idx="114">
                  <v>7.427</v>
                </pt>
                <pt idx="115">
                  <v>7.482</v>
                </pt>
                <pt idx="116">
                  <v>7.396</v>
                </pt>
                <pt idx="117">
                  <v>7.419</v>
                </pt>
                <pt idx="118">
                  <v>7.444</v>
                </pt>
                <pt idx="119">
                  <v>7.407</v>
                </pt>
                <pt idx="120">
                  <v>7.466</v>
                </pt>
                <pt idx="121">
                  <v>7.459</v>
                </pt>
                <pt idx="122">
                  <v>7.45</v>
                </pt>
                <pt idx="123">
                  <v>7.424</v>
                </pt>
                <pt idx="124">
                  <v>7.374</v>
                </pt>
                <pt idx="125">
                  <v>7.391</v>
                </pt>
                <pt idx="126">
                  <v>7.294</v>
                </pt>
                <pt idx="127">
                  <v>7.354</v>
                </pt>
                <pt idx="128">
                  <v>7.415</v>
                </pt>
                <pt idx="129">
                  <v>7.427</v>
                </pt>
                <pt idx="130">
                  <v>7.391</v>
                </pt>
                <pt idx="131">
                  <v>7.337</v>
                </pt>
                <pt idx="132">
                  <v>7.384</v>
                </pt>
                <pt idx="133">
                  <v>7.438</v>
                </pt>
                <pt idx="134">
                  <v>7.437</v>
                </pt>
                <pt idx="135">
                  <v>7.434</v>
                </pt>
                <pt idx="136">
                  <v>7.449</v>
                </pt>
                <pt idx="137">
                  <v>7.44</v>
                </pt>
                <pt idx="138">
                  <v>7.414</v>
                </pt>
                <pt idx="139">
                  <v>7.391</v>
                </pt>
                <pt idx="140">
                  <v>7.367</v>
                </pt>
                <pt idx="141">
                  <v>7.338</v>
                </pt>
                <pt idx="142">
                  <v>7.332</v>
                </pt>
                <pt idx="143">
                  <v>7.32</v>
                </pt>
                <pt idx="144">
                  <v>7.24</v>
                </pt>
                <pt idx="145">
                  <v>7.196</v>
                </pt>
                <pt idx="146">
                  <v>7.242</v>
                </pt>
                <pt idx="147">
                  <v>7.157</v>
                </pt>
                <pt idx="148">
                  <v>7.3</v>
                </pt>
                <pt idx="149">
                  <v>7.348</v>
                </pt>
                <pt idx="150">
                  <v>7.31</v>
                </pt>
                <pt idx="151">
                  <v>7.267</v>
                </pt>
                <pt idx="152">
                  <v>7.289</v>
                </pt>
                <pt idx="153">
                  <v>7.289</v>
                </pt>
                <pt idx="154">
                  <v>7.182</v>
                </pt>
                <pt idx="155">
                  <v>7.242</v>
                </pt>
                <pt idx="156">
                  <v>7.264</v>
                </pt>
                <pt idx="157">
                  <v>7.27</v>
                </pt>
                <pt idx="158">
                  <v>7.281</v>
                </pt>
                <pt idx="159">
                  <v>7.286</v>
                </pt>
                <pt idx="160">
                  <v>7.292</v>
                </pt>
                <pt idx="161">
                  <v>7.217</v>
                </pt>
                <pt idx="162">
                  <v>7.245</v>
                </pt>
                <pt idx="163">
                  <v>7.189</v>
                </pt>
                <pt idx="164">
                  <v>7.215</v>
                </pt>
                <pt idx="165">
                  <v>7.235</v>
                </pt>
                <pt idx="166">
                  <v>7.219</v>
                </pt>
                <pt idx="167">
                  <v>7.181</v>
                </pt>
                <pt idx="168">
                  <v>7.184</v>
                </pt>
                <pt idx="169">
                  <v>7.135</v>
                </pt>
                <pt idx="170">
                  <v>7.169</v>
                </pt>
                <pt idx="171">
                  <v>7.185</v>
                </pt>
                <pt idx="172">
                  <v>7.109</v>
                </pt>
                <pt idx="173">
                  <v>7.155</v>
                </pt>
                <pt idx="174">
                  <v>7.238</v>
                </pt>
                <pt idx="175">
                  <v>7.266</v>
                </pt>
                <pt idx="176">
                  <v>7.279</v>
                </pt>
                <pt idx="177">
                  <v>7.296</v>
                </pt>
                <pt idx="178">
                  <v>7.26</v>
                </pt>
                <pt idx="179">
                  <v>7.233</v>
                </pt>
                <pt idx="180">
                  <v>7.393</v>
                </pt>
                <pt idx="181">
                  <v>7.366</v>
                </pt>
                <pt idx="182">
                  <v>7.297</v>
                </pt>
                <pt idx="183">
                  <v>7.333</v>
                </pt>
                <pt idx="184">
                  <v>7.34</v>
                </pt>
                <pt idx="185">
                  <v>7.393</v>
                </pt>
                <pt idx="186">
                  <v>7.47</v>
                </pt>
                <pt idx="187">
                  <v>7.362</v>
                </pt>
                <pt idx="188">
                  <v>7.454</v>
                </pt>
                <pt idx="189">
                  <v>7.462</v>
                </pt>
                <pt idx="190">
                  <v>7.479</v>
                </pt>
                <pt idx="191">
                  <v>7.429</v>
                </pt>
                <pt idx="192">
                  <v>7.435</v>
                </pt>
                <pt idx="193">
                  <v>7.422</v>
                </pt>
                <pt idx="194">
                  <v>7.47</v>
                </pt>
                <pt idx="195">
                  <v>7.415</v>
                </pt>
                <pt idx="196">
                  <v>7.427</v>
                </pt>
                <pt idx="197">
                  <v>7.45</v>
                </pt>
                <pt idx="198">
                  <v>7.477</v>
                </pt>
                <pt idx="199">
                  <v>7.511</v>
                </pt>
                <pt idx="200">
                  <v>7.511</v>
                </pt>
                <pt idx="201">
                  <v>7.442</v>
                </pt>
                <pt idx="202">
                  <v>7.413</v>
                </pt>
                <pt idx="203">
                  <v>7.418</v>
                </pt>
                <pt idx="204">
                  <v>7.447</v>
                </pt>
                <pt idx="205">
                  <v>7.396</v>
                </pt>
                <pt idx="206">
                  <v>7.404</v>
                </pt>
                <pt idx="207">
                  <v>7.483</v>
                </pt>
                <pt idx="208">
                  <v>7.469</v>
                </pt>
                <pt idx="209">
                  <v>7.437</v>
                </pt>
                <pt idx="210">
                  <v>7.387</v>
                </pt>
                <pt idx="211">
                  <v>7.349</v>
                </pt>
                <pt idx="212">
                  <v>7.307</v>
                </pt>
                <pt idx="213">
                  <v>7.287</v>
                </pt>
                <pt idx="214">
                  <v>7.261</v>
                </pt>
                <pt idx="215">
                  <v>7.274</v>
                </pt>
                <pt idx="216">
                  <v>7.281</v>
                </pt>
                <pt idx="217">
                  <v>7.307</v>
                </pt>
                <pt idx="218">
                  <v>7.32</v>
                </pt>
                <pt idx="219">
                  <v>7.285</v>
                </pt>
                <pt idx="220">
                  <v>7.291</v>
                </pt>
                <pt idx="221">
                  <v>7.25</v>
                </pt>
                <pt idx="222">
                  <v>7.3</v>
                </pt>
                <pt idx="223">
                  <v>7.27</v>
                </pt>
                <pt idx="224">
                  <v>7.27</v>
                </pt>
                <pt idx="225">
                  <v>7.28</v>
                </pt>
                <pt idx="226">
                  <v>7.21</v>
                </pt>
                <pt idx="227">
                  <v>7.22</v>
                </pt>
                <pt idx="228">
                  <v>7.22</v>
                </pt>
                <pt idx="229">
                  <v>7.24</v>
                </pt>
                <pt idx="230">
                  <v>7.26</v>
                </pt>
                <pt idx="231">
                  <v>7.28</v>
                </pt>
                <pt idx="232">
                  <v>7.29</v>
                </pt>
                <pt idx="233">
                  <v>7.29</v>
                </pt>
                <pt idx="234">
                  <v>7.26</v>
                </pt>
                <pt idx="235">
                  <v>7.22</v>
                </pt>
                <pt idx="236">
                  <v>7.26</v>
                </pt>
                <pt idx="237">
                  <v>7.27</v>
                </pt>
                <pt idx="238">
                  <v>7.29</v>
                </pt>
                <pt idx="239">
                  <v>7.29</v>
                </pt>
                <pt idx="240">
                  <v>7.28</v>
                </pt>
                <pt idx="241">
                  <v>7.31</v>
                </pt>
                <pt idx="242">
                  <v>7.31</v>
                </pt>
                <pt idx="243">
                  <v>7.31</v>
                </pt>
                <pt idx="244">
                  <v>7.3</v>
                </pt>
                <pt idx="245">
                  <v>7.31</v>
                </pt>
                <pt idx="246">
                  <v>7.31</v>
                </pt>
                <pt idx="247">
                  <v>7.32</v>
                </pt>
                <pt idx="248">
                  <v>7.34</v>
                </pt>
                <pt idx="249">
                  <v>7.32</v>
                </pt>
                <pt idx="250">
                  <v>7.32</v>
                </pt>
                <pt idx="251">
                  <v>7.32</v>
                </pt>
                <pt idx="252">
                  <v>7.37</v>
                </pt>
                <pt idx="253">
                  <v>7.34</v>
                </pt>
                <pt idx="254">
                  <v>7.31</v>
                </pt>
                <pt idx="255">
                  <v>7.29</v>
                </pt>
                <pt idx="256">
                  <v>7.28</v>
                </pt>
                <pt idx="257">
                  <v>7.29</v>
                </pt>
                <pt idx="258">
                  <v>7.32</v>
                </pt>
                <pt idx="259">
                  <v>7.33</v>
                </pt>
                <pt idx="260">
                  <v>7.32</v>
                </pt>
                <pt idx="261">
                  <v>7.31</v>
                </pt>
                <pt idx="262">
                  <v>7.34</v>
                </pt>
                <pt idx="263">
                  <v>7.35</v>
                </pt>
                <pt idx="264">
                  <v>7.34</v>
                </pt>
                <pt idx="265">
                  <v>7.34</v>
                </pt>
                <pt idx="266">
                  <v>7.38</v>
                </pt>
                <pt idx="267">
                  <v>7.4</v>
                </pt>
                <pt idx="268">
                  <v>7.34</v>
                </pt>
                <pt idx="269">
                  <v>7.27</v>
                </pt>
                <pt idx="270">
                  <v>7.29</v>
                </pt>
                <pt idx="271">
                  <v>7.27</v>
                </pt>
                <pt idx="272">
                  <v>7.32</v>
                </pt>
                <pt idx="273">
                  <v>7.3</v>
                </pt>
                <pt idx="274">
                  <v>7.34</v>
                </pt>
                <pt idx="275">
                  <v>7.34</v>
                </pt>
                <pt idx="276">
                  <v>7.36</v>
                </pt>
                <pt idx="277">
                  <v>7.36</v>
                </pt>
                <pt idx="278">
                  <v>7.37</v>
                </pt>
                <pt idx="279">
                  <v>7.34</v>
                </pt>
                <pt idx="280">
                  <v>7.34</v>
                </pt>
                <pt idx="281">
                  <v>7.38</v>
                </pt>
                <pt idx="282">
                  <v>7.37</v>
                </pt>
                <pt idx="283">
                  <v>7.39</v>
                </pt>
                <pt idx="284">
                  <v>7.42</v>
                </pt>
                <pt idx="285">
                  <v>7.39</v>
                </pt>
                <pt idx="286">
                  <v>7.41</v>
                </pt>
                <pt idx="287">
                  <v>7.44</v>
                </pt>
                <pt idx="288">
                  <v>7.45</v>
                </pt>
                <pt idx="289">
                  <v>7.45</v>
                </pt>
                <pt idx="290">
                  <v>7.43</v>
                </pt>
                <pt idx="291">
                  <v>7.41</v>
                </pt>
                <pt idx="292">
                  <v>7.41</v>
                </pt>
                <pt idx="293">
                  <v>7.45</v>
                </pt>
                <pt idx="294">
                  <v>7.44</v>
                </pt>
                <pt idx="295">
                  <v>7.42</v>
                </pt>
                <pt idx="296">
                  <v>7.36</v>
                </pt>
                <pt idx="297">
                  <v>7.37</v>
                </pt>
                <pt idx="298">
                  <v>7.36</v>
                </pt>
                <pt idx="299">
                  <v>7.35</v>
                </pt>
                <pt idx="300">
                  <v>7.35</v>
                </pt>
                <pt idx="301">
                  <v>7.33</v>
                </pt>
                <pt idx="302">
                  <v>7.35</v>
                </pt>
                <pt idx="303">
                  <v>7.35</v>
                </pt>
                <pt idx="304">
                  <v>7.34</v>
                </pt>
                <pt idx="305">
                  <v>7.31</v>
                </pt>
                <pt idx="306">
                  <v>7.3</v>
                </pt>
                <pt idx="307">
                  <v>7.32</v>
                </pt>
                <pt idx="308">
                  <v>7.29</v>
                </pt>
                <pt idx="309">
                  <v>7.31</v>
                </pt>
                <pt idx="310">
                  <v>7.31</v>
                </pt>
                <pt idx="311">
                  <v>7.27</v>
                </pt>
                <pt idx="312">
                  <v>7.21</v>
                </pt>
                <pt idx="313">
                  <v>7.22</v>
                </pt>
                <pt idx="314">
                  <v>7.22</v>
                </pt>
                <pt idx="315">
                  <v>7.21</v>
                </pt>
                <pt idx="316">
                  <v>7.22</v>
                </pt>
                <pt idx="317">
                  <v>7.24</v>
                </pt>
                <pt idx="318">
                  <v>7.22</v>
                </pt>
                <pt idx="319">
                  <v>7.22</v>
                </pt>
                <pt idx="320">
                  <v>7.22</v>
                </pt>
                <pt idx="321">
                  <v>7.18</v>
                </pt>
                <pt idx="322">
                  <v>7.11</v>
                </pt>
                <pt idx="323">
                  <v>7.11</v>
                </pt>
                <pt idx="324">
                  <v>7.11</v>
                </pt>
                <pt idx="325">
                  <v>7.09</v>
                </pt>
                <pt idx="326">
                  <v>7.11</v>
                </pt>
                <pt idx="327">
                  <v>7.1</v>
                </pt>
                <pt idx="328">
                  <v>7.01</v>
                </pt>
                <pt idx="329">
                  <v>7.01</v>
                </pt>
                <pt idx="330">
                  <v>7.01</v>
                </pt>
                <pt idx="331">
                  <v>7.04</v>
                </pt>
                <pt idx="332">
                  <v>7.04</v>
                </pt>
                <pt idx="333">
                  <v>7.03</v>
                </pt>
                <pt idx="334">
                  <v>7.02</v>
                </pt>
                <pt idx="335">
                  <v>6.99</v>
                </pt>
                <pt idx="336">
                  <v>7</v>
                </pt>
                <pt idx="337">
                  <v>6.96</v>
                </pt>
                <pt idx="338">
                  <v>6.97</v>
                </pt>
                <pt idx="339">
                  <v>6.98</v>
                </pt>
                <pt idx="340">
                  <v>7</v>
                </pt>
                <pt idx="341">
                  <v>6.98</v>
                </pt>
                <pt idx="342">
                  <v>7.01</v>
                </pt>
                <pt idx="343">
                  <v>6.99</v>
                </pt>
                <pt idx="344">
                  <v>7</v>
                </pt>
                <pt idx="345">
                  <v>7</v>
                </pt>
                <pt idx="346">
                  <v>7.02</v>
                </pt>
                <pt idx="347">
                  <v>7.01</v>
                </pt>
                <pt idx="348">
                  <v>6.98</v>
                </pt>
                <pt idx="349">
                  <v>6.97</v>
                </pt>
                <pt idx="350">
                  <v>6.98</v>
                </pt>
                <pt idx="351">
                  <v>6.99</v>
                </pt>
                <pt idx="352">
                  <v>6.97</v>
                </pt>
                <pt idx="353">
                  <v>6.98</v>
                </pt>
                <pt idx="354">
                  <v>7.02</v>
                </pt>
                <pt idx="355">
                  <v>7.03</v>
                </pt>
                <pt idx="356">
                  <v>7.01</v>
                </pt>
                <pt idx="357">
                  <v>7</v>
                </pt>
                <pt idx="358">
                  <v>7.01</v>
                </pt>
                <pt idx="359">
                  <v>7.04</v>
                </pt>
                <pt idx="360">
                  <v>7.03</v>
                </pt>
                <pt idx="361">
                  <v>7.05</v>
                </pt>
                <pt idx="362">
                  <v>7.05</v>
                </pt>
                <pt idx="363">
                  <v>7.06</v>
                </pt>
                <pt idx="364">
                  <v>7.08</v>
                </pt>
                <pt idx="365">
                  <v>7.07</v>
                </pt>
                <pt idx="366">
                  <v>7.06</v>
                </pt>
                <pt idx="367">
                  <v>7.06</v>
                </pt>
                <pt idx="368">
                  <v>7.05</v>
                </pt>
                <pt idx="369">
                  <v>7.11</v>
                </pt>
                <pt idx="370">
                  <v>7.11</v>
                </pt>
                <pt idx="371">
                  <v>7.11</v>
                </pt>
                <pt idx="372">
                  <v>7.1</v>
                </pt>
                <pt idx="373">
                  <v>7.14</v>
                </pt>
                <pt idx="374">
                  <v>7.15</v>
                </pt>
                <pt idx="375">
                  <v>7.14</v>
                </pt>
                <pt idx="376">
                  <v>7.09</v>
                </pt>
                <pt idx="377">
                  <v>7.11</v>
                </pt>
                <pt idx="378">
                  <v>7.07</v>
                </pt>
                <pt idx="379">
                  <v>7.08</v>
                </pt>
                <pt idx="380">
                  <v>7.07</v>
                </pt>
                <pt idx="381">
                  <v>7.05</v>
                </pt>
                <pt idx="382">
                  <v>7.07</v>
                </pt>
                <pt idx="383">
                  <v>7.08</v>
                </pt>
                <pt idx="384">
                  <v>7.08</v>
                </pt>
                <pt idx="385">
                  <v>7.07</v>
                </pt>
                <pt idx="386">
                  <v>7.1</v>
                </pt>
                <pt idx="387">
                  <v>7.09</v>
                </pt>
                <pt idx="388">
                  <v>7.12</v>
                </pt>
                <pt idx="389">
                  <v>7.16</v>
                </pt>
                <pt idx="390">
                  <v>7.17</v>
                </pt>
                <pt idx="391">
                  <v>7.15</v>
                </pt>
                <pt idx="392">
                  <v>7.15</v>
                </pt>
                <pt idx="393">
                  <v>7.19</v>
                </pt>
                <pt idx="394">
                  <v>7.19</v>
                </pt>
                <pt idx="395">
                  <v>7.19</v>
                </pt>
                <pt idx="396">
                  <v>7.16</v>
                </pt>
                <pt idx="397">
                  <v>7.17</v>
                </pt>
                <pt idx="398">
                  <v>7.15</v>
                </pt>
                <pt idx="399">
                  <v>7.19</v>
                </pt>
                <pt idx="400">
                  <v>7.2</v>
                </pt>
                <pt idx="401">
                  <v>7.25</v>
                </pt>
                <pt idx="402">
                  <v>7.21</v>
                </pt>
                <pt idx="403">
                  <v>7.22</v>
                </pt>
                <pt idx="404">
                  <v>7.21</v>
                </pt>
                <pt idx="405">
                  <v>7.19</v>
                </pt>
                <pt idx="406">
                  <v>7.19</v>
                </pt>
                <pt idx="407">
                  <v>7.2</v>
                </pt>
                <pt idx="408">
                  <v>7.17</v>
                </pt>
                <pt idx="409">
                  <v>7.18</v>
                </pt>
                <pt idx="410">
                  <v>7.18</v>
                </pt>
                <pt idx="411">
                  <v>7.18</v>
                </pt>
                <pt idx="412">
                  <v>7.16</v>
                </pt>
                <pt idx="413">
                  <v>7.17</v>
                </pt>
                <pt idx="414">
                  <v>7.2</v>
                </pt>
                <pt idx="415">
                  <v>7.2</v>
                </pt>
                <pt idx="416">
                  <v>7.21</v>
                </pt>
                <pt idx="417">
                  <v>7.17</v>
                </pt>
                <pt idx="418">
                  <v>7.19</v>
                </pt>
                <pt idx="419">
                  <v>7.2</v>
                </pt>
                <pt idx="420">
                  <v>7.2</v>
                </pt>
                <pt idx="421">
                  <v>7.17</v>
                </pt>
                <pt idx="422">
                  <v>7.1</v>
                </pt>
                <pt idx="423">
                  <v>7.15</v>
                </pt>
                <pt idx="424">
                  <v>7.14</v>
                </pt>
                <pt idx="425">
                  <v>7.15</v>
                </pt>
                <pt idx="426">
                  <v>7.13</v>
                </pt>
                <pt idx="427">
                  <v>7.15</v>
                </pt>
                <pt idx="428">
                  <v>7.15</v>
                </pt>
                <pt idx="429">
                  <v>7.14</v>
                </pt>
                <pt idx="430">
                  <v>7.17</v>
                </pt>
                <pt idx="431">
                  <v>7.23</v>
                </pt>
                <pt idx="432">
                  <v>7.21</v>
                </pt>
                <pt idx="433">
                  <v>7.23</v>
                </pt>
                <pt idx="434">
                  <v>7.23</v>
                </pt>
                <pt idx="435">
                  <v>7.21</v>
                </pt>
                <pt idx="436">
                  <v>7.33</v>
                </pt>
                <pt idx="437">
                  <v>7.38</v>
                </pt>
                <pt idx="438">
                  <v>7.35</v>
                </pt>
                <pt idx="439">
                  <v>7.3</v>
                </pt>
                <pt idx="440">
                  <v>7.3</v>
                </pt>
                <pt idx="441">
                  <v>7.32</v>
                </pt>
                <pt idx="442">
                  <v>7.33</v>
                </pt>
                <pt idx="443">
                  <v>7.32</v>
                </pt>
                <pt idx="444">
                  <v>7.35</v>
                </pt>
                <pt idx="445">
                  <v>7.36</v>
                </pt>
                <pt idx="446">
                  <v>7.36</v>
                </pt>
                <pt idx="447">
                  <v>7.38</v>
                </pt>
                <pt idx="448">
                  <v>7.34</v>
                </pt>
                <pt idx="449">
                  <v>7.36</v>
                </pt>
                <pt idx="450">
                  <v>7.35</v>
                </pt>
                <pt idx="451">
                  <v>7.36</v>
                </pt>
                <pt idx="452">
                  <v>7.35</v>
                </pt>
                <pt idx="453">
                  <v>7.35</v>
                </pt>
                <pt idx="454">
                  <v>7.32</v>
                </pt>
                <pt idx="455">
                  <v>7.31</v>
                </pt>
                <pt idx="456">
                  <v>7.3</v>
                </pt>
                <pt idx="457">
                  <v>7.28</v>
                </pt>
                <pt idx="458">
                  <v>7.26</v>
                </pt>
                <pt idx="459">
                  <v>7.26</v>
                </pt>
                <pt idx="460">
                  <v>7.3</v>
                </pt>
                <pt idx="461">
                  <v>7.3</v>
                </pt>
                <pt idx="462">
                  <v>7.28</v>
                </pt>
                <pt idx="463">
                  <v>7.22</v>
                </pt>
                <pt idx="464">
                  <v>7.23</v>
                </pt>
                <pt idx="465">
                  <v>7.21</v>
                </pt>
                <pt idx="466">
                  <v>7.25</v>
                </pt>
                <pt idx="467">
                  <v>7.26</v>
                </pt>
                <pt idx="468">
                  <v>7.24</v>
                </pt>
                <pt idx="469">
                  <v>7.25</v>
                </pt>
                <pt idx="470">
                  <v>7.27</v>
                </pt>
                <pt idx="471">
                  <v>7.27</v>
                </pt>
                <pt idx="472">
                  <v>7.25</v>
                </pt>
                <pt idx="473">
                  <v>7.27</v>
                </pt>
                <pt idx="474">
                  <v>7.29</v>
                </pt>
                <pt idx="475">
                  <v>7.27</v>
                </pt>
                <pt idx="476">
                  <v>7.26</v>
                </pt>
                <pt idx="477">
                  <v>7.24</v>
                </pt>
                <pt idx="478">
                  <v>7.23</v>
                </pt>
                <pt idx="479">
                  <v>7.26</v>
                </pt>
                <pt idx="480">
                  <v>7.28</v>
                </pt>
                <pt idx="481">
                  <v>7.27</v>
                </pt>
                <pt idx="482">
                  <v>7.25</v>
                </pt>
                <pt idx="483">
                  <v>7.19</v>
                </pt>
                <pt idx="484">
                  <v>7.16</v>
                </pt>
                <pt idx="485">
                  <v>7.15</v>
                </pt>
                <pt idx="486">
                  <v>7.17</v>
                </pt>
                <pt idx="487">
                  <v>7.17</v>
                </pt>
                <pt idx="488">
                  <v>7.18</v>
                </pt>
                <pt idx="489">
                  <v>7.18</v>
                </pt>
                <pt idx="490">
                  <v>7.18</v>
                </pt>
                <pt idx="491">
                  <v>7.2</v>
                </pt>
                <pt idx="492">
                  <v>7.2</v>
                </pt>
                <pt idx="493">
                  <v>7.17</v>
                </pt>
                <pt idx="494">
                  <v>7.19</v>
                </pt>
                <pt idx="495">
                  <v>7.2</v>
                </pt>
                <pt idx="496">
                  <v>7.21</v>
                </pt>
                <pt idx="497">
                  <v>7.22</v>
                </pt>
                <pt idx="498">
                  <v>7.23</v>
                </pt>
                <pt idx="499">
                  <v>7.2</v>
                </pt>
                <pt idx="500">
                  <v>7.18</v>
                </pt>
                <pt idx="501">
                  <v>7.17</v>
                </pt>
                <pt idx="502">
                  <v>7.16</v>
                </pt>
                <pt idx="503">
                  <v>7.17</v>
                </pt>
                <pt idx="504">
                  <v>7.14</v>
                </pt>
                <pt idx="505">
                  <v>7.14</v>
                </pt>
                <pt idx="506">
                  <v>7.16</v>
                </pt>
                <pt idx="507">
                  <v>7.17</v>
                </pt>
                <pt idx="508">
                  <v>7.18</v>
                </pt>
                <pt idx="509">
                  <v>7.18</v>
                </pt>
                <pt idx="510">
                  <v>7.17</v>
                </pt>
                <pt idx="511">
                  <v>7.18</v>
                </pt>
                <pt idx="512">
                  <v>7.17</v>
                </pt>
                <pt idx="513">
                  <v>7.17</v>
                </pt>
                <pt idx="514">
                  <v>7.15</v>
                </pt>
                <pt idx="515">
                  <v>7.14</v>
                </pt>
                <pt idx="516">
                  <v>7.06</v>
                </pt>
                <pt idx="517">
                  <v>7.05</v>
                </pt>
                <pt idx="518">
                  <v>7.09</v>
                </pt>
                <pt idx="519">
                  <v>7.08</v>
                </pt>
                <pt idx="520">
                  <v>7.07</v>
                </pt>
                <pt idx="521">
                  <v>7.08</v>
                </pt>
                <pt idx="522">
                  <v>7.11</v>
                </pt>
                <pt idx="523">
                  <v>7.09</v>
                </pt>
                <pt idx="524">
                  <v>7.09</v>
                </pt>
                <pt idx="525">
                  <v>7.11</v>
                </pt>
                <pt idx="526">
                  <v>7.08</v>
                </pt>
                <pt idx="527">
                  <v>7.09</v>
                </pt>
                <pt idx="528">
                  <v>7.09</v>
                </pt>
                <pt idx="529">
                  <v>7.06</v>
                </pt>
                <pt idx="530">
                  <v>7.04</v>
                </pt>
                <pt idx="531">
                  <v>7.06</v>
                </pt>
                <pt idx="532">
                  <v>7.07</v>
                </pt>
                <pt idx="533">
                  <v>7.06</v>
                </pt>
                <pt idx="534">
                  <v>7.06</v>
                </pt>
                <pt idx="535">
                  <v>7.06</v>
                </pt>
                <pt idx="536">
                  <v>7.07</v>
                </pt>
                <pt idx="537">
                  <v>7.06</v>
                </pt>
                <pt idx="538">
                  <v>7.06</v>
                </pt>
                <pt idx="539">
                  <v>7.06</v>
                </pt>
                <pt idx="540">
                  <v>7.05</v>
                </pt>
                <pt idx="541">
                  <v>7.05</v>
                </pt>
                <pt idx="542">
                  <v>7.03</v>
                </pt>
                <pt idx="543">
                  <v>7.01</v>
                </pt>
                <pt idx="544">
                  <v>7.02</v>
                </pt>
                <pt idx="545">
                  <v>7.03</v>
                </pt>
                <pt idx="546">
                  <v>7.04</v>
                </pt>
                <pt idx="547">
                  <v>7.06</v>
                </pt>
                <pt idx="548">
                  <v>7.08</v>
                </pt>
                <pt idx="549">
                  <v>7.09</v>
                </pt>
                <pt idx="550">
                  <v>7.09</v>
                </pt>
                <pt idx="551">
                  <v>7.05</v>
                </pt>
                <pt idx="552">
                  <v>7.08</v>
                </pt>
                <pt idx="553">
                  <v>7.08</v>
                </pt>
                <pt idx="554">
                  <v>7.07</v>
                </pt>
                <pt idx="555">
                  <v>7.05</v>
                </pt>
                <pt idx="556">
                  <v>7.1</v>
                </pt>
                <pt idx="557">
                  <v>7.1</v>
                </pt>
                <pt idx="558">
                  <v>7.09</v>
                </pt>
                <pt idx="559">
                  <v>7.11</v>
                </pt>
                <pt idx="560">
                  <v>7.15</v>
                </pt>
                <pt idx="561">
                  <v>7.11</v>
                </pt>
                <pt idx="562">
                  <v>7.15</v>
                </pt>
                <pt idx="563">
                  <v>7.11</v>
                </pt>
                <pt idx="564">
                  <v>7.17</v>
                </pt>
                <pt idx="565">
                  <v>7.17</v>
                </pt>
                <pt idx="566">
                  <v>7.19</v>
                </pt>
                <pt idx="567">
                  <v>7.18</v>
                </pt>
                <pt idx="568">
                  <v>7.22</v>
                </pt>
                <pt idx="569">
                  <v>7.19</v>
                </pt>
                <pt idx="570">
                  <v>7.16</v>
                </pt>
                <pt idx="571">
                  <v>7.18</v>
                </pt>
                <pt idx="572">
                  <v>7.2</v>
                </pt>
                <pt idx="573">
                  <v>7.19</v>
                </pt>
                <pt idx="574">
                  <v>7.19</v>
                </pt>
                <pt idx="575">
                  <v>7.19</v>
                </pt>
                <pt idx="576">
                  <v>7.16</v>
                </pt>
                <pt idx="577">
                  <v>7.14</v>
                </pt>
                <pt idx="578">
                  <v>7.1</v>
                </pt>
                <pt idx="579">
                  <v>7.12</v>
                </pt>
                <pt idx="580">
                  <v>7.13</v>
                </pt>
                <pt idx="581">
                  <v>7.13</v>
                </pt>
                <pt idx="582">
                  <v>7.12</v>
                </pt>
                <pt idx="583">
                  <v>7.11</v>
                </pt>
                <pt idx="584">
                  <v>7.1</v>
                </pt>
                <pt idx="585">
                  <v>7.08</v>
                </pt>
                <pt idx="586">
                  <v>7.07</v>
                </pt>
                <pt idx="587">
                  <v>7.09</v>
                </pt>
                <pt idx="588">
                  <v>7.07</v>
                </pt>
                <pt idx="589">
                  <v>6.99</v>
                </pt>
                <pt idx="590">
                  <v>6.99</v>
                </pt>
                <pt idx="591">
                  <v>6.98</v>
                </pt>
                <pt idx="592">
                  <v>6.99</v>
                </pt>
                <pt idx="593">
                  <v>6.98</v>
                </pt>
                <pt idx="594">
                  <v>6.99</v>
                </pt>
                <pt idx="595">
                  <v>7</v>
                </pt>
                <pt idx="596">
                  <v>7</v>
                </pt>
                <pt idx="597">
                  <v>6.98</v>
                </pt>
                <pt idx="598">
                  <v>6.94</v>
                </pt>
                <pt idx="599">
                  <v>7.03</v>
                </pt>
                <pt idx="600">
                  <v>7.02</v>
                </pt>
                <pt idx="601">
                  <v>7.01</v>
                </pt>
                <pt idx="602">
                  <v>7.01</v>
                </pt>
                <pt idx="603">
                  <v>7.03</v>
                </pt>
                <pt idx="604">
                  <v>7.01</v>
                </pt>
                <pt idx="605">
                  <v>6.98</v>
                </pt>
                <pt idx="606">
                  <v>6.98</v>
                </pt>
                <pt idx="607">
                  <v>6.98</v>
                </pt>
                <pt idx="608">
                  <v>6.98</v>
                </pt>
                <pt idx="609">
                  <v>6.97</v>
                </pt>
                <pt idx="610">
                  <v>6.97</v>
                </pt>
                <pt idx="611">
                  <v>6.97</v>
                </pt>
                <pt idx="612">
                  <v>6.97</v>
                </pt>
                <pt idx="613">
                  <v>6.98</v>
                </pt>
                <pt idx="614">
                  <v>6.99</v>
                </pt>
                <pt idx="615">
                  <v>7</v>
                </pt>
                <pt idx="616">
                  <v>7</v>
                </pt>
                <pt idx="617">
                  <v>7.01</v>
                </pt>
                <pt idx="618">
                  <v>7</v>
                </pt>
                <pt idx="619">
                  <v>7</v>
                </pt>
                <pt idx="620">
                  <v>6.99</v>
                </pt>
                <pt idx="621">
                  <v>6.99</v>
                </pt>
                <pt idx="622">
                  <v>6.98</v>
                </pt>
                <pt idx="623">
                  <v>6.98</v>
                </pt>
                <pt idx="624">
                  <v>6.97</v>
                </pt>
                <pt idx="625">
                  <v>6.98</v>
                </pt>
                <pt idx="626">
                  <v>6.98</v>
                </pt>
                <pt idx="627">
                  <v>6.98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6.97</v>
                </pt>
                <pt idx="633">
                  <v>6.96</v>
                </pt>
                <pt idx="634">
                  <v>6.95</v>
                </pt>
                <pt idx="635">
                  <v>6.94</v>
                </pt>
                <pt idx="636">
                  <v>6.91</v>
                </pt>
                <pt idx="637">
                  <v>6.93</v>
                </pt>
                <pt idx="638">
                  <v>6.92</v>
                </pt>
                <pt idx="639">
                  <v>6.91</v>
                </pt>
                <pt idx="640">
                  <v>6.9</v>
                </pt>
                <pt idx="641">
                  <v>6.86</v>
                </pt>
                <pt idx="642">
                  <v>6.87</v>
                </pt>
                <pt idx="643">
                  <v>6.86</v>
                </pt>
                <pt idx="644">
                  <v>6.87</v>
                </pt>
                <pt idx="645">
                  <v>6.88</v>
                </pt>
                <pt idx="646">
                  <v>6.879</v>
                </pt>
                <pt idx="647">
                  <v>6.88</v>
                </pt>
                <pt idx="648">
                  <v>6.858</v>
                </pt>
                <pt idx="649">
                  <v>6.867</v>
                </pt>
                <pt idx="650">
                  <v>6.864</v>
                </pt>
                <pt idx="651">
                  <v>6.856</v>
                </pt>
                <pt idx="652">
                  <v>6.853</v>
                </pt>
                <pt idx="653">
                  <v>6.852</v>
                </pt>
                <pt idx="654">
                  <v>6.859</v>
                </pt>
                <pt idx="655">
                  <v>6.851</v>
                </pt>
                <pt idx="656">
                  <v>6.861</v>
                </pt>
                <pt idx="657">
                  <v>6.861</v>
                </pt>
                <pt idx="658">
                  <v>6.864</v>
                </pt>
                <pt idx="659">
                  <v>6.863</v>
                </pt>
                <pt idx="660">
                  <v>6.876</v>
                </pt>
                <pt idx="661">
                  <v>6.87</v>
                </pt>
                <pt idx="662">
                  <v>6.859</v>
                </pt>
                <pt idx="663">
                  <v>6.855</v>
                </pt>
                <pt idx="664">
                  <v>6.854</v>
                </pt>
                <pt idx="665">
                  <v>6.854</v>
                </pt>
                <pt idx="666">
                  <v>6.851</v>
                </pt>
                <pt idx="667">
                  <v>6.83</v>
                </pt>
                <pt idx="668">
                  <v>6.811</v>
                </pt>
                <pt idx="669">
                  <v>6.792</v>
                </pt>
                <pt idx="670">
                  <v>6.762</v>
                </pt>
                <pt idx="671">
                  <v>6.779</v>
                </pt>
                <pt idx="672">
                  <v>6.78</v>
                </pt>
                <pt idx="673">
                  <v>6.758</v>
                </pt>
                <pt idx="674">
                  <v>6.761</v>
                </pt>
                <pt idx="675">
                  <v>6.767</v>
                </pt>
                <pt idx="676">
                  <v>6.761</v>
                </pt>
                <pt idx="677">
                  <v>6.738</v>
                </pt>
                <pt idx="678">
                  <v>6.718</v>
                </pt>
                <pt idx="679">
                  <v>6.759</v>
                </pt>
                <pt idx="680">
                  <v>6.75</v>
                </pt>
                <pt idx="681">
                  <v>6.732</v>
                </pt>
                <pt idx="682">
                  <v>6.777</v>
                </pt>
                <pt idx="683">
                  <v>6.829</v>
                </pt>
                <pt idx="684">
                  <v>6.846</v>
                </pt>
                <pt idx="685">
                  <v>6.806</v>
                </pt>
                <pt idx="686">
                  <v>6.766</v>
                </pt>
                <pt idx="687">
                  <v>6.776</v>
                </pt>
                <pt idx="688">
                  <v>6.788</v>
                </pt>
                <pt idx="689">
                  <v>6.782</v>
                </pt>
                <pt idx="690">
                  <v>6.769</v>
                </pt>
                <pt idx="691">
                  <v>6.773</v>
                </pt>
                <pt idx="692">
                  <v>6.784</v>
                </pt>
                <pt idx="693">
                  <v>6.809</v>
                </pt>
                <pt idx="694">
                  <v>6.837</v>
                </pt>
                <pt idx="695">
                  <v>6.832</v>
                </pt>
                <pt idx="696">
                  <v>6.818</v>
                </pt>
                <pt idx="697">
                  <v>6.822</v>
                </pt>
                <pt idx="698">
                  <v>6.845</v>
                </pt>
                <pt idx="699">
                  <v>6.861</v>
                </pt>
                <pt idx="700">
                  <v>6.847</v>
                </pt>
                <pt idx="701">
                  <v>6.827</v>
                </pt>
                <pt idx="702">
                  <v>6.841</v>
                </pt>
                <pt idx="703">
                  <v>6.841</v>
                </pt>
                <pt idx="704">
                  <v>6.797</v>
                </pt>
                <pt idx="705">
                  <v>6.799</v>
                </pt>
                <pt idx="706">
                  <v>6.798</v>
                </pt>
                <pt idx="707">
                  <v>6.796</v>
                </pt>
                <pt idx="708">
                  <v>6.774</v>
                </pt>
                <pt idx="709">
                  <v>6.785</v>
                </pt>
                <pt idx="710">
                  <v>6.795</v>
                </pt>
                <pt idx="711">
                  <v>6.804</v>
                </pt>
                <pt idx="712">
                  <v>6.827</v>
                </pt>
                <pt idx="713">
                  <v>6.821</v>
                </pt>
                <pt idx="714">
                  <v>6.811</v>
                </pt>
                <pt idx="715">
                  <v>6.831</v>
                </pt>
                <pt idx="716">
                  <v>6.85</v>
                </pt>
                <pt idx="717">
                  <v>6.822</v>
                </pt>
                <pt idx="718">
                  <v>6.827</v>
                </pt>
                <pt idx="719">
                  <v>6.812</v>
                </pt>
                <pt idx="720">
                  <v>6.805</v>
                </pt>
                <pt idx="721">
                  <v>6.751</v>
                </pt>
                <pt idx="722">
                  <v>6.71</v>
                </pt>
                <pt idx="723">
                  <v>6.714</v>
                </pt>
                <pt idx="724">
                  <v>6.686</v>
                </pt>
                <pt idx="725">
                  <v>6.68</v>
                </pt>
                <pt idx="726">
                  <v>6.74</v>
                </pt>
                <pt idx="727">
                  <v>6.717</v>
                </pt>
                <pt idx="728">
                  <v>6.705</v>
                </pt>
                <pt idx="729">
                  <v>6.718</v>
                </pt>
                <pt idx="730">
                  <v>6.736</v>
                </pt>
                <pt idx="731">
                  <v>6.729</v>
                </pt>
                <pt idx="732">
                  <v>6.741</v>
                </pt>
                <pt idx="733">
                  <v>6.759</v>
                </pt>
                <pt idx="734">
                  <v>6.751</v>
                </pt>
                <pt idx="735">
                  <v>6.787</v>
                </pt>
                <pt idx="736">
                  <v>6.791</v>
                </pt>
                <pt idx="737">
                  <v>6.776</v>
                </pt>
                <pt idx="738">
                  <v>6.776</v>
                </pt>
                <pt idx="739">
                  <v>6.784</v>
                </pt>
                <pt idx="740">
                  <v>6.787</v>
                </pt>
                <pt idx="741">
                  <v>6.775</v>
                </pt>
                <pt idx="742">
                  <v>6.759</v>
                </pt>
                <pt idx="743">
                  <v>6.779</v>
                </pt>
                <pt idx="744">
                  <v>6.787</v>
                </pt>
                <pt idx="745">
                  <v>6.779</v>
                </pt>
                <pt idx="746">
                  <v>6.763</v>
                </pt>
                <pt idx="747">
                  <v>6.746</v>
                </pt>
                <pt idx="748">
                  <v>6.767</v>
                </pt>
                <pt idx="749">
                  <v>6.764</v>
                </pt>
                <pt idx="750">
                  <v>6.769</v>
                </pt>
                <pt idx="751">
                  <v>6.843</v>
                </pt>
                <pt idx="752">
                  <v>6.829</v>
                </pt>
                <pt idx="753">
                  <v>6.813</v>
                </pt>
                <pt idx="754">
                  <v>6.754</v>
                </pt>
                <pt idx="755">
                  <v>6.774</v>
                </pt>
                <pt idx="756">
                  <v>6.763</v>
                </pt>
                <pt idx="757">
                  <v>6.734</v>
                </pt>
                <pt idx="758">
                  <v>6.719</v>
                </pt>
                <pt idx="759">
                  <v>6.736</v>
                </pt>
                <pt idx="760">
                  <v>6.72</v>
                </pt>
                <pt idx="761">
                  <v>6.675</v>
                </pt>
                <pt idx="762">
                  <v>6.681</v>
                </pt>
                <pt idx="763">
                  <v>6.683</v>
                </pt>
                <pt idx="764">
                  <v>6.678</v>
                </pt>
                <pt idx="765">
                  <v>6.694</v>
                </pt>
                <pt idx="766">
                  <v>6.694</v>
                </pt>
                <pt idx="767">
                  <v>6.67</v>
                </pt>
                <pt idx="768">
                  <v>6.672</v>
                </pt>
                <pt idx="769">
                  <v>6.664</v>
                </pt>
                <pt idx="770">
                  <v>6.657</v>
                </pt>
                <pt idx="771">
                  <v>6.699</v>
                </pt>
                <pt idx="772">
                  <v>6.713</v>
                </pt>
                <pt idx="773">
                  <v>6.697</v>
                </pt>
                <pt idx="774">
                  <v>6.697</v>
                </pt>
                <pt idx="775">
                  <v>6.712</v>
                </pt>
                <pt idx="776">
                  <v>6.705</v>
                </pt>
                <pt idx="777">
                  <v>6.692</v>
                </pt>
                <pt idx="778">
                  <v>6.682</v>
                </pt>
                <pt idx="779">
                  <v>6.682</v>
                </pt>
                <pt idx="780">
                  <v>6.703</v>
                </pt>
                <pt idx="781">
                  <v>6.708</v>
                </pt>
                <pt idx="782">
                  <v>6.7</v>
                </pt>
                <pt idx="783">
                  <v>6.706</v>
                </pt>
                <pt idx="784">
                  <v>6.71</v>
                </pt>
                <pt idx="785">
                  <v>6.72</v>
                </pt>
                <pt idx="786">
                  <v>6.73</v>
                </pt>
                <pt idx="787">
                  <v>6.74</v>
                </pt>
                <pt idx="788">
                  <v>6.71</v>
                </pt>
                <pt idx="789">
                  <v>6.68</v>
                </pt>
                <pt idx="790">
                  <v>6.68</v>
                </pt>
                <pt idx="791">
                  <v>6.7</v>
                </pt>
                <pt idx="792">
                  <v>6.69</v>
                </pt>
                <pt idx="793">
                  <v>6.68</v>
                </pt>
                <pt idx="794">
                  <v>6.69</v>
                </pt>
                <pt idx="795">
                  <v>6.69</v>
                </pt>
                <pt idx="796">
                  <v>6.67</v>
                </pt>
                <pt idx="797">
                  <v>6.66</v>
                </pt>
                <pt idx="798">
                  <v>6.64</v>
                </pt>
                <pt idx="799">
                  <v>6.62</v>
                </pt>
                <pt idx="800">
                  <v>6.62</v>
                </pt>
                <pt idx="801">
                  <v>6.63</v>
                </pt>
                <pt idx="802">
                  <v>6.6</v>
                </pt>
                <pt idx="803">
                  <v>6.59</v>
                </pt>
                <pt idx="804">
                  <v>6.58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285582464"/>
        <axId val="285584000"/>
      </barChart>
      <lineChart>
        <grouping val="standard"/>
        <varyColors val="0"/>
        <ser>
          <idx val="1"/>
          <order val="1"/>
          <tx>
            <strRef>
              <f>'EVI 2025 Workings'!$P$1</f>
              <strCache>
                <ptCount val="1"/>
                <pt idx="0">
                  <v>US 10yr Bond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'EVI 2025 Workings'!$B$2:$B$806</f>
              <numCache>
                <formatCode>m/d/yyyy</formatCode>
                <ptCount val="805"/>
                <pt idx="0">
                  <v>44564</v>
                </pt>
                <pt idx="1">
                  <v>44565</v>
                </pt>
                <pt idx="2">
                  <v>44566</v>
                </pt>
                <pt idx="3">
                  <v>44567</v>
                </pt>
                <pt idx="4">
                  <v>44568</v>
                </pt>
                <pt idx="5">
                  <v>44571</v>
                </pt>
                <pt idx="6">
                  <v>44572</v>
                </pt>
                <pt idx="7">
                  <v>44573</v>
                </pt>
                <pt idx="8">
                  <v>44574</v>
                </pt>
                <pt idx="9">
                  <v>44575</v>
                </pt>
                <pt idx="10">
                  <v>44578</v>
                </pt>
                <pt idx="11">
                  <v>44579</v>
                </pt>
                <pt idx="12">
                  <v>44580</v>
                </pt>
                <pt idx="13">
                  <v>44581</v>
                </pt>
                <pt idx="14">
                  <v>44582</v>
                </pt>
                <pt idx="15">
                  <v>44585</v>
                </pt>
                <pt idx="16">
                  <v>44586</v>
                </pt>
                <pt idx="17">
                  <v>44588</v>
                </pt>
                <pt idx="18">
                  <v>44589</v>
                </pt>
                <pt idx="19">
                  <v>44592</v>
                </pt>
                <pt idx="20">
                  <v>44593</v>
                </pt>
                <pt idx="21">
                  <v>44594</v>
                </pt>
                <pt idx="22">
                  <v>44595</v>
                </pt>
                <pt idx="23">
                  <v>44596</v>
                </pt>
                <pt idx="24">
                  <v>44599</v>
                </pt>
                <pt idx="25">
                  <v>44600</v>
                </pt>
                <pt idx="26">
                  <v>44601</v>
                </pt>
                <pt idx="27">
                  <v>44602</v>
                </pt>
                <pt idx="28">
                  <v>44603</v>
                </pt>
                <pt idx="29">
                  <v>44606</v>
                </pt>
                <pt idx="30">
                  <v>44607</v>
                </pt>
                <pt idx="31">
                  <v>44608</v>
                </pt>
                <pt idx="32">
                  <v>44609</v>
                </pt>
                <pt idx="33">
                  <v>44610</v>
                </pt>
                <pt idx="34">
                  <v>44613</v>
                </pt>
                <pt idx="35">
                  <v>44614</v>
                </pt>
                <pt idx="36">
                  <v>44615</v>
                </pt>
                <pt idx="37">
                  <v>44616</v>
                </pt>
                <pt idx="38">
                  <v>44617</v>
                </pt>
                <pt idx="39">
                  <v>44620</v>
                </pt>
                <pt idx="40">
                  <v>44622</v>
                </pt>
                <pt idx="41">
                  <v>44623</v>
                </pt>
                <pt idx="42">
                  <v>44624</v>
                </pt>
                <pt idx="43">
                  <v>44627</v>
                </pt>
                <pt idx="44">
                  <v>44628</v>
                </pt>
                <pt idx="45">
                  <v>44629</v>
                </pt>
                <pt idx="46">
                  <v>44630</v>
                </pt>
                <pt idx="47">
                  <v>44631</v>
                </pt>
                <pt idx="48">
                  <v>44634</v>
                </pt>
                <pt idx="49">
                  <v>44635</v>
                </pt>
                <pt idx="50">
                  <v>44636</v>
                </pt>
                <pt idx="51">
                  <v>44637</v>
                </pt>
                <pt idx="52">
                  <v>44641</v>
                </pt>
                <pt idx="53">
                  <v>44642</v>
                </pt>
                <pt idx="54">
                  <v>44643</v>
                </pt>
                <pt idx="55">
                  <v>44644</v>
                </pt>
                <pt idx="56">
                  <v>44645</v>
                </pt>
                <pt idx="57">
                  <v>44648</v>
                </pt>
                <pt idx="58">
                  <v>44649</v>
                </pt>
                <pt idx="59">
                  <v>44650</v>
                </pt>
                <pt idx="60">
                  <v>44651</v>
                </pt>
                <pt idx="61">
                  <v>44652</v>
                </pt>
                <pt idx="62">
                  <v>44655</v>
                </pt>
                <pt idx="63">
                  <v>44656</v>
                </pt>
                <pt idx="64">
                  <v>44657</v>
                </pt>
                <pt idx="65">
                  <v>44658</v>
                </pt>
                <pt idx="66">
                  <v>44659</v>
                </pt>
                <pt idx="67">
                  <v>44662</v>
                </pt>
                <pt idx="68">
                  <v>44663</v>
                </pt>
                <pt idx="69">
                  <v>44664</v>
                </pt>
                <pt idx="70">
                  <v>44669</v>
                </pt>
                <pt idx="71">
                  <v>44670</v>
                </pt>
                <pt idx="72">
                  <v>44671</v>
                </pt>
                <pt idx="73">
                  <v>44672</v>
                </pt>
                <pt idx="74">
                  <v>44673</v>
                </pt>
                <pt idx="75">
                  <v>44676</v>
                </pt>
                <pt idx="76">
                  <v>44677</v>
                </pt>
                <pt idx="77">
                  <v>44678</v>
                </pt>
                <pt idx="78">
                  <v>44679</v>
                </pt>
                <pt idx="79">
                  <v>44680</v>
                </pt>
                <pt idx="80">
                  <v>44683</v>
                </pt>
                <pt idx="81">
                  <v>44685</v>
                </pt>
                <pt idx="82">
                  <v>44686</v>
                </pt>
                <pt idx="83">
                  <v>44687</v>
                </pt>
                <pt idx="84">
                  <v>44690</v>
                </pt>
                <pt idx="85">
                  <v>44691</v>
                </pt>
                <pt idx="86">
                  <v>44692</v>
                </pt>
                <pt idx="87">
                  <v>44693</v>
                </pt>
                <pt idx="88">
                  <v>44694</v>
                </pt>
                <pt idx="89">
                  <v>44697</v>
                </pt>
                <pt idx="90">
                  <v>44698</v>
                </pt>
                <pt idx="91">
                  <v>44699</v>
                </pt>
                <pt idx="92">
                  <v>44700</v>
                </pt>
                <pt idx="93">
                  <v>44701</v>
                </pt>
                <pt idx="94">
                  <v>44704</v>
                </pt>
                <pt idx="95">
                  <v>44705</v>
                </pt>
                <pt idx="96">
                  <v>44706</v>
                </pt>
                <pt idx="97">
                  <v>44707</v>
                </pt>
                <pt idx="98">
                  <v>44708</v>
                </pt>
                <pt idx="99">
                  <v>44711</v>
                </pt>
                <pt idx="100">
                  <v>44712</v>
                </pt>
                <pt idx="101">
                  <v>44713</v>
                </pt>
                <pt idx="102">
                  <v>44714</v>
                </pt>
                <pt idx="103">
                  <v>44715</v>
                </pt>
                <pt idx="104">
                  <v>44718</v>
                </pt>
                <pt idx="105">
                  <v>44719</v>
                </pt>
                <pt idx="106">
                  <v>44720</v>
                </pt>
                <pt idx="107">
                  <v>44721</v>
                </pt>
                <pt idx="108">
                  <v>44722</v>
                </pt>
                <pt idx="109">
                  <v>44725</v>
                </pt>
                <pt idx="110">
                  <v>44726</v>
                </pt>
                <pt idx="111">
                  <v>44727</v>
                </pt>
                <pt idx="112">
                  <v>44728</v>
                </pt>
                <pt idx="113">
                  <v>44729</v>
                </pt>
                <pt idx="114">
                  <v>44732</v>
                </pt>
                <pt idx="115">
                  <v>44733</v>
                </pt>
                <pt idx="116">
                  <v>44734</v>
                </pt>
                <pt idx="117">
                  <v>44735</v>
                </pt>
                <pt idx="118">
                  <v>44736</v>
                </pt>
                <pt idx="119">
                  <v>44739</v>
                </pt>
                <pt idx="120">
                  <v>44740</v>
                </pt>
                <pt idx="121">
                  <v>44741</v>
                </pt>
                <pt idx="122">
                  <v>44742</v>
                </pt>
                <pt idx="123">
                  <v>44743</v>
                </pt>
                <pt idx="124">
                  <v>44746</v>
                </pt>
                <pt idx="125">
                  <v>44747</v>
                </pt>
                <pt idx="126">
                  <v>44748</v>
                </pt>
                <pt idx="127">
                  <v>44749</v>
                </pt>
                <pt idx="128">
                  <v>44750</v>
                </pt>
                <pt idx="129">
                  <v>44753</v>
                </pt>
                <pt idx="130">
                  <v>44754</v>
                </pt>
                <pt idx="131">
                  <v>44755</v>
                </pt>
                <pt idx="132">
                  <v>44756</v>
                </pt>
                <pt idx="133">
                  <v>44757</v>
                </pt>
                <pt idx="134">
                  <v>44760</v>
                </pt>
                <pt idx="135">
                  <v>44761</v>
                </pt>
                <pt idx="136">
                  <v>44762</v>
                </pt>
                <pt idx="137">
                  <v>44763</v>
                </pt>
                <pt idx="138">
                  <v>44764</v>
                </pt>
                <pt idx="139">
                  <v>44767</v>
                </pt>
                <pt idx="140">
                  <v>44768</v>
                </pt>
                <pt idx="141">
                  <v>44769</v>
                </pt>
                <pt idx="142">
                  <v>44770</v>
                </pt>
                <pt idx="143">
                  <v>44771</v>
                </pt>
                <pt idx="144">
                  <v>44774</v>
                </pt>
                <pt idx="145">
                  <v>44775</v>
                </pt>
                <pt idx="146">
                  <v>44776</v>
                </pt>
                <pt idx="147">
                  <v>44777</v>
                </pt>
                <pt idx="148">
                  <v>44778</v>
                </pt>
                <pt idx="149">
                  <v>44781</v>
                </pt>
                <pt idx="150">
                  <v>44783</v>
                </pt>
                <pt idx="151">
                  <v>44784</v>
                </pt>
                <pt idx="152">
                  <v>44785</v>
                </pt>
                <pt idx="153">
                  <v>44789</v>
                </pt>
                <pt idx="154">
                  <v>44790</v>
                </pt>
                <pt idx="155">
                  <v>44791</v>
                </pt>
                <pt idx="156">
                  <v>44792</v>
                </pt>
                <pt idx="157">
                  <v>44795</v>
                </pt>
                <pt idx="158">
                  <v>44796</v>
                </pt>
                <pt idx="159">
                  <v>44797</v>
                </pt>
                <pt idx="160">
                  <v>44798</v>
                </pt>
                <pt idx="161">
                  <v>44799</v>
                </pt>
                <pt idx="162">
                  <v>44802</v>
                </pt>
                <pt idx="163">
                  <v>44803</v>
                </pt>
                <pt idx="164">
                  <v>44805</v>
                </pt>
                <pt idx="165">
                  <v>44806</v>
                </pt>
                <pt idx="166">
                  <v>44809</v>
                </pt>
                <pt idx="167">
                  <v>44810</v>
                </pt>
                <pt idx="168">
                  <v>44811</v>
                </pt>
                <pt idx="169">
                  <v>44812</v>
                </pt>
                <pt idx="170">
                  <v>44813</v>
                </pt>
                <pt idx="171">
                  <v>44816</v>
                </pt>
                <pt idx="172">
                  <v>44817</v>
                </pt>
                <pt idx="173">
                  <v>44818</v>
                </pt>
                <pt idx="174">
                  <v>44819</v>
                </pt>
                <pt idx="175">
                  <v>44820</v>
                </pt>
                <pt idx="176">
                  <v>44823</v>
                </pt>
                <pt idx="177">
                  <v>44824</v>
                </pt>
                <pt idx="178">
                  <v>44825</v>
                </pt>
                <pt idx="179">
                  <v>44826</v>
                </pt>
                <pt idx="180">
                  <v>44827</v>
                </pt>
                <pt idx="181">
                  <v>44830</v>
                </pt>
                <pt idx="182">
                  <v>44831</v>
                </pt>
                <pt idx="183">
                  <v>44832</v>
                </pt>
                <pt idx="184">
                  <v>44833</v>
                </pt>
                <pt idx="185">
                  <v>44834</v>
                </pt>
                <pt idx="186">
                  <v>44837</v>
                </pt>
                <pt idx="187">
                  <v>44838</v>
                </pt>
                <pt idx="188">
                  <v>44840</v>
                </pt>
                <pt idx="189">
                  <v>44841</v>
                </pt>
                <pt idx="190">
                  <v>44844</v>
                </pt>
                <pt idx="191">
                  <v>44845</v>
                </pt>
                <pt idx="192">
                  <v>44846</v>
                </pt>
                <pt idx="193">
                  <v>44847</v>
                </pt>
                <pt idx="194">
                  <v>44848</v>
                </pt>
                <pt idx="195">
                  <v>44851</v>
                </pt>
                <pt idx="196">
                  <v>44852</v>
                </pt>
                <pt idx="197">
                  <v>44853</v>
                </pt>
                <pt idx="198">
                  <v>44854</v>
                </pt>
                <pt idx="199">
                  <v>44855</v>
                </pt>
                <pt idx="200">
                  <v>44858</v>
                </pt>
                <pt idx="201">
                  <v>44859</v>
                </pt>
                <pt idx="202">
                  <v>44861</v>
                </pt>
                <pt idx="203">
                  <v>44862</v>
                </pt>
                <pt idx="204">
                  <v>44865</v>
                </pt>
                <pt idx="205">
                  <v>44866</v>
                </pt>
                <pt idx="206">
                  <v>44867</v>
                </pt>
                <pt idx="207">
                  <v>44868</v>
                </pt>
                <pt idx="208">
                  <v>44869</v>
                </pt>
                <pt idx="209">
                  <v>44872</v>
                </pt>
                <pt idx="210">
                  <v>44874</v>
                </pt>
                <pt idx="211">
                  <v>44875</v>
                </pt>
                <pt idx="212">
                  <v>44876</v>
                </pt>
                <pt idx="213">
                  <v>44879</v>
                </pt>
                <pt idx="214">
                  <v>44880</v>
                </pt>
                <pt idx="215">
                  <v>44881</v>
                </pt>
                <pt idx="216">
                  <v>44882</v>
                </pt>
                <pt idx="217">
                  <v>44883</v>
                </pt>
                <pt idx="218">
                  <v>44886</v>
                </pt>
                <pt idx="219">
                  <v>44887</v>
                </pt>
                <pt idx="220">
                  <v>44888</v>
                </pt>
                <pt idx="221">
                  <v>44889</v>
                </pt>
                <pt idx="222">
                  <v>44890</v>
                </pt>
                <pt idx="223">
                  <v>44893</v>
                </pt>
                <pt idx="224">
                  <v>44894</v>
                </pt>
                <pt idx="225">
                  <v>44895</v>
                </pt>
                <pt idx="226">
                  <v>44896</v>
                </pt>
                <pt idx="227">
                  <v>44897</v>
                </pt>
                <pt idx="228">
                  <v>44900</v>
                </pt>
                <pt idx="229">
                  <v>44901</v>
                </pt>
                <pt idx="230">
                  <v>44902</v>
                </pt>
                <pt idx="231">
                  <v>44903</v>
                </pt>
                <pt idx="232">
                  <v>44904</v>
                </pt>
                <pt idx="233">
                  <v>44907</v>
                </pt>
                <pt idx="234">
                  <v>44908</v>
                </pt>
                <pt idx="235">
                  <v>44909</v>
                </pt>
                <pt idx="236">
                  <v>44910</v>
                </pt>
                <pt idx="237">
                  <v>44911</v>
                </pt>
                <pt idx="238">
                  <v>44914</v>
                </pt>
                <pt idx="239">
                  <v>44915</v>
                </pt>
                <pt idx="240">
                  <v>44916</v>
                </pt>
                <pt idx="241">
                  <v>44917</v>
                </pt>
                <pt idx="242">
                  <v>44918</v>
                </pt>
                <pt idx="243">
                  <v>44921</v>
                </pt>
                <pt idx="244">
                  <v>44922</v>
                </pt>
                <pt idx="245">
                  <v>44923</v>
                </pt>
                <pt idx="246">
                  <v>44924</v>
                </pt>
                <pt idx="247">
                  <v>44925</v>
                </pt>
                <pt idx="248">
                  <v>44928</v>
                </pt>
                <pt idx="249">
                  <v>44929</v>
                </pt>
                <pt idx="250">
                  <v>44930</v>
                </pt>
                <pt idx="251">
                  <v>44931</v>
                </pt>
                <pt idx="252">
                  <v>44932</v>
                </pt>
                <pt idx="253">
                  <v>44935</v>
                </pt>
                <pt idx="254">
                  <v>44936</v>
                </pt>
                <pt idx="255">
                  <v>44937</v>
                </pt>
                <pt idx="256">
                  <v>44938</v>
                </pt>
                <pt idx="257">
                  <v>44939</v>
                </pt>
                <pt idx="258">
                  <v>44942</v>
                </pt>
                <pt idx="259">
                  <v>44943</v>
                </pt>
                <pt idx="260">
                  <v>44944</v>
                </pt>
                <pt idx="261">
                  <v>44945</v>
                </pt>
                <pt idx="262">
                  <v>44946</v>
                </pt>
                <pt idx="263">
                  <v>44949</v>
                </pt>
                <pt idx="264">
                  <v>44950</v>
                </pt>
                <pt idx="265">
                  <v>44951</v>
                </pt>
                <pt idx="266">
                  <v>44953</v>
                </pt>
                <pt idx="267">
                  <v>44956</v>
                </pt>
                <pt idx="268">
                  <v>44957</v>
                </pt>
                <pt idx="269">
                  <v>44958</v>
                </pt>
                <pt idx="270">
                  <v>44959</v>
                </pt>
                <pt idx="271">
                  <v>44960</v>
                </pt>
                <pt idx="272">
                  <v>44963</v>
                </pt>
                <pt idx="273">
                  <v>44964</v>
                </pt>
                <pt idx="274">
                  <v>44965</v>
                </pt>
                <pt idx="275">
                  <v>44966</v>
                </pt>
                <pt idx="276">
                  <v>44967</v>
                </pt>
                <pt idx="277">
                  <v>44970</v>
                </pt>
                <pt idx="278">
                  <v>44971</v>
                </pt>
                <pt idx="279">
                  <v>44972</v>
                </pt>
                <pt idx="280">
                  <v>44973</v>
                </pt>
                <pt idx="281">
                  <v>44974</v>
                </pt>
                <pt idx="282">
                  <v>44977</v>
                </pt>
                <pt idx="283">
                  <v>44978</v>
                </pt>
                <pt idx="284">
                  <v>44979</v>
                </pt>
                <pt idx="285">
                  <v>44980</v>
                </pt>
                <pt idx="286">
                  <v>44981</v>
                </pt>
                <pt idx="287">
                  <v>44984</v>
                </pt>
                <pt idx="288">
                  <v>44985</v>
                </pt>
                <pt idx="289">
                  <v>44986</v>
                </pt>
                <pt idx="290">
                  <v>44987</v>
                </pt>
                <pt idx="291">
                  <v>44988</v>
                </pt>
                <pt idx="292">
                  <v>44991</v>
                </pt>
                <pt idx="293">
                  <v>44993</v>
                </pt>
                <pt idx="294">
                  <v>44994</v>
                </pt>
                <pt idx="295">
                  <v>44995</v>
                </pt>
                <pt idx="296">
                  <v>44998</v>
                </pt>
                <pt idx="297">
                  <v>44999</v>
                </pt>
                <pt idx="298">
                  <v>45000</v>
                </pt>
                <pt idx="299">
                  <v>45001</v>
                </pt>
                <pt idx="300">
                  <v>45002</v>
                </pt>
                <pt idx="301">
                  <v>45005</v>
                </pt>
                <pt idx="302">
                  <v>45006</v>
                </pt>
                <pt idx="303">
                  <v>45007</v>
                </pt>
                <pt idx="304">
                  <v>45008</v>
                </pt>
                <pt idx="305">
                  <v>45009</v>
                </pt>
                <pt idx="306">
                  <v>45012</v>
                </pt>
                <pt idx="307">
                  <v>45013</v>
                </pt>
                <pt idx="308">
                  <v>45014</v>
                </pt>
                <pt idx="309">
                  <v>45016</v>
                </pt>
                <pt idx="310">
                  <v>45019</v>
                </pt>
                <pt idx="311">
                  <v>45021</v>
                </pt>
                <pt idx="312">
                  <v>45022</v>
                </pt>
                <pt idx="313">
                  <v>45026</v>
                </pt>
                <pt idx="314">
                  <v>45027</v>
                </pt>
                <pt idx="315">
                  <v>45028</v>
                </pt>
                <pt idx="316">
                  <v>45029</v>
                </pt>
                <pt idx="317">
                  <v>45033</v>
                </pt>
                <pt idx="318">
                  <v>45034</v>
                </pt>
                <pt idx="319">
                  <v>45035</v>
                </pt>
                <pt idx="320">
                  <v>45036</v>
                </pt>
                <pt idx="321">
                  <v>45037</v>
                </pt>
                <pt idx="322">
                  <v>45040</v>
                </pt>
                <pt idx="323">
                  <v>45041</v>
                </pt>
                <pt idx="324">
                  <v>45042</v>
                </pt>
                <pt idx="325">
                  <v>45043</v>
                </pt>
                <pt idx="326">
                  <v>45044</v>
                </pt>
                <pt idx="327">
                  <v>45048</v>
                </pt>
                <pt idx="328">
                  <v>45049</v>
                </pt>
                <pt idx="329">
                  <v>45050</v>
                </pt>
                <pt idx="330">
                  <v>45051</v>
                </pt>
                <pt idx="331">
                  <v>45054</v>
                </pt>
                <pt idx="332">
                  <v>45055</v>
                </pt>
                <pt idx="333">
                  <v>45056</v>
                </pt>
                <pt idx="334">
                  <v>45057</v>
                </pt>
                <pt idx="335">
                  <v>45058</v>
                </pt>
                <pt idx="336">
                  <v>45061</v>
                </pt>
                <pt idx="337">
                  <v>45062</v>
                </pt>
                <pt idx="338">
                  <v>45063</v>
                </pt>
                <pt idx="339">
                  <v>45064</v>
                </pt>
                <pt idx="340">
                  <v>45065</v>
                </pt>
                <pt idx="341">
                  <v>45068</v>
                </pt>
                <pt idx="342">
                  <v>45069</v>
                </pt>
                <pt idx="343">
                  <v>45070</v>
                </pt>
                <pt idx="344">
                  <v>45071</v>
                </pt>
                <pt idx="345">
                  <v>45072</v>
                </pt>
                <pt idx="346">
                  <v>45075</v>
                </pt>
                <pt idx="347">
                  <v>45076</v>
                </pt>
                <pt idx="348">
                  <v>45077</v>
                </pt>
                <pt idx="349">
                  <v>45078</v>
                </pt>
                <pt idx="350">
                  <v>45079</v>
                </pt>
                <pt idx="351">
                  <v>45082</v>
                </pt>
                <pt idx="352">
                  <v>45083</v>
                </pt>
                <pt idx="353">
                  <v>45084</v>
                </pt>
                <pt idx="354">
                  <v>45085</v>
                </pt>
                <pt idx="355">
                  <v>45086</v>
                </pt>
                <pt idx="356">
                  <v>45089</v>
                </pt>
                <pt idx="357">
                  <v>45090</v>
                </pt>
                <pt idx="358">
                  <v>45091</v>
                </pt>
                <pt idx="359">
                  <v>45092</v>
                </pt>
                <pt idx="360">
                  <v>45093</v>
                </pt>
                <pt idx="361">
                  <v>45096</v>
                </pt>
                <pt idx="362">
                  <v>45097</v>
                </pt>
                <pt idx="363">
                  <v>45098</v>
                </pt>
                <pt idx="364">
                  <v>45099</v>
                </pt>
                <pt idx="365">
                  <v>45100</v>
                </pt>
                <pt idx="366">
                  <v>45103</v>
                </pt>
                <pt idx="367">
                  <v>45104</v>
                </pt>
                <pt idx="368">
                  <v>45105</v>
                </pt>
                <pt idx="369">
                  <v>45107</v>
                </pt>
                <pt idx="370">
                  <v>45110</v>
                </pt>
                <pt idx="371">
                  <v>45111</v>
                </pt>
                <pt idx="372">
                  <v>45112</v>
                </pt>
                <pt idx="373">
                  <v>45113</v>
                </pt>
                <pt idx="374">
                  <v>45114</v>
                </pt>
                <pt idx="375">
                  <v>45117</v>
                </pt>
                <pt idx="376">
                  <v>45118</v>
                </pt>
                <pt idx="377">
                  <v>45119</v>
                </pt>
                <pt idx="378">
                  <v>45120</v>
                </pt>
                <pt idx="379">
                  <v>45121</v>
                </pt>
                <pt idx="380">
                  <v>45124</v>
                </pt>
                <pt idx="381">
                  <v>45125</v>
                </pt>
                <pt idx="382">
                  <v>45126</v>
                </pt>
                <pt idx="383">
                  <v>45127</v>
                </pt>
                <pt idx="384">
                  <v>45128</v>
                </pt>
                <pt idx="385">
                  <v>45131</v>
                </pt>
                <pt idx="386">
                  <v>45132</v>
                </pt>
                <pt idx="387">
                  <v>45133</v>
                </pt>
                <pt idx="388">
                  <v>45134</v>
                </pt>
                <pt idx="389">
                  <v>45135</v>
                </pt>
                <pt idx="390">
                  <v>45138</v>
                </pt>
                <pt idx="391">
                  <v>45139</v>
                </pt>
                <pt idx="392">
                  <v>45140</v>
                </pt>
                <pt idx="393">
                  <v>45141</v>
                </pt>
                <pt idx="394">
                  <v>45142</v>
                </pt>
                <pt idx="395">
                  <v>45145</v>
                </pt>
                <pt idx="396">
                  <v>45146</v>
                </pt>
                <pt idx="397">
                  <v>45147</v>
                </pt>
                <pt idx="398">
                  <v>45148</v>
                </pt>
                <pt idx="399">
                  <v>45149</v>
                </pt>
                <pt idx="400">
                  <v>45152</v>
                </pt>
                <pt idx="401">
                  <v>45154</v>
                </pt>
                <pt idx="402">
                  <v>45155</v>
                </pt>
                <pt idx="403">
                  <v>45156</v>
                </pt>
                <pt idx="404">
                  <v>45159</v>
                </pt>
                <pt idx="405">
                  <v>45160</v>
                </pt>
                <pt idx="406">
                  <v>45161</v>
                </pt>
                <pt idx="407">
                  <v>45162</v>
                </pt>
                <pt idx="408">
                  <v>45163</v>
                </pt>
                <pt idx="409">
                  <v>45166</v>
                </pt>
                <pt idx="410">
                  <v>45167</v>
                </pt>
                <pt idx="411">
                  <v>45168</v>
                </pt>
                <pt idx="412">
                  <v>45169</v>
                </pt>
                <pt idx="413">
                  <v>45170</v>
                </pt>
                <pt idx="414">
                  <v>45173</v>
                </pt>
                <pt idx="415">
                  <v>45174</v>
                </pt>
                <pt idx="416">
                  <v>45175</v>
                </pt>
                <pt idx="417">
                  <v>45176</v>
                </pt>
                <pt idx="418">
                  <v>45177</v>
                </pt>
                <pt idx="419">
                  <v>45180</v>
                </pt>
                <pt idx="420">
                  <v>45181</v>
                </pt>
                <pt idx="421">
                  <v>45182</v>
                </pt>
                <pt idx="422">
                  <v>45183</v>
                </pt>
                <pt idx="423">
                  <v>45184</v>
                </pt>
                <pt idx="424">
                  <v>45187</v>
                </pt>
                <pt idx="425">
                  <v>45189</v>
                </pt>
                <pt idx="426">
                  <v>45190</v>
                </pt>
                <pt idx="427">
                  <v>45191</v>
                </pt>
                <pt idx="428">
                  <v>45194</v>
                </pt>
                <pt idx="429">
                  <v>45195</v>
                </pt>
                <pt idx="430">
                  <v>45196</v>
                </pt>
                <pt idx="431">
                  <v>45197</v>
                </pt>
                <pt idx="432">
                  <v>45198</v>
                </pt>
                <pt idx="433">
                  <v>45202</v>
                </pt>
                <pt idx="434">
                  <v>45203</v>
                </pt>
                <pt idx="435">
                  <v>45204</v>
                </pt>
                <pt idx="436">
                  <v>45205</v>
                </pt>
                <pt idx="437">
                  <v>45208</v>
                </pt>
                <pt idx="438">
                  <v>45209</v>
                </pt>
                <pt idx="439">
                  <v>45210</v>
                </pt>
                <pt idx="440">
                  <v>45211</v>
                </pt>
                <pt idx="441">
                  <v>45212</v>
                </pt>
                <pt idx="442">
                  <v>45215</v>
                </pt>
                <pt idx="443">
                  <v>45216</v>
                </pt>
                <pt idx="444">
                  <v>45217</v>
                </pt>
                <pt idx="445">
                  <v>45218</v>
                </pt>
                <pt idx="446">
                  <v>45219</v>
                </pt>
                <pt idx="447">
                  <v>45222</v>
                </pt>
                <pt idx="448">
                  <v>45224</v>
                </pt>
                <pt idx="449">
                  <v>45225</v>
                </pt>
                <pt idx="450">
                  <v>45226</v>
                </pt>
                <pt idx="451">
                  <v>45229</v>
                </pt>
                <pt idx="452">
                  <v>45230</v>
                </pt>
                <pt idx="453">
                  <v>45231</v>
                </pt>
                <pt idx="454">
                  <v>45232</v>
                </pt>
                <pt idx="455">
                  <v>45233</v>
                </pt>
                <pt idx="456">
                  <v>45236</v>
                </pt>
                <pt idx="457">
                  <v>45237</v>
                </pt>
                <pt idx="458">
                  <v>45238</v>
                </pt>
                <pt idx="459">
                  <v>45239</v>
                </pt>
                <pt idx="460">
                  <v>45240</v>
                </pt>
                <pt idx="461">
                  <v>45242</v>
                </pt>
                <pt idx="462">
                  <v>45243</v>
                </pt>
                <pt idx="463">
                  <v>45245</v>
                </pt>
                <pt idx="464">
                  <v>45246</v>
                </pt>
                <pt idx="465">
                  <v>45247</v>
                </pt>
                <pt idx="466">
                  <v>45250</v>
                </pt>
                <pt idx="467">
                  <v>45251</v>
                </pt>
                <pt idx="468">
                  <v>45252</v>
                </pt>
                <pt idx="469">
                  <v>45253</v>
                </pt>
                <pt idx="470">
                  <v>45254</v>
                </pt>
                <pt idx="471">
                  <v>45258</v>
                </pt>
                <pt idx="472">
                  <v>45259</v>
                </pt>
                <pt idx="473">
                  <v>45260</v>
                </pt>
                <pt idx="474">
                  <v>45261</v>
                </pt>
                <pt idx="475">
                  <v>45264</v>
                </pt>
                <pt idx="476">
                  <v>45265</v>
                </pt>
                <pt idx="477">
                  <v>45266</v>
                </pt>
                <pt idx="478">
                  <v>45267</v>
                </pt>
                <pt idx="479">
                  <v>45268</v>
                </pt>
                <pt idx="480">
                  <v>45271</v>
                </pt>
                <pt idx="481">
                  <v>45272</v>
                </pt>
                <pt idx="482">
                  <v>45273</v>
                </pt>
                <pt idx="483">
                  <v>45274</v>
                </pt>
                <pt idx="484">
                  <v>45275</v>
                </pt>
                <pt idx="485">
                  <v>45278</v>
                </pt>
                <pt idx="486">
                  <v>45279</v>
                </pt>
                <pt idx="487">
                  <v>45280</v>
                </pt>
                <pt idx="488">
                  <v>45281</v>
                </pt>
                <pt idx="489">
                  <v>45282</v>
                </pt>
                <pt idx="490">
                  <v>45286</v>
                </pt>
                <pt idx="491">
                  <v>45287</v>
                </pt>
                <pt idx="492">
                  <v>45288</v>
                </pt>
                <pt idx="493">
                  <v>45289</v>
                </pt>
                <pt idx="494">
                  <v>45292</v>
                </pt>
                <pt idx="495">
                  <v>45293</v>
                </pt>
                <pt idx="496">
                  <v>45294</v>
                </pt>
                <pt idx="497">
                  <v>45295</v>
                </pt>
                <pt idx="498">
                  <v>45296</v>
                </pt>
                <pt idx="499">
                  <v>45299</v>
                </pt>
                <pt idx="500">
                  <v>45300</v>
                </pt>
                <pt idx="501">
                  <v>45301</v>
                </pt>
                <pt idx="502">
                  <v>45302</v>
                </pt>
                <pt idx="503">
                  <v>45303</v>
                </pt>
                <pt idx="504">
                  <v>45306</v>
                </pt>
                <pt idx="505">
                  <v>45307</v>
                </pt>
                <pt idx="506">
                  <v>45308</v>
                </pt>
                <pt idx="507">
                  <v>45309</v>
                </pt>
                <pt idx="508">
                  <v>45310</v>
                </pt>
                <pt idx="509">
                  <v>45311</v>
                </pt>
                <pt idx="510">
                  <v>45314</v>
                </pt>
                <pt idx="511">
                  <v>45315</v>
                </pt>
                <pt idx="512">
                  <v>45316</v>
                </pt>
                <pt idx="513">
                  <v>45320</v>
                </pt>
                <pt idx="514">
                  <v>45321</v>
                </pt>
                <pt idx="515">
                  <v>45322</v>
                </pt>
                <pt idx="516">
                  <v>45323</v>
                </pt>
                <pt idx="517">
                  <v>45324</v>
                </pt>
                <pt idx="518">
                  <v>45327</v>
                </pt>
                <pt idx="519">
                  <v>45328</v>
                </pt>
                <pt idx="520">
                  <v>45329</v>
                </pt>
                <pt idx="521">
                  <v>45330</v>
                </pt>
                <pt idx="522">
                  <v>45331</v>
                </pt>
                <pt idx="523">
                  <v>45334</v>
                </pt>
                <pt idx="524">
                  <v>45335</v>
                </pt>
                <pt idx="525">
                  <v>45336</v>
                </pt>
                <pt idx="526">
                  <v>45337</v>
                </pt>
                <pt idx="527">
                  <v>45338</v>
                </pt>
                <pt idx="528">
                  <v>45341</v>
                </pt>
                <pt idx="529">
                  <v>45342</v>
                </pt>
                <pt idx="530">
                  <v>45343</v>
                </pt>
                <pt idx="531">
                  <v>45344</v>
                </pt>
                <pt idx="532">
                  <v>45345</v>
                </pt>
                <pt idx="533">
                  <v>45348</v>
                </pt>
                <pt idx="534">
                  <v>45349</v>
                </pt>
                <pt idx="535">
                  <v>45350</v>
                </pt>
                <pt idx="536">
                  <v>45351</v>
                </pt>
                <pt idx="537">
                  <v>45352</v>
                </pt>
                <pt idx="538">
                  <v>45353</v>
                </pt>
                <pt idx="539">
                  <v>45355</v>
                </pt>
                <pt idx="540">
                  <v>45356</v>
                </pt>
                <pt idx="541">
                  <v>45357</v>
                </pt>
                <pt idx="542">
                  <v>45358</v>
                </pt>
                <pt idx="543">
                  <v>45362</v>
                </pt>
                <pt idx="544">
                  <v>45363</v>
                </pt>
                <pt idx="545">
                  <v>45364</v>
                </pt>
                <pt idx="546">
                  <v>45365</v>
                </pt>
                <pt idx="547">
                  <v>45366</v>
                </pt>
                <pt idx="548">
                  <v>45369</v>
                </pt>
                <pt idx="549">
                  <v>45370</v>
                </pt>
                <pt idx="550">
                  <v>45371</v>
                </pt>
                <pt idx="551">
                  <v>45372</v>
                </pt>
                <pt idx="552">
                  <v>45373</v>
                </pt>
                <pt idx="553">
                  <v>45377</v>
                </pt>
                <pt idx="554">
                  <v>45378</v>
                </pt>
                <pt idx="555">
                  <v>45379</v>
                </pt>
                <pt idx="556">
                  <v>45383</v>
                </pt>
                <pt idx="557">
                  <v>45384</v>
                </pt>
                <pt idx="558">
                  <v>45385</v>
                </pt>
                <pt idx="559">
                  <v>45386</v>
                </pt>
                <pt idx="560">
                  <v>45387</v>
                </pt>
                <pt idx="561">
                  <v>45390</v>
                </pt>
                <pt idx="562">
                  <v>45391</v>
                </pt>
                <pt idx="563">
                  <v>45392</v>
                </pt>
                <pt idx="564">
                  <v>45394</v>
                </pt>
                <pt idx="565">
                  <v>45397</v>
                </pt>
                <pt idx="566">
                  <v>45398</v>
                </pt>
                <pt idx="567">
                  <v>45400</v>
                </pt>
                <pt idx="568">
                  <v>45401</v>
                </pt>
                <pt idx="569">
                  <v>45404</v>
                </pt>
                <pt idx="570">
                  <v>45405</v>
                </pt>
                <pt idx="571">
                  <v>45406</v>
                </pt>
                <pt idx="572">
                  <v>45407</v>
                </pt>
                <pt idx="573">
                  <v>45408</v>
                </pt>
                <pt idx="574">
                  <v>45411</v>
                </pt>
                <pt idx="575">
                  <v>45412</v>
                </pt>
                <pt idx="576">
                  <v>45414</v>
                </pt>
                <pt idx="577">
                  <v>45415</v>
                </pt>
                <pt idx="578">
                  <v>45418</v>
                </pt>
                <pt idx="579">
                  <v>45419</v>
                </pt>
                <pt idx="580">
                  <v>45420</v>
                </pt>
                <pt idx="581">
                  <v>45421</v>
                </pt>
                <pt idx="582">
                  <v>45422</v>
                </pt>
                <pt idx="583">
                  <v>45425</v>
                </pt>
                <pt idx="584">
                  <v>45426</v>
                </pt>
                <pt idx="585">
                  <v>45427</v>
                </pt>
                <pt idx="586">
                  <v>45428</v>
                </pt>
                <pt idx="587">
                  <v>45429</v>
                </pt>
                <pt idx="588">
                  <v>45430</v>
                </pt>
                <pt idx="589">
                  <v>45433</v>
                </pt>
                <pt idx="590">
                  <v>45434</v>
                </pt>
                <pt idx="591">
                  <v>45435</v>
                </pt>
                <pt idx="592">
                  <v>45436</v>
                </pt>
                <pt idx="593">
                  <v>45439</v>
                </pt>
                <pt idx="594">
                  <v>45440</v>
                </pt>
                <pt idx="595">
                  <v>45441</v>
                </pt>
                <pt idx="596">
                  <v>45442</v>
                </pt>
                <pt idx="597">
                  <v>45443</v>
                </pt>
                <pt idx="598">
                  <v>45446</v>
                </pt>
                <pt idx="599">
                  <v>45447</v>
                </pt>
                <pt idx="600">
                  <v>45448</v>
                </pt>
                <pt idx="601">
                  <v>45449</v>
                </pt>
                <pt idx="602">
                  <v>45450</v>
                </pt>
                <pt idx="603">
                  <v>45453</v>
                </pt>
                <pt idx="604">
                  <v>45454</v>
                </pt>
                <pt idx="605">
                  <v>45455</v>
                </pt>
                <pt idx="606">
                  <v>45456</v>
                </pt>
                <pt idx="607">
                  <v>45457</v>
                </pt>
                <pt idx="608">
                  <v>45461</v>
                </pt>
                <pt idx="609">
                  <v>45462</v>
                </pt>
                <pt idx="610">
                  <v>45463</v>
                </pt>
                <pt idx="611">
                  <v>45464</v>
                </pt>
                <pt idx="612">
                  <v>45467</v>
                </pt>
                <pt idx="613">
                  <v>45468</v>
                </pt>
                <pt idx="614">
                  <v>45469</v>
                </pt>
                <pt idx="615">
                  <v>45470</v>
                </pt>
                <pt idx="616">
                  <v>45471</v>
                </pt>
                <pt idx="617">
                  <v>45474</v>
                </pt>
                <pt idx="618">
                  <v>45475</v>
                </pt>
                <pt idx="619">
                  <v>45476</v>
                </pt>
                <pt idx="620">
                  <v>45477</v>
                </pt>
                <pt idx="621">
                  <v>45478</v>
                </pt>
                <pt idx="622">
                  <v>45481</v>
                </pt>
                <pt idx="623">
                  <v>45482</v>
                </pt>
                <pt idx="624">
                  <v>45483</v>
                </pt>
                <pt idx="625">
                  <v>45484</v>
                </pt>
                <pt idx="626">
                  <v>45485</v>
                </pt>
                <pt idx="627">
                  <v>45488</v>
                </pt>
                <pt idx="628">
                  <v>45489</v>
                </pt>
                <pt idx="629">
                  <v>45491</v>
                </pt>
                <pt idx="630">
                  <v>45492</v>
                </pt>
                <pt idx="631">
                  <v>45495</v>
                </pt>
                <pt idx="632">
                  <v>45496</v>
                </pt>
                <pt idx="633">
                  <v>45497</v>
                </pt>
                <pt idx="634">
                  <v>45498</v>
                </pt>
                <pt idx="635">
                  <v>45499</v>
                </pt>
                <pt idx="636">
                  <v>45502</v>
                </pt>
                <pt idx="637">
                  <v>45503</v>
                </pt>
                <pt idx="638">
                  <v>45504</v>
                </pt>
                <pt idx="639">
                  <v>45505</v>
                </pt>
                <pt idx="640">
                  <v>45506</v>
                </pt>
                <pt idx="641">
                  <v>45509</v>
                </pt>
                <pt idx="642">
                  <v>45510</v>
                </pt>
                <pt idx="643">
                  <v>45511</v>
                </pt>
                <pt idx="644">
                  <v>45512</v>
                </pt>
                <pt idx="645">
                  <v>45513</v>
                </pt>
                <pt idx="646">
                  <v>45516</v>
                </pt>
                <pt idx="647">
                  <v>45517</v>
                </pt>
                <pt idx="648">
                  <v>45518</v>
                </pt>
                <pt idx="649">
                  <v>45520</v>
                </pt>
                <pt idx="650">
                  <v>45523</v>
                </pt>
                <pt idx="651">
                  <v>45524</v>
                </pt>
                <pt idx="652">
                  <v>45525</v>
                </pt>
                <pt idx="653">
                  <v>45526</v>
                </pt>
                <pt idx="654">
                  <v>45527</v>
                </pt>
                <pt idx="655">
                  <v>45530</v>
                </pt>
                <pt idx="656">
                  <v>45531</v>
                </pt>
                <pt idx="657">
                  <v>45532</v>
                </pt>
                <pt idx="658">
                  <v>45533</v>
                </pt>
                <pt idx="659">
                  <v>45534</v>
                </pt>
                <pt idx="660">
                  <v>45537</v>
                </pt>
                <pt idx="661">
                  <v>45538</v>
                </pt>
                <pt idx="662">
                  <v>45539</v>
                </pt>
                <pt idx="663">
                  <v>45540</v>
                </pt>
                <pt idx="664">
                  <v>45541</v>
                </pt>
                <pt idx="665">
                  <v>45544</v>
                </pt>
                <pt idx="666">
                  <v>45545</v>
                </pt>
                <pt idx="667">
                  <v>45546</v>
                </pt>
                <pt idx="668">
                  <v>45547</v>
                </pt>
                <pt idx="669">
                  <v>45548</v>
                </pt>
                <pt idx="670">
                  <v>45551</v>
                </pt>
                <pt idx="671">
                  <v>45552</v>
                </pt>
                <pt idx="672">
                  <v>45553</v>
                </pt>
                <pt idx="673">
                  <v>45554</v>
                </pt>
                <pt idx="674">
                  <v>45555</v>
                </pt>
                <pt idx="675">
                  <v>45558</v>
                </pt>
                <pt idx="676">
                  <v>45559</v>
                </pt>
                <pt idx="677">
                  <v>45560</v>
                </pt>
                <pt idx="678">
                  <v>45561</v>
                </pt>
                <pt idx="679">
                  <v>45562</v>
                </pt>
                <pt idx="680">
                  <v>45565</v>
                </pt>
                <pt idx="681">
                  <v>45566</v>
                </pt>
                <pt idx="682">
                  <v>45568</v>
                </pt>
                <pt idx="683">
                  <v>45569</v>
                </pt>
                <pt idx="684">
                  <v>45572</v>
                </pt>
                <pt idx="685">
                  <v>45573</v>
                </pt>
                <pt idx="686">
                  <v>45574</v>
                </pt>
                <pt idx="687">
                  <v>45575</v>
                </pt>
                <pt idx="688">
                  <v>45576</v>
                </pt>
                <pt idx="689">
                  <v>45579</v>
                </pt>
                <pt idx="690">
                  <v>45580</v>
                </pt>
                <pt idx="691">
                  <v>45581</v>
                </pt>
                <pt idx="692">
                  <v>45582</v>
                </pt>
                <pt idx="693">
                  <v>45583</v>
                </pt>
                <pt idx="694">
                  <v>45586</v>
                </pt>
                <pt idx="695">
                  <v>45587</v>
                </pt>
                <pt idx="696">
                  <v>45588</v>
                </pt>
                <pt idx="697">
                  <v>45589</v>
                </pt>
                <pt idx="698">
                  <v>45590</v>
                </pt>
                <pt idx="699">
                  <v>45593</v>
                </pt>
                <pt idx="700">
                  <v>45594</v>
                </pt>
                <pt idx="701">
                  <v>45595</v>
                </pt>
                <pt idx="702">
                  <v>45596</v>
                </pt>
                <pt idx="703">
                  <v>45597</v>
                </pt>
                <pt idx="704">
                  <v>45600</v>
                </pt>
                <pt idx="705">
                  <v>45601</v>
                </pt>
                <pt idx="706">
                  <v>45602</v>
                </pt>
                <pt idx="707">
                  <v>45603</v>
                </pt>
                <pt idx="708">
                  <v>45604</v>
                </pt>
                <pt idx="709">
                  <v>45607</v>
                </pt>
                <pt idx="710">
                  <v>45608</v>
                </pt>
                <pt idx="711">
                  <v>45609</v>
                </pt>
                <pt idx="712">
                  <v>45610</v>
                </pt>
                <pt idx="713">
                  <v>45614</v>
                </pt>
                <pt idx="714">
                  <v>45615</v>
                </pt>
                <pt idx="715">
                  <v>45617</v>
                </pt>
                <pt idx="716">
                  <v>45618</v>
                </pt>
                <pt idx="717">
                  <v>45621</v>
                </pt>
                <pt idx="718">
                  <v>45622</v>
                </pt>
                <pt idx="719">
                  <v>45623</v>
                </pt>
                <pt idx="720">
                  <v>45624</v>
                </pt>
                <pt idx="721">
                  <v>45625</v>
                </pt>
                <pt idx="722">
                  <v>45628</v>
                </pt>
                <pt idx="723">
                  <v>45629</v>
                </pt>
                <pt idx="724">
                  <v>45630</v>
                </pt>
                <pt idx="725">
                  <v>45631</v>
                </pt>
                <pt idx="726">
                  <v>45632</v>
                </pt>
                <pt idx="727">
                  <v>45635</v>
                </pt>
                <pt idx="728">
                  <v>45636</v>
                </pt>
                <pt idx="729">
                  <v>45637</v>
                </pt>
                <pt idx="730">
                  <v>45638</v>
                </pt>
                <pt idx="731">
                  <v>45639</v>
                </pt>
                <pt idx="732">
                  <v>45642</v>
                </pt>
                <pt idx="733">
                  <v>45643</v>
                </pt>
                <pt idx="734">
                  <v>45644</v>
                </pt>
                <pt idx="735">
                  <v>45645</v>
                </pt>
                <pt idx="736">
                  <v>45646</v>
                </pt>
                <pt idx="737">
                  <v>45649</v>
                </pt>
                <pt idx="738">
                  <v>45650</v>
                </pt>
                <pt idx="739">
                  <v>45652</v>
                </pt>
                <pt idx="740">
                  <v>45653</v>
                </pt>
                <pt idx="741">
                  <v>45656</v>
                </pt>
                <pt idx="742">
                  <v>45657</v>
                </pt>
                <pt idx="743">
                  <v>45658</v>
                </pt>
                <pt idx="744">
                  <v>45659</v>
                </pt>
                <pt idx="745">
                  <v>45660</v>
                </pt>
                <pt idx="746">
                  <v>45663</v>
                </pt>
                <pt idx="747">
                  <v>45664</v>
                </pt>
                <pt idx="748">
                  <v>45665</v>
                </pt>
                <pt idx="749">
                  <v>45666</v>
                </pt>
                <pt idx="750">
                  <v>45667</v>
                </pt>
                <pt idx="751">
                  <v>45670</v>
                </pt>
                <pt idx="752">
                  <v>45671</v>
                </pt>
                <pt idx="753">
                  <v>45672</v>
                </pt>
                <pt idx="754">
                  <v>45673</v>
                </pt>
                <pt idx="755">
                  <v>45674</v>
                </pt>
                <pt idx="756">
                  <v>45677</v>
                </pt>
                <pt idx="757">
                  <v>45678</v>
                </pt>
                <pt idx="758">
                  <v>45679</v>
                </pt>
                <pt idx="759">
                  <v>45680</v>
                </pt>
                <pt idx="760">
                  <v>45681</v>
                </pt>
                <pt idx="761">
                  <v>45684</v>
                </pt>
                <pt idx="762">
                  <v>45685</v>
                </pt>
                <pt idx="763">
                  <v>45686</v>
                </pt>
                <pt idx="764">
                  <v>45687</v>
                </pt>
                <pt idx="765">
                  <v>45688</v>
                </pt>
                <pt idx="766">
                  <v>45689</v>
                </pt>
                <pt idx="767">
                  <v>45691</v>
                </pt>
                <pt idx="768">
                  <v>45692</v>
                </pt>
                <pt idx="769">
                  <v>45693</v>
                </pt>
                <pt idx="770">
                  <v>45694</v>
                </pt>
                <pt idx="771">
                  <v>45695</v>
                </pt>
                <pt idx="772">
                  <v>45698</v>
                </pt>
                <pt idx="773">
                  <v>45699</v>
                </pt>
                <pt idx="774">
                  <v>45700</v>
                </pt>
                <pt idx="775">
                  <v>45701</v>
                </pt>
                <pt idx="776">
                  <v>45702</v>
                </pt>
                <pt idx="777">
                  <v>45705</v>
                </pt>
                <pt idx="778">
                  <v>45706</v>
                </pt>
                <pt idx="779">
                  <v>45707</v>
                </pt>
                <pt idx="780">
                  <v>45708</v>
                </pt>
                <pt idx="781">
                  <v>45709</v>
                </pt>
                <pt idx="782">
                  <v>45712</v>
                </pt>
                <pt idx="783">
                  <v>45713</v>
                </pt>
                <pt idx="784">
                  <v>45715</v>
                </pt>
                <pt idx="785">
                  <v>45716</v>
                </pt>
                <pt idx="786">
                  <v>45719</v>
                </pt>
                <pt idx="787">
                  <v>45720</v>
                </pt>
                <pt idx="788">
                  <v>45721</v>
                </pt>
                <pt idx="789">
                  <v>45722</v>
                </pt>
                <pt idx="790">
                  <v>45723</v>
                </pt>
                <pt idx="791">
                  <v>45726</v>
                </pt>
                <pt idx="792">
                  <v>45727</v>
                </pt>
                <pt idx="793">
                  <v>45728</v>
                </pt>
                <pt idx="794">
                  <v>45729</v>
                </pt>
                <pt idx="795">
                  <v>45733</v>
                </pt>
                <pt idx="796">
                  <v>45734</v>
                </pt>
                <pt idx="797">
                  <v>45735</v>
                </pt>
                <pt idx="798">
                  <v>45736</v>
                </pt>
                <pt idx="799">
                  <v>45737</v>
                </pt>
                <pt idx="800">
                  <v>45740</v>
                </pt>
                <pt idx="801">
                  <v>45741</v>
                </pt>
                <pt idx="802">
                  <v>45742</v>
                </pt>
                <pt idx="803">
                  <v>45743</v>
                </pt>
                <pt idx="804">
                  <v>45744</v>
                </pt>
              </numCache>
            </numRef>
          </cat>
          <val>
            <numRef>
              <f>'EVI 2025 Workings'!$P$2:$P$806</f>
              <numCache>
                <formatCode>0.00</formatCode>
                <ptCount val="805"/>
                <pt idx="0">
                  <v>1.637</v>
                </pt>
                <pt idx="1">
                  <v>1.649</v>
                </pt>
                <pt idx="2">
                  <v>1.7</v>
                </pt>
                <pt idx="3">
                  <v>1.728</v>
                </pt>
                <pt idx="4">
                  <v>1.765</v>
                </pt>
                <pt idx="5">
                  <v>1.755</v>
                </pt>
                <pt idx="6">
                  <v>1.746</v>
                </pt>
                <pt idx="7">
                  <v>1.752</v>
                </pt>
                <pt idx="8">
                  <v>1.701</v>
                </pt>
                <pt idx="9">
                  <v>1.793</v>
                </pt>
                <pt idx="10">
                  <v>1.809</v>
                </pt>
                <pt idx="11">
                  <v>1.875</v>
                </pt>
                <pt idx="12">
                  <v>1.854</v>
                </pt>
                <pt idx="13">
                  <v>1.811</v>
                </pt>
                <pt idx="14">
                  <v>1.77</v>
                </pt>
                <pt idx="15">
                  <v>1.776</v>
                </pt>
                <pt idx="16">
                  <v>1.776</v>
                </pt>
                <pt idx="17">
                  <v>1.803</v>
                </pt>
                <pt idx="18">
                  <v>1.778</v>
                </pt>
                <pt idx="19">
                  <v>1.784</v>
                </pt>
                <pt idx="20">
                  <v>1.795</v>
                </pt>
                <pt idx="21">
                  <v>1.771</v>
                </pt>
                <pt idx="22">
                  <v>1.836</v>
                </pt>
                <pt idx="23">
                  <v>1.916</v>
                </pt>
                <pt idx="24">
                  <v>1.919</v>
                </pt>
                <pt idx="25">
                  <v>1.965</v>
                </pt>
                <pt idx="26">
                  <v>1.945</v>
                </pt>
                <pt idx="27">
                  <v>2.043</v>
                </pt>
                <pt idx="28">
                  <v>1.918</v>
                </pt>
                <pt idx="29">
                  <v>1.986</v>
                </pt>
                <pt idx="30">
                  <v>2.043</v>
                </pt>
                <pt idx="31">
                  <v>2.04</v>
                </pt>
                <pt idx="32">
                  <v>1.968</v>
                </pt>
                <pt idx="33">
                  <v>1.927</v>
                </pt>
                <pt idx="34">
                  <v>1.873</v>
                </pt>
                <pt idx="35">
                  <v>1.944</v>
                </pt>
                <pt idx="36">
                  <v>1.998</v>
                </pt>
                <pt idx="37">
                  <v>1.97</v>
                </pt>
                <pt idx="38">
                  <v>1.97</v>
                </pt>
                <pt idx="39">
                  <v>1.822</v>
                </pt>
                <pt idx="40">
                  <v>1.878</v>
                </pt>
                <pt idx="41">
                  <v>1.84</v>
                </pt>
                <pt idx="42">
                  <v>1.737</v>
                </pt>
                <pt idx="43">
                  <v>1.777</v>
                </pt>
                <pt idx="44">
                  <v>1.84</v>
                </pt>
                <pt idx="45">
                  <v>1.951</v>
                </pt>
                <pt idx="46">
                  <v>1.993</v>
                </pt>
                <pt idx="47">
                  <v>1.997</v>
                </pt>
                <pt idx="48">
                  <v>2.142</v>
                </pt>
                <pt idx="49">
                  <v>2.149</v>
                </pt>
                <pt idx="50">
                  <v>2.192</v>
                </pt>
                <pt idx="51">
                  <v>2.167</v>
                </pt>
                <pt idx="52">
                  <v>2.297</v>
                </pt>
                <pt idx="53">
                  <v>2.381</v>
                </pt>
                <pt idx="54">
                  <v>2.29</v>
                </pt>
                <pt idx="55">
                  <v>2.37</v>
                </pt>
                <pt idx="56">
                  <v>2.488</v>
                </pt>
                <pt idx="57">
                  <v>2.466</v>
                </pt>
                <pt idx="58">
                  <v>2.398</v>
                </pt>
                <pt idx="59">
                  <v>2.358</v>
                </pt>
                <pt idx="60">
                  <v>2.345</v>
                </pt>
                <pt idx="61">
                  <v>2.389</v>
                </pt>
                <pt idx="62">
                  <v>2.393</v>
                </pt>
                <pt idx="63">
                  <v>2.554</v>
                </pt>
                <pt idx="64">
                  <v>2.598</v>
                </pt>
                <pt idx="65">
                  <v>2.665</v>
                </pt>
                <pt idx="66">
                  <v>2.704</v>
                </pt>
                <pt idx="67">
                  <v>2.774</v>
                </pt>
                <pt idx="68">
                  <v>2.727</v>
                </pt>
                <pt idx="69">
                  <v>2.703</v>
                </pt>
                <pt idx="70">
                  <v>2.857</v>
                </pt>
                <pt idx="71">
                  <v>2.94</v>
                </pt>
                <pt idx="72">
                  <v>2.834</v>
                </pt>
                <pt idx="73">
                  <v>2.908</v>
                </pt>
                <pt idx="74">
                  <v>2.905</v>
                </pt>
                <pt idx="75">
                  <v>2.818</v>
                </pt>
                <pt idx="76">
                  <v>2.728</v>
                </pt>
                <pt idx="77">
                  <v>2.826</v>
                </pt>
                <pt idx="78">
                  <v>2.832</v>
                </pt>
                <pt idx="79">
                  <v>2.938</v>
                </pt>
                <pt idx="80">
                  <v>2.977</v>
                </pt>
                <pt idx="81">
                  <v>2.946</v>
                </pt>
                <pt idx="82">
                  <v>3.035</v>
                </pt>
                <pt idx="83">
                  <v>3.142</v>
                </pt>
                <pt idx="84">
                  <v>3.034</v>
                </pt>
                <pt idx="85">
                  <v>2.989</v>
                </pt>
                <pt idx="86">
                  <v>2.925</v>
                </pt>
                <pt idx="87">
                  <v>2.855</v>
                </pt>
                <pt idx="88">
                  <v>2.928</v>
                </pt>
                <pt idx="89">
                  <v>2.886</v>
                </pt>
                <pt idx="90">
                  <v>2.995</v>
                </pt>
                <pt idx="91">
                  <v>2.884</v>
                </pt>
                <pt idx="92">
                  <v>2.837</v>
                </pt>
                <pt idx="93">
                  <v>2.788</v>
                </pt>
                <pt idx="94">
                  <v>2.861</v>
                </pt>
                <pt idx="95">
                  <v>2.754</v>
                </pt>
                <pt idx="96">
                  <v>2.751</v>
                </pt>
                <pt idx="97">
                  <v>2.742</v>
                </pt>
                <pt idx="98">
                  <v>2.743</v>
                </pt>
                <pt idx="99">
                  <v>2.812</v>
                </pt>
                <pt idx="100">
                  <v>2.849</v>
                </pt>
                <pt idx="101">
                  <v>2.911</v>
                </pt>
                <pt idx="102">
                  <v>2.913</v>
                </pt>
                <pt idx="103">
                  <v>2.941</v>
                </pt>
                <pt idx="104">
                  <v>3.04</v>
                </pt>
                <pt idx="105">
                  <v>2.979</v>
                </pt>
                <pt idx="106">
                  <v>3.027</v>
                </pt>
                <pt idx="107">
                  <v>3.046</v>
                </pt>
                <pt idx="108">
                  <v>3.165</v>
                </pt>
                <pt idx="109">
                  <v>3.362</v>
                </pt>
                <pt idx="110">
                  <v>3.479</v>
                </pt>
                <pt idx="111">
                  <v>3.292</v>
                </pt>
                <pt idx="112">
                  <v>3.195</v>
                </pt>
                <pt idx="113">
                  <v>3.231</v>
                </pt>
                <pt idx="114">
                  <v>3.277</v>
                </pt>
                <pt idx="115">
                  <v>3.279</v>
                </pt>
                <pt idx="116">
                  <v>3.16</v>
                </pt>
                <pt idx="117">
                  <v>3.089</v>
                </pt>
                <pt idx="118">
                  <v>3.138</v>
                </pt>
                <pt idx="119">
                  <v>3.202</v>
                </pt>
                <pt idx="120">
                  <v>3.177</v>
                </pt>
                <pt idx="121">
                  <v>3.087</v>
                </pt>
                <pt idx="122">
                  <v>3.017</v>
                </pt>
                <pt idx="123">
                  <v>2.889</v>
                </pt>
                <pt idx="124">
                  <v>2.932</v>
                </pt>
                <pt idx="125">
                  <v>2.818</v>
                </pt>
                <pt idx="126">
                  <v>2.934</v>
                </pt>
                <pt idx="127">
                  <v>3</v>
                </pt>
                <pt idx="128">
                  <v>3.08</v>
                </pt>
                <pt idx="129">
                  <v>2.993</v>
                </pt>
                <pt idx="130">
                  <v>2.971</v>
                </pt>
                <pt idx="131">
                  <v>2.935</v>
                </pt>
                <pt idx="132">
                  <v>2.958</v>
                </pt>
                <pt idx="133">
                  <v>2.928</v>
                </pt>
                <pt idx="134">
                  <v>2.989</v>
                </pt>
                <pt idx="135">
                  <v>3.028</v>
                </pt>
                <pt idx="136">
                  <v>3.03</v>
                </pt>
                <pt idx="137">
                  <v>2.882</v>
                </pt>
                <pt idx="138">
                  <v>2.754</v>
                </pt>
                <pt idx="139">
                  <v>2.807</v>
                </pt>
                <pt idx="140">
                  <v>2.803</v>
                </pt>
                <pt idx="141">
                  <v>2.785</v>
                </pt>
                <pt idx="142">
                  <v>2.671</v>
                </pt>
                <pt idx="143">
                  <v>2.658</v>
                </pt>
                <pt idx="144">
                  <v>2.588</v>
                </pt>
                <pt idx="145">
                  <v>2.748</v>
                </pt>
                <pt idx="146">
                  <v>2.706</v>
                </pt>
                <pt idx="147">
                  <v>2.694</v>
                </pt>
                <pt idx="148">
                  <v>2.827</v>
                </pt>
                <pt idx="149">
                  <v>2.75</v>
                </pt>
                <pt idx="150">
                  <v>2.785</v>
                </pt>
                <pt idx="151">
                  <v>2.889</v>
                </pt>
                <pt idx="152">
                  <v>2.842</v>
                </pt>
                <pt idx="153">
                  <v>2.808</v>
                </pt>
                <pt idx="154">
                  <v>2.902</v>
                </pt>
                <pt idx="155">
                  <v>2.886</v>
                </pt>
                <pt idx="156">
                  <v>2.976</v>
                </pt>
                <pt idx="157">
                  <v>3.024</v>
                </pt>
                <pt idx="158">
                  <v>3.057</v>
                </pt>
                <pt idx="159">
                  <v>3.109</v>
                </pt>
                <pt idx="160">
                  <v>3.031</v>
                </pt>
                <pt idx="161">
                  <v>3.03</v>
                </pt>
                <pt idx="162">
                  <v>3.114</v>
                </pt>
                <pt idx="163">
                  <v>3.112</v>
                </pt>
                <pt idx="164">
                  <v>3.196</v>
                </pt>
                <pt idx="165">
                  <v>3.259</v>
                </pt>
                <pt idx="166">
                  <v>3.195</v>
                </pt>
                <pt idx="167">
                  <v>3.223</v>
                </pt>
                <pt idx="168">
                  <v>3.351</v>
                </pt>
                <pt idx="169">
                  <v>3.267</v>
                </pt>
                <pt idx="170">
                  <v>3.323</v>
                </pt>
                <pt idx="171">
                  <v>3.315</v>
                </pt>
                <pt idx="172">
                  <v>3.358</v>
                </pt>
                <pt idx="173">
                  <v>3.412</v>
                </pt>
                <pt idx="174">
                  <v>3.404</v>
                </pt>
                <pt idx="175">
                  <v>3.449</v>
                </pt>
                <pt idx="176">
                  <v>3.455</v>
                </pt>
                <pt idx="177">
                  <v>3.494</v>
                </pt>
                <pt idx="178">
                  <v>3.569</v>
                </pt>
                <pt idx="179">
                  <v>3.534</v>
                </pt>
                <pt idx="180">
                  <v>3.71</v>
                </pt>
                <pt idx="181">
                  <v>3.687</v>
                </pt>
                <pt idx="182">
                  <v>3.928</v>
                </pt>
                <pt idx="183">
                  <v>3.949</v>
                </pt>
                <pt idx="184">
                  <v>3.82</v>
                </pt>
                <pt idx="185">
                  <v>3.686</v>
                </pt>
                <pt idx="186">
                  <v>3.72</v>
                </pt>
                <pt idx="187">
                  <v>3.57</v>
                </pt>
                <pt idx="188">
                  <v>3.781</v>
                </pt>
                <pt idx="189">
                  <v>3.841</v>
                </pt>
                <pt idx="190">
                  <v>3.888</v>
                </pt>
                <pt idx="191">
                  <v>3.927</v>
                </pt>
                <pt idx="192">
                  <v>3.951</v>
                </pt>
                <pt idx="193">
                  <v>3.858</v>
                </pt>
                <pt idx="194">
                  <v>3.948</v>
                </pt>
                <pt idx="195">
                  <v>3.95</v>
                </pt>
                <pt idx="196">
                  <v>3.99</v>
                </pt>
                <pt idx="197">
                  <v>4.098</v>
                </pt>
                <pt idx="198">
                  <v>4.12</v>
                </pt>
                <pt idx="199">
                  <v>4.21</v>
                </pt>
                <pt idx="200">
                  <v>4.24</v>
                </pt>
                <pt idx="201">
                  <v>4.1</v>
                </pt>
                <pt idx="202">
                  <v>4.06</v>
                </pt>
                <pt idx="203">
                  <v>4</v>
                </pt>
                <pt idx="204">
                  <v>4.05</v>
                </pt>
                <pt idx="205">
                  <v>4.05</v>
                </pt>
                <pt idx="206">
                  <v>4.06</v>
                </pt>
                <pt idx="207">
                  <v>4.19</v>
                </pt>
                <pt idx="208">
                  <v>4.15</v>
                </pt>
                <pt idx="209">
                  <v>4.13</v>
                </pt>
                <pt idx="210">
                  <v>4.13</v>
                </pt>
                <pt idx="211">
                  <v>4.1</v>
                </pt>
                <pt idx="212">
                  <v>3.81</v>
                </pt>
                <pt idx="213">
                  <v>3.89</v>
                </pt>
                <pt idx="214">
                  <v>3.86</v>
                </pt>
                <pt idx="215">
                  <v>3.77</v>
                </pt>
                <pt idx="216">
                  <v>3.69</v>
                </pt>
                <pt idx="217">
                  <v>3.76</v>
                </pt>
                <pt idx="218">
                  <v>3.83</v>
                </pt>
                <pt idx="219">
                  <v>3.75</v>
                </pt>
                <pt idx="220">
                  <v>3.68</v>
                </pt>
                <pt idx="221">
                  <v>3.68</v>
                </pt>
                <pt idx="222">
                  <v>3.71</v>
                </pt>
                <pt idx="223">
                  <v>3.7</v>
                </pt>
                <pt idx="224">
                  <v>3.75</v>
                </pt>
                <pt idx="225">
                  <v>3.61</v>
                </pt>
                <pt idx="226">
                  <v>3.51</v>
                </pt>
                <pt idx="227">
                  <v>3.49</v>
                </pt>
                <pt idx="228">
                  <v>3.58</v>
                </pt>
                <pt idx="229">
                  <v>3.53</v>
                </pt>
                <pt idx="230">
                  <v>3.42</v>
                </pt>
                <pt idx="231">
                  <v>3.48</v>
                </pt>
                <pt idx="232">
                  <v>3.58</v>
                </pt>
                <pt idx="233">
                  <v>3.61</v>
                </pt>
                <pt idx="234">
                  <v>3.5</v>
                </pt>
                <pt idx="235">
                  <v>3.47</v>
                </pt>
                <pt idx="236">
                  <v>3.45</v>
                </pt>
                <pt idx="237">
                  <v>3.48</v>
                </pt>
                <pt idx="238">
                  <v>3.59</v>
                </pt>
                <pt idx="239">
                  <v>3.69</v>
                </pt>
                <pt idx="240">
                  <v>3.67</v>
                </pt>
                <pt idx="241">
                  <v>3.68</v>
                </pt>
                <pt idx="242">
                  <v>3.71</v>
                </pt>
                <pt idx="243">
                  <v>3.74</v>
                </pt>
                <pt idx="244">
                  <v>3.84</v>
                </pt>
                <pt idx="245">
                  <v>3.88</v>
                </pt>
                <pt idx="246">
                  <v>3.82</v>
                </pt>
                <pt idx="247">
                  <v>3.87</v>
                </pt>
                <pt idx="248">
                  <v>3.87</v>
                </pt>
                <pt idx="249">
                  <v>3.75</v>
                </pt>
                <pt idx="250">
                  <v>3.69</v>
                </pt>
                <pt idx="251">
                  <v>3.72</v>
                </pt>
                <pt idx="252">
                  <v>3.56</v>
                </pt>
                <pt idx="253">
                  <v>3.52</v>
                </pt>
                <pt idx="254">
                  <v>3.61</v>
                </pt>
                <pt idx="255">
                  <v>3.54</v>
                </pt>
                <pt idx="256">
                  <v>3.44</v>
                </pt>
                <pt idx="257">
                  <v>3.49</v>
                </pt>
                <pt idx="258">
                  <v>3.52</v>
                </pt>
                <pt idx="259">
                  <v>3.54</v>
                </pt>
                <pt idx="260">
                  <v>3.37</v>
                </pt>
                <pt idx="261">
                  <v>3.39</v>
                </pt>
                <pt idx="262">
                  <v>3.48</v>
                </pt>
                <pt idx="263">
                  <v>3.52</v>
                </pt>
                <pt idx="264">
                  <v>3.45</v>
                </pt>
                <pt idx="265">
                  <v>3.44</v>
                </pt>
                <pt idx="266">
                  <v>3.5</v>
                </pt>
                <pt idx="267">
                  <v>3.54</v>
                </pt>
                <pt idx="268">
                  <v>3.51</v>
                </pt>
                <pt idx="269">
                  <v>3.41</v>
                </pt>
                <pt idx="270">
                  <v>3.4</v>
                </pt>
                <pt idx="271">
                  <v>3.51</v>
                </pt>
                <pt idx="272">
                  <v>3.64</v>
                </pt>
                <pt idx="273">
                  <v>3.67</v>
                </pt>
                <pt idx="274">
                  <v>3.61</v>
                </pt>
                <pt idx="275">
                  <v>3.66</v>
                </pt>
                <pt idx="276">
                  <v>3.74</v>
                </pt>
                <pt idx="277">
                  <v>3.7</v>
                </pt>
                <pt idx="278">
                  <v>3.75</v>
                </pt>
                <pt idx="279">
                  <v>3.8</v>
                </pt>
                <pt idx="280">
                  <v>3.86</v>
                </pt>
                <pt idx="281">
                  <v>3.81</v>
                </pt>
                <pt idx="282">
                  <v>3.85</v>
                </pt>
                <pt idx="283">
                  <v>3.95</v>
                </pt>
                <pt idx="284">
                  <v>3.92</v>
                </pt>
                <pt idx="285">
                  <v>3.89</v>
                </pt>
                <pt idx="286">
                  <v>3.94</v>
                </pt>
                <pt idx="287">
                  <v>3.92</v>
                </pt>
                <pt idx="288">
                  <v>3.93</v>
                </pt>
                <pt idx="289">
                  <v>3.99</v>
                </pt>
                <pt idx="290">
                  <v>4.06</v>
                </pt>
                <pt idx="291">
                  <v>3.95</v>
                </pt>
                <pt idx="292">
                  <v>3.96</v>
                </pt>
                <pt idx="293">
                  <v>3.98</v>
                </pt>
                <pt idx="294">
                  <v>3.9</v>
                </pt>
                <pt idx="295">
                  <v>3.7</v>
                </pt>
                <pt idx="296">
                  <v>3.54</v>
                </pt>
                <pt idx="297">
                  <v>3.68</v>
                </pt>
                <pt idx="298">
                  <v>3.46</v>
                </pt>
                <pt idx="299">
                  <v>3.57</v>
                </pt>
                <pt idx="300">
                  <v>3.43</v>
                </pt>
                <pt idx="301">
                  <v>3.48</v>
                </pt>
                <pt idx="302">
                  <v>3.6</v>
                </pt>
                <pt idx="303">
                  <v>3.45</v>
                </pt>
                <pt idx="304">
                  <v>3.41</v>
                </pt>
                <pt idx="305">
                  <v>3.37</v>
                </pt>
                <pt idx="306">
                  <v>3.47</v>
                </pt>
                <pt idx="307">
                  <v>3.57</v>
                </pt>
                <pt idx="308">
                  <v>3.59</v>
                </pt>
                <pt idx="309">
                  <v>3.47</v>
                </pt>
                <pt idx="310">
                  <v>3.41</v>
                </pt>
                <pt idx="311">
                  <v>3.3</v>
                </pt>
                <pt idx="312">
                  <v>3.3</v>
                </pt>
                <pt idx="313">
                  <v>3.41</v>
                </pt>
                <pt idx="314">
                  <v>3.43</v>
                </pt>
                <pt idx="315">
                  <v>3.4</v>
                </pt>
                <pt idx="316">
                  <v>3.44</v>
                </pt>
                <pt idx="317">
                  <v>3.6</v>
                </pt>
                <pt idx="318">
                  <v>3.57</v>
                </pt>
                <pt idx="319">
                  <v>3.59</v>
                </pt>
                <pt idx="320">
                  <v>3.53</v>
                </pt>
                <pt idx="321">
                  <v>3.56</v>
                </pt>
                <pt idx="322">
                  <v>3.49</v>
                </pt>
                <pt idx="323">
                  <v>3.4</v>
                </pt>
                <pt idx="324">
                  <v>3.44</v>
                </pt>
                <pt idx="325">
                  <v>3.52</v>
                </pt>
                <pt idx="326">
                  <v>3.43</v>
                </pt>
                <pt idx="327">
                  <v>3.43</v>
                </pt>
                <pt idx="328">
                  <v>3.36</v>
                </pt>
                <pt idx="329">
                  <v>3.36</v>
                </pt>
                <pt idx="330">
                  <v>3.43</v>
                </pt>
                <pt idx="331">
                  <v>3.5</v>
                </pt>
                <pt idx="332">
                  <v>3.52</v>
                </pt>
                <pt idx="333">
                  <v>3.43</v>
                </pt>
                <pt idx="334">
                  <v>3.38</v>
                </pt>
                <pt idx="335">
                  <v>3.46</v>
                </pt>
                <pt idx="336">
                  <v>3.5</v>
                </pt>
                <pt idx="337">
                  <v>3.54</v>
                </pt>
                <pt idx="338">
                  <v>3.57</v>
                </pt>
                <pt idx="339">
                  <v>3.65</v>
                </pt>
                <pt idx="340">
                  <v>3.68</v>
                </pt>
                <pt idx="341">
                  <v>3.71</v>
                </pt>
                <pt idx="342">
                  <v>3.69</v>
                </pt>
                <pt idx="343">
                  <v>3.74</v>
                </pt>
                <pt idx="344">
                  <v>3.82</v>
                </pt>
                <pt idx="345">
                  <v>3.81</v>
                </pt>
                <pt idx="346">
                  <v>3.76</v>
                </pt>
                <pt idx="347">
                  <v>3.69</v>
                </pt>
                <pt idx="348">
                  <v>3.64</v>
                </pt>
                <pt idx="349">
                  <v>3.6</v>
                </pt>
                <pt idx="350">
                  <v>3.69</v>
                </pt>
                <pt idx="351">
                  <v>3.68</v>
                </pt>
                <pt idx="352">
                  <v>3.67</v>
                </pt>
                <pt idx="353">
                  <v>3.78</v>
                </pt>
                <pt idx="354">
                  <v>3.71</v>
                </pt>
                <pt idx="355">
                  <v>3.74</v>
                </pt>
                <pt idx="356">
                  <v>3.74</v>
                </pt>
                <pt idx="357">
                  <v>3.82</v>
                </pt>
                <pt idx="358">
                  <v>3.79</v>
                </pt>
                <pt idx="359">
                  <v>3.83</v>
                </pt>
                <pt idx="360">
                  <v>3.76</v>
                </pt>
                <pt idx="361">
                  <v>3.82</v>
                </pt>
                <pt idx="362">
                  <v>3.71</v>
                </pt>
                <pt idx="363">
                  <v>3.72</v>
                </pt>
                <pt idx="364">
                  <v>3.79</v>
                </pt>
                <pt idx="365">
                  <v>3.73</v>
                </pt>
                <pt idx="366">
                  <v>3.72</v>
                </pt>
                <pt idx="367">
                  <v>3.77</v>
                </pt>
                <pt idx="368">
                  <v>3.84</v>
                </pt>
                <pt idx="369">
                  <v>3.84</v>
                </pt>
                <pt idx="370">
                  <v>3.85</v>
                </pt>
                <pt idx="371">
                  <v>3.83</v>
                </pt>
                <pt idx="372">
                  <v>3.93</v>
                </pt>
                <pt idx="373">
                  <v>4.03</v>
                </pt>
                <pt idx="374">
                  <v>4.06</v>
                </pt>
                <pt idx="375">
                  <v>4</v>
                </pt>
                <pt idx="376">
                  <v>3.97</v>
                </pt>
                <pt idx="377">
                  <v>3.86</v>
                </pt>
                <pt idx="378">
                  <v>3.76</v>
                </pt>
                <pt idx="379">
                  <v>3.83</v>
                </pt>
                <pt idx="380">
                  <v>3.79</v>
                </pt>
                <pt idx="381">
                  <v>3.78</v>
                </pt>
                <pt idx="382">
                  <v>3.74</v>
                </pt>
                <pt idx="383">
                  <v>3.85</v>
                </pt>
                <pt idx="384">
                  <v>3.83</v>
                </pt>
                <pt idx="385">
                  <v>3.87</v>
                </pt>
                <pt idx="386">
                  <v>3.89</v>
                </pt>
                <pt idx="387">
                  <v>3.87</v>
                </pt>
                <pt idx="388">
                  <v>4</v>
                </pt>
                <pt idx="389">
                  <v>3.95</v>
                </pt>
                <pt idx="390">
                  <v>3.96</v>
                </pt>
                <pt idx="391">
                  <v>4.03</v>
                </pt>
                <pt idx="392">
                  <v>4.09</v>
                </pt>
                <pt idx="393">
                  <v>4.17</v>
                </pt>
                <pt idx="394">
                  <v>4.04</v>
                </pt>
                <pt idx="395">
                  <v>4.09</v>
                </pt>
                <pt idx="396">
                  <v>4.02</v>
                </pt>
                <pt idx="397">
                  <v>4.01</v>
                </pt>
                <pt idx="398">
                  <v>4.1</v>
                </pt>
                <pt idx="399">
                  <v>4.15</v>
                </pt>
                <pt idx="400">
                  <v>4.2</v>
                </pt>
                <pt idx="401">
                  <v>4.25</v>
                </pt>
                <pt idx="402">
                  <v>4.28</v>
                </pt>
                <pt idx="403">
                  <v>4.25</v>
                </pt>
                <pt idx="404">
                  <v>4.34</v>
                </pt>
                <pt idx="405">
                  <v>4.33</v>
                </pt>
                <pt idx="406">
                  <v>4.19</v>
                </pt>
                <pt idx="407">
                  <v>4.24</v>
                </pt>
                <pt idx="408">
                  <v>4.23</v>
                </pt>
                <pt idx="409">
                  <v>4.2</v>
                </pt>
                <pt idx="410">
                  <v>4.12</v>
                </pt>
                <pt idx="411">
                  <v>4.11</v>
                </pt>
                <pt idx="412">
                  <v>4.1</v>
                </pt>
                <pt idx="413">
                  <v>4.18</v>
                </pt>
                <pt idx="414">
                  <v>4.2</v>
                </pt>
                <pt idx="415">
                  <v>4.26</v>
                </pt>
                <pt idx="416">
                  <v>4.29</v>
                </pt>
                <pt idx="417">
                  <v>4.25</v>
                </pt>
                <pt idx="418">
                  <v>4.26</v>
                </pt>
                <pt idx="419">
                  <v>4.29</v>
                </pt>
                <pt idx="420">
                  <v>4.28</v>
                </pt>
                <pt idx="421">
                  <v>4.25</v>
                </pt>
                <pt idx="422">
                  <v>4.28</v>
                </pt>
                <pt idx="423">
                  <v>4.33</v>
                </pt>
                <pt idx="424">
                  <v>4.3</v>
                </pt>
                <pt idx="425">
                  <v>4.39</v>
                </pt>
                <pt idx="426">
                  <v>4.49</v>
                </pt>
                <pt idx="427">
                  <v>4.43</v>
                </pt>
                <pt idx="428">
                  <v>4.53</v>
                </pt>
                <pt idx="429">
                  <v>4.55</v>
                </pt>
                <pt idx="430">
                  <v>4.6</v>
                </pt>
                <pt idx="431">
                  <v>4.57</v>
                </pt>
                <pt idx="432">
                  <v>4.57</v>
                </pt>
                <pt idx="433">
                  <v>4.79</v>
                </pt>
                <pt idx="434">
                  <v>4.73</v>
                </pt>
                <pt idx="435">
                  <v>4.72</v>
                </pt>
                <pt idx="436">
                  <v>4.79</v>
                </pt>
                <pt idx="437">
                  <v>4.62</v>
                </pt>
                <pt idx="438">
                  <v>4.65</v>
                </pt>
                <pt idx="439">
                  <v>4.55</v>
                </pt>
                <pt idx="440">
                  <v>4.69</v>
                </pt>
                <pt idx="441">
                  <v>4.61</v>
                </pt>
                <pt idx="442">
                  <v>4.7</v>
                </pt>
                <pt idx="443">
                  <v>4.83</v>
                </pt>
                <pt idx="444">
                  <v>4.91</v>
                </pt>
                <pt idx="445">
                  <v>4.99</v>
                </pt>
                <pt idx="446">
                  <v>4.91</v>
                </pt>
                <pt idx="447">
                  <v>4.84</v>
                </pt>
                <pt idx="448">
                  <v>4.94</v>
                </pt>
                <pt idx="449">
                  <v>4.84</v>
                </pt>
                <pt idx="450">
                  <v>4.84</v>
                </pt>
                <pt idx="451">
                  <v>4.88</v>
                </pt>
                <pt idx="452">
                  <v>4.92</v>
                </pt>
                <pt idx="453">
                  <v>4.73</v>
                </pt>
                <pt idx="454">
                  <v>4.66</v>
                </pt>
                <pt idx="455">
                  <v>4.57</v>
                </pt>
                <pt idx="456">
                  <v>4.64</v>
                </pt>
                <pt idx="457">
                  <v>4.56</v>
                </pt>
                <pt idx="458">
                  <v>4.49</v>
                </pt>
                <pt idx="459">
                  <v>4.63</v>
                </pt>
                <pt idx="460">
                  <v>4.64</v>
                </pt>
                <pt idx="461">
                  <v>4.65</v>
                </pt>
                <pt idx="462">
                  <v>4.63</v>
                </pt>
                <pt idx="463">
                  <v>4.53</v>
                </pt>
                <pt idx="464">
                  <v>4.44</v>
                </pt>
                <pt idx="465">
                  <v>4.43</v>
                </pt>
                <pt idx="466">
                  <v>4.42</v>
                </pt>
                <pt idx="467">
                  <v>4.39</v>
                </pt>
                <pt idx="468">
                  <v>4.4</v>
                </pt>
                <pt idx="469">
                  <v>4.45</v>
                </pt>
                <pt idx="470">
                  <v>4.47</v>
                </pt>
                <pt idx="471">
                  <v>4.32</v>
                </pt>
                <pt idx="472">
                  <v>4.25</v>
                </pt>
                <pt idx="473">
                  <v>4.33</v>
                </pt>
                <pt idx="474">
                  <v>4.2</v>
                </pt>
                <pt idx="475">
                  <v>4.25</v>
                </pt>
                <pt idx="476">
                  <v>4.16</v>
                </pt>
                <pt idx="477">
                  <v>4.11</v>
                </pt>
                <pt idx="478">
                  <v>4.14</v>
                </pt>
                <pt idx="479">
                  <v>4.22</v>
                </pt>
                <pt idx="480">
                  <v>4.23</v>
                </pt>
                <pt idx="481">
                  <v>4.21</v>
                </pt>
                <pt idx="482">
                  <v>4.02</v>
                </pt>
                <pt idx="483">
                  <v>3.92</v>
                </pt>
                <pt idx="484">
                  <v>3.91</v>
                </pt>
                <pt idx="485">
                  <v>3.93</v>
                </pt>
                <pt idx="486">
                  <v>3.93</v>
                </pt>
                <pt idx="487">
                  <v>3.85</v>
                </pt>
                <pt idx="488">
                  <v>3.89</v>
                </pt>
                <pt idx="489">
                  <v>3.9</v>
                </pt>
                <pt idx="490">
                  <v>3.89</v>
                </pt>
                <pt idx="491">
                  <v>3.78</v>
                </pt>
                <pt idx="492">
                  <v>3.84</v>
                </pt>
                <pt idx="493">
                  <v>3.86</v>
                </pt>
                <pt idx="494">
                  <v>3.89</v>
                </pt>
                <pt idx="495">
                  <v>3.94</v>
                </pt>
                <pt idx="496">
                  <v>3.92</v>
                </pt>
                <pt idx="497">
                  <v>4</v>
                </pt>
                <pt idx="498">
                  <v>4.05</v>
                </pt>
                <pt idx="499">
                  <v>4.02</v>
                </pt>
                <pt idx="500">
                  <v>4.01</v>
                </pt>
                <pt idx="501">
                  <v>4.03</v>
                </pt>
                <pt idx="502">
                  <v>3.97</v>
                </pt>
                <pt idx="503">
                  <v>3.93</v>
                </pt>
                <pt idx="504">
                  <v>3.98</v>
                </pt>
                <pt idx="505">
                  <v>4.05</v>
                </pt>
                <pt idx="506">
                  <v>4.1</v>
                </pt>
                <pt idx="507">
                  <v>4.14</v>
                </pt>
                <pt idx="508">
                  <v>4.13</v>
                </pt>
                <pt idx="509">
                  <v>4.1</v>
                </pt>
                <pt idx="510">
                  <v>4.13</v>
                </pt>
                <pt idx="511">
                  <v>4.18</v>
                </pt>
                <pt idx="512">
                  <v>4.12</v>
                </pt>
                <pt idx="513">
                  <v>4.07</v>
                </pt>
                <pt idx="514">
                  <v>4.03</v>
                </pt>
                <pt idx="515">
                  <v>3.91</v>
                </pt>
                <pt idx="516">
                  <v>3.88</v>
                </pt>
                <pt idx="517">
                  <v>4.02</v>
                </pt>
                <pt idx="518">
                  <v>4.16</v>
                </pt>
                <pt idx="519">
                  <v>4.15</v>
                </pt>
                <pt idx="520">
                  <v>4.11</v>
                </pt>
                <pt idx="521">
                  <v>4.15</v>
                </pt>
                <pt idx="522">
                  <v>4.17</v>
                </pt>
                <pt idx="523">
                  <v>4.17</v>
                </pt>
                <pt idx="524">
                  <v>4.32</v>
                </pt>
                <pt idx="525">
                  <v>4.26</v>
                </pt>
                <pt idx="526">
                  <v>4.22</v>
                </pt>
                <pt idx="527">
                  <v>4.27</v>
                </pt>
                <pt idx="528">
                  <v>4.31</v>
                </pt>
                <pt idx="529">
                  <v>4.27</v>
                </pt>
                <pt idx="530">
                  <v>4.31</v>
                </pt>
                <pt idx="531">
                  <v>4.33</v>
                </pt>
                <pt idx="532">
                  <v>4.24</v>
                </pt>
                <pt idx="533">
                  <v>4.28</v>
                </pt>
                <pt idx="534">
                  <v>4.3</v>
                </pt>
                <pt idx="535">
                  <v>4.26</v>
                </pt>
                <pt idx="536">
                  <v>4.25</v>
                </pt>
                <pt idx="537">
                  <v>4.18</v>
                </pt>
                <pt idx="538">
                  <v>4.18</v>
                </pt>
                <pt idx="539">
                  <v>4.21</v>
                </pt>
                <pt idx="540">
                  <v>4.15</v>
                </pt>
                <pt idx="541">
                  <v>4.1</v>
                </pt>
                <pt idx="542">
                  <v>4.08</v>
                </pt>
                <pt idx="543">
                  <v>4.09</v>
                </pt>
                <pt idx="544">
                  <v>4.15</v>
                </pt>
                <pt idx="545">
                  <v>4.18</v>
                </pt>
                <pt idx="546">
                  <v>4.29</v>
                </pt>
                <pt idx="547">
                  <v>4.3</v>
                </pt>
                <pt idx="548">
                  <v>4.32</v>
                </pt>
                <pt idx="549">
                  <v>4.29</v>
                </pt>
                <pt idx="550">
                  <v>4.27</v>
                </pt>
                <pt idx="551">
                  <v>4.26</v>
                </pt>
                <pt idx="552">
                  <v>4.2</v>
                </pt>
                <pt idx="553">
                  <v>4.23</v>
                </pt>
                <pt idx="554">
                  <v>4.18</v>
                </pt>
                <pt idx="555">
                  <v>4.2</v>
                </pt>
                <pt idx="556">
                  <v>4.31</v>
                </pt>
                <pt idx="557">
                  <v>4.35</v>
                </pt>
                <pt idx="558">
                  <v>4.35</v>
                </pt>
                <pt idx="559">
                  <v>4.3</v>
                </pt>
                <pt idx="560">
                  <v>4.4</v>
                </pt>
                <pt idx="561">
                  <v>4.42</v>
                </pt>
                <pt idx="562">
                  <v>4.36</v>
                </pt>
                <pt idx="563">
                  <v>4.54</v>
                </pt>
                <pt idx="564">
                  <v>4.51</v>
                </pt>
                <pt idx="565">
                  <v>4.61</v>
                </pt>
                <pt idx="566">
                  <v>4.66</v>
                </pt>
                <pt idx="567">
                  <v>4.63</v>
                </pt>
                <pt idx="568">
                  <v>4.62</v>
                </pt>
                <pt idx="569">
                  <v>4.61</v>
                </pt>
                <pt idx="570">
                  <v>4.6</v>
                </pt>
                <pt idx="571">
                  <v>4.64</v>
                </pt>
                <pt idx="572">
                  <v>4.7</v>
                </pt>
                <pt idx="573">
                  <v>4.66</v>
                </pt>
                <pt idx="574">
                  <v>4.61</v>
                </pt>
                <pt idx="575">
                  <v>4.68</v>
                </pt>
                <pt idx="576">
                  <v>4.58</v>
                </pt>
                <pt idx="577">
                  <v>4.49</v>
                </pt>
                <pt idx="578">
                  <v>4.48</v>
                </pt>
                <pt idx="579">
                  <v>4.46</v>
                </pt>
                <pt idx="580">
                  <v>4.5</v>
                </pt>
                <pt idx="581">
                  <v>4.45</v>
                </pt>
                <pt idx="582">
                  <v>4.5</v>
                </pt>
                <pt idx="583">
                  <v>4.49</v>
                </pt>
                <pt idx="584">
                  <v>4.44</v>
                </pt>
                <pt idx="585">
                  <v>4.34</v>
                </pt>
                <pt idx="586">
                  <v>4.37</v>
                </pt>
                <pt idx="587">
                  <v>4.42</v>
                </pt>
                <pt idx="588">
                  <v>4.42</v>
                </pt>
                <pt idx="589">
                  <v>4.41</v>
                </pt>
                <pt idx="590">
                  <v>4.42</v>
                </pt>
                <pt idx="591">
                  <v>4.47</v>
                </pt>
                <pt idx="592">
                  <v>4.46</v>
                </pt>
                <pt idx="593">
                  <v>4.46</v>
                </pt>
                <pt idx="594">
                  <v>4.54</v>
                </pt>
                <pt idx="595">
                  <v>4.61</v>
                </pt>
                <pt idx="596">
                  <v>4.55</v>
                </pt>
                <pt idx="597">
                  <v>4.5</v>
                </pt>
                <pt idx="598">
                  <v>4.39</v>
                </pt>
                <pt idx="599">
                  <v>4.33</v>
                </pt>
                <pt idx="600">
                  <v>4.27</v>
                </pt>
                <pt idx="601">
                  <v>4.28</v>
                </pt>
                <pt idx="602">
                  <v>4.43</v>
                </pt>
                <pt idx="603">
                  <v>4.47</v>
                </pt>
                <pt idx="604">
                  <v>4.4</v>
                </pt>
                <pt idx="605">
                  <v>4.31</v>
                </pt>
                <pt idx="606">
                  <v>4.24</v>
                </pt>
                <pt idx="607">
                  <v>4.22</v>
                </pt>
                <pt idx="608">
                  <v>4.21</v>
                </pt>
                <pt idx="609">
                  <v>4.23</v>
                </pt>
                <pt idx="610">
                  <v>4.26</v>
                </pt>
                <pt idx="611">
                  <v>4.25</v>
                </pt>
                <pt idx="612">
                  <v>4.23</v>
                </pt>
                <pt idx="613">
                  <v>4.24</v>
                </pt>
                <pt idx="614">
                  <v>4.32</v>
                </pt>
                <pt idx="615">
                  <v>4.28</v>
                </pt>
                <pt idx="616">
                  <v>4.39</v>
                </pt>
                <pt idx="617">
                  <v>4.47</v>
                </pt>
                <pt idx="618">
                  <v>4.43</v>
                </pt>
                <pt idx="619">
                  <v>4.35</v>
                </pt>
                <pt idx="620">
                  <v>4.37</v>
                </pt>
                <pt idx="621">
                  <v>4.27</v>
                </pt>
                <pt idx="622">
                  <v>4.28</v>
                </pt>
                <pt idx="623">
                  <v>4.29</v>
                </pt>
                <pt idx="624">
                  <v>4.28</v>
                </pt>
                <pt idx="625">
                  <v>4.21</v>
                </pt>
                <pt idx="626">
                  <v>4.18</v>
                </pt>
                <pt idx="627">
                  <v>4.23</v>
                </pt>
                <pt idx="628">
                  <v>4.16</v>
                </pt>
                <pt idx="629">
                  <v>4.2</v>
                </pt>
                <pt idx="630">
                  <v>4.24</v>
                </pt>
                <pt idx="631">
                  <v>4.25</v>
                </pt>
                <pt idx="632">
                  <v>4.25</v>
                </pt>
                <pt idx="633">
                  <v>4.28</v>
                </pt>
                <pt idx="634">
                  <v>4.24</v>
                </pt>
                <pt idx="635">
                  <v>4.23</v>
                </pt>
                <pt idx="636">
                  <v>4.18</v>
                </pt>
                <pt idx="637">
                  <v>4.14</v>
                </pt>
                <pt idx="638">
                  <v>4.03</v>
                </pt>
                <pt idx="639">
                  <v>3.98</v>
                </pt>
                <pt idx="640">
                  <v>3.79</v>
                </pt>
                <pt idx="641">
                  <v>3.77</v>
                </pt>
                <pt idx="642">
                  <v>3.88</v>
                </pt>
                <pt idx="643">
                  <v>3.92</v>
                </pt>
                <pt idx="644">
                  <v>3.99</v>
                </pt>
                <pt idx="645">
                  <v>3.94</v>
                </pt>
                <pt idx="646">
                  <v>3.907</v>
                </pt>
                <pt idx="647">
                  <v>3.846</v>
                </pt>
                <pt idx="648">
                  <v>3.839</v>
                </pt>
                <pt idx="649">
                  <v>3.883</v>
                </pt>
                <pt idx="650">
                  <v>3.875</v>
                </pt>
                <pt idx="651">
                  <v>3.81</v>
                </pt>
                <pt idx="652">
                  <v>3.799</v>
                </pt>
                <pt idx="653">
                  <v>3.858</v>
                </pt>
                <pt idx="654">
                  <v>3.795</v>
                </pt>
                <pt idx="655">
                  <v>3.82</v>
                </pt>
                <pt idx="656">
                  <v>3.829</v>
                </pt>
                <pt idx="657">
                  <v>3.839</v>
                </pt>
                <pt idx="658">
                  <v>3.863</v>
                </pt>
                <pt idx="659">
                  <v>3.909</v>
                </pt>
                <pt idx="660">
                  <v>3.926</v>
                </pt>
                <pt idx="661">
                  <v>3.831</v>
                </pt>
                <pt idx="662">
                  <v>3.757</v>
                </pt>
                <pt idx="663">
                  <v>3.725</v>
                </pt>
                <pt idx="664">
                  <v>3.716</v>
                </pt>
                <pt idx="665">
                  <v>3.702</v>
                </pt>
                <pt idx="666">
                  <v>3.64</v>
                </pt>
                <pt idx="667">
                  <v>3.661</v>
                </pt>
                <pt idx="668">
                  <v>3.68</v>
                </pt>
                <pt idx="669">
                  <v>3.657</v>
                </pt>
                <pt idx="670">
                  <v>3.618</v>
                </pt>
                <pt idx="671">
                  <v>3.648</v>
                </pt>
                <pt idx="672">
                  <v>3.713</v>
                </pt>
                <pt idx="673">
                  <v>3.719</v>
                </pt>
                <pt idx="674">
                  <v>3.741</v>
                </pt>
                <pt idx="675">
                  <v>3.751</v>
                </pt>
                <pt idx="676">
                  <v>3.732</v>
                </pt>
                <pt idx="677">
                  <v>3.791</v>
                </pt>
                <pt idx="678">
                  <v>3.796</v>
                </pt>
                <pt idx="679">
                  <v>3.751</v>
                </pt>
                <pt idx="680">
                  <v>3.787</v>
                </pt>
                <pt idx="681">
                  <v>3.731</v>
                </pt>
                <pt idx="682">
                  <v>3.846</v>
                </pt>
                <pt idx="683">
                  <v>3.981</v>
                </pt>
                <pt idx="684">
                  <v>4.026</v>
                </pt>
                <pt idx="685">
                  <v>4.035</v>
                </pt>
                <pt idx="686">
                  <v>4.067</v>
                </pt>
                <pt idx="687">
                  <v>4.094</v>
                </pt>
                <pt idx="688">
                  <v>4.073</v>
                </pt>
                <pt idx="689">
                  <v>4.073</v>
                </pt>
                <pt idx="690">
                  <v>4.038</v>
                </pt>
                <pt idx="691">
                  <v>4.016</v>
                </pt>
                <pt idx="692">
                  <v>4.096</v>
                </pt>
                <pt idx="693">
                  <v>4.075</v>
                </pt>
                <pt idx="694">
                  <v>4.182</v>
                </pt>
                <pt idx="695">
                  <v>4.206</v>
                </pt>
                <pt idx="696">
                  <v>4.242</v>
                </pt>
                <pt idx="697">
                  <v>4.202</v>
                </pt>
                <pt idx="698">
                  <v>4.232</v>
                </pt>
                <pt idx="699">
                  <v>4.278</v>
                </pt>
                <pt idx="700">
                  <v>4.274</v>
                </pt>
                <pt idx="701">
                  <v>4.299</v>
                </pt>
                <pt idx="702">
                  <v>4.281</v>
                </pt>
                <pt idx="703">
                  <v>4.385</v>
                </pt>
                <pt idx="704">
                  <v>4.286</v>
                </pt>
                <pt idx="705">
                  <v>4.28</v>
                </pt>
                <pt idx="706">
                  <v>4.431</v>
                </pt>
                <pt idx="707">
                  <v>4.325</v>
                </pt>
                <pt idx="708">
                  <v>4.305</v>
                </pt>
                <pt idx="709">
                  <v>4.305</v>
                </pt>
                <pt idx="710">
                  <v>4.429</v>
                </pt>
                <pt idx="711">
                  <v>4.45</v>
                </pt>
                <pt idx="712">
                  <v>4.445</v>
                </pt>
                <pt idx="713">
                  <v>4.413</v>
                </pt>
                <pt idx="714">
                  <v>4.395</v>
                </pt>
                <pt idx="715">
                  <v>4.419</v>
                </pt>
                <pt idx="716">
                  <v>4.411</v>
                </pt>
                <pt idx="717">
                  <v>4.274</v>
                </pt>
                <pt idx="718">
                  <v>4.294</v>
                </pt>
                <pt idx="719">
                  <v>4.26</v>
                </pt>
                <pt idx="720">
                  <v>4.26</v>
                </pt>
                <pt idx="721">
                  <v>4.177</v>
                </pt>
                <pt idx="722">
                  <v>4.195</v>
                </pt>
                <pt idx="723">
                  <v>4.226</v>
                </pt>
                <pt idx="724">
                  <v>4.183</v>
                </pt>
                <pt idx="725">
                  <v>4.177</v>
                </pt>
                <pt idx="726">
                  <v>4.148</v>
                </pt>
                <pt idx="727">
                  <v>4.2</v>
                </pt>
                <pt idx="728">
                  <v>4.227</v>
                </pt>
                <pt idx="729">
                  <v>4.274</v>
                </pt>
                <pt idx="730">
                  <v>4.335</v>
                </pt>
                <pt idx="731">
                  <v>4.394</v>
                </pt>
                <pt idx="732">
                  <v>4.402</v>
                </pt>
                <pt idx="733">
                  <v>4.394</v>
                </pt>
                <pt idx="734">
                  <v>4.518</v>
                </pt>
                <pt idx="735">
                  <v>4.565</v>
                </pt>
                <pt idx="736">
                  <v>4.529</v>
                </pt>
                <pt idx="737">
                  <v>4.588</v>
                </pt>
                <pt idx="738">
                  <v>4.59</v>
                </pt>
                <pt idx="739">
                  <v>4.584</v>
                </pt>
                <pt idx="740">
                  <v>4.629</v>
                </pt>
                <pt idx="741">
                  <v>4.532</v>
                </pt>
                <pt idx="742">
                  <v>4.572</v>
                </pt>
                <pt idx="743">
                  <v>4.572</v>
                </pt>
                <pt idx="744">
                  <v>4.561</v>
                </pt>
                <pt idx="745">
                  <v>4.601</v>
                </pt>
                <pt idx="746">
                  <v>4.623</v>
                </pt>
                <pt idx="747">
                  <v>4.684</v>
                </pt>
                <pt idx="748">
                  <v>4.692</v>
                </pt>
                <pt idx="749">
                  <v>4.688</v>
                </pt>
                <pt idx="750">
                  <v>4.762</v>
                </pt>
                <pt idx="751">
                  <v>4.789</v>
                </pt>
                <pt idx="752">
                  <v>4.792</v>
                </pt>
                <pt idx="753">
                  <v>4.654</v>
                </pt>
                <pt idx="754">
                  <v>4.611</v>
                </pt>
                <pt idx="755">
                  <v>4.622</v>
                </pt>
                <pt idx="756">
                  <v>4.622</v>
                </pt>
                <pt idx="757">
                  <v>4.572</v>
                </pt>
                <pt idx="758">
                  <v>4.612</v>
                </pt>
                <pt idx="759">
                  <v>4.645</v>
                </pt>
                <pt idx="760">
                  <v>4.616</v>
                </pt>
                <pt idx="761">
                  <v>4.533</v>
                </pt>
                <pt idx="762">
                  <v>4.533</v>
                </pt>
                <pt idx="763">
                  <v>4.533</v>
                </pt>
                <pt idx="764">
                  <v>4.519</v>
                </pt>
                <pt idx="765">
                  <v>4.542</v>
                </pt>
                <pt idx="766">
                  <v>4.542</v>
                </pt>
                <pt idx="767">
                  <v>4.551</v>
                </pt>
                <pt idx="768">
                  <v>4.512</v>
                </pt>
                <pt idx="769">
                  <v>4.423</v>
                </pt>
                <pt idx="770">
                  <v>4.435</v>
                </pt>
                <pt idx="771">
                  <v>4.494</v>
                </pt>
                <pt idx="772">
                  <v>4.5</v>
                </pt>
                <pt idx="773">
                  <v>4.536</v>
                </pt>
                <pt idx="774">
                  <v>4.625</v>
                </pt>
                <pt idx="775">
                  <v>4.532</v>
                </pt>
                <pt idx="776">
                  <v>4.477</v>
                </pt>
                <pt idx="777">
                  <v>4.477</v>
                </pt>
                <pt idx="778">
                  <v>4.551</v>
                </pt>
                <pt idx="779">
                  <v>4.534</v>
                </pt>
                <pt idx="780">
                  <v>4.506</v>
                </pt>
                <pt idx="781">
                  <v>4.43</v>
                </pt>
                <pt idx="782">
                  <v>4.399</v>
                </pt>
                <pt idx="783">
                  <v>4.297</v>
                </pt>
                <pt idx="784">
                  <v>4.265</v>
                </pt>
                <pt idx="785">
                  <v>4.202</v>
                </pt>
                <pt idx="786">
                  <v>4.158</v>
                </pt>
                <pt idx="787">
                  <v>4.241</v>
                </pt>
                <pt idx="788">
                  <v>4.279</v>
                </pt>
                <pt idx="789">
                  <v>4.279</v>
                </pt>
                <pt idx="790">
                  <v>4.304</v>
                </pt>
                <pt idx="791">
                  <v>4.218</v>
                </pt>
                <pt idx="792">
                  <v>4.281</v>
                </pt>
                <pt idx="793">
                  <v>4.315</v>
                </pt>
                <pt idx="794">
                  <v>4.269</v>
                </pt>
                <pt idx="795">
                  <v>4.298</v>
                </pt>
                <pt idx="796">
                  <v>4.283</v>
                </pt>
                <pt idx="797">
                  <v>4.246</v>
                </pt>
                <pt idx="798">
                  <v>4.24</v>
                </pt>
                <pt idx="799">
                  <v>4.249</v>
                </pt>
                <pt idx="800">
                  <v>4.338</v>
                </pt>
                <pt idx="801">
                  <v>4.316</v>
                </pt>
                <pt idx="802">
                  <v>4.353</v>
                </pt>
                <pt idx="803">
                  <v>4.36</v>
                </pt>
                <pt idx="804">
                  <v>4.251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85595520"/>
        <axId val="285593984"/>
      </lineChart>
      <dateAx>
        <axId val="285582464"/>
        <scaling>
          <orientation val="minMax"/>
        </scaling>
        <delete val="0"/>
        <axPos val="b"/>
        <numFmt formatCode="m/d/yyyy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85584000"/>
        <crosses val="autoZero"/>
        <lblOffset val="100"/>
        <baseTimeUnit val="days"/>
      </dateAx>
      <valAx>
        <axId val="2855840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85582464"/>
        <crosses val="autoZero"/>
        <crossBetween val="between"/>
      </valAx>
      <dateAx>
        <axId val="285595520"/>
        <scaling>
          <orientation val="minMax"/>
        </scaling>
        <delete val="1"/>
        <axPos val="b"/>
        <numFmt formatCode="m/d/yyyy" sourceLinked="1"/>
        <majorTickMark val="out"/>
        <minorTickMark val="none"/>
        <tickLblPos val="nextTo"/>
        <crossAx val="285593984"/>
        <crosses val="autoZero"/>
        <lblOffset val="100"/>
        <baseTimeUnit val="days"/>
      </dateAx>
      <valAx>
        <axId val="285593984"/>
        <scaling>
          <orientation val="minMax"/>
        </scaling>
        <delete val="0"/>
        <axPos val="r"/>
        <numFmt formatCode="0.00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85595520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 xml:space="preserve"> Cap Mov</a:t>
            </a:r>
            <a:r>
              <a:rPr lang="en-GB" sz="1600" b="1"/>
              <a:t>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'EVI 2025 Workings'!$E$1</f>
              <strCache>
                <ptCount val="1"/>
                <pt idx="0">
                  <v>USD/INR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'EVI 2025 Workings'!$B$2:$B$806</f>
              <numCache>
                <formatCode>m/d/yyyy</formatCode>
                <ptCount val="805"/>
                <pt idx="0">
                  <v>44564</v>
                </pt>
                <pt idx="1">
                  <v>44565</v>
                </pt>
                <pt idx="2">
                  <v>44566</v>
                </pt>
                <pt idx="3">
                  <v>44567</v>
                </pt>
                <pt idx="4">
                  <v>44568</v>
                </pt>
                <pt idx="5">
                  <v>44571</v>
                </pt>
                <pt idx="6">
                  <v>44572</v>
                </pt>
                <pt idx="7">
                  <v>44573</v>
                </pt>
                <pt idx="8">
                  <v>44574</v>
                </pt>
                <pt idx="9">
                  <v>44575</v>
                </pt>
                <pt idx="10">
                  <v>44578</v>
                </pt>
                <pt idx="11">
                  <v>44579</v>
                </pt>
                <pt idx="12">
                  <v>44580</v>
                </pt>
                <pt idx="13">
                  <v>44581</v>
                </pt>
                <pt idx="14">
                  <v>44582</v>
                </pt>
                <pt idx="15">
                  <v>44585</v>
                </pt>
                <pt idx="16">
                  <v>44586</v>
                </pt>
                <pt idx="17">
                  <v>44588</v>
                </pt>
                <pt idx="18">
                  <v>44589</v>
                </pt>
                <pt idx="19">
                  <v>44592</v>
                </pt>
                <pt idx="20">
                  <v>44593</v>
                </pt>
                <pt idx="21">
                  <v>44594</v>
                </pt>
                <pt idx="22">
                  <v>44595</v>
                </pt>
                <pt idx="23">
                  <v>44596</v>
                </pt>
                <pt idx="24">
                  <v>44599</v>
                </pt>
                <pt idx="25">
                  <v>44600</v>
                </pt>
                <pt idx="26">
                  <v>44601</v>
                </pt>
                <pt idx="27">
                  <v>44602</v>
                </pt>
                <pt idx="28">
                  <v>44603</v>
                </pt>
                <pt idx="29">
                  <v>44606</v>
                </pt>
                <pt idx="30">
                  <v>44607</v>
                </pt>
                <pt idx="31">
                  <v>44608</v>
                </pt>
                <pt idx="32">
                  <v>44609</v>
                </pt>
                <pt idx="33">
                  <v>44610</v>
                </pt>
                <pt idx="34">
                  <v>44613</v>
                </pt>
                <pt idx="35">
                  <v>44614</v>
                </pt>
                <pt idx="36">
                  <v>44615</v>
                </pt>
                <pt idx="37">
                  <v>44616</v>
                </pt>
                <pt idx="38">
                  <v>44617</v>
                </pt>
                <pt idx="39">
                  <v>44620</v>
                </pt>
                <pt idx="40">
                  <v>44622</v>
                </pt>
                <pt idx="41">
                  <v>44623</v>
                </pt>
                <pt idx="42">
                  <v>44624</v>
                </pt>
                <pt idx="43">
                  <v>44627</v>
                </pt>
                <pt idx="44">
                  <v>44628</v>
                </pt>
                <pt idx="45">
                  <v>44629</v>
                </pt>
                <pt idx="46">
                  <v>44630</v>
                </pt>
                <pt idx="47">
                  <v>44631</v>
                </pt>
                <pt idx="48">
                  <v>44634</v>
                </pt>
                <pt idx="49">
                  <v>44635</v>
                </pt>
                <pt idx="50">
                  <v>44636</v>
                </pt>
                <pt idx="51">
                  <v>44637</v>
                </pt>
                <pt idx="52">
                  <v>44641</v>
                </pt>
                <pt idx="53">
                  <v>44642</v>
                </pt>
                <pt idx="54">
                  <v>44643</v>
                </pt>
                <pt idx="55">
                  <v>44644</v>
                </pt>
                <pt idx="56">
                  <v>44645</v>
                </pt>
                <pt idx="57">
                  <v>44648</v>
                </pt>
                <pt idx="58">
                  <v>44649</v>
                </pt>
                <pt idx="59">
                  <v>44650</v>
                </pt>
                <pt idx="60">
                  <v>44651</v>
                </pt>
                <pt idx="61">
                  <v>44652</v>
                </pt>
                <pt idx="62">
                  <v>44655</v>
                </pt>
                <pt idx="63">
                  <v>44656</v>
                </pt>
                <pt idx="64">
                  <v>44657</v>
                </pt>
                <pt idx="65">
                  <v>44658</v>
                </pt>
                <pt idx="66">
                  <v>44659</v>
                </pt>
                <pt idx="67">
                  <v>44662</v>
                </pt>
                <pt idx="68">
                  <v>44663</v>
                </pt>
                <pt idx="69">
                  <v>44664</v>
                </pt>
                <pt idx="70">
                  <v>44669</v>
                </pt>
                <pt idx="71">
                  <v>44670</v>
                </pt>
                <pt idx="72">
                  <v>44671</v>
                </pt>
                <pt idx="73">
                  <v>44672</v>
                </pt>
                <pt idx="74">
                  <v>44673</v>
                </pt>
                <pt idx="75">
                  <v>44676</v>
                </pt>
                <pt idx="76">
                  <v>44677</v>
                </pt>
                <pt idx="77">
                  <v>44678</v>
                </pt>
                <pt idx="78">
                  <v>44679</v>
                </pt>
                <pt idx="79">
                  <v>44680</v>
                </pt>
                <pt idx="80">
                  <v>44683</v>
                </pt>
                <pt idx="81">
                  <v>44685</v>
                </pt>
                <pt idx="82">
                  <v>44686</v>
                </pt>
                <pt idx="83">
                  <v>44687</v>
                </pt>
                <pt idx="84">
                  <v>44690</v>
                </pt>
                <pt idx="85">
                  <v>44691</v>
                </pt>
                <pt idx="86">
                  <v>44692</v>
                </pt>
                <pt idx="87">
                  <v>44693</v>
                </pt>
                <pt idx="88">
                  <v>44694</v>
                </pt>
                <pt idx="89">
                  <v>44697</v>
                </pt>
                <pt idx="90">
                  <v>44698</v>
                </pt>
                <pt idx="91">
                  <v>44699</v>
                </pt>
                <pt idx="92">
                  <v>44700</v>
                </pt>
                <pt idx="93">
                  <v>44701</v>
                </pt>
                <pt idx="94">
                  <v>44704</v>
                </pt>
                <pt idx="95">
                  <v>44705</v>
                </pt>
                <pt idx="96">
                  <v>44706</v>
                </pt>
                <pt idx="97">
                  <v>44707</v>
                </pt>
                <pt idx="98">
                  <v>44708</v>
                </pt>
                <pt idx="99">
                  <v>44711</v>
                </pt>
                <pt idx="100">
                  <v>44712</v>
                </pt>
                <pt idx="101">
                  <v>44713</v>
                </pt>
                <pt idx="102">
                  <v>44714</v>
                </pt>
                <pt idx="103">
                  <v>44715</v>
                </pt>
                <pt idx="104">
                  <v>44718</v>
                </pt>
                <pt idx="105">
                  <v>44719</v>
                </pt>
                <pt idx="106">
                  <v>44720</v>
                </pt>
                <pt idx="107">
                  <v>44721</v>
                </pt>
                <pt idx="108">
                  <v>44722</v>
                </pt>
                <pt idx="109">
                  <v>44725</v>
                </pt>
                <pt idx="110">
                  <v>44726</v>
                </pt>
                <pt idx="111">
                  <v>44727</v>
                </pt>
                <pt idx="112">
                  <v>44728</v>
                </pt>
                <pt idx="113">
                  <v>44729</v>
                </pt>
                <pt idx="114">
                  <v>44732</v>
                </pt>
                <pt idx="115">
                  <v>44733</v>
                </pt>
                <pt idx="116">
                  <v>44734</v>
                </pt>
                <pt idx="117">
                  <v>44735</v>
                </pt>
                <pt idx="118">
                  <v>44736</v>
                </pt>
                <pt idx="119">
                  <v>44739</v>
                </pt>
                <pt idx="120">
                  <v>44740</v>
                </pt>
                <pt idx="121">
                  <v>44741</v>
                </pt>
                <pt idx="122">
                  <v>44742</v>
                </pt>
                <pt idx="123">
                  <v>44743</v>
                </pt>
                <pt idx="124">
                  <v>44746</v>
                </pt>
                <pt idx="125">
                  <v>44747</v>
                </pt>
                <pt idx="126">
                  <v>44748</v>
                </pt>
                <pt idx="127">
                  <v>44749</v>
                </pt>
                <pt idx="128">
                  <v>44750</v>
                </pt>
                <pt idx="129">
                  <v>44753</v>
                </pt>
                <pt idx="130">
                  <v>44754</v>
                </pt>
                <pt idx="131">
                  <v>44755</v>
                </pt>
                <pt idx="132">
                  <v>44756</v>
                </pt>
                <pt idx="133">
                  <v>44757</v>
                </pt>
                <pt idx="134">
                  <v>44760</v>
                </pt>
                <pt idx="135">
                  <v>44761</v>
                </pt>
                <pt idx="136">
                  <v>44762</v>
                </pt>
                <pt idx="137">
                  <v>44763</v>
                </pt>
                <pt idx="138">
                  <v>44764</v>
                </pt>
                <pt idx="139">
                  <v>44767</v>
                </pt>
                <pt idx="140">
                  <v>44768</v>
                </pt>
                <pt idx="141">
                  <v>44769</v>
                </pt>
                <pt idx="142">
                  <v>44770</v>
                </pt>
                <pt idx="143">
                  <v>44771</v>
                </pt>
                <pt idx="144">
                  <v>44774</v>
                </pt>
                <pt idx="145">
                  <v>44775</v>
                </pt>
                <pt idx="146">
                  <v>44776</v>
                </pt>
                <pt idx="147">
                  <v>44777</v>
                </pt>
                <pt idx="148">
                  <v>44778</v>
                </pt>
                <pt idx="149">
                  <v>44781</v>
                </pt>
                <pt idx="150">
                  <v>44783</v>
                </pt>
                <pt idx="151">
                  <v>44784</v>
                </pt>
                <pt idx="152">
                  <v>44785</v>
                </pt>
                <pt idx="153">
                  <v>44789</v>
                </pt>
                <pt idx="154">
                  <v>44790</v>
                </pt>
                <pt idx="155">
                  <v>44791</v>
                </pt>
                <pt idx="156">
                  <v>44792</v>
                </pt>
                <pt idx="157">
                  <v>44795</v>
                </pt>
                <pt idx="158">
                  <v>44796</v>
                </pt>
                <pt idx="159">
                  <v>44797</v>
                </pt>
                <pt idx="160">
                  <v>44798</v>
                </pt>
                <pt idx="161">
                  <v>44799</v>
                </pt>
                <pt idx="162">
                  <v>44802</v>
                </pt>
                <pt idx="163">
                  <v>44803</v>
                </pt>
                <pt idx="164">
                  <v>44805</v>
                </pt>
                <pt idx="165">
                  <v>44806</v>
                </pt>
                <pt idx="166">
                  <v>44809</v>
                </pt>
                <pt idx="167">
                  <v>44810</v>
                </pt>
                <pt idx="168">
                  <v>44811</v>
                </pt>
                <pt idx="169">
                  <v>44812</v>
                </pt>
                <pt idx="170">
                  <v>44813</v>
                </pt>
                <pt idx="171">
                  <v>44816</v>
                </pt>
                <pt idx="172">
                  <v>44817</v>
                </pt>
                <pt idx="173">
                  <v>44818</v>
                </pt>
                <pt idx="174">
                  <v>44819</v>
                </pt>
                <pt idx="175">
                  <v>44820</v>
                </pt>
                <pt idx="176">
                  <v>44823</v>
                </pt>
                <pt idx="177">
                  <v>44824</v>
                </pt>
                <pt idx="178">
                  <v>44825</v>
                </pt>
                <pt idx="179">
                  <v>44826</v>
                </pt>
                <pt idx="180">
                  <v>44827</v>
                </pt>
                <pt idx="181">
                  <v>44830</v>
                </pt>
                <pt idx="182">
                  <v>44831</v>
                </pt>
                <pt idx="183">
                  <v>44832</v>
                </pt>
                <pt idx="184">
                  <v>44833</v>
                </pt>
                <pt idx="185">
                  <v>44834</v>
                </pt>
                <pt idx="186">
                  <v>44837</v>
                </pt>
                <pt idx="187">
                  <v>44838</v>
                </pt>
                <pt idx="188">
                  <v>44840</v>
                </pt>
                <pt idx="189">
                  <v>44841</v>
                </pt>
                <pt idx="190">
                  <v>44844</v>
                </pt>
                <pt idx="191">
                  <v>44845</v>
                </pt>
                <pt idx="192">
                  <v>44846</v>
                </pt>
                <pt idx="193">
                  <v>44847</v>
                </pt>
                <pt idx="194">
                  <v>44848</v>
                </pt>
                <pt idx="195">
                  <v>44851</v>
                </pt>
                <pt idx="196">
                  <v>44852</v>
                </pt>
                <pt idx="197">
                  <v>44853</v>
                </pt>
                <pt idx="198">
                  <v>44854</v>
                </pt>
                <pt idx="199">
                  <v>44855</v>
                </pt>
                <pt idx="200">
                  <v>44858</v>
                </pt>
                <pt idx="201">
                  <v>44859</v>
                </pt>
                <pt idx="202">
                  <v>44861</v>
                </pt>
                <pt idx="203">
                  <v>44862</v>
                </pt>
                <pt idx="204">
                  <v>44865</v>
                </pt>
                <pt idx="205">
                  <v>44866</v>
                </pt>
                <pt idx="206">
                  <v>44867</v>
                </pt>
                <pt idx="207">
                  <v>44868</v>
                </pt>
                <pt idx="208">
                  <v>44869</v>
                </pt>
                <pt idx="209">
                  <v>44872</v>
                </pt>
                <pt idx="210">
                  <v>44874</v>
                </pt>
                <pt idx="211">
                  <v>44875</v>
                </pt>
                <pt idx="212">
                  <v>44876</v>
                </pt>
                <pt idx="213">
                  <v>44879</v>
                </pt>
                <pt idx="214">
                  <v>44880</v>
                </pt>
                <pt idx="215">
                  <v>44881</v>
                </pt>
                <pt idx="216">
                  <v>44882</v>
                </pt>
                <pt idx="217">
                  <v>44883</v>
                </pt>
                <pt idx="218">
                  <v>44886</v>
                </pt>
                <pt idx="219">
                  <v>44887</v>
                </pt>
                <pt idx="220">
                  <v>44888</v>
                </pt>
                <pt idx="221">
                  <v>44889</v>
                </pt>
                <pt idx="222">
                  <v>44890</v>
                </pt>
                <pt idx="223">
                  <v>44893</v>
                </pt>
                <pt idx="224">
                  <v>44894</v>
                </pt>
                <pt idx="225">
                  <v>44895</v>
                </pt>
                <pt idx="226">
                  <v>44896</v>
                </pt>
                <pt idx="227">
                  <v>44897</v>
                </pt>
                <pt idx="228">
                  <v>44900</v>
                </pt>
                <pt idx="229">
                  <v>44901</v>
                </pt>
                <pt idx="230">
                  <v>44902</v>
                </pt>
                <pt idx="231">
                  <v>44903</v>
                </pt>
                <pt idx="232">
                  <v>44904</v>
                </pt>
                <pt idx="233">
                  <v>44907</v>
                </pt>
                <pt idx="234">
                  <v>44908</v>
                </pt>
                <pt idx="235">
                  <v>44909</v>
                </pt>
                <pt idx="236">
                  <v>44910</v>
                </pt>
                <pt idx="237">
                  <v>44911</v>
                </pt>
                <pt idx="238">
                  <v>44914</v>
                </pt>
                <pt idx="239">
                  <v>44915</v>
                </pt>
                <pt idx="240">
                  <v>44916</v>
                </pt>
                <pt idx="241">
                  <v>44917</v>
                </pt>
                <pt idx="242">
                  <v>44918</v>
                </pt>
                <pt idx="243">
                  <v>44921</v>
                </pt>
                <pt idx="244">
                  <v>44922</v>
                </pt>
                <pt idx="245">
                  <v>44923</v>
                </pt>
                <pt idx="246">
                  <v>44924</v>
                </pt>
                <pt idx="247">
                  <v>44925</v>
                </pt>
                <pt idx="248">
                  <v>44928</v>
                </pt>
                <pt idx="249">
                  <v>44929</v>
                </pt>
                <pt idx="250">
                  <v>44930</v>
                </pt>
                <pt idx="251">
                  <v>44931</v>
                </pt>
                <pt idx="252">
                  <v>44932</v>
                </pt>
                <pt idx="253">
                  <v>44935</v>
                </pt>
                <pt idx="254">
                  <v>44936</v>
                </pt>
                <pt idx="255">
                  <v>44937</v>
                </pt>
                <pt idx="256">
                  <v>44938</v>
                </pt>
                <pt idx="257">
                  <v>44939</v>
                </pt>
                <pt idx="258">
                  <v>44942</v>
                </pt>
                <pt idx="259">
                  <v>44943</v>
                </pt>
                <pt idx="260">
                  <v>44944</v>
                </pt>
                <pt idx="261">
                  <v>44945</v>
                </pt>
                <pt idx="262">
                  <v>44946</v>
                </pt>
                <pt idx="263">
                  <v>44949</v>
                </pt>
                <pt idx="264">
                  <v>44950</v>
                </pt>
                <pt idx="265">
                  <v>44951</v>
                </pt>
                <pt idx="266">
                  <v>44953</v>
                </pt>
                <pt idx="267">
                  <v>44956</v>
                </pt>
                <pt idx="268">
                  <v>44957</v>
                </pt>
                <pt idx="269">
                  <v>44958</v>
                </pt>
                <pt idx="270">
                  <v>44959</v>
                </pt>
                <pt idx="271">
                  <v>44960</v>
                </pt>
                <pt idx="272">
                  <v>44963</v>
                </pt>
                <pt idx="273">
                  <v>44964</v>
                </pt>
                <pt idx="274">
                  <v>44965</v>
                </pt>
                <pt idx="275">
                  <v>44966</v>
                </pt>
                <pt idx="276">
                  <v>44967</v>
                </pt>
                <pt idx="277">
                  <v>44970</v>
                </pt>
                <pt idx="278">
                  <v>44971</v>
                </pt>
                <pt idx="279">
                  <v>44972</v>
                </pt>
                <pt idx="280">
                  <v>44973</v>
                </pt>
                <pt idx="281">
                  <v>44974</v>
                </pt>
                <pt idx="282">
                  <v>44977</v>
                </pt>
                <pt idx="283">
                  <v>44978</v>
                </pt>
                <pt idx="284">
                  <v>44979</v>
                </pt>
                <pt idx="285">
                  <v>44980</v>
                </pt>
                <pt idx="286">
                  <v>44981</v>
                </pt>
                <pt idx="287">
                  <v>44984</v>
                </pt>
                <pt idx="288">
                  <v>44985</v>
                </pt>
                <pt idx="289">
                  <v>44986</v>
                </pt>
                <pt idx="290">
                  <v>44987</v>
                </pt>
                <pt idx="291">
                  <v>44988</v>
                </pt>
                <pt idx="292">
                  <v>44991</v>
                </pt>
                <pt idx="293">
                  <v>44993</v>
                </pt>
                <pt idx="294">
                  <v>44994</v>
                </pt>
                <pt idx="295">
                  <v>44995</v>
                </pt>
                <pt idx="296">
                  <v>44998</v>
                </pt>
                <pt idx="297">
                  <v>44999</v>
                </pt>
                <pt idx="298">
                  <v>45000</v>
                </pt>
                <pt idx="299">
                  <v>45001</v>
                </pt>
                <pt idx="300">
                  <v>45002</v>
                </pt>
                <pt idx="301">
                  <v>45005</v>
                </pt>
                <pt idx="302">
                  <v>45006</v>
                </pt>
                <pt idx="303">
                  <v>45007</v>
                </pt>
                <pt idx="304">
                  <v>45008</v>
                </pt>
                <pt idx="305">
                  <v>45009</v>
                </pt>
                <pt idx="306">
                  <v>45012</v>
                </pt>
                <pt idx="307">
                  <v>45013</v>
                </pt>
                <pt idx="308">
                  <v>45014</v>
                </pt>
                <pt idx="309">
                  <v>45016</v>
                </pt>
                <pt idx="310">
                  <v>45019</v>
                </pt>
                <pt idx="311">
                  <v>45021</v>
                </pt>
                <pt idx="312">
                  <v>45022</v>
                </pt>
                <pt idx="313">
                  <v>45026</v>
                </pt>
                <pt idx="314">
                  <v>45027</v>
                </pt>
                <pt idx="315">
                  <v>45028</v>
                </pt>
                <pt idx="316">
                  <v>45029</v>
                </pt>
                <pt idx="317">
                  <v>45033</v>
                </pt>
                <pt idx="318">
                  <v>45034</v>
                </pt>
                <pt idx="319">
                  <v>45035</v>
                </pt>
                <pt idx="320">
                  <v>45036</v>
                </pt>
                <pt idx="321">
                  <v>45037</v>
                </pt>
                <pt idx="322">
                  <v>45040</v>
                </pt>
                <pt idx="323">
                  <v>45041</v>
                </pt>
                <pt idx="324">
                  <v>45042</v>
                </pt>
                <pt idx="325">
                  <v>45043</v>
                </pt>
                <pt idx="326">
                  <v>45044</v>
                </pt>
                <pt idx="327">
                  <v>45048</v>
                </pt>
                <pt idx="328">
                  <v>45049</v>
                </pt>
                <pt idx="329">
                  <v>45050</v>
                </pt>
                <pt idx="330">
                  <v>45051</v>
                </pt>
                <pt idx="331">
                  <v>45054</v>
                </pt>
                <pt idx="332">
                  <v>45055</v>
                </pt>
                <pt idx="333">
                  <v>45056</v>
                </pt>
                <pt idx="334">
                  <v>45057</v>
                </pt>
                <pt idx="335">
                  <v>45058</v>
                </pt>
                <pt idx="336">
                  <v>45061</v>
                </pt>
                <pt idx="337">
                  <v>45062</v>
                </pt>
                <pt idx="338">
                  <v>45063</v>
                </pt>
                <pt idx="339">
                  <v>45064</v>
                </pt>
                <pt idx="340">
                  <v>45065</v>
                </pt>
                <pt idx="341">
                  <v>45068</v>
                </pt>
                <pt idx="342">
                  <v>45069</v>
                </pt>
                <pt idx="343">
                  <v>45070</v>
                </pt>
                <pt idx="344">
                  <v>45071</v>
                </pt>
                <pt idx="345">
                  <v>45072</v>
                </pt>
                <pt idx="346">
                  <v>45075</v>
                </pt>
                <pt idx="347">
                  <v>45076</v>
                </pt>
                <pt idx="348">
                  <v>45077</v>
                </pt>
                <pt idx="349">
                  <v>45078</v>
                </pt>
                <pt idx="350">
                  <v>45079</v>
                </pt>
                <pt idx="351">
                  <v>45082</v>
                </pt>
                <pt idx="352">
                  <v>45083</v>
                </pt>
                <pt idx="353">
                  <v>45084</v>
                </pt>
                <pt idx="354">
                  <v>45085</v>
                </pt>
                <pt idx="355">
                  <v>45086</v>
                </pt>
                <pt idx="356">
                  <v>45089</v>
                </pt>
                <pt idx="357">
                  <v>45090</v>
                </pt>
                <pt idx="358">
                  <v>45091</v>
                </pt>
                <pt idx="359">
                  <v>45092</v>
                </pt>
                <pt idx="360">
                  <v>45093</v>
                </pt>
                <pt idx="361">
                  <v>45096</v>
                </pt>
                <pt idx="362">
                  <v>45097</v>
                </pt>
                <pt idx="363">
                  <v>45098</v>
                </pt>
                <pt idx="364">
                  <v>45099</v>
                </pt>
                <pt idx="365">
                  <v>45100</v>
                </pt>
                <pt idx="366">
                  <v>45103</v>
                </pt>
                <pt idx="367">
                  <v>45104</v>
                </pt>
                <pt idx="368">
                  <v>45105</v>
                </pt>
                <pt idx="369">
                  <v>45107</v>
                </pt>
                <pt idx="370">
                  <v>45110</v>
                </pt>
                <pt idx="371">
                  <v>45111</v>
                </pt>
                <pt idx="372">
                  <v>45112</v>
                </pt>
                <pt idx="373">
                  <v>45113</v>
                </pt>
                <pt idx="374">
                  <v>45114</v>
                </pt>
                <pt idx="375">
                  <v>45117</v>
                </pt>
                <pt idx="376">
                  <v>45118</v>
                </pt>
                <pt idx="377">
                  <v>45119</v>
                </pt>
                <pt idx="378">
                  <v>45120</v>
                </pt>
                <pt idx="379">
                  <v>45121</v>
                </pt>
                <pt idx="380">
                  <v>45124</v>
                </pt>
                <pt idx="381">
                  <v>45125</v>
                </pt>
                <pt idx="382">
                  <v>45126</v>
                </pt>
                <pt idx="383">
                  <v>45127</v>
                </pt>
                <pt idx="384">
                  <v>45128</v>
                </pt>
                <pt idx="385">
                  <v>45131</v>
                </pt>
                <pt idx="386">
                  <v>45132</v>
                </pt>
                <pt idx="387">
                  <v>45133</v>
                </pt>
                <pt idx="388">
                  <v>45134</v>
                </pt>
                <pt idx="389">
                  <v>45135</v>
                </pt>
                <pt idx="390">
                  <v>45138</v>
                </pt>
                <pt idx="391">
                  <v>45139</v>
                </pt>
                <pt idx="392">
                  <v>45140</v>
                </pt>
                <pt idx="393">
                  <v>45141</v>
                </pt>
                <pt idx="394">
                  <v>45142</v>
                </pt>
                <pt idx="395">
                  <v>45145</v>
                </pt>
                <pt idx="396">
                  <v>45146</v>
                </pt>
                <pt idx="397">
                  <v>45147</v>
                </pt>
                <pt idx="398">
                  <v>45148</v>
                </pt>
                <pt idx="399">
                  <v>45149</v>
                </pt>
                <pt idx="400">
                  <v>45152</v>
                </pt>
                <pt idx="401">
                  <v>45154</v>
                </pt>
                <pt idx="402">
                  <v>45155</v>
                </pt>
                <pt idx="403">
                  <v>45156</v>
                </pt>
                <pt idx="404">
                  <v>45159</v>
                </pt>
                <pt idx="405">
                  <v>45160</v>
                </pt>
                <pt idx="406">
                  <v>45161</v>
                </pt>
                <pt idx="407">
                  <v>45162</v>
                </pt>
                <pt idx="408">
                  <v>45163</v>
                </pt>
                <pt idx="409">
                  <v>45166</v>
                </pt>
                <pt idx="410">
                  <v>45167</v>
                </pt>
                <pt idx="411">
                  <v>45168</v>
                </pt>
                <pt idx="412">
                  <v>45169</v>
                </pt>
                <pt idx="413">
                  <v>45170</v>
                </pt>
                <pt idx="414">
                  <v>45173</v>
                </pt>
                <pt idx="415">
                  <v>45174</v>
                </pt>
                <pt idx="416">
                  <v>45175</v>
                </pt>
                <pt idx="417">
                  <v>45176</v>
                </pt>
                <pt idx="418">
                  <v>45177</v>
                </pt>
                <pt idx="419">
                  <v>45180</v>
                </pt>
                <pt idx="420">
                  <v>45181</v>
                </pt>
                <pt idx="421">
                  <v>45182</v>
                </pt>
                <pt idx="422">
                  <v>45183</v>
                </pt>
                <pt idx="423">
                  <v>45184</v>
                </pt>
                <pt idx="424">
                  <v>45187</v>
                </pt>
                <pt idx="425">
                  <v>45189</v>
                </pt>
                <pt idx="426">
                  <v>45190</v>
                </pt>
                <pt idx="427">
                  <v>45191</v>
                </pt>
                <pt idx="428">
                  <v>45194</v>
                </pt>
                <pt idx="429">
                  <v>45195</v>
                </pt>
                <pt idx="430">
                  <v>45196</v>
                </pt>
                <pt idx="431">
                  <v>45197</v>
                </pt>
                <pt idx="432">
                  <v>45198</v>
                </pt>
                <pt idx="433">
                  <v>45202</v>
                </pt>
                <pt idx="434">
                  <v>45203</v>
                </pt>
                <pt idx="435">
                  <v>45204</v>
                </pt>
                <pt idx="436">
                  <v>45205</v>
                </pt>
                <pt idx="437">
                  <v>45208</v>
                </pt>
                <pt idx="438">
                  <v>45209</v>
                </pt>
                <pt idx="439">
                  <v>45210</v>
                </pt>
                <pt idx="440">
                  <v>45211</v>
                </pt>
                <pt idx="441">
                  <v>45212</v>
                </pt>
                <pt idx="442">
                  <v>45215</v>
                </pt>
                <pt idx="443">
                  <v>45216</v>
                </pt>
                <pt idx="444">
                  <v>45217</v>
                </pt>
                <pt idx="445">
                  <v>45218</v>
                </pt>
                <pt idx="446">
                  <v>45219</v>
                </pt>
                <pt idx="447">
                  <v>45222</v>
                </pt>
                <pt idx="448">
                  <v>45224</v>
                </pt>
                <pt idx="449">
                  <v>45225</v>
                </pt>
                <pt idx="450">
                  <v>45226</v>
                </pt>
                <pt idx="451">
                  <v>45229</v>
                </pt>
                <pt idx="452">
                  <v>45230</v>
                </pt>
                <pt idx="453">
                  <v>45231</v>
                </pt>
                <pt idx="454">
                  <v>45232</v>
                </pt>
                <pt idx="455">
                  <v>45233</v>
                </pt>
                <pt idx="456">
                  <v>45236</v>
                </pt>
                <pt idx="457">
                  <v>45237</v>
                </pt>
                <pt idx="458">
                  <v>45238</v>
                </pt>
                <pt idx="459">
                  <v>45239</v>
                </pt>
                <pt idx="460">
                  <v>45240</v>
                </pt>
                <pt idx="461">
                  <v>45242</v>
                </pt>
                <pt idx="462">
                  <v>45243</v>
                </pt>
                <pt idx="463">
                  <v>45245</v>
                </pt>
                <pt idx="464">
                  <v>45246</v>
                </pt>
                <pt idx="465">
                  <v>45247</v>
                </pt>
                <pt idx="466">
                  <v>45250</v>
                </pt>
                <pt idx="467">
                  <v>45251</v>
                </pt>
                <pt idx="468">
                  <v>45252</v>
                </pt>
                <pt idx="469">
                  <v>45253</v>
                </pt>
                <pt idx="470">
                  <v>45254</v>
                </pt>
                <pt idx="471">
                  <v>45258</v>
                </pt>
                <pt idx="472">
                  <v>45259</v>
                </pt>
                <pt idx="473">
                  <v>45260</v>
                </pt>
                <pt idx="474">
                  <v>45261</v>
                </pt>
                <pt idx="475">
                  <v>45264</v>
                </pt>
                <pt idx="476">
                  <v>45265</v>
                </pt>
                <pt idx="477">
                  <v>45266</v>
                </pt>
                <pt idx="478">
                  <v>45267</v>
                </pt>
                <pt idx="479">
                  <v>45268</v>
                </pt>
                <pt idx="480">
                  <v>45271</v>
                </pt>
                <pt idx="481">
                  <v>45272</v>
                </pt>
                <pt idx="482">
                  <v>45273</v>
                </pt>
                <pt idx="483">
                  <v>45274</v>
                </pt>
                <pt idx="484">
                  <v>45275</v>
                </pt>
                <pt idx="485">
                  <v>45278</v>
                </pt>
                <pt idx="486">
                  <v>45279</v>
                </pt>
                <pt idx="487">
                  <v>45280</v>
                </pt>
                <pt idx="488">
                  <v>45281</v>
                </pt>
                <pt idx="489">
                  <v>45282</v>
                </pt>
                <pt idx="490">
                  <v>45286</v>
                </pt>
                <pt idx="491">
                  <v>45287</v>
                </pt>
                <pt idx="492">
                  <v>45288</v>
                </pt>
                <pt idx="493">
                  <v>45289</v>
                </pt>
                <pt idx="494">
                  <v>45292</v>
                </pt>
                <pt idx="495">
                  <v>45293</v>
                </pt>
                <pt idx="496">
                  <v>45294</v>
                </pt>
                <pt idx="497">
                  <v>45295</v>
                </pt>
                <pt idx="498">
                  <v>45296</v>
                </pt>
                <pt idx="499">
                  <v>45299</v>
                </pt>
                <pt idx="500">
                  <v>45300</v>
                </pt>
                <pt idx="501">
                  <v>45301</v>
                </pt>
                <pt idx="502">
                  <v>45302</v>
                </pt>
                <pt idx="503">
                  <v>45303</v>
                </pt>
                <pt idx="504">
                  <v>45306</v>
                </pt>
                <pt idx="505">
                  <v>45307</v>
                </pt>
                <pt idx="506">
                  <v>45308</v>
                </pt>
                <pt idx="507">
                  <v>45309</v>
                </pt>
                <pt idx="508">
                  <v>45310</v>
                </pt>
                <pt idx="509">
                  <v>45311</v>
                </pt>
                <pt idx="510">
                  <v>45314</v>
                </pt>
                <pt idx="511">
                  <v>45315</v>
                </pt>
                <pt idx="512">
                  <v>45316</v>
                </pt>
                <pt idx="513">
                  <v>45320</v>
                </pt>
                <pt idx="514">
                  <v>45321</v>
                </pt>
                <pt idx="515">
                  <v>45322</v>
                </pt>
                <pt idx="516">
                  <v>45323</v>
                </pt>
                <pt idx="517">
                  <v>45324</v>
                </pt>
                <pt idx="518">
                  <v>45327</v>
                </pt>
                <pt idx="519">
                  <v>45328</v>
                </pt>
                <pt idx="520">
                  <v>45329</v>
                </pt>
                <pt idx="521">
                  <v>45330</v>
                </pt>
                <pt idx="522">
                  <v>45331</v>
                </pt>
                <pt idx="523">
                  <v>45334</v>
                </pt>
                <pt idx="524">
                  <v>45335</v>
                </pt>
                <pt idx="525">
                  <v>45336</v>
                </pt>
                <pt idx="526">
                  <v>45337</v>
                </pt>
                <pt idx="527">
                  <v>45338</v>
                </pt>
                <pt idx="528">
                  <v>45341</v>
                </pt>
                <pt idx="529">
                  <v>45342</v>
                </pt>
                <pt idx="530">
                  <v>45343</v>
                </pt>
                <pt idx="531">
                  <v>45344</v>
                </pt>
                <pt idx="532">
                  <v>45345</v>
                </pt>
                <pt idx="533">
                  <v>45348</v>
                </pt>
                <pt idx="534">
                  <v>45349</v>
                </pt>
                <pt idx="535">
                  <v>45350</v>
                </pt>
                <pt idx="536">
                  <v>45351</v>
                </pt>
                <pt idx="537">
                  <v>45352</v>
                </pt>
                <pt idx="538">
                  <v>45353</v>
                </pt>
                <pt idx="539">
                  <v>45355</v>
                </pt>
                <pt idx="540">
                  <v>45356</v>
                </pt>
                <pt idx="541">
                  <v>45357</v>
                </pt>
                <pt idx="542">
                  <v>45358</v>
                </pt>
                <pt idx="543">
                  <v>45362</v>
                </pt>
                <pt idx="544">
                  <v>45363</v>
                </pt>
                <pt idx="545">
                  <v>45364</v>
                </pt>
                <pt idx="546">
                  <v>45365</v>
                </pt>
                <pt idx="547">
                  <v>45366</v>
                </pt>
                <pt idx="548">
                  <v>45369</v>
                </pt>
                <pt idx="549">
                  <v>45370</v>
                </pt>
                <pt idx="550">
                  <v>45371</v>
                </pt>
                <pt idx="551">
                  <v>45372</v>
                </pt>
                <pt idx="552">
                  <v>45373</v>
                </pt>
                <pt idx="553">
                  <v>45377</v>
                </pt>
                <pt idx="554">
                  <v>45378</v>
                </pt>
                <pt idx="555">
                  <v>45379</v>
                </pt>
                <pt idx="556">
                  <v>45383</v>
                </pt>
                <pt idx="557">
                  <v>45384</v>
                </pt>
                <pt idx="558">
                  <v>45385</v>
                </pt>
                <pt idx="559">
                  <v>45386</v>
                </pt>
                <pt idx="560">
                  <v>45387</v>
                </pt>
                <pt idx="561">
                  <v>45390</v>
                </pt>
                <pt idx="562">
                  <v>45391</v>
                </pt>
                <pt idx="563">
                  <v>45392</v>
                </pt>
                <pt idx="564">
                  <v>45394</v>
                </pt>
                <pt idx="565">
                  <v>45397</v>
                </pt>
                <pt idx="566">
                  <v>45398</v>
                </pt>
                <pt idx="567">
                  <v>45400</v>
                </pt>
                <pt idx="568">
                  <v>45401</v>
                </pt>
                <pt idx="569">
                  <v>45404</v>
                </pt>
                <pt idx="570">
                  <v>45405</v>
                </pt>
                <pt idx="571">
                  <v>45406</v>
                </pt>
                <pt idx="572">
                  <v>45407</v>
                </pt>
                <pt idx="573">
                  <v>45408</v>
                </pt>
                <pt idx="574">
                  <v>45411</v>
                </pt>
                <pt idx="575">
                  <v>45412</v>
                </pt>
                <pt idx="576">
                  <v>45414</v>
                </pt>
                <pt idx="577">
                  <v>45415</v>
                </pt>
                <pt idx="578">
                  <v>45418</v>
                </pt>
                <pt idx="579">
                  <v>45419</v>
                </pt>
                <pt idx="580">
                  <v>45420</v>
                </pt>
                <pt idx="581">
                  <v>45421</v>
                </pt>
                <pt idx="582">
                  <v>45422</v>
                </pt>
                <pt idx="583">
                  <v>45425</v>
                </pt>
                <pt idx="584">
                  <v>45426</v>
                </pt>
                <pt idx="585">
                  <v>45427</v>
                </pt>
                <pt idx="586">
                  <v>45428</v>
                </pt>
                <pt idx="587">
                  <v>45429</v>
                </pt>
                <pt idx="588">
                  <v>45430</v>
                </pt>
                <pt idx="589">
                  <v>45433</v>
                </pt>
                <pt idx="590">
                  <v>45434</v>
                </pt>
                <pt idx="591">
                  <v>45435</v>
                </pt>
                <pt idx="592">
                  <v>45436</v>
                </pt>
                <pt idx="593">
                  <v>45439</v>
                </pt>
                <pt idx="594">
                  <v>45440</v>
                </pt>
                <pt idx="595">
                  <v>45441</v>
                </pt>
                <pt idx="596">
                  <v>45442</v>
                </pt>
                <pt idx="597">
                  <v>45443</v>
                </pt>
                <pt idx="598">
                  <v>45446</v>
                </pt>
                <pt idx="599">
                  <v>45447</v>
                </pt>
                <pt idx="600">
                  <v>45448</v>
                </pt>
                <pt idx="601">
                  <v>45449</v>
                </pt>
                <pt idx="602">
                  <v>45450</v>
                </pt>
                <pt idx="603">
                  <v>45453</v>
                </pt>
                <pt idx="604">
                  <v>45454</v>
                </pt>
                <pt idx="605">
                  <v>45455</v>
                </pt>
                <pt idx="606">
                  <v>45456</v>
                </pt>
                <pt idx="607">
                  <v>45457</v>
                </pt>
                <pt idx="608">
                  <v>45461</v>
                </pt>
                <pt idx="609">
                  <v>45462</v>
                </pt>
                <pt idx="610">
                  <v>45463</v>
                </pt>
                <pt idx="611">
                  <v>45464</v>
                </pt>
                <pt idx="612">
                  <v>45467</v>
                </pt>
                <pt idx="613">
                  <v>45468</v>
                </pt>
                <pt idx="614">
                  <v>45469</v>
                </pt>
                <pt idx="615">
                  <v>45470</v>
                </pt>
                <pt idx="616">
                  <v>45471</v>
                </pt>
                <pt idx="617">
                  <v>45474</v>
                </pt>
                <pt idx="618">
                  <v>45475</v>
                </pt>
                <pt idx="619">
                  <v>45476</v>
                </pt>
                <pt idx="620">
                  <v>45477</v>
                </pt>
                <pt idx="621">
                  <v>45478</v>
                </pt>
                <pt idx="622">
                  <v>45481</v>
                </pt>
                <pt idx="623">
                  <v>45482</v>
                </pt>
                <pt idx="624">
                  <v>45483</v>
                </pt>
                <pt idx="625">
                  <v>45484</v>
                </pt>
                <pt idx="626">
                  <v>45485</v>
                </pt>
                <pt idx="627">
                  <v>45488</v>
                </pt>
                <pt idx="628">
                  <v>45489</v>
                </pt>
                <pt idx="629">
                  <v>45491</v>
                </pt>
                <pt idx="630">
                  <v>45492</v>
                </pt>
                <pt idx="631">
                  <v>45495</v>
                </pt>
                <pt idx="632">
                  <v>45496</v>
                </pt>
                <pt idx="633">
                  <v>45497</v>
                </pt>
                <pt idx="634">
                  <v>45498</v>
                </pt>
                <pt idx="635">
                  <v>45499</v>
                </pt>
                <pt idx="636">
                  <v>45502</v>
                </pt>
                <pt idx="637">
                  <v>45503</v>
                </pt>
                <pt idx="638">
                  <v>45504</v>
                </pt>
                <pt idx="639">
                  <v>45505</v>
                </pt>
                <pt idx="640">
                  <v>45506</v>
                </pt>
                <pt idx="641">
                  <v>45509</v>
                </pt>
                <pt idx="642">
                  <v>45510</v>
                </pt>
                <pt idx="643">
                  <v>45511</v>
                </pt>
                <pt idx="644">
                  <v>45512</v>
                </pt>
                <pt idx="645">
                  <v>45513</v>
                </pt>
                <pt idx="646">
                  <v>45516</v>
                </pt>
                <pt idx="647">
                  <v>45517</v>
                </pt>
                <pt idx="648">
                  <v>45518</v>
                </pt>
                <pt idx="649">
                  <v>45520</v>
                </pt>
                <pt idx="650">
                  <v>45523</v>
                </pt>
                <pt idx="651">
                  <v>45524</v>
                </pt>
                <pt idx="652">
                  <v>45525</v>
                </pt>
                <pt idx="653">
                  <v>45526</v>
                </pt>
                <pt idx="654">
                  <v>45527</v>
                </pt>
                <pt idx="655">
                  <v>45530</v>
                </pt>
                <pt idx="656">
                  <v>45531</v>
                </pt>
                <pt idx="657">
                  <v>45532</v>
                </pt>
                <pt idx="658">
                  <v>45533</v>
                </pt>
                <pt idx="659">
                  <v>45534</v>
                </pt>
                <pt idx="660">
                  <v>45537</v>
                </pt>
                <pt idx="661">
                  <v>45538</v>
                </pt>
                <pt idx="662">
                  <v>45539</v>
                </pt>
                <pt idx="663">
                  <v>45540</v>
                </pt>
                <pt idx="664">
                  <v>45541</v>
                </pt>
                <pt idx="665">
                  <v>45544</v>
                </pt>
                <pt idx="666">
                  <v>45545</v>
                </pt>
                <pt idx="667">
                  <v>45546</v>
                </pt>
                <pt idx="668">
                  <v>45547</v>
                </pt>
                <pt idx="669">
                  <v>45548</v>
                </pt>
                <pt idx="670">
                  <v>45551</v>
                </pt>
                <pt idx="671">
                  <v>45552</v>
                </pt>
                <pt idx="672">
                  <v>45553</v>
                </pt>
                <pt idx="673">
                  <v>45554</v>
                </pt>
                <pt idx="674">
                  <v>45555</v>
                </pt>
                <pt idx="675">
                  <v>45558</v>
                </pt>
                <pt idx="676">
                  <v>45559</v>
                </pt>
                <pt idx="677">
                  <v>45560</v>
                </pt>
                <pt idx="678">
                  <v>45561</v>
                </pt>
                <pt idx="679">
                  <v>45562</v>
                </pt>
                <pt idx="680">
                  <v>45565</v>
                </pt>
                <pt idx="681">
                  <v>45566</v>
                </pt>
                <pt idx="682">
                  <v>45568</v>
                </pt>
                <pt idx="683">
                  <v>45569</v>
                </pt>
                <pt idx="684">
                  <v>45572</v>
                </pt>
                <pt idx="685">
                  <v>45573</v>
                </pt>
                <pt idx="686">
                  <v>45574</v>
                </pt>
                <pt idx="687">
                  <v>45575</v>
                </pt>
                <pt idx="688">
                  <v>45576</v>
                </pt>
                <pt idx="689">
                  <v>45579</v>
                </pt>
                <pt idx="690">
                  <v>45580</v>
                </pt>
                <pt idx="691">
                  <v>45581</v>
                </pt>
                <pt idx="692">
                  <v>45582</v>
                </pt>
                <pt idx="693">
                  <v>45583</v>
                </pt>
                <pt idx="694">
                  <v>45586</v>
                </pt>
                <pt idx="695">
                  <v>45587</v>
                </pt>
                <pt idx="696">
                  <v>45588</v>
                </pt>
                <pt idx="697">
                  <v>45589</v>
                </pt>
                <pt idx="698">
                  <v>45590</v>
                </pt>
                <pt idx="699">
                  <v>45593</v>
                </pt>
                <pt idx="700">
                  <v>45594</v>
                </pt>
                <pt idx="701">
                  <v>45595</v>
                </pt>
                <pt idx="702">
                  <v>45596</v>
                </pt>
                <pt idx="703">
                  <v>45597</v>
                </pt>
                <pt idx="704">
                  <v>45600</v>
                </pt>
                <pt idx="705">
                  <v>45601</v>
                </pt>
                <pt idx="706">
                  <v>45602</v>
                </pt>
                <pt idx="707">
                  <v>45603</v>
                </pt>
                <pt idx="708">
                  <v>45604</v>
                </pt>
                <pt idx="709">
                  <v>45607</v>
                </pt>
                <pt idx="710">
                  <v>45608</v>
                </pt>
                <pt idx="711">
                  <v>45609</v>
                </pt>
                <pt idx="712">
                  <v>45610</v>
                </pt>
                <pt idx="713">
                  <v>45614</v>
                </pt>
                <pt idx="714">
                  <v>45615</v>
                </pt>
                <pt idx="715">
                  <v>45617</v>
                </pt>
                <pt idx="716">
                  <v>45618</v>
                </pt>
                <pt idx="717">
                  <v>45621</v>
                </pt>
                <pt idx="718">
                  <v>45622</v>
                </pt>
                <pt idx="719">
                  <v>45623</v>
                </pt>
                <pt idx="720">
                  <v>45624</v>
                </pt>
                <pt idx="721">
                  <v>45625</v>
                </pt>
                <pt idx="722">
                  <v>45628</v>
                </pt>
                <pt idx="723">
                  <v>45629</v>
                </pt>
                <pt idx="724">
                  <v>45630</v>
                </pt>
                <pt idx="725">
                  <v>45631</v>
                </pt>
                <pt idx="726">
                  <v>45632</v>
                </pt>
                <pt idx="727">
                  <v>45635</v>
                </pt>
                <pt idx="728">
                  <v>45636</v>
                </pt>
                <pt idx="729">
                  <v>45637</v>
                </pt>
                <pt idx="730">
                  <v>45638</v>
                </pt>
                <pt idx="731">
                  <v>45639</v>
                </pt>
                <pt idx="732">
                  <v>45642</v>
                </pt>
                <pt idx="733">
                  <v>45643</v>
                </pt>
                <pt idx="734">
                  <v>45644</v>
                </pt>
                <pt idx="735">
                  <v>45645</v>
                </pt>
                <pt idx="736">
                  <v>45646</v>
                </pt>
                <pt idx="737">
                  <v>45649</v>
                </pt>
                <pt idx="738">
                  <v>45650</v>
                </pt>
                <pt idx="739">
                  <v>45652</v>
                </pt>
                <pt idx="740">
                  <v>45653</v>
                </pt>
                <pt idx="741">
                  <v>45656</v>
                </pt>
                <pt idx="742">
                  <v>45657</v>
                </pt>
                <pt idx="743">
                  <v>45658</v>
                </pt>
                <pt idx="744">
                  <v>45659</v>
                </pt>
                <pt idx="745">
                  <v>45660</v>
                </pt>
                <pt idx="746">
                  <v>45663</v>
                </pt>
                <pt idx="747">
                  <v>45664</v>
                </pt>
                <pt idx="748">
                  <v>45665</v>
                </pt>
                <pt idx="749">
                  <v>45666</v>
                </pt>
                <pt idx="750">
                  <v>45667</v>
                </pt>
                <pt idx="751">
                  <v>45670</v>
                </pt>
                <pt idx="752">
                  <v>45671</v>
                </pt>
                <pt idx="753">
                  <v>45672</v>
                </pt>
                <pt idx="754">
                  <v>45673</v>
                </pt>
                <pt idx="755">
                  <v>45674</v>
                </pt>
                <pt idx="756">
                  <v>45677</v>
                </pt>
                <pt idx="757">
                  <v>45678</v>
                </pt>
                <pt idx="758">
                  <v>45679</v>
                </pt>
                <pt idx="759">
                  <v>45680</v>
                </pt>
                <pt idx="760">
                  <v>45681</v>
                </pt>
                <pt idx="761">
                  <v>45684</v>
                </pt>
                <pt idx="762">
                  <v>45685</v>
                </pt>
                <pt idx="763">
                  <v>45686</v>
                </pt>
                <pt idx="764">
                  <v>45687</v>
                </pt>
                <pt idx="765">
                  <v>45688</v>
                </pt>
                <pt idx="766">
                  <v>45689</v>
                </pt>
                <pt idx="767">
                  <v>45691</v>
                </pt>
                <pt idx="768">
                  <v>45692</v>
                </pt>
                <pt idx="769">
                  <v>45693</v>
                </pt>
                <pt idx="770">
                  <v>45694</v>
                </pt>
                <pt idx="771">
                  <v>45695</v>
                </pt>
                <pt idx="772">
                  <v>45698</v>
                </pt>
                <pt idx="773">
                  <v>45699</v>
                </pt>
                <pt idx="774">
                  <v>45700</v>
                </pt>
                <pt idx="775">
                  <v>45701</v>
                </pt>
                <pt idx="776">
                  <v>45702</v>
                </pt>
                <pt idx="777">
                  <v>45705</v>
                </pt>
                <pt idx="778">
                  <v>45706</v>
                </pt>
                <pt idx="779">
                  <v>45707</v>
                </pt>
                <pt idx="780">
                  <v>45708</v>
                </pt>
                <pt idx="781">
                  <v>45709</v>
                </pt>
                <pt idx="782">
                  <v>45712</v>
                </pt>
                <pt idx="783">
                  <v>45713</v>
                </pt>
                <pt idx="784">
                  <v>45715</v>
                </pt>
                <pt idx="785">
                  <v>45716</v>
                </pt>
                <pt idx="786">
                  <v>45719</v>
                </pt>
                <pt idx="787">
                  <v>45720</v>
                </pt>
                <pt idx="788">
                  <v>45721</v>
                </pt>
                <pt idx="789">
                  <v>45722</v>
                </pt>
                <pt idx="790">
                  <v>45723</v>
                </pt>
                <pt idx="791">
                  <v>45726</v>
                </pt>
                <pt idx="792">
                  <v>45727</v>
                </pt>
                <pt idx="793">
                  <v>45728</v>
                </pt>
                <pt idx="794">
                  <v>45729</v>
                </pt>
                <pt idx="795">
                  <v>45733</v>
                </pt>
                <pt idx="796">
                  <v>45734</v>
                </pt>
                <pt idx="797">
                  <v>45735</v>
                </pt>
                <pt idx="798">
                  <v>45736</v>
                </pt>
                <pt idx="799">
                  <v>45737</v>
                </pt>
                <pt idx="800">
                  <v>45740</v>
                </pt>
                <pt idx="801">
                  <v>45741</v>
                </pt>
                <pt idx="802">
                  <v>45742</v>
                </pt>
                <pt idx="803">
                  <v>45743</v>
                </pt>
                <pt idx="804">
                  <v>45744</v>
                </pt>
              </numCache>
            </numRef>
          </cat>
          <val>
            <numRef>
              <f>'EVI 2025 Workings'!$E$2:$E$806</f>
              <numCache>
                <formatCode>0.00</formatCode>
                <ptCount val="805"/>
                <pt idx="0">
                  <v>74.40000000000001</v>
                </pt>
                <pt idx="1">
                  <v>74.53</v>
                </pt>
                <pt idx="2">
                  <v>74.285</v>
                </pt>
                <pt idx="3">
                  <v>74.38500000000001</v>
                </pt>
                <pt idx="4">
                  <v>74.27800000000001</v>
                </pt>
                <pt idx="5">
                  <v>74.02500000000001</v>
                </pt>
                <pt idx="6">
                  <v>73.81699999999999</v>
                </pt>
                <pt idx="7">
                  <v>73.797</v>
                </pt>
                <pt idx="8">
                  <v>73.97199999999999</v>
                </pt>
                <pt idx="9">
                  <v>74.15600000000001</v>
                </pt>
                <pt idx="10">
                  <v>74.255</v>
                </pt>
                <pt idx="11">
                  <v>74.565</v>
                </pt>
                <pt idx="12">
                  <v>74.455</v>
                </pt>
                <pt idx="13">
                  <v>74.468</v>
                </pt>
                <pt idx="14">
                  <v>74.40900000000001</v>
                </pt>
                <pt idx="15">
                  <v>74.642</v>
                </pt>
                <pt idx="16">
                  <v>74.78700000000001</v>
                </pt>
                <pt idx="17">
                  <v>75.209</v>
                </pt>
                <pt idx="18">
                  <v>75.04600000000001</v>
                </pt>
                <pt idx="19">
                  <v>74.556</v>
                </pt>
                <pt idx="20">
                  <v>74.751</v>
                </pt>
                <pt idx="21">
                  <v>74.82299999999999</v>
                </pt>
                <pt idx="22">
                  <v>74.64400000000001</v>
                </pt>
                <pt idx="23">
                  <v>74.645</v>
                </pt>
                <pt idx="24">
                  <v>74.655</v>
                </pt>
                <pt idx="25">
                  <v>74.71899999999999</v>
                </pt>
                <pt idx="26">
                  <v>74.80800000000001</v>
                </pt>
                <pt idx="27">
                  <v>75.102</v>
                </pt>
                <pt idx="28">
                  <v>75.348</v>
                </pt>
                <pt idx="29">
                  <v>75.68600000000001</v>
                </pt>
                <pt idx="30">
                  <v>75.17700000000001</v>
                </pt>
                <pt idx="31">
                  <v>75.05</v>
                </pt>
                <pt idx="32">
                  <v>75.105</v>
                </pt>
                <pt idx="33">
                  <v>74.687</v>
                </pt>
                <pt idx="34">
                  <v>74.524</v>
                </pt>
                <pt idx="35">
                  <v>74.63</v>
                </pt>
                <pt idx="36">
                  <v>74.64</v>
                </pt>
                <pt idx="37">
                  <v>75.61499999999999</v>
                </pt>
                <pt idx="38">
                  <v>75.075</v>
                </pt>
                <pt idx="39">
                  <v>75.52</v>
                </pt>
                <pt idx="40">
                  <v>75.782</v>
                </pt>
                <pt idx="41">
                  <v>75.971</v>
                </pt>
                <pt idx="42">
                  <v>76.425</v>
                </pt>
                <pt idx="43">
                  <v>76.97499999999999</v>
                </pt>
                <pt idx="44">
                  <v>76.905</v>
                </pt>
                <pt idx="45">
                  <v>76.38200000000001</v>
                </pt>
                <pt idx="46">
                  <v>76.31</v>
                </pt>
                <pt idx="47">
                  <v>76.511</v>
                </pt>
                <pt idx="48">
                  <v>76.45</v>
                </pt>
                <pt idx="49">
                  <v>76.42</v>
                </pt>
                <pt idx="50">
                  <v>76.2</v>
                </pt>
                <pt idx="51">
                  <v>75.937</v>
                </pt>
                <pt idx="52">
                  <v>76.285</v>
                </pt>
                <pt idx="53">
                  <v>76.15900000000001</v>
                </pt>
                <pt idx="54">
                  <v>76.53</v>
                </pt>
                <pt idx="55">
                  <v>76.30500000000001</v>
                </pt>
                <pt idx="56">
                  <v>76.285</v>
                </pt>
                <pt idx="57">
                  <v>76.09</v>
                </pt>
                <pt idx="58">
                  <v>75.666</v>
                </pt>
                <pt idx="59">
                  <v>75.82299999999999</v>
                </pt>
                <pt idx="60">
                  <v>75.928</v>
                </pt>
                <pt idx="61">
                  <v>75.995</v>
                </pt>
                <pt idx="62">
                  <v>75.45099999999999</v>
                </pt>
                <pt idx="63">
                  <v>75.465</v>
                </pt>
                <pt idx="64">
                  <v>75.947</v>
                </pt>
                <pt idx="65">
                  <v>75.913</v>
                </pt>
                <pt idx="66">
                  <v>75.95999999999999</v>
                </pt>
                <pt idx="67">
                  <v>75.836</v>
                </pt>
                <pt idx="68">
                  <v>76.08199999999999</v>
                </pt>
                <pt idx="69">
                  <v>76.122</v>
                </pt>
                <pt idx="70">
                  <v>76.28400000000001</v>
                </pt>
                <pt idx="71">
                  <v>76.44499999999999</v>
                </pt>
                <pt idx="72">
                  <v>76.26900000000001</v>
                </pt>
                <pt idx="73">
                  <v>76.262</v>
                </pt>
                <pt idx="74">
                  <v>76.47499999999999</v>
                </pt>
                <pt idx="75">
                  <v>76.748</v>
                </pt>
                <pt idx="76">
                  <v>76.68000000000001</v>
                </pt>
                <pt idx="77">
                  <v>76.63200000000001</v>
                </pt>
                <pt idx="78">
                  <v>76.67</v>
                </pt>
                <pt idx="79">
                  <v>76.535</v>
                </pt>
                <pt idx="80">
                  <v>76.485</v>
                </pt>
                <pt idx="81">
                  <v>76.282</v>
                </pt>
                <pt idx="82">
                  <v>76.514</v>
                </pt>
                <pt idx="83">
                  <v>76.979</v>
                </pt>
                <pt idx="84">
                  <v>77.36499999999999</v>
                </pt>
                <pt idx="85">
                  <v>77.22499999999999</v>
                </pt>
                <pt idx="86">
                  <v>77.425</v>
                </pt>
                <pt idx="87">
                  <v>77.435</v>
                </pt>
                <pt idx="88">
                  <v>77.48</v>
                </pt>
                <pt idx="89">
                  <v>77.833</v>
                </pt>
                <pt idx="90">
                  <v>77.476</v>
                </pt>
                <pt idx="91">
                  <v>77.81</v>
                </pt>
                <pt idx="92">
                  <v>77.41500000000001</v>
                </pt>
                <pt idx="93">
                  <v>77.86499999999999</v>
                </pt>
                <pt idx="94">
                  <v>77.545</v>
                </pt>
                <pt idx="95">
                  <v>77.47499999999999</v>
                </pt>
                <pt idx="96">
                  <v>77.53100000000001</v>
                </pt>
                <pt idx="97">
                  <v>77.636</v>
                </pt>
                <pt idx="98">
                  <v>77.624</v>
                </pt>
                <pt idx="99">
                  <v>77.554</v>
                </pt>
                <pt idx="100">
                  <v>77.59</v>
                </pt>
                <pt idx="101">
                  <v>77.56</v>
                </pt>
                <pt idx="102">
                  <v>77.399</v>
                </pt>
                <pt idx="103">
                  <v>77.61499999999999</v>
                </pt>
                <pt idx="104">
                  <v>77.81399999999999</v>
                </pt>
                <pt idx="105">
                  <v>77.664</v>
                </pt>
                <pt idx="106">
                  <v>77.709</v>
                </pt>
                <pt idx="107">
                  <v>77.815</v>
                </pt>
                <pt idx="108">
                  <v>78.14400000000001</v>
                </pt>
                <pt idx="109">
                  <v>78.104</v>
                </pt>
                <pt idx="110">
                  <v>78.02200000000001</v>
                </pt>
                <pt idx="111">
                  <v>78.17100000000001</v>
                </pt>
                <pt idx="112">
                  <v>77.977</v>
                </pt>
                <pt idx="113">
                  <v>77.952</v>
                </pt>
                <pt idx="114">
                  <v>77.92700000000001</v>
                </pt>
                <pt idx="115">
                  <v>78.133</v>
                </pt>
                <pt idx="116">
                  <v>78.18000000000001</v>
                </pt>
                <pt idx="117">
                  <v>78.145</v>
                </pt>
                <pt idx="118">
                  <v>78.255</v>
                </pt>
                <pt idx="119">
                  <v>78.44</v>
                </pt>
                <pt idx="120">
                  <v>78.995</v>
                </pt>
                <pt idx="121">
                  <v>78.94499999999999</v>
                </pt>
                <pt idx="122">
                  <v>78.965</v>
                </pt>
                <pt idx="123">
                  <v>78.956</v>
                </pt>
                <pt idx="124">
                  <v>78.93899999999999</v>
                </pt>
                <pt idx="125">
                  <v>79.298</v>
                </pt>
                <pt idx="126">
                  <v>79.047</v>
                </pt>
                <pt idx="127">
                  <v>79.175</v>
                </pt>
                <pt idx="128">
                  <v>79.26000000000001</v>
                </pt>
                <pt idx="129">
                  <v>79.41</v>
                </pt>
                <pt idx="130">
                  <v>79.45</v>
                </pt>
                <pt idx="131">
                  <v>79.65000000000001</v>
                </pt>
                <pt idx="132">
                  <v>79.89</v>
                </pt>
                <pt idx="133">
                  <v>79.76000000000001</v>
                </pt>
                <pt idx="134">
                  <v>79.98999999999999</v>
                </pt>
                <pt idx="135">
                  <v>79.84999999999999</v>
                </pt>
                <pt idx="136">
                  <v>79.98</v>
                </pt>
                <pt idx="137">
                  <v>79.84999999999999</v>
                </pt>
                <pt idx="138">
                  <v>79.83</v>
                </pt>
                <pt idx="139">
                  <v>79.691</v>
                </pt>
                <pt idx="140">
                  <v>79.843</v>
                </pt>
                <pt idx="141">
                  <v>79.845</v>
                </pt>
                <pt idx="142">
                  <v>79.626</v>
                </pt>
                <pt idx="143">
                  <v>79.336</v>
                </pt>
                <pt idx="144">
                  <v>78.959</v>
                </pt>
                <pt idx="145">
                  <v>78.587</v>
                </pt>
                <pt idx="146">
                  <v>79.108</v>
                </pt>
                <pt idx="147">
                  <v>79.16</v>
                </pt>
                <pt idx="148">
                  <v>79.36</v>
                </pt>
                <pt idx="149">
                  <v>79.584</v>
                </pt>
                <pt idx="150">
                  <v>79.09</v>
                </pt>
                <pt idx="151">
                  <v>79.58</v>
                </pt>
                <pt idx="152">
                  <v>79.64100000000001</v>
                </pt>
                <pt idx="153">
                  <v>79.248</v>
                </pt>
                <pt idx="154">
                  <v>79.34999999999999</v>
                </pt>
                <pt idx="155">
                  <v>79.75</v>
                </pt>
                <pt idx="156">
                  <v>79.92</v>
                </pt>
                <pt idx="157">
                  <v>79.86</v>
                </pt>
                <pt idx="158">
                  <v>79.79000000000001</v>
                </pt>
                <pt idx="159">
                  <v>79.848</v>
                </pt>
                <pt idx="160">
                  <v>79.846</v>
                </pt>
                <pt idx="161">
                  <v>80.086</v>
                </pt>
                <pt idx="162">
                  <v>79.996</v>
                </pt>
                <pt idx="163">
                  <v>79.52</v>
                </pt>
                <pt idx="164">
                  <v>79.61</v>
                </pt>
                <pt idx="165">
                  <v>79.84</v>
                </pt>
                <pt idx="166">
                  <v>79.79000000000001</v>
                </pt>
                <pt idx="167">
                  <v>79.78700000000001</v>
                </pt>
                <pt idx="168">
                  <v>79.90000000000001</v>
                </pt>
                <pt idx="169">
                  <v>79.7</v>
                </pt>
                <pt idx="170">
                  <v>79.56</v>
                </pt>
                <pt idx="171">
                  <v>79.68000000000001</v>
                </pt>
                <pt idx="172">
                  <v>79.45</v>
                </pt>
                <pt idx="173">
                  <v>79.45</v>
                </pt>
                <pt idx="174">
                  <v>79.84</v>
                </pt>
                <pt idx="175">
                  <v>79.72</v>
                </pt>
                <pt idx="176">
                  <v>79.73999999999999</v>
                </pt>
                <pt idx="177">
                  <v>79.7</v>
                </pt>
                <pt idx="178">
                  <v>79.93000000000001</v>
                </pt>
                <pt idx="179">
                  <v>80.88</v>
                </pt>
                <pt idx="180">
                  <v>81.06</v>
                </pt>
                <pt idx="181">
                  <v>81.59999999999999</v>
                </pt>
                <pt idx="182">
                  <v>81.56999999999999</v>
                </pt>
                <pt idx="183">
                  <v>81.72</v>
                </pt>
                <pt idx="184">
                  <v>81.75</v>
                </pt>
                <pt idx="185">
                  <v>81.41</v>
                </pt>
                <pt idx="186">
                  <v>81.83</v>
                </pt>
                <pt idx="187">
                  <v>81.55</v>
                </pt>
                <pt idx="188">
                  <v>82.18000000000001</v>
                </pt>
                <pt idx="189">
                  <v>82.23999999999999</v>
                </pt>
                <pt idx="190">
                  <v>82.45</v>
                </pt>
                <pt idx="191">
                  <v>82.18000000000001</v>
                </pt>
                <pt idx="192">
                  <v>82.3</v>
                </pt>
                <pt idx="193">
                  <v>82.18000000000001</v>
                </pt>
                <pt idx="194">
                  <v>82.29000000000001</v>
                </pt>
                <pt idx="195">
                  <v>82.31</v>
                </pt>
                <pt idx="196">
                  <v>82.34999999999999</v>
                </pt>
                <pt idx="197">
                  <v>83</v>
                </pt>
                <pt idx="198">
                  <v>82.63</v>
                </pt>
                <pt idx="199">
                  <v>82.54000000000001</v>
                </pt>
                <pt idx="200">
                  <v>82.68000000000001</v>
                </pt>
                <pt idx="201">
                  <v>82.48</v>
                </pt>
                <pt idx="202">
                  <v>82.43000000000001</v>
                </pt>
                <pt idx="203">
                  <v>82.44</v>
                </pt>
                <pt idx="204">
                  <v>82.84</v>
                </pt>
                <pt idx="205">
                  <v>82.65000000000001</v>
                </pt>
                <pt idx="206">
                  <v>82.70999999999999</v>
                </pt>
                <pt idx="207">
                  <v>82.89</v>
                </pt>
                <pt idx="208">
                  <v>81.95999999999999</v>
                </pt>
                <pt idx="209">
                  <v>81.92</v>
                </pt>
                <pt idx="210">
                  <v>81.38</v>
                </pt>
                <pt idx="211">
                  <v>81.70999999999999</v>
                </pt>
                <pt idx="212">
                  <v>80.47</v>
                </pt>
                <pt idx="213">
                  <v>80.95999999999999</v>
                </pt>
                <pt idx="214">
                  <v>81.06</v>
                </pt>
                <pt idx="215">
                  <v>81.48</v>
                </pt>
                <pt idx="216">
                  <v>81.51000000000001</v>
                </pt>
                <pt idx="217">
                  <v>81.61</v>
                </pt>
                <pt idx="218">
                  <v>81.72</v>
                </pt>
                <pt idx="219">
                  <v>81.70999999999999</v>
                </pt>
                <pt idx="220">
                  <v>81.63</v>
                </pt>
                <pt idx="221">
                  <v>81.67</v>
                </pt>
                <pt idx="222">
                  <v>81.63</v>
                </pt>
                <pt idx="223">
                  <v>81.64</v>
                </pt>
                <pt idx="224">
                  <v>81.62</v>
                </pt>
                <pt idx="225">
                  <v>81.37</v>
                </pt>
                <pt idx="226">
                  <v>81.12</v>
                </pt>
                <pt idx="227">
                  <v>81.41</v>
                </pt>
                <pt idx="228">
                  <v>81.89</v>
                </pt>
                <pt idx="229">
                  <v>82.48</v>
                </pt>
                <pt idx="230">
                  <v>82.2</v>
                </pt>
                <pt idx="231">
                  <v>82.28</v>
                </pt>
                <pt idx="232">
                  <v>82.41</v>
                </pt>
                <pt idx="233">
                  <v>82.63</v>
                </pt>
                <pt idx="234">
                  <v>82.37</v>
                </pt>
                <pt idx="235">
                  <v>82.47</v>
                </pt>
                <pt idx="236">
                  <v>82.84</v>
                </pt>
                <pt idx="237">
                  <v>82.7</v>
                </pt>
                <pt idx="238">
                  <v>82.64</v>
                </pt>
                <pt idx="239">
                  <v>82.59999999999999</v>
                </pt>
                <pt idx="240">
                  <v>82.88</v>
                </pt>
                <pt idx="241">
                  <v>82.95999999999999</v>
                </pt>
                <pt idx="242">
                  <v>82.78</v>
                </pt>
                <pt idx="243">
                  <v>82.65000000000001</v>
                </pt>
                <pt idx="244">
                  <v>82.83</v>
                </pt>
                <pt idx="245">
                  <v>82.73</v>
                </pt>
                <pt idx="246">
                  <v>82.75</v>
                </pt>
                <pt idx="247">
                  <v>82.70999999999999</v>
                </pt>
                <pt idx="248">
                  <v>82.73999999999999</v>
                </pt>
                <pt idx="249">
                  <v>82.77</v>
                </pt>
                <pt idx="250">
                  <v>82.64</v>
                </pt>
                <pt idx="251">
                  <v>82.56</v>
                </pt>
                <pt idx="252">
                  <v>82.27</v>
                </pt>
                <pt idx="253">
                  <v>82.17</v>
                </pt>
                <pt idx="254">
                  <v>81.59999999999999</v>
                </pt>
                <pt idx="255">
                  <v>81.63</v>
                </pt>
                <pt idx="256">
                  <v>81.09999999999999</v>
                </pt>
                <pt idx="257">
                  <v>81.28</v>
                </pt>
                <pt idx="258">
                  <v>81.62</v>
                </pt>
                <pt idx="259">
                  <v>81.63</v>
                </pt>
                <pt idx="260">
                  <v>81.44</v>
                </pt>
                <pt idx="261">
                  <v>81.23999999999999</v>
                </pt>
                <pt idx="262">
                  <v>80.97</v>
                </pt>
                <pt idx="263">
                  <v>81.47</v>
                </pt>
                <pt idx="264">
                  <v>81.59</v>
                </pt>
                <pt idx="265">
                  <v>81.48999999999999</v>
                </pt>
                <pt idx="266">
                  <v>81.51000000000001</v>
                </pt>
                <pt idx="267">
                  <v>81.52</v>
                </pt>
                <pt idx="268">
                  <v>81.73</v>
                </pt>
                <pt idx="269">
                  <v>81.73</v>
                </pt>
                <pt idx="270">
                  <v>82.03</v>
                </pt>
                <pt idx="271">
                  <v>82.2</v>
                </pt>
                <pt idx="272">
                  <v>82.73999999999999</v>
                </pt>
                <pt idx="273">
                  <v>82.86</v>
                </pt>
                <pt idx="274">
                  <v>82.65000000000001</v>
                </pt>
                <pt idx="275">
                  <v>82.51000000000001</v>
                </pt>
                <pt idx="276">
                  <v>82.51000000000001</v>
                </pt>
                <pt idx="277">
                  <v>82.59</v>
                </pt>
                <pt idx="278">
                  <v>82.91</v>
                </pt>
                <pt idx="279">
                  <v>82.75</v>
                </pt>
                <pt idx="280">
                  <v>82.70999999999999</v>
                </pt>
                <pt idx="281">
                  <v>82.75</v>
                </pt>
                <pt idx="282">
                  <v>82.69</v>
                </pt>
                <pt idx="283">
                  <v>82.86</v>
                </pt>
                <pt idx="284">
                  <v>82.83</v>
                </pt>
                <pt idx="285">
                  <v>82.73999999999999</v>
                </pt>
                <pt idx="286">
                  <v>82.89</v>
                </pt>
                <pt idx="287">
                  <v>82.65000000000001</v>
                </pt>
                <pt idx="288">
                  <v>82.64</v>
                </pt>
                <pt idx="289">
                  <v>82.43000000000001</v>
                </pt>
                <pt idx="290">
                  <v>82.34999999999999</v>
                </pt>
                <pt idx="291">
                  <v>81.68000000000001</v>
                </pt>
                <pt idx="292">
                  <v>81.81</v>
                </pt>
                <pt idx="293">
                  <v>81.95</v>
                </pt>
                <pt idx="294">
                  <v>82.02</v>
                </pt>
                <pt idx="295">
                  <v>81.95999999999999</v>
                </pt>
                <pt idx="296">
                  <v>82.23</v>
                </pt>
                <pt idx="297">
                  <v>82.23999999999999</v>
                </pt>
                <pt idx="298">
                  <v>82.88</v>
                </pt>
                <pt idx="299">
                  <v>82.62</v>
                </pt>
                <pt idx="300">
                  <v>82.52</v>
                </pt>
                <pt idx="301">
                  <v>82.51000000000001</v>
                </pt>
                <pt idx="302">
                  <v>82.67</v>
                </pt>
                <pt idx="303">
                  <v>82.5</v>
                </pt>
                <pt idx="304">
                  <v>82.23</v>
                </pt>
                <pt idx="305">
                  <v>82.33</v>
                </pt>
                <pt idx="306">
                  <v>82.37</v>
                </pt>
                <pt idx="307">
                  <v>82.17</v>
                </pt>
                <pt idx="308">
                  <v>82.31999999999999</v>
                </pt>
                <pt idx="309">
                  <v>82.16</v>
                </pt>
                <pt idx="310">
                  <v>82.19</v>
                </pt>
                <pt idx="311">
                  <v>82.09</v>
                </pt>
                <pt idx="312">
                  <v>81.92</v>
                </pt>
                <pt idx="313">
                  <v>81.98</v>
                </pt>
                <pt idx="314">
                  <v>82.04000000000001</v>
                </pt>
                <pt idx="315">
                  <v>81.93000000000001</v>
                </pt>
                <pt idx="316">
                  <v>81.65000000000001</v>
                </pt>
                <pt idx="317">
                  <v>82</v>
                </pt>
                <pt idx="318">
                  <v>82.08</v>
                </pt>
                <pt idx="319">
                  <v>82.26000000000001</v>
                </pt>
                <pt idx="320">
                  <v>82.12</v>
                </pt>
                <pt idx="321">
                  <v>82.03</v>
                </pt>
                <pt idx="322">
                  <v>81.95</v>
                </pt>
                <pt idx="323">
                  <v>81.95999999999999</v>
                </pt>
                <pt idx="324">
                  <v>81.73999999999999</v>
                </pt>
                <pt idx="325">
                  <v>81.69</v>
                </pt>
                <pt idx="326">
                  <v>81.72</v>
                </pt>
                <pt idx="327">
                  <v>81.75</v>
                </pt>
                <pt idx="328">
                  <v>81.75</v>
                </pt>
                <pt idx="329">
                  <v>81.70999999999999</v>
                </pt>
                <pt idx="330">
                  <v>81.7</v>
                </pt>
                <pt idx="331">
                  <v>81.77</v>
                </pt>
                <pt idx="332">
                  <v>82.09999999999999</v>
                </pt>
                <pt idx="333">
                  <v>81.90000000000001</v>
                </pt>
                <pt idx="334">
                  <v>82.09</v>
                </pt>
                <pt idx="335">
                  <v>82.17</v>
                </pt>
                <pt idx="336">
                  <v>82.23</v>
                </pt>
                <pt idx="337">
                  <v>82.26000000000001</v>
                </pt>
                <pt idx="338">
                  <v>82.40000000000001</v>
                </pt>
                <pt idx="339">
                  <v>82.72</v>
                </pt>
                <pt idx="340">
                  <v>82.87</v>
                </pt>
                <pt idx="341">
                  <v>82.84</v>
                </pt>
                <pt idx="342">
                  <v>82.83</v>
                </pt>
                <pt idx="343">
                  <v>82.67</v>
                </pt>
                <pt idx="344">
                  <v>82.73</v>
                </pt>
                <pt idx="345">
                  <v>82.5</v>
                </pt>
                <pt idx="346">
                  <v>82.58</v>
                </pt>
                <pt idx="347">
                  <v>82.66</v>
                </pt>
                <pt idx="348">
                  <v>82.68000000000001</v>
                </pt>
                <pt idx="349">
                  <v>82.26000000000001</v>
                </pt>
                <pt idx="350">
                  <v>82.38</v>
                </pt>
                <pt idx="351">
                  <v>82.52</v>
                </pt>
                <pt idx="352">
                  <v>82.51000000000001</v>
                </pt>
                <pt idx="353">
                  <v>82.61</v>
                </pt>
                <pt idx="354">
                  <v>82.48</v>
                </pt>
                <pt idx="355">
                  <v>82.44</v>
                </pt>
                <pt idx="356">
                  <v>82.39</v>
                </pt>
                <pt idx="357">
                  <v>82.22</v>
                </pt>
                <pt idx="358">
                  <v>82.04000000000001</v>
                </pt>
                <pt idx="359">
                  <v>82.26000000000001</v>
                </pt>
                <pt idx="360">
                  <v>81.91</v>
                </pt>
                <pt idx="361">
                  <v>81.91</v>
                </pt>
                <pt idx="362">
                  <v>82</v>
                </pt>
                <pt idx="363">
                  <v>81.93000000000001</v>
                </pt>
                <pt idx="364">
                  <v>81.95</v>
                </pt>
                <pt idx="365">
                  <v>81.98</v>
                </pt>
                <pt idx="366">
                  <v>81.97</v>
                </pt>
                <pt idx="367">
                  <v>81.98</v>
                </pt>
                <pt idx="368">
                  <v>82.02</v>
                </pt>
                <pt idx="369">
                  <v>82.09</v>
                </pt>
                <pt idx="370">
                  <v>81.94</v>
                </pt>
                <pt idx="371">
                  <v>81.94</v>
                </pt>
                <pt idx="372">
                  <v>82.39</v>
                </pt>
                <pt idx="373">
                  <v>82.75</v>
                </pt>
                <pt idx="374">
                  <v>82.61</v>
                </pt>
                <pt idx="375">
                  <v>82.52</v>
                </pt>
                <pt idx="376">
                  <v>82.39</v>
                </pt>
                <pt idx="377">
                  <v>81.98</v>
                </pt>
                <pt idx="378">
                  <v>82.04000000000001</v>
                </pt>
                <pt idx="379">
                  <v>82.04000000000001</v>
                </pt>
                <pt idx="380">
                  <v>82.06</v>
                </pt>
                <pt idx="381">
                  <v>82.06</v>
                </pt>
                <pt idx="382">
                  <v>82.05</v>
                </pt>
                <pt idx="383">
                  <v>82.06999999999999</v>
                </pt>
                <pt idx="384">
                  <v>81.98</v>
                </pt>
                <pt idx="385">
                  <v>81.79000000000001</v>
                </pt>
                <pt idx="386">
                  <v>81.84999999999999</v>
                </pt>
                <pt idx="387">
                  <v>81.95</v>
                </pt>
                <pt idx="388">
                  <v>82.15000000000001</v>
                </pt>
                <pt idx="389">
                  <v>82.22</v>
                </pt>
                <pt idx="390">
                  <v>82.23999999999999</v>
                </pt>
                <pt idx="391">
                  <v>82.34</v>
                </pt>
                <pt idx="392">
                  <v>82.73</v>
                </pt>
                <pt idx="393">
                  <v>82.75</v>
                </pt>
                <pt idx="394">
                  <v>82.69</v>
                </pt>
                <pt idx="395">
                  <v>82.77</v>
                </pt>
                <pt idx="396">
                  <v>82.88</v>
                </pt>
                <pt idx="397">
                  <v>82.87</v>
                </pt>
                <pt idx="398">
                  <v>82.64</v>
                </pt>
                <pt idx="399">
                  <v>82.89</v>
                </pt>
                <pt idx="400">
                  <v>83.18000000000001</v>
                </pt>
                <pt idx="401">
                  <v>83.29000000000001</v>
                </pt>
                <pt idx="402">
                  <v>83.14</v>
                </pt>
                <pt idx="403">
                  <v>83.14</v>
                </pt>
                <pt idx="404">
                  <v>83.09</v>
                </pt>
                <pt idx="405">
                  <v>83.04000000000001</v>
                </pt>
                <pt idx="406">
                  <v>82.5</v>
                </pt>
                <pt idx="407">
                  <v>82.58</v>
                </pt>
                <pt idx="408">
                  <v>82.63</v>
                </pt>
                <pt idx="409">
                  <v>82.59999999999999</v>
                </pt>
                <pt idx="410">
                  <v>82.56999999999999</v>
                </pt>
                <pt idx="411">
                  <v>82.59999999999999</v>
                </pt>
                <pt idx="412">
                  <v>82.69</v>
                </pt>
                <pt idx="413">
                  <v>82.68000000000001</v>
                </pt>
                <pt idx="414">
                  <v>82.70999999999999</v>
                </pt>
                <pt idx="415">
                  <v>83.03</v>
                </pt>
                <pt idx="416">
                  <v>83.19</v>
                </pt>
                <pt idx="417">
                  <v>83.15000000000001</v>
                </pt>
                <pt idx="418">
                  <v>83</v>
                </pt>
                <pt idx="419">
                  <v>82.90000000000001</v>
                </pt>
                <pt idx="420">
                  <v>82.84999999999999</v>
                </pt>
                <pt idx="421">
                  <v>82.93000000000001</v>
                </pt>
                <pt idx="422">
                  <v>83.01000000000001</v>
                </pt>
                <pt idx="423">
                  <v>83.06</v>
                </pt>
                <pt idx="424">
                  <v>83.27</v>
                </pt>
                <pt idx="425">
                  <v>82.92</v>
                </pt>
                <pt idx="426">
                  <v>83.09999999999999</v>
                </pt>
                <pt idx="427">
                  <v>82.97</v>
                </pt>
                <pt idx="428">
                  <v>83.13</v>
                </pt>
                <pt idx="429">
                  <v>83.23</v>
                </pt>
                <pt idx="430">
                  <v>83.18000000000001</v>
                </pt>
                <pt idx="431">
                  <v>83.15000000000001</v>
                </pt>
                <pt idx="432">
                  <v>83.03</v>
                </pt>
                <pt idx="433">
                  <v>83.20999999999999</v>
                </pt>
                <pt idx="434">
                  <v>83.25</v>
                </pt>
                <pt idx="435">
                  <v>83.23999999999999</v>
                </pt>
                <pt idx="436">
                  <v>83.11</v>
                </pt>
                <pt idx="437">
                  <v>83.25</v>
                </pt>
                <pt idx="438">
                  <v>83.16</v>
                </pt>
                <pt idx="439">
                  <v>83.16</v>
                </pt>
                <pt idx="440">
                  <v>83.29000000000001</v>
                </pt>
                <pt idx="441">
                  <v>83.25</v>
                </pt>
                <pt idx="442">
                  <v>83.19</v>
                </pt>
                <pt idx="443">
                  <v>83.23999999999999</v>
                </pt>
                <pt idx="444">
                  <v>83.29000000000001</v>
                </pt>
                <pt idx="445">
                  <v>83.09</v>
                </pt>
                <pt idx="446">
                  <v>83.15000000000001</v>
                </pt>
                <pt idx="447">
                  <v>83.06999999999999</v>
                </pt>
                <pt idx="448">
                  <v>83.17</v>
                </pt>
                <pt idx="449">
                  <v>83.23999999999999</v>
                </pt>
                <pt idx="450">
                  <v>83.26000000000001</v>
                </pt>
                <pt idx="451">
                  <v>83.25</v>
                </pt>
                <pt idx="452">
                  <v>83.25</v>
                </pt>
                <pt idx="453">
                  <v>83.23</v>
                </pt>
                <pt idx="454">
                  <v>83.23</v>
                </pt>
                <pt idx="455">
                  <v>83.14</v>
                </pt>
                <pt idx="456">
                  <v>83.20999999999999</v>
                </pt>
                <pt idx="457">
                  <v>83.23</v>
                </pt>
                <pt idx="458">
                  <v>83.20999999999999</v>
                </pt>
                <pt idx="459">
                  <v>83.31</v>
                </pt>
                <pt idx="460">
                  <v>83.3</v>
                </pt>
                <pt idx="461">
                  <v>83.29000000000001</v>
                </pt>
                <pt idx="462">
                  <v>83.18000000000001</v>
                </pt>
                <pt idx="463">
                  <v>83.18000000000001</v>
                </pt>
                <pt idx="464">
                  <v>83.15000000000001</v>
                </pt>
                <pt idx="465">
                  <v>83.23999999999999</v>
                </pt>
                <pt idx="466">
                  <v>83.31</v>
                </pt>
                <pt idx="467">
                  <v>83.3</v>
                </pt>
                <pt idx="468">
                  <v>83.28</v>
                </pt>
                <pt idx="469">
                  <v>83.3</v>
                </pt>
                <pt idx="470">
                  <v>83.34</v>
                </pt>
                <pt idx="471">
                  <v>83.34</v>
                </pt>
                <pt idx="472">
                  <v>83.34999999999999</v>
                </pt>
                <pt idx="473">
                  <v>83.34999999999999</v>
                </pt>
                <pt idx="474">
                  <v>83.26000000000001</v>
                </pt>
                <pt idx="475">
                  <v>83.42</v>
                </pt>
                <pt idx="476">
                  <v>83.31999999999999</v>
                </pt>
                <pt idx="477">
                  <v>83.33</v>
                </pt>
                <pt idx="478">
                  <v>83.34</v>
                </pt>
                <pt idx="479">
                  <v>83.42</v>
                </pt>
                <pt idx="480">
                  <v>83.34999999999999</v>
                </pt>
                <pt idx="481">
                  <v>83.39</v>
                </pt>
                <pt idx="482">
                  <v>83.34999999999999</v>
                </pt>
                <pt idx="483">
                  <v>83.3</v>
                </pt>
                <pt idx="484">
                  <v>83.04000000000001</v>
                </pt>
                <pt idx="485">
                  <v>83.14</v>
                </pt>
                <pt idx="486">
                  <v>83.09999999999999</v>
                </pt>
                <pt idx="487">
                  <v>83.13</v>
                </pt>
                <pt idx="488">
                  <v>83.20999999999999</v>
                </pt>
                <pt idx="489">
                  <v>83.16</v>
                </pt>
                <pt idx="490">
                  <v>83.16</v>
                </pt>
                <pt idx="491">
                  <v>83.15000000000001</v>
                </pt>
                <pt idx="492">
                  <v>83.26000000000001</v>
                </pt>
                <pt idx="493">
                  <v>83.19</v>
                </pt>
                <pt idx="494">
                  <v>83.23</v>
                </pt>
                <pt idx="495">
                  <v>83.27</v>
                </pt>
                <pt idx="496">
                  <v>83.28</v>
                </pt>
                <pt idx="497">
                  <v>83.23999999999999</v>
                </pt>
                <pt idx="498">
                  <v>83.09999999999999</v>
                </pt>
                <pt idx="499">
                  <v>83.04000000000001</v>
                </pt>
                <pt idx="500">
                  <v>83.09999999999999</v>
                </pt>
                <pt idx="501">
                  <v>83.02</v>
                </pt>
                <pt idx="502">
                  <v>83.06</v>
                </pt>
                <pt idx="503">
                  <v>82.84999999999999</v>
                </pt>
                <pt idx="504">
                  <v>82.81999999999999</v>
                </pt>
                <pt idx="505">
                  <v>83.08</v>
                </pt>
                <pt idx="506">
                  <v>83.18000000000001</v>
                </pt>
                <pt idx="507">
                  <v>83.16</v>
                </pt>
                <pt idx="508">
                  <v>83.08</v>
                </pt>
                <pt idx="509">
                  <v>83.09999999999999</v>
                </pt>
                <pt idx="510">
                  <v>83.15000000000001</v>
                </pt>
                <pt idx="511">
                  <v>83.13</v>
                </pt>
                <pt idx="512">
                  <v>83.14</v>
                </pt>
                <pt idx="513">
                  <v>83.13</v>
                </pt>
                <pt idx="514">
                  <v>83.12</v>
                </pt>
                <pt idx="515">
                  <v>83.09</v>
                </pt>
                <pt idx="516">
                  <v>82.94</v>
                </pt>
                <pt idx="517">
                  <v>82.98999999999999</v>
                </pt>
                <pt idx="518">
                  <v>83.03</v>
                </pt>
                <pt idx="519">
                  <v>83.05</v>
                </pt>
                <pt idx="520">
                  <v>82.97</v>
                </pt>
                <pt idx="521">
                  <v>82.97</v>
                </pt>
                <pt idx="522">
                  <v>83</v>
                </pt>
                <pt idx="523">
                  <v>82.97</v>
                </pt>
                <pt idx="524">
                  <v>83.09</v>
                </pt>
                <pt idx="525">
                  <v>83.03</v>
                </pt>
                <pt idx="526">
                  <v>83.08</v>
                </pt>
                <pt idx="527">
                  <v>83.01000000000001</v>
                </pt>
                <pt idx="528">
                  <v>83.02</v>
                </pt>
                <pt idx="529">
                  <v>82.81999999999999</v>
                </pt>
                <pt idx="530">
                  <v>82.93000000000001</v>
                </pt>
                <pt idx="531">
                  <v>82.83</v>
                </pt>
                <pt idx="532">
                  <v>82.84999999999999</v>
                </pt>
                <pt idx="533">
                  <v>82.84</v>
                </pt>
                <pt idx="534">
                  <v>82.87</v>
                </pt>
                <pt idx="535">
                  <v>82.90000000000001</v>
                </pt>
                <pt idx="536">
                  <v>82.90000000000001</v>
                </pt>
                <pt idx="537">
                  <v>82.84</v>
                </pt>
                <pt idx="538">
                  <v>82.84</v>
                </pt>
                <pt idx="539">
                  <v>82.91</v>
                </pt>
                <pt idx="540">
                  <v>82.89</v>
                </pt>
                <pt idx="541">
                  <v>82.78</v>
                </pt>
                <pt idx="542">
                  <v>82.7</v>
                </pt>
                <pt idx="543">
                  <v>82.73</v>
                </pt>
                <pt idx="544">
                  <v>82.78</v>
                </pt>
                <pt idx="545">
                  <v>82.81999999999999</v>
                </pt>
                <pt idx="546">
                  <v>82.91</v>
                </pt>
                <pt idx="547">
                  <v>82.88</v>
                </pt>
                <pt idx="548">
                  <v>82.90000000000001</v>
                </pt>
                <pt idx="549">
                  <v>83</v>
                </pt>
                <pt idx="550">
                  <v>83.17</v>
                </pt>
                <pt idx="551">
                  <v>83.17</v>
                </pt>
                <pt idx="552">
                  <v>83.58</v>
                </pt>
                <pt idx="553">
                  <v>83.3</v>
                </pt>
                <pt idx="554">
                  <v>83.29000000000001</v>
                </pt>
                <pt idx="555">
                  <v>83.34999999999999</v>
                </pt>
                <pt idx="556">
                  <v>83.36</v>
                </pt>
                <pt idx="557">
                  <v>83.31999999999999</v>
                </pt>
                <pt idx="558">
                  <v>83.5</v>
                </pt>
                <pt idx="559">
                  <v>83.34</v>
                </pt>
                <pt idx="560">
                  <v>83.29000000000001</v>
                </pt>
                <pt idx="561">
                  <v>83.27</v>
                </pt>
                <pt idx="562">
                  <v>83.18000000000001</v>
                </pt>
                <pt idx="563">
                  <v>83.38</v>
                </pt>
                <pt idx="564">
                  <v>83.54000000000001</v>
                </pt>
                <pt idx="565">
                  <v>83.48</v>
                </pt>
                <pt idx="566">
                  <v>83.63</v>
                </pt>
                <pt idx="567">
                  <v>83.53</v>
                </pt>
                <pt idx="568">
                  <v>83.34999999999999</v>
                </pt>
                <pt idx="569">
                  <v>83.36</v>
                </pt>
                <pt idx="570">
                  <v>83.26000000000001</v>
                </pt>
                <pt idx="571">
                  <v>83.31</v>
                </pt>
                <pt idx="572">
                  <v>83.31</v>
                </pt>
                <pt idx="573">
                  <v>83.40000000000001</v>
                </pt>
                <pt idx="574">
                  <v>83.41</v>
                </pt>
                <pt idx="575">
                  <v>83.45</v>
                </pt>
                <pt idx="576">
                  <v>83.43000000000001</v>
                </pt>
                <pt idx="577">
                  <v>83.37</v>
                </pt>
                <pt idx="578">
                  <v>83.47</v>
                </pt>
                <pt idx="579">
                  <v>83.45</v>
                </pt>
                <pt idx="580">
                  <v>83.45999999999999</v>
                </pt>
                <pt idx="581">
                  <v>83.44</v>
                </pt>
                <pt idx="582">
                  <v>83.54000000000001</v>
                </pt>
                <pt idx="583">
                  <v>83.45999999999999</v>
                </pt>
                <pt idx="584">
                  <v>83.48</v>
                </pt>
                <pt idx="585">
                  <v>83.41</v>
                </pt>
                <pt idx="586">
                  <v>83.45</v>
                </pt>
                <pt idx="587">
                  <v>83.28</v>
                </pt>
                <pt idx="588">
                  <v>83.28</v>
                </pt>
                <pt idx="589">
                  <v>83.25</v>
                </pt>
                <pt idx="590">
                  <v>83.22</v>
                </pt>
                <pt idx="591">
                  <v>83.23999999999999</v>
                </pt>
                <pt idx="592">
                  <v>83.06</v>
                </pt>
                <pt idx="593">
                  <v>83.09999999999999</v>
                </pt>
                <pt idx="594">
                  <v>83.16</v>
                </pt>
                <pt idx="595">
                  <v>83.34</v>
                </pt>
                <pt idx="596">
                  <v>83.28</v>
                </pt>
                <pt idx="597">
                  <v>83.42</v>
                </pt>
                <pt idx="598">
                  <v>83.08</v>
                </pt>
                <pt idx="599">
                  <v>83.52</v>
                </pt>
                <pt idx="600">
                  <v>83.37</v>
                </pt>
                <pt idx="601">
                  <v>83.45999999999999</v>
                </pt>
                <pt idx="602">
                  <v>83.52</v>
                </pt>
                <pt idx="603">
                  <v>83.5</v>
                </pt>
                <pt idx="604">
                  <v>83.59999999999999</v>
                </pt>
                <pt idx="605">
                  <v>83.43000000000001</v>
                </pt>
                <pt idx="606">
                  <v>83.54000000000001</v>
                </pt>
                <pt idx="607">
                  <v>83.54000000000001</v>
                </pt>
                <pt idx="608">
                  <v>83.33</v>
                </pt>
                <pt idx="609">
                  <v>83.45999999999999</v>
                </pt>
                <pt idx="610">
                  <v>83.62</v>
                </pt>
                <pt idx="611">
                  <v>83.55</v>
                </pt>
                <pt idx="612">
                  <v>83.45</v>
                </pt>
                <pt idx="613">
                  <v>83.40000000000001</v>
                </pt>
                <pt idx="614">
                  <v>83.56</v>
                </pt>
                <pt idx="615">
                  <v>83.43000000000001</v>
                </pt>
                <pt idx="616">
                  <v>83.34999999999999</v>
                </pt>
                <pt idx="617">
                  <v>83.43000000000001</v>
                </pt>
                <pt idx="618">
                  <v>83.5</v>
                </pt>
                <pt idx="619">
                  <v>83.52</v>
                </pt>
                <pt idx="620">
                  <v>83.47</v>
                </pt>
                <pt idx="621">
                  <v>83.5</v>
                </pt>
                <pt idx="622">
                  <v>83.5</v>
                </pt>
                <pt idx="623">
                  <v>83.45999999999999</v>
                </pt>
                <pt idx="624">
                  <v>83.51000000000001</v>
                </pt>
                <pt idx="625">
                  <v>83.5</v>
                </pt>
                <pt idx="626">
                  <v>83.51000000000001</v>
                </pt>
                <pt idx="627">
                  <v>83.55</v>
                </pt>
                <pt idx="628">
                  <v>83.52</v>
                </pt>
                <pt idx="629">
                  <v>83.58</v>
                </pt>
                <pt idx="630">
                  <v>83.72</v>
                </pt>
                <pt idx="631">
                  <v>83.65000000000001</v>
                </pt>
                <pt idx="632">
                  <v>83.67</v>
                </pt>
                <pt idx="633">
                  <v>83.70999999999999</v>
                </pt>
                <pt idx="634">
                  <v>83.72</v>
                </pt>
                <pt idx="635">
                  <v>83.72</v>
                </pt>
                <pt idx="636">
                  <v>83.73999999999999</v>
                </pt>
                <pt idx="637">
                  <v>83.72</v>
                </pt>
                <pt idx="638">
                  <v>83.69</v>
                </pt>
                <pt idx="639">
                  <v>83.70999999999999</v>
                </pt>
                <pt idx="640">
                  <v>83.79000000000001</v>
                </pt>
                <pt idx="641">
                  <v>84.01000000000001</v>
                </pt>
                <pt idx="642">
                  <v>83.93000000000001</v>
                </pt>
                <pt idx="643">
                  <v>83.88</v>
                </pt>
                <pt idx="644">
                  <v>83.98999999999999</v>
                </pt>
                <pt idx="645">
                  <v>83.94</v>
                </pt>
                <pt idx="646">
                  <v>83.93000000000001</v>
                </pt>
                <pt idx="647">
                  <v>83.91</v>
                </pt>
                <pt idx="648">
                  <v>83.95999999999999</v>
                </pt>
                <pt idx="649">
                  <v>83.88</v>
                </pt>
                <pt idx="650">
                  <v>83.84999999999999</v>
                </pt>
                <pt idx="651">
                  <v>83.75</v>
                </pt>
                <pt idx="652">
                  <v>83.87</v>
                </pt>
                <pt idx="653">
                  <v>83.93000000000001</v>
                </pt>
                <pt idx="654">
                  <v>83.809</v>
                </pt>
                <pt idx="655">
                  <v>83.84</v>
                </pt>
                <pt idx="656">
                  <v>83.91</v>
                </pt>
                <pt idx="657">
                  <v>83.90000000000001</v>
                </pt>
                <pt idx="658">
                  <v>83.88</v>
                </pt>
                <pt idx="659">
                  <v>83.867</v>
                </pt>
                <pt idx="660">
                  <v>83.88</v>
                </pt>
                <pt idx="661">
                  <v>83.95</v>
                </pt>
                <pt idx="662">
                  <v>83.95999999999999</v>
                </pt>
                <pt idx="663">
                  <v>83.961</v>
                </pt>
                <pt idx="664">
                  <v>83.985</v>
                </pt>
                <pt idx="665">
                  <v>83.928</v>
                </pt>
                <pt idx="666">
                  <v>83.949</v>
                </pt>
                <pt idx="667">
                  <v>83.95999999999999</v>
                </pt>
                <pt idx="668">
                  <v>83.92</v>
                </pt>
                <pt idx="669">
                  <v>83.88</v>
                </pt>
                <pt idx="670">
                  <v>83.84</v>
                </pt>
                <pt idx="671">
                  <v>83.747</v>
                </pt>
                <pt idx="672">
                  <v>83.65000000000001</v>
                </pt>
                <pt idx="673">
                  <v>83.62</v>
                </pt>
                <pt idx="674">
                  <v>83.485</v>
                </pt>
                <pt idx="675">
                  <v>83.53</v>
                </pt>
                <pt idx="676">
                  <v>83.59999999999999</v>
                </pt>
                <pt idx="677">
                  <v>83.59999999999999</v>
                </pt>
                <pt idx="678">
                  <v>83.601</v>
                </pt>
                <pt idx="679">
                  <v>83.70999999999999</v>
                </pt>
                <pt idx="680">
                  <v>83.755</v>
                </pt>
                <pt idx="681">
                  <v>83.90000000000001</v>
                </pt>
                <pt idx="682">
                  <v>83.98999999999999</v>
                </pt>
                <pt idx="683">
                  <v>84.023</v>
                </pt>
                <pt idx="684">
                  <v>83.98</v>
                </pt>
                <pt idx="685">
                  <v>83.94499999999999</v>
                </pt>
                <pt idx="686">
                  <v>83.95</v>
                </pt>
                <pt idx="687">
                  <v>83.94</v>
                </pt>
                <pt idx="688">
                  <v>84.101</v>
                </pt>
                <pt idx="689">
                  <v>84.045</v>
                </pt>
                <pt idx="690">
                  <v>84.04000000000001</v>
                </pt>
                <pt idx="691">
                  <v>84.03</v>
                </pt>
                <pt idx="692">
                  <v>84.035</v>
                </pt>
                <pt idx="693">
                  <v>84.065</v>
                </pt>
                <pt idx="694">
                  <v>84.06999999999999</v>
                </pt>
                <pt idx="695">
                  <v>84.06999999999999</v>
                </pt>
                <pt idx="696">
                  <v>84.056</v>
                </pt>
                <pt idx="697">
                  <v>84.05</v>
                </pt>
                <pt idx="698">
                  <v>84.095</v>
                </pt>
                <pt idx="699">
                  <v>84.06</v>
                </pt>
                <pt idx="700">
                  <v>84.05</v>
                </pt>
                <pt idx="701">
                  <v>84.08</v>
                </pt>
                <pt idx="702">
                  <v>84.06100000000001</v>
                </pt>
                <pt idx="703">
                  <v>84.08</v>
                </pt>
                <pt idx="704">
                  <v>84.13</v>
                </pt>
                <pt idx="705">
                  <v>84.10899999999999</v>
                </pt>
                <pt idx="706">
                  <v>84.31</v>
                </pt>
                <pt idx="707">
                  <v>84.29300000000001</v>
                </pt>
                <pt idx="708">
                  <v>84.395</v>
                </pt>
                <pt idx="709">
                  <v>84.379</v>
                </pt>
                <pt idx="710">
                  <v>84.38</v>
                </pt>
                <pt idx="711">
                  <v>84.416</v>
                </pt>
                <pt idx="712">
                  <v>84.461</v>
                </pt>
                <pt idx="713">
                  <v>84.398</v>
                </pt>
                <pt idx="714">
                  <v>84.39</v>
                </pt>
                <pt idx="715">
                  <v>84.495</v>
                </pt>
                <pt idx="716">
                  <v>84.426</v>
                </pt>
                <pt idx="717">
                  <v>84.26000000000001</v>
                </pt>
                <pt idx="718">
                  <v>84.319</v>
                </pt>
                <pt idx="719">
                  <v>84.41</v>
                </pt>
                <pt idx="720">
                  <v>84.44499999999999</v>
                </pt>
                <pt idx="721">
                  <v>84.559</v>
                </pt>
                <pt idx="722">
                  <v>84.73999999999999</v>
                </pt>
                <pt idx="723">
                  <v>84.676</v>
                </pt>
                <pt idx="724">
                  <v>84.693</v>
                </pt>
                <pt idx="725">
                  <v>84.684</v>
                </pt>
                <pt idx="726">
                  <v>84.66800000000001</v>
                </pt>
                <pt idx="727">
                  <v>84.82899999999999</v>
                </pt>
                <pt idx="728">
                  <v>84.88</v>
                </pt>
                <pt idx="729">
                  <v>84.795</v>
                </pt>
                <pt idx="730">
                  <v>84.825</v>
                </pt>
                <pt idx="731">
                  <v>84.782</v>
                </pt>
                <pt idx="732">
                  <v>84.89</v>
                </pt>
                <pt idx="733">
                  <v>84.902</v>
                </pt>
                <pt idx="734">
                  <v>84.867</v>
                </pt>
                <pt idx="735">
                  <v>85.08799999999999</v>
                </pt>
                <pt idx="736">
                  <v>84.947</v>
                </pt>
                <pt idx="737">
                  <v>85.095</v>
                </pt>
                <pt idx="738">
                  <v>85.176</v>
                </pt>
                <pt idx="739">
                  <v>85.254</v>
                </pt>
                <pt idx="740">
                  <v>85.38800000000001</v>
                </pt>
                <pt idx="741">
                  <v>85.474</v>
                </pt>
                <pt idx="742">
                  <v>85.554</v>
                </pt>
                <pt idx="743">
                  <v>85.645</v>
                </pt>
                <pt idx="744">
                  <v>85.76000000000001</v>
                </pt>
                <pt idx="745">
                  <v>85.761</v>
                </pt>
                <pt idx="746">
                  <v>85.7</v>
                </pt>
                <pt idx="747">
                  <v>85.803</v>
                </pt>
                <pt idx="748">
                  <v>85.917</v>
                </pt>
                <pt idx="749">
                  <v>85.89</v>
                </pt>
                <pt idx="750">
                  <v>86.16500000000001</v>
                </pt>
                <pt idx="751">
                  <v>86.646</v>
                </pt>
                <pt idx="752">
                  <v>86.52500000000001</v>
                </pt>
                <pt idx="753">
                  <v>86.38</v>
                </pt>
                <pt idx="754">
                  <v>86.56999999999999</v>
                </pt>
                <pt idx="755">
                  <v>86.571</v>
                </pt>
                <pt idx="756">
                  <v>86.209</v>
                </pt>
                <pt idx="757">
                  <v>86.452</v>
                </pt>
                <pt idx="758">
                  <v>86.45</v>
                </pt>
                <pt idx="759">
                  <v>86.43000000000001</v>
                </pt>
                <pt idx="760">
                  <v>86.2</v>
                </pt>
                <pt idx="761">
                  <v>86.34999999999999</v>
                </pt>
                <pt idx="762">
                  <v>86.584</v>
                </pt>
                <pt idx="763">
                  <v>86.63</v>
                </pt>
                <pt idx="764">
                  <v>86.545</v>
                </pt>
                <pt idx="765">
                  <v>86.536</v>
                </pt>
                <pt idx="766">
                  <v>86.536</v>
                </pt>
                <pt idx="767">
                  <v>86.95999999999999</v>
                </pt>
                <pt idx="768">
                  <v>87.06999999999999</v>
                </pt>
                <pt idx="769">
                  <v>87.336</v>
                </pt>
                <pt idx="770">
                  <v>87.58</v>
                </pt>
                <pt idx="771">
                  <v>87.627</v>
                </pt>
                <pt idx="772">
                  <v>87.46899999999999</v>
                </pt>
                <pt idx="773">
                  <v>86.789</v>
                </pt>
                <pt idx="774">
                  <v>86.90000000000001</v>
                </pt>
                <pt idx="775">
                  <v>86.69</v>
                </pt>
                <pt idx="776">
                  <v>86.62</v>
                </pt>
                <pt idx="777">
                  <v>86.809</v>
                </pt>
                <pt idx="778">
                  <v>86.867</v>
                </pt>
                <pt idx="779">
                  <v>86.89</v>
                </pt>
                <pt idx="780">
                  <v>86.56100000000001</v>
                </pt>
                <pt idx="781">
                  <v>86.572</v>
                </pt>
                <pt idx="782">
                  <v>86.66</v>
                </pt>
                <pt idx="783">
                  <v>87.13</v>
                </pt>
                <pt idx="784">
                  <v>87.33</v>
                </pt>
                <pt idx="785">
                  <v>87.46599999999999</v>
                </pt>
                <pt idx="786">
                  <v>87.26000000000001</v>
                </pt>
                <pt idx="787">
                  <v>87.255</v>
                </pt>
                <pt idx="788">
                  <v>86.88</v>
                </pt>
                <pt idx="789">
                  <v>87.011</v>
                </pt>
                <pt idx="790">
                  <v>87.09999999999999</v>
                </pt>
                <pt idx="791">
                  <v>87.29000000000001</v>
                </pt>
                <pt idx="792">
                  <v>87.176</v>
                </pt>
                <pt idx="793">
                  <v>87.15000000000001</v>
                </pt>
                <pt idx="794">
                  <v>86.89700000000001</v>
                </pt>
                <pt idx="795">
                  <v>86.69</v>
                </pt>
                <pt idx="796">
                  <v>86.51000000000001</v>
                </pt>
                <pt idx="797">
                  <v>86.31</v>
                </pt>
                <pt idx="798">
                  <v>86.31999999999999</v>
                </pt>
                <pt idx="799">
                  <v>85.98999999999999</v>
                </pt>
                <pt idx="800">
                  <v>85.56</v>
                </pt>
                <pt idx="801">
                  <v>85.583</v>
                </pt>
                <pt idx="802">
                  <v>85.625</v>
                </pt>
                <pt idx="803">
                  <v>85.64</v>
                </pt>
                <pt idx="804">
                  <v>85.53400000000001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285753344"/>
        <axId val="285754880"/>
      </barChart>
      <lineChart>
        <grouping val="standard"/>
        <varyColors val="0"/>
        <ser>
          <idx val="1"/>
          <order val="1"/>
          <tx>
            <strRef>
              <f>'EVI 2025 Workings'!$F$1</f>
              <strCache>
                <ptCount val="1"/>
                <pt idx="0">
                  <v>Trillion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'EVI 2025 Workings'!$B$2:$B$806</f>
              <numCache>
                <formatCode>m/d/yyyy</formatCode>
                <ptCount val="805"/>
                <pt idx="0">
                  <v>44564</v>
                </pt>
                <pt idx="1">
                  <v>44565</v>
                </pt>
                <pt idx="2">
                  <v>44566</v>
                </pt>
                <pt idx="3">
                  <v>44567</v>
                </pt>
                <pt idx="4">
                  <v>44568</v>
                </pt>
                <pt idx="5">
                  <v>44571</v>
                </pt>
                <pt idx="6">
                  <v>44572</v>
                </pt>
                <pt idx="7">
                  <v>44573</v>
                </pt>
                <pt idx="8">
                  <v>44574</v>
                </pt>
                <pt idx="9">
                  <v>44575</v>
                </pt>
                <pt idx="10">
                  <v>44578</v>
                </pt>
                <pt idx="11">
                  <v>44579</v>
                </pt>
                <pt idx="12">
                  <v>44580</v>
                </pt>
                <pt idx="13">
                  <v>44581</v>
                </pt>
                <pt idx="14">
                  <v>44582</v>
                </pt>
                <pt idx="15">
                  <v>44585</v>
                </pt>
                <pt idx="16">
                  <v>44586</v>
                </pt>
                <pt idx="17">
                  <v>44588</v>
                </pt>
                <pt idx="18">
                  <v>44589</v>
                </pt>
                <pt idx="19">
                  <v>44592</v>
                </pt>
                <pt idx="20">
                  <v>44593</v>
                </pt>
                <pt idx="21">
                  <v>44594</v>
                </pt>
                <pt idx="22">
                  <v>44595</v>
                </pt>
                <pt idx="23">
                  <v>44596</v>
                </pt>
                <pt idx="24">
                  <v>44599</v>
                </pt>
                <pt idx="25">
                  <v>44600</v>
                </pt>
                <pt idx="26">
                  <v>44601</v>
                </pt>
                <pt idx="27">
                  <v>44602</v>
                </pt>
                <pt idx="28">
                  <v>44603</v>
                </pt>
                <pt idx="29">
                  <v>44606</v>
                </pt>
                <pt idx="30">
                  <v>44607</v>
                </pt>
                <pt idx="31">
                  <v>44608</v>
                </pt>
                <pt idx="32">
                  <v>44609</v>
                </pt>
                <pt idx="33">
                  <v>44610</v>
                </pt>
                <pt idx="34">
                  <v>44613</v>
                </pt>
                <pt idx="35">
                  <v>44614</v>
                </pt>
                <pt idx="36">
                  <v>44615</v>
                </pt>
                <pt idx="37">
                  <v>44616</v>
                </pt>
                <pt idx="38">
                  <v>44617</v>
                </pt>
                <pt idx="39">
                  <v>44620</v>
                </pt>
                <pt idx="40">
                  <v>44622</v>
                </pt>
                <pt idx="41">
                  <v>44623</v>
                </pt>
                <pt idx="42">
                  <v>44624</v>
                </pt>
                <pt idx="43">
                  <v>44627</v>
                </pt>
                <pt idx="44">
                  <v>44628</v>
                </pt>
                <pt idx="45">
                  <v>44629</v>
                </pt>
                <pt idx="46">
                  <v>44630</v>
                </pt>
                <pt idx="47">
                  <v>44631</v>
                </pt>
                <pt idx="48">
                  <v>44634</v>
                </pt>
                <pt idx="49">
                  <v>44635</v>
                </pt>
                <pt idx="50">
                  <v>44636</v>
                </pt>
                <pt idx="51">
                  <v>44637</v>
                </pt>
                <pt idx="52">
                  <v>44641</v>
                </pt>
                <pt idx="53">
                  <v>44642</v>
                </pt>
                <pt idx="54">
                  <v>44643</v>
                </pt>
                <pt idx="55">
                  <v>44644</v>
                </pt>
                <pt idx="56">
                  <v>44645</v>
                </pt>
                <pt idx="57">
                  <v>44648</v>
                </pt>
                <pt idx="58">
                  <v>44649</v>
                </pt>
                <pt idx="59">
                  <v>44650</v>
                </pt>
                <pt idx="60">
                  <v>44651</v>
                </pt>
                <pt idx="61">
                  <v>44652</v>
                </pt>
                <pt idx="62">
                  <v>44655</v>
                </pt>
                <pt idx="63">
                  <v>44656</v>
                </pt>
                <pt idx="64">
                  <v>44657</v>
                </pt>
                <pt idx="65">
                  <v>44658</v>
                </pt>
                <pt idx="66">
                  <v>44659</v>
                </pt>
                <pt idx="67">
                  <v>44662</v>
                </pt>
                <pt idx="68">
                  <v>44663</v>
                </pt>
                <pt idx="69">
                  <v>44664</v>
                </pt>
                <pt idx="70">
                  <v>44669</v>
                </pt>
                <pt idx="71">
                  <v>44670</v>
                </pt>
                <pt idx="72">
                  <v>44671</v>
                </pt>
                <pt idx="73">
                  <v>44672</v>
                </pt>
                <pt idx="74">
                  <v>44673</v>
                </pt>
                <pt idx="75">
                  <v>44676</v>
                </pt>
                <pt idx="76">
                  <v>44677</v>
                </pt>
                <pt idx="77">
                  <v>44678</v>
                </pt>
                <pt idx="78">
                  <v>44679</v>
                </pt>
                <pt idx="79">
                  <v>44680</v>
                </pt>
                <pt idx="80">
                  <v>44683</v>
                </pt>
                <pt idx="81">
                  <v>44685</v>
                </pt>
                <pt idx="82">
                  <v>44686</v>
                </pt>
                <pt idx="83">
                  <v>44687</v>
                </pt>
                <pt idx="84">
                  <v>44690</v>
                </pt>
                <pt idx="85">
                  <v>44691</v>
                </pt>
                <pt idx="86">
                  <v>44692</v>
                </pt>
                <pt idx="87">
                  <v>44693</v>
                </pt>
                <pt idx="88">
                  <v>44694</v>
                </pt>
                <pt idx="89">
                  <v>44697</v>
                </pt>
                <pt idx="90">
                  <v>44698</v>
                </pt>
                <pt idx="91">
                  <v>44699</v>
                </pt>
                <pt idx="92">
                  <v>44700</v>
                </pt>
                <pt idx="93">
                  <v>44701</v>
                </pt>
                <pt idx="94">
                  <v>44704</v>
                </pt>
                <pt idx="95">
                  <v>44705</v>
                </pt>
                <pt idx="96">
                  <v>44706</v>
                </pt>
                <pt idx="97">
                  <v>44707</v>
                </pt>
                <pt idx="98">
                  <v>44708</v>
                </pt>
                <pt idx="99">
                  <v>44711</v>
                </pt>
                <pt idx="100">
                  <v>44712</v>
                </pt>
                <pt idx="101">
                  <v>44713</v>
                </pt>
                <pt idx="102">
                  <v>44714</v>
                </pt>
                <pt idx="103">
                  <v>44715</v>
                </pt>
                <pt idx="104">
                  <v>44718</v>
                </pt>
                <pt idx="105">
                  <v>44719</v>
                </pt>
                <pt idx="106">
                  <v>44720</v>
                </pt>
                <pt idx="107">
                  <v>44721</v>
                </pt>
                <pt idx="108">
                  <v>44722</v>
                </pt>
                <pt idx="109">
                  <v>44725</v>
                </pt>
                <pt idx="110">
                  <v>44726</v>
                </pt>
                <pt idx="111">
                  <v>44727</v>
                </pt>
                <pt idx="112">
                  <v>44728</v>
                </pt>
                <pt idx="113">
                  <v>44729</v>
                </pt>
                <pt idx="114">
                  <v>44732</v>
                </pt>
                <pt idx="115">
                  <v>44733</v>
                </pt>
                <pt idx="116">
                  <v>44734</v>
                </pt>
                <pt idx="117">
                  <v>44735</v>
                </pt>
                <pt idx="118">
                  <v>44736</v>
                </pt>
                <pt idx="119">
                  <v>44739</v>
                </pt>
                <pt idx="120">
                  <v>44740</v>
                </pt>
                <pt idx="121">
                  <v>44741</v>
                </pt>
                <pt idx="122">
                  <v>44742</v>
                </pt>
                <pt idx="123">
                  <v>44743</v>
                </pt>
                <pt idx="124">
                  <v>44746</v>
                </pt>
                <pt idx="125">
                  <v>44747</v>
                </pt>
                <pt idx="126">
                  <v>44748</v>
                </pt>
                <pt idx="127">
                  <v>44749</v>
                </pt>
                <pt idx="128">
                  <v>44750</v>
                </pt>
                <pt idx="129">
                  <v>44753</v>
                </pt>
                <pt idx="130">
                  <v>44754</v>
                </pt>
                <pt idx="131">
                  <v>44755</v>
                </pt>
                <pt idx="132">
                  <v>44756</v>
                </pt>
                <pt idx="133">
                  <v>44757</v>
                </pt>
                <pt idx="134">
                  <v>44760</v>
                </pt>
                <pt idx="135">
                  <v>44761</v>
                </pt>
                <pt idx="136">
                  <v>44762</v>
                </pt>
                <pt idx="137">
                  <v>44763</v>
                </pt>
                <pt idx="138">
                  <v>44764</v>
                </pt>
                <pt idx="139">
                  <v>44767</v>
                </pt>
                <pt idx="140">
                  <v>44768</v>
                </pt>
                <pt idx="141">
                  <v>44769</v>
                </pt>
                <pt idx="142">
                  <v>44770</v>
                </pt>
                <pt idx="143">
                  <v>44771</v>
                </pt>
                <pt idx="144">
                  <v>44774</v>
                </pt>
                <pt idx="145">
                  <v>44775</v>
                </pt>
                <pt idx="146">
                  <v>44776</v>
                </pt>
                <pt idx="147">
                  <v>44777</v>
                </pt>
                <pt idx="148">
                  <v>44778</v>
                </pt>
                <pt idx="149">
                  <v>44781</v>
                </pt>
                <pt idx="150">
                  <v>44783</v>
                </pt>
                <pt idx="151">
                  <v>44784</v>
                </pt>
                <pt idx="152">
                  <v>44785</v>
                </pt>
                <pt idx="153">
                  <v>44789</v>
                </pt>
                <pt idx="154">
                  <v>44790</v>
                </pt>
                <pt idx="155">
                  <v>44791</v>
                </pt>
                <pt idx="156">
                  <v>44792</v>
                </pt>
                <pt idx="157">
                  <v>44795</v>
                </pt>
                <pt idx="158">
                  <v>44796</v>
                </pt>
                <pt idx="159">
                  <v>44797</v>
                </pt>
                <pt idx="160">
                  <v>44798</v>
                </pt>
                <pt idx="161">
                  <v>44799</v>
                </pt>
                <pt idx="162">
                  <v>44802</v>
                </pt>
                <pt idx="163">
                  <v>44803</v>
                </pt>
                <pt idx="164">
                  <v>44805</v>
                </pt>
                <pt idx="165">
                  <v>44806</v>
                </pt>
                <pt idx="166">
                  <v>44809</v>
                </pt>
                <pt idx="167">
                  <v>44810</v>
                </pt>
                <pt idx="168">
                  <v>44811</v>
                </pt>
                <pt idx="169">
                  <v>44812</v>
                </pt>
                <pt idx="170">
                  <v>44813</v>
                </pt>
                <pt idx="171">
                  <v>44816</v>
                </pt>
                <pt idx="172">
                  <v>44817</v>
                </pt>
                <pt idx="173">
                  <v>44818</v>
                </pt>
                <pt idx="174">
                  <v>44819</v>
                </pt>
                <pt idx="175">
                  <v>44820</v>
                </pt>
                <pt idx="176">
                  <v>44823</v>
                </pt>
                <pt idx="177">
                  <v>44824</v>
                </pt>
                <pt idx="178">
                  <v>44825</v>
                </pt>
                <pt idx="179">
                  <v>44826</v>
                </pt>
                <pt idx="180">
                  <v>44827</v>
                </pt>
                <pt idx="181">
                  <v>44830</v>
                </pt>
                <pt idx="182">
                  <v>44831</v>
                </pt>
                <pt idx="183">
                  <v>44832</v>
                </pt>
                <pt idx="184">
                  <v>44833</v>
                </pt>
                <pt idx="185">
                  <v>44834</v>
                </pt>
                <pt idx="186">
                  <v>44837</v>
                </pt>
                <pt idx="187">
                  <v>44838</v>
                </pt>
                <pt idx="188">
                  <v>44840</v>
                </pt>
                <pt idx="189">
                  <v>44841</v>
                </pt>
                <pt idx="190">
                  <v>44844</v>
                </pt>
                <pt idx="191">
                  <v>44845</v>
                </pt>
                <pt idx="192">
                  <v>44846</v>
                </pt>
                <pt idx="193">
                  <v>44847</v>
                </pt>
                <pt idx="194">
                  <v>44848</v>
                </pt>
                <pt idx="195">
                  <v>44851</v>
                </pt>
                <pt idx="196">
                  <v>44852</v>
                </pt>
                <pt idx="197">
                  <v>44853</v>
                </pt>
                <pt idx="198">
                  <v>44854</v>
                </pt>
                <pt idx="199">
                  <v>44855</v>
                </pt>
                <pt idx="200">
                  <v>44858</v>
                </pt>
                <pt idx="201">
                  <v>44859</v>
                </pt>
                <pt idx="202">
                  <v>44861</v>
                </pt>
                <pt idx="203">
                  <v>44862</v>
                </pt>
                <pt idx="204">
                  <v>44865</v>
                </pt>
                <pt idx="205">
                  <v>44866</v>
                </pt>
                <pt idx="206">
                  <v>44867</v>
                </pt>
                <pt idx="207">
                  <v>44868</v>
                </pt>
                <pt idx="208">
                  <v>44869</v>
                </pt>
                <pt idx="209">
                  <v>44872</v>
                </pt>
                <pt idx="210">
                  <v>44874</v>
                </pt>
                <pt idx="211">
                  <v>44875</v>
                </pt>
                <pt idx="212">
                  <v>44876</v>
                </pt>
                <pt idx="213">
                  <v>44879</v>
                </pt>
                <pt idx="214">
                  <v>44880</v>
                </pt>
                <pt idx="215">
                  <v>44881</v>
                </pt>
                <pt idx="216">
                  <v>44882</v>
                </pt>
                <pt idx="217">
                  <v>44883</v>
                </pt>
                <pt idx="218">
                  <v>44886</v>
                </pt>
                <pt idx="219">
                  <v>44887</v>
                </pt>
                <pt idx="220">
                  <v>44888</v>
                </pt>
                <pt idx="221">
                  <v>44889</v>
                </pt>
                <pt idx="222">
                  <v>44890</v>
                </pt>
                <pt idx="223">
                  <v>44893</v>
                </pt>
                <pt idx="224">
                  <v>44894</v>
                </pt>
                <pt idx="225">
                  <v>44895</v>
                </pt>
                <pt idx="226">
                  <v>44896</v>
                </pt>
                <pt idx="227">
                  <v>44897</v>
                </pt>
                <pt idx="228">
                  <v>44900</v>
                </pt>
                <pt idx="229">
                  <v>44901</v>
                </pt>
                <pt idx="230">
                  <v>44902</v>
                </pt>
                <pt idx="231">
                  <v>44903</v>
                </pt>
                <pt idx="232">
                  <v>44904</v>
                </pt>
                <pt idx="233">
                  <v>44907</v>
                </pt>
                <pt idx="234">
                  <v>44908</v>
                </pt>
                <pt idx="235">
                  <v>44909</v>
                </pt>
                <pt idx="236">
                  <v>44910</v>
                </pt>
                <pt idx="237">
                  <v>44911</v>
                </pt>
                <pt idx="238">
                  <v>44914</v>
                </pt>
                <pt idx="239">
                  <v>44915</v>
                </pt>
                <pt idx="240">
                  <v>44916</v>
                </pt>
                <pt idx="241">
                  <v>44917</v>
                </pt>
                <pt idx="242">
                  <v>44918</v>
                </pt>
                <pt idx="243">
                  <v>44921</v>
                </pt>
                <pt idx="244">
                  <v>44922</v>
                </pt>
                <pt idx="245">
                  <v>44923</v>
                </pt>
                <pt idx="246">
                  <v>44924</v>
                </pt>
                <pt idx="247">
                  <v>44925</v>
                </pt>
                <pt idx="248">
                  <v>44928</v>
                </pt>
                <pt idx="249">
                  <v>44929</v>
                </pt>
                <pt idx="250">
                  <v>44930</v>
                </pt>
                <pt idx="251">
                  <v>44931</v>
                </pt>
                <pt idx="252">
                  <v>44932</v>
                </pt>
                <pt idx="253">
                  <v>44935</v>
                </pt>
                <pt idx="254">
                  <v>44936</v>
                </pt>
                <pt idx="255">
                  <v>44937</v>
                </pt>
                <pt idx="256">
                  <v>44938</v>
                </pt>
                <pt idx="257">
                  <v>44939</v>
                </pt>
                <pt idx="258">
                  <v>44942</v>
                </pt>
                <pt idx="259">
                  <v>44943</v>
                </pt>
                <pt idx="260">
                  <v>44944</v>
                </pt>
                <pt idx="261">
                  <v>44945</v>
                </pt>
                <pt idx="262">
                  <v>44946</v>
                </pt>
                <pt idx="263">
                  <v>44949</v>
                </pt>
                <pt idx="264">
                  <v>44950</v>
                </pt>
                <pt idx="265">
                  <v>44951</v>
                </pt>
                <pt idx="266">
                  <v>44953</v>
                </pt>
                <pt idx="267">
                  <v>44956</v>
                </pt>
                <pt idx="268">
                  <v>44957</v>
                </pt>
                <pt idx="269">
                  <v>44958</v>
                </pt>
                <pt idx="270">
                  <v>44959</v>
                </pt>
                <pt idx="271">
                  <v>44960</v>
                </pt>
                <pt idx="272">
                  <v>44963</v>
                </pt>
                <pt idx="273">
                  <v>44964</v>
                </pt>
                <pt idx="274">
                  <v>44965</v>
                </pt>
                <pt idx="275">
                  <v>44966</v>
                </pt>
                <pt idx="276">
                  <v>44967</v>
                </pt>
                <pt idx="277">
                  <v>44970</v>
                </pt>
                <pt idx="278">
                  <v>44971</v>
                </pt>
                <pt idx="279">
                  <v>44972</v>
                </pt>
                <pt idx="280">
                  <v>44973</v>
                </pt>
                <pt idx="281">
                  <v>44974</v>
                </pt>
                <pt idx="282">
                  <v>44977</v>
                </pt>
                <pt idx="283">
                  <v>44978</v>
                </pt>
                <pt idx="284">
                  <v>44979</v>
                </pt>
                <pt idx="285">
                  <v>44980</v>
                </pt>
                <pt idx="286">
                  <v>44981</v>
                </pt>
                <pt idx="287">
                  <v>44984</v>
                </pt>
                <pt idx="288">
                  <v>44985</v>
                </pt>
                <pt idx="289">
                  <v>44986</v>
                </pt>
                <pt idx="290">
                  <v>44987</v>
                </pt>
                <pt idx="291">
                  <v>44988</v>
                </pt>
                <pt idx="292">
                  <v>44991</v>
                </pt>
                <pt idx="293">
                  <v>44993</v>
                </pt>
                <pt idx="294">
                  <v>44994</v>
                </pt>
                <pt idx="295">
                  <v>44995</v>
                </pt>
                <pt idx="296">
                  <v>44998</v>
                </pt>
                <pt idx="297">
                  <v>44999</v>
                </pt>
                <pt idx="298">
                  <v>45000</v>
                </pt>
                <pt idx="299">
                  <v>45001</v>
                </pt>
                <pt idx="300">
                  <v>45002</v>
                </pt>
                <pt idx="301">
                  <v>45005</v>
                </pt>
                <pt idx="302">
                  <v>45006</v>
                </pt>
                <pt idx="303">
                  <v>45007</v>
                </pt>
                <pt idx="304">
                  <v>45008</v>
                </pt>
                <pt idx="305">
                  <v>45009</v>
                </pt>
                <pt idx="306">
                  <v>45012</v>
                </pt>
                <pt idx="307">
                  <v>45013</v>
                </pt>
                <pt idx="308">
                  <v>45014</v>
                </pt>
                <pt idx="309">
                  <v>45016</v>
                </pt>
                <pt idx="310">
                  <v>45019</v>
                </pt>
                <pt idx="311">
                  <v>45021</v>
                </pt>
                <pt idx="312">
                  <v>45022</v>
                </pt>
                <pt idx="313">
                  <v>45026</v>
                </pt>
                <pt idx="314">
                  <v>45027</v>
                </pt>
                <pt idx="315">
                  <v>45028</v>
                </pt>
                <pt idx="316">
                  <v>45029</v>
                </pt>
                <pt idx="317">
                  <v>45033</v>
                </pt>
                <pt idx="318">
                  <v>45034</v>
                </pt>
                <pt idx="319">
                  <v>45035</v>
                </pt>
                <pt idx="320">
                  <v>45036</v>
                </pt>
                <pt idx="321">
                  <v>45037</v>
                </pt>
                <pt idx="322">
                  <v>45040</v>
                </pt>
                <pt idx="323">
                  <v>45041</v>
                </pt>
                <pt idx="324">
                  <v>45042</v>
                </pt>
                <pt idx="325">
                  <v>45043</v>
                </pt>
                <pt idx="326">
                  <v>45044</v>
                </pt>
                <pt idx="327">
                  <v>45048</v>
                </pt>
                <pt idx="328">
                  <v>45049</v>
                </pt>
                <pt idx="329">
                  <v>45050</v>
                </pt>
                <pt idx="330">
                  <v>45051</v>
                </pt>
                <pt idx="331">
                  <v>45054</v>
                </pt>
                <pt idx="332">
                  <v>45055</v>
                </pt>
                <pt idx="333">
                  <v>45056</v>
                </pt>
                <pt idx="334">
                  <v>45057</v>
                </pt>
                <pt idx="335">
                  <v>45058</v>
                </pt>
                <pt idx="336">
                  <v>45061</v>
                </pt>
                <pt idx="337">
                  <v>45062</v>
                </pt>
                <pt idx="338">
                  <v>45063</v>
                </pt>
                <pt idx="339">
                  <v>45064</v>
                </pt>
                <pt idx="340">
                  <v>45065</v>
                </pt>
                <pt idx="341">
                  <v>45068</v>
                </pt>
                <pt idx="342">
                  <v>45069</v>
                </pt>
                <pt idx="343">
                  <v>45070</v>
                </pt>
                <pt idx="344">
                  <v>45071</v>
                </pt>
                <pt idx="345">
                  <v>45072</v>
                </pt>
                <pt idx="346">
                  <v>45075</v>
                </pt>
                <pt idx="347">
                  <v>45076</v>
                </pt>
                <pt idx="348">
                  <v>45077</v>
                </pt>
                <pt idx="349">
                  <v>45078</v>
                </pt>
                <pt idx="350">
                  <v>45079</v>
                </pt>
                <pt idx="351">
                  <v>45082</v>
                </pt>
                <pt idx="352">
                  <v>45083</v>
                </pt>
                <pt idx="353">
                  <v>45084</v>
                </pt>
                <pt idx="354">
                  <v>45085</v>
                </pt>
                <pt idx="355">
                  <v>45086</v>
                </pt>
                <pt idx="356">
                  <v>45089</v>
                </pt>
                <pt idx="357">
                  <v>45090</v>
                </pt>
                <pt idx="358">
                  <v>45091</v>
                </pt>
                <pt idx="359">
                  <v>45092</v>
                </pt>
                <pt idx="360">
                  <v>45093</v>
                </pt>
                <pt idx="361">
                  <v>45096</v>
                </pt>
                <pt idx="362">
                  <v>45097</v>
                </pt>
                <pt idx="363">
                  <v>45098</v>
                </pt>
                <pt idx="364">
                  <v>45099</v>
                </pt>
                <pt idx="365">
                  <v>45100</v>
                </pt>
                <pt idx="366">
                  <v>45103</v>
                </pt>
                <pt idx="367">
                  <v>45104</v>
                </pt>
                <pt idx="368">
                  <v>45105</v>
                </pt>
                <pt idx="369">
                  <v>45107</v>
                </pt>
                <pt idx="370">
                  <v>45110</v>
                </pt>
                <pt idx="371">
                  <v>45111</v>
                </pt>
                <pt idx="372">
                  <v>45112</v>
                </pt>
                <pt idx="373">
                  <v>45113</v>
                </pt>
                <pt idx="374">
                  <v>45114</v>
                </pt>
                <pt idx="375">
                  <v>45117</v>
                </pt>
                <pt idx="376">
                  <v>45118</v>
                </pt>
                <pt idx="377">
                  <v>45119</v>
                </pt>
                <pt idx="378">
                  <v>45120</v>
                </pt>
                <pt idx="379">
                  <v>45121</v>
                </pt>
                <pt idx="380">
                  <v>45124</v>
                </pt>
                <pt idx="381">
                  <v>45125</v>
                </pt>
                <pt idx="382">
                  <v>45126</v>
                </pt>
                <pt idx="383">
                  <v>45127</v>
                </pt>
                <pt idx="384">
                  <v>45128</v>
                </pt>
                <pt idx="385">
                  <v>45131</v>
                </pt>
                <pt idx="386">
                  <v>45132</v>
                </pt>
                <pt idx="387">
                  <v>45133</v>
                </pt>
                <pt idx="388">
                  <v>45134</v>
                </pt>
                <pt idx="389">
                  <v>45135</v>
                </pt>
                <pt idx="390">
                  <v>45138</v>
                </pt>
                <pt idx="391">
                  <v>45139</v>
                </pt>
                <pt idx="392">
                  <v>45140</v>
                </pt>
                <pt idx="393">
                  <v>45141</v>
                </pt>
                <pt idx="394">
                  <v>45142</v>
                </pt>
                <pt idx="395">
                  <v>45145</v>
                </pt>
                <pt idx="396">
                  <v>45146</v>
                </pt>
                <pt idx="397">
                  <v>45147</v>
                </pt>
                <pt idx="398">
                  <v>45148</v>
                </pt>
                <pt idx="399">
                  <v>45149</v>
                </pt>
                <pt idx="400">
                  <v>45152</v>
                </pt>
                <pt idx="401">
                  <v>45154</v>
                </pt>
                <pt idx="402">
                  <v>45155</v>
                </pt>
                <pt idx="403">
                  <v>45156</v>
                </pt>
                <pt idx="404">
                  <v>45159</v>
                </pt>
                <pt idx="405">
                  <v>45160</v>
                </pt>
                <pt idx="406">
                  <v>45161</v>
                </pt>
                <pt idx="407">
                  <v>45162</v>
                </pt>
                <pt idx="408">
                  <v>45163</v>
                </pt>
                <pt idx="409">
                  <v>45166</v>
                </pt>
                <pt idx="410">
                  <v>45167</v>
                </pt>
                <pt idx="411">
                  <v>45168</v>
                </pt>
                <pt idx="412">
                  <v>45169</v>
                </pt>
                <pt idx="413">
                  <v>45170</v>
                </pt>
                <pt idx="414">
                  <v>45173</v>
                </pt>
                <pt idx="415">
                  <v>45174</v>
                </pt>
                <pt idx="416">
                  <v>45175</v>
                </pt>
                <pt idx="417">
                  <v>45176</v>
                </pt>
                <pt idx="418">
                  <v>45177</v>
                </pt>
                <pt idx="419">
                  <v>45180</v>
                </pt>
                <pt idx="420">
                  <v>45181</v>
                </pt>
                <pt idx="421">
                  <v>45182</v>
                </pt>
                <pt idx="422">
                  <v>45183</v>
                </pt>
                <pt idx="423">
                  <v>45184</v>
                </pt>
                <pt idx="424">
                  <v>45187</v>
                </pt>
                <pt idx="425">
                  <v>45189</v>
                </pt>
                <pt idx="426">
                  <v>45190</v>
                </pt>
                <pt idx="427">
                  <v>45191</v>
                </pt>
                <pt idx="428">
                  <v>45194</v>
                </pt>
                <pt idx="429">
                  <v>45195</v>
                </pt>
                <pt idx="430">
                  <v>45196</v>
                </pt>
                <pt idx="431">
                  <v>45197</v>
                </pt>
                <pt idx="432">
                  <v>45198</v>
                </pt>
                <pt idx="433">
                  <v>45202</v>
                </pt>
                <pt idx="434">
                  <v>45203</v>
                </pt>
                <pt idx="435">
                  <v>45204</v>
                </pt>
                <pt idx="436">
                  <v>45205</v>
                </pt>
                <pt idx="437">
                  <v>45208</v>
                </pt>
                <pt idx="438">
                  <v>45209</v>
                </pt>
                <pt idx="439">
                  <v>45210</v>
                </pt>
                <pt idx="440">
                  <v>45211</v>
                </pt>
                <pt idx="441">
                  <v>45212</v>
                </pt>
                <pt idx="442">
                  <v>45215</v>
                </pt>
                <pt idx="443">
                  <v>45216</v>
                </pt>
                <pt idx="444">
                  <v>45217</v>
                </pt>
                <pt idx="445">
                  <v>45218</v>
                </pt>
                <pt idx="446">
                  <v>45219</v>
                </pt>
                <pt idx="447">
                  <v>45222</v>
                </pt>
                <pt idx="448">
                  <v>45224</v>
                </pt>
                <pt idx="449">
                  <v>45225</v>
                </pt>
                <pt idx="450">
                  <v>45226</v>
                </pt>
                <pt idx="451">
                  <v>45229</v>
                </pt>
                <pt idx="452">
                  <v>45230</v>
                </pt>
                <pt idx="453">
                  <v>45231</v>
                </pt>
                <pt idx="454">
                  <v>45232</v>
                </pt>
                <pt idx="455">
                  <v>45233</v>
                </pt>
                <pt idx="456">
                  <v>45236</v>
                </pt>
                <pt idx="457">
                  <v>45237</v>
                </pt>
                <pt idx="458">
                  <v>45238</v>
                </pt>
                <pt idx="459">
                  <v>45239</v>
                </pt>
                <pt idx="460">
                  <v>45240</v>
                </pt>
                <pt idx="461">
                  <v>45242</v>
                </pt>
                <pt idx="462">
                  <v>45243</v>
                </pt>
                <pt idx="463">
                  <v>45245</v>
                </pt>
                <pt idx="464">
                  <v>45246</v>
                </pt>
                <pt idx="465">
                  <v>45247</v>
                </pt>
                <pt idx="466">
                  <v>45250</v>
                </pt>
                <pt idx="467">
                  <v>45251</v>
                </pt>
                <pt idx="468">
                  <v>45252</v>
                </pt>
                <pt idx="469">
                  <v>45253</v>
                </pt>
                <pt idx="470">
                  <v>45254</v>
                </pt>
                <pt idx="471">
                  <v>45258</v>
                </pt>
                <pt idx="472">
                  <v>45259</v>
                </pt>
                <pt idx="473">
                  <v>45260</v>
                </pt>
                <pt idx="474">
                  <v>45261</v>
                </pt>
                <pt idx="475">
                  <v>45264</v>
                </pt>
                <pt idx="476">
                  <v>45265</v>
                </pt>
                <pt idx="477">
                  <v>45266</v>
                </pt>
                <pt idx="478">
                  <v>45267</v>
                </pt>
                <pt idx="479">
                  <v>45268</v>
                </pt>
                <pt idx="480">
                  <v>45271</v>
                </pt>
                <pt idx="481">
                  <v>45272</v>
                </pt>
                <pt idx="482">
                  <v>45273</v>
                </pt>
                <pt idx="483">
                  <v>45274</v>
                </pt>
                <pt idx="484">
                  <v>45275</v>
                </pt>
                <pt idx="485">
                  <v>45278</v>
                </pt>
                <pt idx="486">
                  <v>45279</v>
                </pt>
                <pt idx="487">
                  <v>45280</v>
                </pt>
                <pt idx="488">
                  <v>45281</v>
                </pt>
                <pt idx="489">
                  <v>45282</v>
                </pt>
                <pt idx="490">
                  <v>45286</v>
                </pt>
                <pt idx="491">
                  <v>45287</v>
                </pt>
                <pt idx="492">
                  <v>45288</v>
                </pt>
                <pt idx="493">
                  <v>45289</v>
                </pt>
                <pt idx="494">
                  <v>45292</v>
                </pt>
                <pt idx="495">
                  <v>45293</v>
                </pt>
                <pt idx="496">
                  <v>45294</v>
                </pt>
                <pt idx="497">
                  <v>45295</v>
                </pt>
                <pt idx="498">
                  <v>45296</v>
                </pt>
                <pt idx="499">
                  <v>45299</v>
                </pt>
                <pt idx="500">
                  <v>45300</v>
                </pt>
                <pt idx="501">
                  <v>45301</v>
                </pt>
                <pt idx="502">
                  <v>45302</v>
                </pt>
                <pt idx="503">
                  <v>45303</v>
                </pt>
                <pt idx="504">
                  <v>45306</v>
                </pt>
                <pt idx="505">
                  <v>45307</v>
                </pt>
                <pt idx="506">
                  <v>45308</v>
                </pt>
                <pt idx="507">
                  <v>45309</v>
                </pt>
                <pt idx="508">
                  <v>45310</v>
                </pt>
                <pt idx="509">
                  <v>45311</v>
                </pt>
                <pt idx="510">
                  <v>45314</v>
                </pt>
                <pt idx="511">
                  <v>45315</v>
                </pt>
                <pt idx="512">
                  <v>45316</v>
                </pt>
                <pt idx="513">
                  <v>45320</v>
                </pt>
                <pt idx="514">
                  <v>45321</v>
                </pt>
                <pt idx="515">
                  <v>45322</v>
                </pt>
                <pt idx="516">
                  <v>45323</v>
                </pt>
                <pt idx="517">
                  <v>45324</v>
                </pt>
                <pt idx="518">
                  <v>45327</v>
                </pt>
                <pt idx="519">
                  <v>45328</v>
                </pt>
                <pt idx="520">
                  <v>45329</v>
                </pt>
                <pt idx="521">
                  <v>45330</v>
                </pt>
                <pt idx="522">
                  <v>45331</v>
                </pt>
                <pt idx="523">
                  <v>45334</v>
                </pt>
                <pt idx="524">
                  <v>45335</v>
                </pt>
                <pt idx="525">
                  <v>45336</v>
                </pt>
                <pt idx="526">
                  <v>45337</v>
                </pt>
                <pt idx="527">
                  <v>45338</v>
                </pt>
                <pt idx="528">
                  <v>45341</v>
                </pt>
                <pt idx="529">
                  <v>45342</v>
                </pt>
                <pt idx="530">
                  <v>45343</v>
                </pt>
                <pt idx="531">
                  <v>45344</v>
                </pt>
                <pt idx="532">
                  <v>45345</v>
                </pt>
                <pt idx="533">
                  <v>45348</v>
                </pt>
                <pt idx="534">
                  <v>45349</v>
                </pt>
                <pt idx="535">
                  <v>45350</v>
                </pt>
                <pt idx="536">
                  <v>45351</v>
                </pt>
                <pt idx="537">
                  <v>45352</v>
                </pt>
                <pt idx="538">
                  <v>45353</v>
                </pt>
                <pt idx="539">
                  <v>45355</v>
                </pt>
                <pt idx="540">
                  <v>45356</v>
                </pt>
                <pt idx="541">
                  <v>45357</v>
                </pt>
                <pt idx="542">
                  <v>45358</v>
                </pt>
                <pt idx="543">
                  <v>45362</v>
                </pt>
                <pt idx="544">
                  <v>45363</v>
                </pt>
                <pt idx="545">
                  <v>45364</v>
                </pt>
                <pt idx="546">
                  <v>45365</v>
                </pt>
                <pt idx="547">
                  <v>45366</v>
                </pt>
                <pt idx="548">
                  <v>45369</v>
                </pt>
                <pt idx="549">
                  <v>45370</v>
                </pt>
                <pt idx="550">
                  <v>45371</v>
                </pt>
                <pt idx="551">
                  <v>45372</v>
                </pt>
                <pt idx="552">
                  <v>45373</v>
                </pt>
                <pt idx="553">
                  <v>45377</v>
                </pt>
                <pt idx="554">
                  <v>45378</v>
                </pt>
                <pt idx="555">
                  <v>45379</v>
                </pt>
                <pt idx="556">
                  <v>45383</v>
                </pt>
                <pt idx="557">
                  <v>45384</v>
                </pt>
                <pt idx="558">
                  <v>45385</v>
                </pt>
                <pt idx="559">
                  <v>45386</v>
                </pt>
                <pt idx="560">
                  <v>45387</v>
                </pt>
                <pt idx="561">
                  <v>45390</v>
                </pt>
                <pt idx="562">
                  <v>45391</v>
                </pt>
                <pt idx="563">
                  <v>45392</v>
                </pt>
                <pt idx="564">
                  <v>45394</v>
                </pt>
                <pt idx="565">
                  <v>45397</v>
                </pt>
                <pt idx="566">
                  <v>45398</v>
                </pt>
                <pt idx="567">
                  <v>45400</v>
                </pt>
                <pt idx="568">
                  <v>45401</v>
                </pt>
                <pt idx="569">
                  <v>45404</v>
                </pt>
                <pt idx="570">
                  <v>45405</v>
                </pt>
                <pt idx="571">
                  <v>45406</v>
                </pt>
                <pt idx="572">
                  <v>45407</v>
                </pt>
                <pt idx="573">
                  <v>45408</v>
                </pt>
                <pt idx="574">
                  <v>45411</v>
                </pt>
                <pt idx="575">
                  <v>45412</v>
                </pt>
                <pt idx="576">
                  <v>45414</v>
                </pt>
                <pt idx="577">
                  <v>45415</v>
                </pt>
                <pt idx="578">
                  <v>45418</v>
                </pt>
                <pt idx="579">
                  <v>45419</v>
                </pt>
                <pt idx="580">
                  <v>45420</v>
                </pt>
                <pt idx="581">
                  <v>45421</v>
                </pt>
                <pt idx="582">
                  <v>45422</v>
                </pt>
                <pt idx="583">
                  <v>45425</v>
                </pt>
                <pt idx="584">
                  <v>45426</v>
                </pt>
                <pt idx="585">
                  <v>45427</v>
                </pt>
                <pt idx="586">
                  <v>45428</v>
                </pt>
                <pt idx="587">
                  <v>45429</v>
                </pt>
                <pt idx="588">
                  <v>45430</v>
                </pt>
                <pt idx="589">
                  <v>45433</v>
                </pt>
                <pt idx="590">
                  <v>45434</v>
                </pt>
                <pt idx="591">
                  <v>45435</v>
                </pt>
                <pt idx="592">
                  <v>45436</v>
                </pt>
                <pt idx="593">
                  <v>45439</v>
                </pt>
                <pt idx="594">
                  <v>45440</v>
                </pt>
                <pt idx="595">
                  <v>45441</v>
                </pt>
                <pt idx="596">
                  <v>45442</v>
                </pt>
                <pt idx="597">
                  <v>45443</v>
                </pt>
                <pt idx="598">
                  <v>45446</v>
                </pt>
                <pt idx="599">
                  <v>45447</v>
                </pt>
                <pt idx="600">
                  <v>45448</v>
                </pt>
                <pt idx="601">
                  <v>45449</v>
                </pt>
                <pt idx="602">
                  <v>45450</v>
                </pt>
                <pt idx="603">
                  <v>45453</v>
                </pt>
                <pt idx="604">
                  <v>45454</v>
                </pt>
                <pt idx="605">
                  <v>45455</v>
                </pt>
                <pt idx="606">
                  <v>45456</v>
                </pt>
                <pt idx="607">
                  <v>45457</v>
                </pt>
                <pt idx="608">
                  <v>45461</v>
                </pt>
                <pt idx="609">
                  <v>45462</v>
                </pt>
                <pt idx="610">
                  <v>45463</v>
                </pt>
                <pt idx="611">
                  <v>45464</v>
                </pt>
                <pt idx="612">
                  <v>45467</v>
                </pt>
                <pt idx="613">
                  <v>45468</v>
                </pt>
                <pt idx="614">
                  <v>45469</v>
                </pt>
                <pt idx="615">
                  <v>45470</v>
                </pt>
                <pt idx="616">
                  <v>45471</v>
                </pt>
                <pt idx="617">
                  <v>45474</v>
                </pt>
                <pt idx="618">
                  <v>45475</v>
                </pt>
                <pt idx="619">
                  <v>45476</v>
                </pt>
                <pt idx="620">
                  <v>45477</v>
                </pt>
                <pt idx="621">
                  <v>45478</v>
                </pt>
                <pt idx="622">
                  <v>45481</v>
                </pt>
                <pt idx="623">
                  <v>45482</v>
                </pt>
                <pt idx="624">
                  <v>45483</v>
                </pt>
                <pt idx="625">
                  <v>45484</v>
                </pt>
                <pt idx="626">
                  <v>45485</v>
                </pt>
                <pt idx="627">
                  <v>45488</v>
                </pt>
                <pt idx="628">
                  <v>45489</v>
                </pt>
                <pt idx="629">
                  <v>45491</v>
                </pt>
                <pt idx="630">
                  <v>45492</v>
                </pt>
                <pt idx="631">
                  <v>45495</v>
                </pt>
                <pt idx="632">
                  <v>45496</v>
                </pt>
                <pt idx="633">
                  <v>45497</v>
                </pt>
                <pt idx="634">
                  <v>45498</v>
                </pt>
                <pt idx="635">
                  <v>45499</v>
                </pt>
                <pt idx="636">
                  <v>45502</v>
                </pt>
                <pt idx="637">
                  <v>45503</v>
                </pt>
                <pt idx="638">
                  <v>45504</v>
                </pt>
                <pt idx="639">
                  <v>45505</v>
                </pt>
                <pt idx="640">
                  <v>45506</v>
                </pt>
                <pt idx="641">
                  <v>45509</v>
                </pt>
                <pt idx="642">
                  <v>45510</v>
                </pt>
                <pt idx="643">
                  <v>45511</v>
                </pt>
                <pt idx="644">
                  <v>45512</v>
                </pt>
                <pt idx="645">
                  <v>45513</v>
                </pt>
                <pt idx="646">
                  <v>45516</v>
                </pt>
                <pt idx="647">
                  <v>45517</v>
                </pt>
                <pt idx="648">
                  <v>45518</v>
                </pt>
                <pt idx="649">
                  <v>45520</v>
                </pt>
                <pt idx="650">
                  <v>45523</v>
                </pt>
                <pt idx="651">
                  <v>45524</v>
                </pt>
                <pt idx="652">
                  <v>45525</v>
                </pt>
                <pt idx="653">
                  <v>45526</v>
                </pt>
                <pt idx="654">
                  <v>45527</v>
                </pt>
                <pt idx="655">
                  <v>45530</v>
                </pt>
                <pt idx="656">
                  <v>45531</v>
                </pt>
                <pt idx="657">
                  <v>45532</v>
                </pt>
                <pt idx="658">
                  <v>45533</v>
                </pt>
                <pt idx="659">
                  <v>45534</v>
                </pt>
                <pt idx="660">
                  <v>45537</v>
                </pt>
                <pt idx="661">
                  <v>45538</v>
                </pt>
                <pt idx="662">
                  <v>45539</v>
                </pt>
                <pt idx="663">
                  <v>45540</v>
                </pt>
                <pt idx="664">
                  <v>45541</v>
                </pt>
                <pt idx="665">
                  <v>45544</v>
                </pt>
                <pt idx="666">
                  <v>45545</v>
                </pt>
                <pt idx="667">
                  <v>45546</v>
                </pt>
                <pt idx="668">
                  <v>45547</v>
                </pt>
                <pt idx="669">
                  <v>45548</v>
                </pt>
                <pt idx="670">
                  <v>45551</v>
                </pt>
                <pt idx="671">
                  <v>45552</v>
                </pt>
                <pt idx="672">
                  <v>45553</v>
                </pt>
                <pt idx="673">
                  <v>45554</v>
                </pt>
                <pt idx="674">
                  <v>45555</v>
                </pt>
                <pt idx="675">
                  <v>45558</v>
                </pt>
                <pt idx="676">
                  <v>45559</v>
                </pt>
                <pt idx="677">
                  <v>45560</v>
                </pt>
                <pt idx="678">
                  <v>45561</v>
                </pt>
                <pt idx="679">
                  <v>45562</v>
                </pt>
                <pt idx="680">
                  <v>45565</v>
                </pt>
                <pt idx="681">
                  <v>45566</v>
                </pt>
                <pt idx="682">
                  <v>45568</v>
                </pt>
                <pt idx="683">
                  <v>45569</v>
                </pt>
                <pt idx="684">
                  <v>45572</v>
                </pt>
                <pt idx="685">
                  <v>45573</v>
                </pt>
                <pt idx="686">
                  <v>45574</v>
                </pt>
                <pt idx="687">
                  <v>45575</v>
                </pt>
                <pt idx="688">
                  <v>45576</v>
                </pt>
                <pt idx="689">
                  <v>45579</v>
                </pt>
                <pt idx="690">
                  <v>45580</v>
                </pt>
                <pt idx="691">
                  <v>45581</v>
                </pt>
                <pt idx="692">
                  <v>45582</v>
                </pt>
                <pt idx="693">
                  <v>45583</v>
                </pt>
                <pt idx="694">
                  <v>45586</v>
                </pt>
                <pt idx="695">
                  <v>45587</v>
                </pt>
                <pt idx="696">
                  <v>45588</v>
                </pt>
                <pt idx="697">
                  <v>45589</v>
                </pt>
                <pt idx="698">
                  <v>45590</v>
                </pt>
                <pt idx="699">
                  <v>45593</v>
                </pt>
                <pt idx="700">
                  <v>45594</v>
                </pt>
                <pt idx="701">
                  <v>45595</v>
                </pt>
                <pt idx="702">
                  <v>45596</v>
                </pt>
                <pt idx="703">
                  <v>45597</v>
                </pt>
                <pt idx="704">
                  <v>45600</v>
                </pt>
                <pt idx="705">
                  <v>45601</v>
                </pt>
                <pt idx="706">
                  <v>45602</v>
                </pt>
                <pt idx="707">
                  <v>45603</v>
                </pt>
                <pt idx="708">
                  <v>45604</v>
                </pt>
                <pt idx="709">
                  <v>45607</v>
                </pt>
                <pt idx="710">
                  <v>45608</v>
                </pt>
                <pt idx="711">
                  <v>45609</v>
                </pt>
                <pt idx="712">
                  <v>45610</v>
                </pt>
                <pt idx="713">
                  <v>45614</v>
                </pt>
                <pt idx="714">
                  <v>45615</v>
                </pt>
                <pt idx="715">
                  <v>45617</v>
                </pt>
                <pt idx="716">
                  <v>45618</v>
                </pt>
                <pt idx="717">
                  <v>45621</v>
                </pt>
                <pt idx="718">
                  <v>45622</v>
                </pt>
                <pt idx="719">
                  <v>45623</v>
                </pt>
                <pt idx="720">
                  <v>45624</v>
                </pt>
                <pt idx="721">
                  <v>45625</v>
                </pt>
                <pt idx="722">
                  <v>45628</v>
                </pt>
                <pt idx="723">
                  <v>45629</v>
                </pt>
                <pt idx="724">
                  <v>45630</v>
                </pt>
                <pt idx="725">
                  <v>45631</v>
                </pt>
                <pt idx="726">
                  <v>45632</v>
                </pt>
                <pt idx="727">
                  <v>45635</v>
                </pt>
                <pt idx="728">
                  <v>45636</v>
                </pt>
                <pt idx="729">
                  <v>45637</v>
                </pt>
                <pt idx="730">
                  <v>45638</v>
                </pt>
                <pt idx="731">
                  <v>45639</v>
                </pt>
                <pt idx="732">
                  <v>45642</v>
                </pt>
                <pt idx="733">
                  <v>45643</v>
                </pt>
                <pt idx="734">
                  <v>45644</v>
                </pt>
                <pt idx="735">
                  <v>45645</v>
                </pt>
                <pt idx="736">
                  <v>45646</v>
                </pt>
                <pt idx="737">
                  <v>45649</v>
                </pt>
                <pt idx="738">
                  <v>45650</v>
                </pt>
                <pt idx="739">
                  <v>45652</v>
                </pt>
                <pt idx="740">
                  <v>45653</v>
                </pt>
                <pt idx="741">
                  <v>45656</v>
                </pt>
                <pt idx="742">
                  <v>45657</v>
                </pt>
                <pt idx="743">
                  <v>45658</v>
                </pt>
                <pt idx="744">
                  <v>45659</v>
                </pt>
                <pt idx="745">
                  <v>45660</v>
                </pt>
                <pt idx="746">
                  <v>45663</v>
                </pt>
                <pt idx="747">
                  <v>45664</v>
                </pt>
                <pt idx="748">
                  <v>45665</v>
                </pt>
                <pt idx="749">
                  <v>45666</v>
                </pt>
                <pt idx="750">
                  <v>45667</v>
                </pt>
                <pt idx="751">
                  <v>45670</v>
                </pt>
                <pt idx="752">
                  <v>45671</v>
                </pt>
                <pt idx="753">
                  <v>45672</v>
                </pt>
                <pt idx="754">
                  <v>45673</v>
                </pt>
                <pt idx="755">
                  <v>45674</v>
                </pt>
                <pt idx="756">
                  <v>45677</v>
                </pt>
                <pt idx="757">
                  <v>45678</v>
                </pt>
                <pt idx="758">
                  <v>45679</v>
                </pt>
                <pt idx="759">
                  <v>45680</v>
                </pt>
                <pt idx="760">
                  <v>45681</v>
                </pt>
                <pt idx="761">
                  <v>45684</v>
                </pt>
                <pt idx="762">
                  <v>45685</v>
                </pt>
                <pt idx="763">
                  <v>45686</v>
                </pt>
                <pt idx="764">
                  <v>45687</v>
                </pt>
                <pt idx="765">
                  <v>45688</v>
                </pt>
                <pt idx="766">
                  <v>45689</v>
                </pt>
                <pt idx="767">
                  <v>45691</v>
                </pt>
                <pt idx="768">
                  <v>45692</v>
                </pt>
                <pt idx="769">
                  <v>45693</v>
                </pt>
                <pt idx="770">
                  <v>45694</v>
                </pt>
                <pt idx="771">
                  <v>45695</v>
                </pt>
                <pt idx="772">
                  <v>45698</v>
                </pt>
                <pt idx="773">
                  <v>45699</v>
                </pt>
                <pt idx="774">
                  <v>45700</v>
                </pt>
                <pt idx="775">
                  <v>45701</v>
                </pt>
                <pt idx="776">
                  <v>45702</v>
                </pt>
                <pt idx="777">
                  <v>45705</v>
                </pt>
                <pt idx="778">
                  <v>45706</v>
                </pt>
                <pt idx="779">
                  <v>45707</v>
                </pt>
                <pt idx="780">
                  <v>45708</v>
                </pt>
                <pt idx="781">
                  <v>45709</v>
                </pt>
                <pt idx="782">
                  <v>45712</v>
                </pt>
                <pt idx="783">
                  <v>45713</v>
                </pt>
                <pt idx="784">
                  <v>45715</v>
                </pt>
                <pt idx="785">
                  <v>45716</v>
                </pt>
                <pt idx="786">
                  <v>45719</v>
                </pt>
                <pt idx="787">
                  <v>45720</v>
                </pt>
                <pt idx="788">
                  <v>45721</v>
                </pt>
                <pt idx="789">
                  <v>45722</v>
                </pt>
                <pt idx="790">
                  <v>45723</v>
                </pt>
                <pt idx="791">
                  <v>45726</v>
                </pt>
                <pt idx="792">
                  <v>45727</v>
                </pt>
                <pt idx="793">
                  <v>45728</v>
                </pt>
                <pt idx="794">
                  <v>45729</v>
                </pt>
                <pt idx="795">
                  <v>45733</v>
                </pt>
                <pt idx="796">
                  <v>45734</v>
                </pt>
                <pt idx="797">
                  <v>45735</v>
                </pt>
                <pt idx="798">
                  <v>45736</v>
                </pt>
                <pt idx="799">
                  <v>45737</v>
                </pt>
                <pt idx="800">
                  <v>45740</v>
                </pt>
                <pt idx="801">
                  <v>45741</v>
                </pt>
                <pt idx="802">
                  <v>45742</v>
                </pt>
                <pt idx="803">
                  <v>45743</v>
                </pt>
                <pt idx="804">
                  <v>45744</v>
                </pt>
              </numCache>
            </numRef>
          </cat>
          <val>
            <numRef>
              <f>'EVI 2025 Workings'!$F$2:$F$806</f>
              <numCache>
                <formatCode>0.00</formatCode>
                <ptCount val="805"/>
                <pt idx="0">
                  <v>3.621223778225806</v>
                </pt>
                <pt idx="1">
                  <v>3.64105816583926</v>
                </pt>
                <pt idx="2">
                  <v>3.635816121693478</v>
                </pt>
                <pt idx="3">
                  <v>3.645493215029912</v>
                </pt>
                <pt idx="4">
                  <v>3.666906661460998</v>
                </pt>
                <pt idx="5">
                  <v>3.710120036474164</v>
                </pt>
                <pt idx="6">
                  <v>3.728572773209424</v>
                </pt>
                <pt idx="7">
                  <v>3.757179310812093</v>
                </pt>
                <pt idx="8">
                  <v>3.760730439896177</v>
                </pt>
                <pt idx="9">
                  <v>3.756552404390744</v>
                </pt>
                <pt idx="10">
                  <v>3.772214877112653</v>
                </pt>
                <pt idx="11">
                  <v>3.706108516059814</v>
                </pt>
                <pt idx="12">
                  <v>3.692422695587939</v>
                </pt>
                <pt idx="13">
                  <v>3.670667980877692</v>
                </pt>
                <pt idx="14">
                  <v>3.625684753188458</v>
                </pt>
                <pt idx="15">
                  <v>3.49102851745666</v>
                </pt>
                <pt idx="16">
                  <v>3.514850252049153</v>
                </pt>
                <pt idx="17">
                  <v>3.457950368971798</v>
                </pt>
                <pt idx="18">
                  <v>3.480335396956533</v>
                </pt>
                <pt idx="19">
                  <v>3.546529883577445</v>
                </pt>
                <pt idx="20">
                  <v>3.57822249334457</v>
                </pt>
                <pt idx="21">
                  <v>3.618743474600057</v>
                </pt>
                <pt idx="22">
                  <v>3.598381212153689</v>
                </pt>
                <pt idx="23">
                  <v>3.587901596891955</v>
                </pt>
                <pt idx="24">
                  <v>3.547654457169647</v>
                </pt>
                <pt idx="25">
                  <v>3.540108265635247</v>
                </pt>
                <pt idx="26">
                  <v>3.565213866164046</v>
                </pt>
                <pt idx="27">
                  <v>3.568365959628239</v>
                </pt>
                <pt idx="28">
                  <v>3.503853027286723</v>
                </pt>
                <pt idx="29">
                  <v>3.374947138176148</v>
                </pt>
                <pt idx="30">
                  <v>3.483574770208973</v>
                </pt>
                <pt idx="31">
                  <v>3.494293199200533</v>
                </pt>
                <pt idx="32">
                  <v>3.487985725317888</v>
                </pt>
                <pt idx="33">
                  <v>3.488403669982728</v>
                </pt>
                <pt idx="34">
                  <v>3.454159916268585</v>
                </pt>
                <pt idx="35">
                  <v>3.414664606726518</v>
                </pt>
                <pt idx="36">
                  <v>3.42612315380493</v>
                </pt>
                <pt idx="37">
                  <v>3.204309383058917</v>
                </pt>
                <pt idx="38">
                  <v>3.330200796536796</v>
                </pt>
                <pt idx="39">
                  <v>3.342013992319916</v>
                </pt>
                <pt idx="40">
                  <v>3.32001732205537</v>
                </pt>
                <pt idx="41">
                  <v>3.305705316502349</v>
                </pt>
                <pt idx="42">
                  <v>3.229784274779195</v>
                </pt>
                <pt idx="43">
                  <v>3.132467968821046</v>
                </pt>
                <pt idx="44">
                  <v>3.169103051817177</v>
                </pt>
                <pt idx="45">
                  <v>3.25201550627111</v>
                </pt>
                <pt idx="46">
                  <v>3.303137616301926</v>
                </pt>
                <pt idx="47">
                  <v>3.306132120871509</v>
                </pt>
                <pt idx="48">
                  <v>3.32730676913015</v>
                </pt>
                <pt idx="49">
                  <v>3.295254852132949</v>
                </pt>
                <pt idx="50">
                  <v>3.364749052493438</v>
                </pt>
                <pt idx="51">
                  <v>3.430845836680406</v>
                </pt>
                <pt idx="52">
                  <v>3.386915145834699</v>
                </pt>
                <pt idx="53">
                  <v>3.419061242925983</v>
                </pt>
                <pt idx="54">
                  <v>3.400277003789363</v>
                </pt>
                <pt idx="55">
                  <v>3.416177049996723</v>
                </pt>
                <pt idx="56">
                  <v>3.407979888575735</v>
                </pt>
                <pt idx="57">
                  <v>3.421448407149428</v>
                </pt>
                <pt idx="58">
                  <v>3.459070998863426</v>
                </pt>
                <pt idx="59">
                  <v>3.481957718634188</v>
                </pt>
                <pt idx="60">
                  <v>3.477896314929934</v>
                </pt>
                <pt idx="61">
                  <v>3.525108582143563</v>
                </pt>
                <pt idx="62">
                  <v>3.610666616744643</v>
                </pt>
                <pt idx="63">
                  <v>3.62714731729941</v>
                </pt>
                <pt idx="64">
                  <v>3.60216712180863</v>
                </pt>
                <pt idx="65">
                  <v>3.574128613017533</v>
                </pt>
                <pt idx="66">
                  <v>3.609450776724592</v>
                </pt>
                <pt idx="67">
                  <v>3.629388436890131</v>
                </pt>
                <pt idx="68">
                  <v>3.576049257380195</v>
                </pt>
                <pt idx="69">
                  <v>3.574809928798508</v>
                </pt>
                <pt idx="70">
                  <v>3.532679097844896</v>
                </pt>
                <pt idx="71">
                  <v>3.485672419386487</v>
                </pt>
                <pt idx="72">
                  <v>3.518019474491602</v>
                </pt>
                <pt idx="73">
                  <v>3.564891453148357</v>
                </pt>
                <pt idx="74">
                  <v>3.526656156914024</v>
                </pt>
                <pt idx="75">
                  <v>3.456911941679262</v>
                </pt>
                <pt idx="76">
                  <v>3.515522250912885</v>
                </pt>
                <pt idx="77">
                  <v>3.484593207798309</v>
                </pt>
                <pt idx="78">
                  <v>3.515592967262293</v>
                </pt>
                <pt idx="79">
                  <v>3.488698604560005</v>
                </pt>
                <pt idx="80">
                  <v>3.476569699941165</v>
                </pt>
                <pt idx="81">
                  <v>3.403918879945465</v>
                </pt>
                <pt idx="82">
                  <v>3.393983974174661</v>
                </pt>
                <pt idx="83">
                  <v>3.315179277465282</v>
                </pt>
                <pt idx="84">
                  <v>3.255966001421832</v>
                </pt>
                <pt idx="85">
                  <v>3.216030658465523</v>
                </pt>
                <pt idx="86">
                  <v>3.180185889570553</v>
                </pt>
                <pt idx="87">
                  <v>3.109810789694583</v>
                </pt>
                <pt idx="88">
                  <v>3.113627742643263</v>
                </pt>
                <pt idx="89">
                  <v>3.126843716675446</v>
                </pt>
                <pt idx="90">
                  <v>3.297193275336879</v>
                </pt>
                <pt idx="91">
                  <v>3.286146216424624</v>
                </pt>
                <pt idx="92">
                  <v>3.215914043789963</v>
                </pt>
                <pt idx="93">
                  <v>3.271042134463494</v>
                </pt>
                <pt idx="94">
                  <v>3.269883942227094</v>
                </pt>
                <pt idx="95">
                  <v>3.251871647628267</v>
                </pt>
                <pt idx="96">
                  <v>3.200021156698611</v>
                </pt>
                <pt idx="97">
                  <v>3.224417288371374</v>
                </pt>
                <pt idx="98">
                  <v>3.258925079872205</v>
                </pt>
                <pt idx="99">
                  <v>3.329854997807979</v>
                </pt>
                <pt idx="100">
                  <v>3.328310020621214</v>
                </pt>
                <pt idx="101">
                  <v>3.311497249871068</v>
                </pt>
                <pt idx="102">
                  <v>3.343865765707567</v>
                </pt>
                <pt idx="103">
                  <v>3.309648115699285</v>
                </pt>
                <pt idx="104">
                  <v>3.292620504022413</v>
                </pt>
                <pt idx="105">
                  <v>3.265013324062628</v>
                </pt>
                <pt idx="106">
                  <v>3.260613188948513</v>
                </pt>
                <pt idx="107">
                  <v>3.274497878301099</v>
                </pt>
                <pt idx="108">
                  <v>3.220802747491809</v>
                </pt>
                <pt idx="109">
                  <v>3.135979625883438</v>
                </pt>
                <pt idx="110">
                  <v>3.133841563917869</v>
                </pt>
                <pt idx="111">
                  <v>3.12943303271034</v>
                </pt>
                <pt idx="112">
                  <v>3.066162739012785</v>
                </pt>
                <pt idx="113">
                  <v>3.035502579792693</v>
                </pt>
                <pt idx="114">
                  <v>3.011291320081614</v>
                </pt>
                <pt idx="115">
                  <v>3.078035672507135</v>
                </pt>
                <pt idx="116">
                  <v>3.032250158608339</v>
                </pt>
                <pt idx="117">
                  <v>3.064280246976774</v>
                </pt>
                <pt idx="118">
                  <v>3.130180504760079</v>
                </pt>
                <pt idx="119">
                  <v>3.116567234829169</v>
                </pt>
                <pt idx="120">
                  <v>3.102224511677954</v>
                </pt>
                <pt idx="121">
                  <v>3.096644429666223</v>
                </pt>
                <pt idx="122">
                  <v>3.08691944279111</v>
                </pt>
                <pt idx="123">
                  <v>3.088141951213334</v>
                </pt>
                <pt idx="124">
                  <v>3.105361019268043</v>
                </pt>
                <pt idx="125">
                  <v>3.093143722414184</v>
                </pt>
                <pt idx="126">
                  <v>3.141156556226043</v>
                </pt>
                <pt idx="127">
                  <v>3.164926205241554</v>
                </pt>
                <pt idx="128">
                  <v>3.173797124653041</v>
                </pt>
                <pt idx="129">
                  <v>3.18850176803929</v>
                </pt>
                <pt idx="130">
                  <v>3.170567856513531</v>
                </pt>
                <pt idx="131">
                  <v>3.151184774639046</v>
                </pt>
                <pt idx="132">
                  <v>3.136763593691326</v>
                </pt>
                <pt idx="133">
                  <v>3.158232590270813</v>
                </pt>
                <pt idx="134">
                  <v>3.191182229028629</v>
                </pt>
                <pt idx="135">
                  <v>3.212243571696932</v>
                </pt>
                <pt idx="136">
                  <v>3.228025651412853</v>
                </pt>
                <pt idx="137">
                  <v>3.261512204132749</v>
                </pt>
                <pt idx="138">
                  <v>3.270260224226481</v>
                </pt>
                <pt idx="139">
                  <v>3.263249024356577</v>
                </pt>
                <pt idx="140">
                  <v>3.225671899853462</v>
                </pt>
                <pt idx="141">
                  <v>3.252385887657336</v>
                </pt>
                <pt idx="142">
                  <v>3.304190612362796</v>
                </pt>
                <pt idx="143">
                  <v>3.360408712312191</v>
                </pt>
                <pt idx="144">
                  <v>3.421925494243848</v>
                </pt>
                <pt idx="145">
                  <v>3.452003635461335</v>
                </pt>
                <pt idx="146">
                  <v>3.426595168630227</v>
                </pt>
                <pt idx="147">
                  <v>3.427950664477009</v>
                </pt>
                <pt idx="148">
                  <v>3.418661393649193</v>
                </pt>
                <pt idx="149">
                  <v>3.427488079262163</v>
                </pt>
                <pt idx="150">
                  <v>3.444210815526615</v>
                </pt>
                <pt idx="151">
                  <v>3.44510553531038</v>
                </pt>
                <pt idx="152">
                  <v>3.453408342436684</v>
                </pt>
                <pt idx="153">
                  <v>3.507002108570563</v>
                </pt>
                <pt idx="154">
                  <v>3.526322996849402</v>
                </pt>
                <pt idx="155">
                  <v>3.517277828213166</v>
                </pt>
                <pt idx="156">
                  <v>3.475437772772773</v>
                </pt>
                <pt idx="157">
                  <v>3.430378521162033</v>
                </pt>
                <pt idx="158">
                  <v>3.450077835568367</v>
                </pt>
                <pt idx="159">
                  <v>3.458606506111612</v>
                </pt>
                <pt idx="160">
                  <v>3.454715880570097</v>
                </pt>
                <pt idx="161">
                  <v>3.458296281497391</v>
                </pt>
                <pt idx="162">
                  <v>3.432211144307216</v>
                </pt>
                <pt idx="163">
                  <v>3.524223088531187</v>
                </pt>
                <pt idx="164">
                  <v>3.501504208014068</v>
                </pt>
                <pt idx="165">
                  <v>3.487817259519038</v>
                </pt>
                <pt idx="166">
                  <v>3.506974558215315</v>
                </pt>
                <pt idx="167">
                  <v>3.513893616754609</v>
                </pt>
                <pt idx="168">
                  <v>3.515639799749687</v>
                </pt>
                <pt idx="169">
                  <v>3.548294141781681</v>
                </pt>
                <pt idx="170">
                  <v>3.557197963800905</v>
                </pt>
                <pt idx="171">
                  <v>3.580157379518072</v>
                </pt>
                <pt idx="172">
                  <v>3.608709125235997</v>
                </pt>
                <pt idx="173">
                  <v>3.599077658904971</v>
                </pt>
                <pt idx="174">
                  <v>3.580580285571142</v>
                </pt>
                <pt idx="175">
                  <v>3.50838208730557</v>
                </pt>
                <pt idx="176">
                  <v>3.518958364685227</v>
                </pt>
                <pt idx="177">
                  <v>3.5561121706399</v>
                </pt>
                <pt idx="178">
                  <v>3.51778531214813</v>
                </pt>
                <pt idx="179">
                  <v>3.481049579624135</v>
                </pt>
                <pt idx="180">
                  <v>3.412850604490501</v>
                </pt>
                <pt idx="181">
                  <v>3.310227941176471</v>
                </pt>
                <pt idx="182">
                  <v>3.312024396224102</v>
                </pt>
                <pt idx="183">
                  <v>3.284747674987763</v>
                </pt>
                <pt idx="184">
                  <v>3.280068379204893</v>
                </pt>
                <pt idx="185">
                  <v>3.339503623633461</v>
                </pt>
                <pt idx="186">
                  <v>3.278311255040939</v>
                </pt>
                <pt idx="187">
                  <v>3.358252237890865</v>
                </pt>
                <pt idx="188">
                  <v>3.356936115843271</v>
                </pt>
                <pt idx="189">
                  <v>3.351355423151751</v>
                </pt>
                <pt idx="190">
                  <v>3.326586658580958</v>
                </pt>
                <pt idx="191">
                  <v>3.2868429058165</v>
                </pt>
                <pt idx="192">
                  <v>3.300648845686513</v>
                </pt>
                <pt idx="193">
                  <v>3.283696763202725</v>
                </pt>
                <pt idx="194">
                  <v>3.28457516101592</v>
                </pt>
                <pt idx="195">
                  <v>3.302123800267282</v>
                </pt>
                <pt idx="196">
                  <v>3.333061445051609</v>
                </pt>
                <pt idx="197">
                  <v>3.308185060240964</v>
                </pt>
                <pt idx="198">
                  <v>3.32299842672153</v>
                </pt>
                <pt idx="199">
                  <v>3.326702465471286</v>
                </pt>
                <pt idx="200">
                  <v>3.344870463231736</v>
                </pt>
                <pt idx="201">
                  <v>3.344575899612027</v>
                </pt>
                <pt idx="202">
                  <v>3.361057018075943</v>
                </pt>
                <pt idx="203">
                  <v>3.35861851043183</v>
                </pt>
                <pt idx="204">
                  <v>3.379296716562048</v>
                </pt>
                <pt idx="205">
                  <v>3.41539331276467</v>
                </pt>
                <pt idx="206">
                  <v>3.406529746100834</v>
                </pt>
                <pt idx="207">
                  <v>3.396991675714803</v>
                </pt>
                <pt idx="208">
                  <v>3.455945015861396</v>
                </pt>
                <pt idx="209">
                  <v>3.47629736328125</v>
                </pt>
                <pt idx="210">
                  <v>3.489979356107152</v>
                </pt>
                <pt idx="211">
                  <v>3.446239383184433</v>
                </pt>
                <pt idx="212">
                  <v>3.539284906176214</v>
                </pt>
                <pt idx="213">
                  <v>3.520110597826087</v>
                </pt>
                <pt idx="214">
                  <v>3.520972559832223</v>
                </pt>
                <pt idx="215">
                  <v>3.492685368188512</v>
                </pt>
                <pt idx="216">
                  <v>3.477445988222303</v>
                </pt>
                <pt idx="217">
                  <v>3.462182010782993</v>
                </pt>
                <pt idx="218">
                  <v>3.440560324278022</v>
                </pt>
                <pt idx="219">
                  <v>3.449420389181251</v>
                </pt>
                <pt idx="220">
                  <v>3.457719750091878</v>
                </pt>
                <pt idx="221">
                  <v>3.473742867638055</v>
                </pt>
                <pt idx="222">
                  <v>3.486025113316183</v>
                </pt>
                <pt idx="223">
                  <v>3.51042117344439</v>
                </pt>
                <pt idx="224">
                  <v>3.51770409703504</v>
                </pt>
                <pt idx="225">
                  <v>3.556380405554873</v>
                </pt>
                <pt idx="226">
                  <v>3.584298796844181</v>
                </pt>
                <pt idx="227">
                  <v>3.567476462351063</v>
                </pt>
                <pt idx="228">
                  <v>3.556191484918793</v>
                </pt>
                <pt idx="229">
                  <v>3.525633307468477</v>
                </pt>
                <pt idx="230">
                  <v>3.525957633819952</v>
                </pt>
                <pt idx="231">
                  <v>3.531361166747691</v>
                </pt>
                <pt idx="232">
                  <v>3.509072508190754</v>
                </pt>
                <pt idx="233">
                  <v>3.499684125620235</v>
                </pt>
                <pt idx="234">
                  <v>3.531360168750759</v>
                </pt>
                <pt idx="235">
                  <v>3.542092682187462</v>
                </pt>
                <pt idx="236">
                  <v>3.492855213664896</v>
                </pt>
                <pt idx="237">
                  <v>3.462430504232164</v>
                </pt>
                <pt idx="238">
                  <v>3.492718370038722</v>
                </pt>
                <pt idx="239">
                  <v>3.490014392251816</v>
                </pt>
                <pt idx="240">
                  <v>3.42447913730695</v>
                </pt>
                <pt idx="241">
                  <v>3.392350271215044</v>
                </pt>
                <pt idx="242">
                  <v>3.29771041193525</v>
                </pt>
                <pt idx="243">
                  <v>3.370790828796128</v>
                </pt>
                <pt idx="244">
                  <v>3.395969335989376</v>
                </pt>
                <pt idx="245">
                  <v>3.408366138039405</v>
                </pt>
                <pt idx="246">
                  <v>3.422457359516616</v>
                </pt>
                <pt idx="247">
                  <v>3.424419344698344</v>
                </pt>
                <pt idx="248">
                  <v>3.439081356055112</v>
                </pt>
                <pt idx="249">
                  <v>3.449175520115984</v>
                </pt>
                <pt idx="250">
                  <v>3.419369060987416</v>
                </pt>
                <pt idx="251">
                  <v>3.425351928294573</v>
                </pt>
                <pt idx="252">
                  <v>3.410440801021028</v>
                </pt>
                <pt idx="253">
                  <v>3.45311893148351</v>
                </pt>
                <pt idx="254">
                  <v>3.451497848039216</v>
                </pt>
                <pt idx="255">
                  <v>3.444427819429131</v>
                </pt>
                <pt idx="256">
                  <v>3.462317503082614</v>
                </pt>
                <pt idx="257">
                  <v>3.471157018946851</v>
                </pt>
                <pt idx="258">
                  <v>3.44857794658172</v>
                </pt>
                <pt idx="259">
                  <v>3.463531133161828</v>
                </pt>
                <pt idx="260">
                  <v>3.482722167239686</v>
                </pt>
                <pt idx="261">
                  <v>3.47975106351551</v>
                </pt>
                <pt idx="262">
                  <v>3.472170426083735</v>
                </pt>
                <pt idx="263">
                  <v>3.457437011169756</v>
                </pt>
                <pt idx="264">
                  <v>3.447580547861258</v>
                </pt>
                <pt idx="265">
                  <v>3.403341436986133</v>
                </pt>
                <pt idx="266">
                  <v>3.318716801619432</v>
                </pt>
                <pt idx="267">
                  <v>3.303327611629049</v>
                </pt>
                <pt idx="268">
                  <v>3.317159641502508</v>
                </pt>
                <pt idx="269">
                  <v>3.27253156980301</v>
                </pt>
                <pt idx="270">
                  <v>3.25025171400707</v>
                </pt>
                <pt idx="271">
                  <v>3.256144760340633</v>
                </pt>
                <pt idx="272">
                  <v>3.232011198936428</v>
                </pt>
                <pt idx="273">
                  <v>3.222316593048515</v>
                </pt>
                <pt idx="274">
                  <v>3.261592676346037</v>
                </pt>
                <pt idx="275">
                  <v>3.263959848503212</v>
                </pt>
                <pt idx="276">
                  <v>3.262062661495576</v>
                </pt>
                <pt idx="277">
                  <v>3.228519719094321</v>
                </pt>
                <pt idx="278">
                  <v>3.219636554094802</v>
                </pt>
                <pt idx="279">
                  <v>3.240920362537765</v>
                </pt>
                <pt idx="280">
                  <v>3.255027630274454</v>
                </pt>
                <pt idx="281">
                  <v>3.236898316616314</v>
                </pt>
                <pt idx="282">
                  <v>3.227050050792116</v>
                </pt>
                <pt idx="283">
                  <v>3.21235084841902</v>
                </pt>
                <pt idx="284">
                  <v>3.182164099963781</v>
                </pt>
                <pt idx="285">
                  <v>3.163541729514141</v>
                </pt>
                <pt idx="286">
                  <v>3.148146663047412</v>
                </pt>
                <pt idx="287">
                  <v>3.13096160677556</v>
                </pt>
                <pt idx="288">
                  <v>3.130246989351404</v>
                </pt>
                <pt idx="289">
                  <v>3.177111717821182</v>
                </pt>
                <pt idx="290">
                  <v>3.168597981785064</v>
                </pt>
                <pt idx="291">
                  <v>3.236745566846229</v>
                </pt>
                <pt idx="292">
                  <v>3.255576931915414</v>
                </pt>
                <pt idx="293">
                  <v>3.260647374008542</v>
                </pt>
                <pt idx="294">
                  <v>3.235377774932943</v>
                </pt>
                <pt idx="295">
                  <v>3.221433572474377</v>
                </pt>
                <pt idx="296">
                  <v>3.156888772953909</v>
                </pt>
                <pt idx="297">
                  <v>3.13023748540856</v>
                </pt>
                <pt idx="298">
                  <v>3.100624370173746</v>
                </pt>
                <pt idx="299">
                  <v>3.111669271362866</v>
                </pt>
                <pt idx="300">
                  <v>3.13364410688318</v>
                </pt>
                <pt idx="301">
                  <v>3.10810059386741</v>
                </pt>
                <pt idx="302">
                  <v>3.120305671948711</v>
                </pt>
                <pt idx="303">
                  <v>3.139980144242424</v>
                </pt>
                <pt idx="304">
                  <v>3.139992404232032</v>
                </pt>
                <pt idx="305">
                  <v>3.105152970970485</v>
                </pt>
                <pt idx="306">
                  <v>3.078681801626806</v>
                </pt>
                <pt idx="307">
                  <v>3.079150956553487</v>
                </pt>
                <pt idx="308">
                  <v>3.106985832118562</v>
                </pt>
                <pt idx="309">
                  <v>3.143727304040896</v>
                </pt>
                <pt idx="310">
                  <v>3.161201558583769</v>
                </pt>
                <pt idx="311">
                  <v>3.186958731879644</v>
                </pt>
                <pt idx="312">
                  <v>3.20624875366211</v>
                </pt>
                <pt idx="313">
                  <v>3.213159363259332</v>
                </pt>
                <pt idx="314">
                  <v>3.227456647976597</v>
                </pt>
                <pt idx="315">
                  <v>3.246030231905285</v>
                </pt>
                <pt idx="316">
                  <v>3.261734945499081</v>
                </pt>
                <pt idx="317">
                  <v>3.245954426829268</v>
                </pt>
                <pt idx="318">
                  <v>3.243800681042885</v>
                </pt>
                <pt idx="319">
                  <v>3.22805523462193</v>
                </pt>
                <pt idx="320">
                  <v>3.235010208231856</v>
                </pt>
                <pt idx="321">
                  <v>3.23406682798976</v>
                </pt>
                <pt idx="322">
                  <v>3.25283056985967</v>
                </pt>
                <pt idx="323">
                  <v>3.261944148365056</v>
                </pt>
                <pt idx="324">
                  <v>3.279450390261806</v>
                </pt>
                <pt idx="325">
                  <v>3.297495825682458</v>
                </pt>
                <pt idx="326">
                  <v>3.330817370288791</v>
                </pt>
                <pt idx="327">
                  <v>3.348177242813455</v>
                </pt>
                <pt idx="328">
                  <v>3.34246205382263</v>
                </pt>
                <pt idx="329">
                  <v>3.372375945416718</v>
                </pt>
                <pt idx="330">
                  <v>3.355207780905753</v>
                </pt>
                <pt idx="331">
                  <v>3.379275541152012</v>
                </pt>
                <pt idx="332">
                  <v>3.369255136419001</v>
                </pt>
                <pt idx="333">
                  <v>3.387403063492063</v>
                </pt>
                <pt idx="334">
                  <v>3.39040376050676</v>
                </pt>
                <pt idx="335">
                  <v>3.385089709139589</v>
                </pt>
                <pt idx="336">
                  <v>3.392712361668491</v>
                </pt>
                <pt idx="337">
                  <v>3.385260040116703</v>
                </pt>
                <pt idx="338">
                  <v>3.367784729368932</v>
                </pt>
                <pt idx="339">
                  <v>3.338539176740812</v>
                </pt>
                <pt idx="340">
                  <v>3.340051201882466</v>
                </pt>
                <pt idx="341">
                  <v>3.366591677933366</v>
                </pt>
                <pt idx="342">
                  <v>3.379952705541471</v>
                </pt>
                <pt idx="343">
                  <v>3.382793856296117</v>
                </pt>
                <pt idx="344">
                  <v>3.390419175631572</v>
                </pt>
                <pt idx="345">
                  <v>3.428533139393939</v>
                </pt>
                <pt idx="346">
                  <v>3.438183704286752</v>
                </pt>
                <pt idx="347">
                  <v>3.436613203484152</v>
                </pt>
                <pt idx="348">
                  <v>3.4337300205612</v>
                </pt>
                <pt idx="349">
                  <v>3.456076663019693</v>
                </pt>
                <pt idx="350">
                  <v>3.463330937120661</v>
                </pt>
                <pt idx="351">
                  <v>3.467196511148813</v>
                </pt>
                <pt idx="352">
                  <v>3.474974134044358</v>
                </pt>
                <pt idx="353">
                  <v>3.501083840939354</v>
                </pt>
                <pt idx="354">
                  <v>3.487093920950533</v>
                </pt>
                <pt idx="355">
                  <v>3.479861152353227</v>
                </pt>
                <pt idx="356">
                  <v>3.495989138244933</v>
                </pt>
                <pt idx="357">
                  <v>3.529153156166383</v>
                </pt>
                <pt idx="358">
                  <v>3.547399240614334</v>
                </pt>
                <pt idx="359">
                  <v>3.536580588378313</v>
                </pt>
                <pt idx="360">
                  <v>3.57704165425467</v>
                </pt>
                <pt idx="361">
                  <v>3.572835796606031</v>
                </pt>
                <pt idx="362">
                  <v>3.582957965853658</v>
                </pt>
                <pt idx="363">
                  <v>3.595012723056267</v>
                </pt>
                <pt idx="364">
                  <v>3.568563701037218</v>
                </pt>
                <pt idx="365">
                  <v>3.533367499390095</v>
                </pt>
                <pt idx="366">
                  <v>3.546963378065146</v>
                </pt>
                <pt idx="367">
                  <v>3.565858767992193</v>
                </pt>
                <pt idx="368">
                  <v>3.58816486100951</v>
                </pt>
                <pt idx="369">
                  <v>3.617970213180655</v>
                </pt>
                <pt idx="370">
                  <v>3.640866344886502</v>
                </pt>
                <pt idx="371">
                  <v>3.646840507688553</v>
                </pt>
                <pt idx="372">
                  <v>3.642768447627139</v>
                </pt>
                <pt idx="373">
                  <v>3.649192056797583</v>
                </pt>
                <pt idx="374">
                  <v>3.631795592543276</v>
                </pt>
                <pt idx="375">
                  <v>3.631478433107126</v>
                </pt>
                <pt idx="376">
                  <v>3.660191773273455</v>
                </pt>
                <pt idx="377">
                  <v>3.683191839473042</v>
                </pt>
                <pt idx="378">
                  <v>3.67003858239883</v>
                </pt>
                <pt idx="379">
                  <v>3.704050580204778</v>
                </pt>
                <pt idx="380">
                  <v>3.762673067267853</v>
                </pt>
                <pt idx="381">
                  <v>3.758656607360468</v>
                </pt>
                <pt idx="382">
                  <v>3.777136196221816</v>
                </pt>
                <pt idx="383">
                  <v>3.770387611794809</v>
                </pt>
                <pt idx="384">
                  <v>3.750835949011954</v>
                </pt>
                <pt idx="385">
                  <v>3.755053449076904</v>
                </pt>
                <pt idx="386">
                  <v>3.760962221136225</v>
                </pt>
                <pt idx="387">
                  <v>3.772158625991458</v>
                </pt>
                <pt idx="388">
                  <v>3.757124379793062</v>
                </pt>
                <pt idx="389">
                  <v>3.762923808075894</v>
                </pt>
                <pt idx="390">
                  <v>3.791792800340467</v>
                </pt>
                <pt idx="391">
                  <v>3.789812652416808</v>
                </pt>
                <pt idx="392">
                  <v>3.729873598452798</v>
                </pt>
                <pt idx="393">
                  <v>3.716370377039275</v>
                </pt>
                <pt idx="394">
                  <v>3.741846124077882</v>
                </pt>
                <pt idx="395">
                  <v>3.752674489549354</v>
                </pt>
                <pt idx="396">
                  <v>3.747828774131274</v>
                </pt>
                <pt idx="397">
                  <v>3.759885634125739</v>
                </pt>
                <pt idx="398">
                  <v>3.760461029767667</v>
                </pt>
                <pt idx="399">
                  <v>3.740785716009169</v>
                </pt>
                <pt idx="400">
                  <v>3.715926127674922</v>
                </pt>
                <pt idx="401">
                  <v>3.720462873094009</v>
                </pt>
                <pt idx="402">
                  <v>3.720957748376233</v>
                </pt>
                <pt idx="403">
                  <v>3.714379540534039</v>
                </pt>
                <pt idx="404">
                  <v>3.758367395595138</v>
                </pt>
                <pt idx="405">
                  <v>3.778268324903661</v>
                </pt>
                <pt idx="406">
                  <v>3.810964029090909</v>
                </pt>
                <pt idx="407">
                  <v>3.803294710583677</v>
                </pt>
                <pt idx="408">
                  <v>3.77861783129614</v>
                </pt>
                <pt idx="409">
                  <v>3.792758860774819</v>
                </pt>
                <pt idx="410">
                  <v>3.807404369625772</v>
                </pt>
                <pt idx="411">
                  <v>3.818614146489105</v>
                </pt>
                <pt idx="412">
                  <v>3.805021196033378</v>
                </pt>
                <pt idx="413">
                  <v>3.839391785195936</v>
                </pt>
                <pt idx="414">
                  <v>3.870183489299964</v>
                </pt>
                <pt idx="415">
                  <v>3.875138088642659</v>
                </pt>
                <pt idx="416">
                  <v>3.876101942541171</v>
                </pt>
                <pt idx="417">
                  <v>3.898648846662657</v>
                </pt>
                <pt idx="418">
                  <v>3.927428571084338</v>
                </pt>
                <pt idx="419">
                  <v>3.972543261761158</v>
                </pt>
                <pt idx="420">
                  <v>3.907067722389861</v>
                </pt>
                <pt idx="421">
                  <v>3.922465283974436</v>
                </pt>
                <pt idx="422">
                  <v>3.94183352487652</v>
                </pt>
                <pt idx="423">
                  <v>3.95421245966771</v>
                </pt>
                <pt idx="424">
                  <v>3.938965138705417</v>
                </pt>
                <pt idx="425">
                  <v>3.925996585865895</v>
                </pt>
                <pt idx="426">
                  <v>3.885998729241877</v>
                </pt>
                <pt idx="427">
                  <v>3.890738006508377</v>
                </pt>
                <pt idx="428">
                  <v>3.885089362444365</v>
                </pt>
                <pt idx="429">
                  <v>3.883588099243061</v>
                </pt>
                <pt idx="430">
                  <v>3.903109371243087</v>
                </pt>
                <pt idx="431">
                  <v>3.868656940469032</v>
                </pt>
                <pt idx="432">
                  <v>3.903630767192581</v>
                </pt>
                <pt idx="433">
                  <v>3.896680394183392</v>
                </pt>
                <pt idx="434">
                  <v>3.864576290690691</v>
                </pt>
                <pt idx="435">
                  <v>3.879249650408458</v>
                </pt>
                <pt idx="436">
                  <v>3.910316699554807</v>
                </pt>
                <pt idx="437">
                  <v>3.859040153753754</v>
                </pt>
                <pt idx="438">
                  <v>3.906166000481</v>
                </pt>
                <pt idx="439">
                  <v>3.929556571669071</v>
                </pt>
                <pt idx="440">
                  <v>3.928759423700324</v>
                </pt>
                <pt idx="441">
                  <v>3.929551944744745</v>
                </pt>
                <pt idx="442">
                  <v>3.935300508474576</v>
                </pt>
                <pt idx="443">
                  <v>3.952275509370495</v>
                </pt>
                <pt idx="444">
                  <v>3.920794064113339</v>
                </pt>
                <pt idx="445">
                  <v>3.92551161270911</v>
                </pt>
                <pt idx="446">
                  <v>3.897991491280818</v>
                </pt>
                <pt idx="447">
                  <v>3.81039660768027</v>
                </pt>
                <pt idx="448">
                  <v>3.780899526271492</v>
                </pt>
                <pt idx="449">
                  <v>3.73906666025949</v>
                </pt>
                <pt idx="450">
                  <v>3.791768352149892</v>
                </pt>
                <pt idx="451">
                  <v>3.804358112912912</v>
                </pt>
                <pt idx="452">
                  <v>3.80385766966967</v>
                </pt>
                <pt idx="453">
                  <v>3.790074438303496</v>
                </pt>
                <pt idx="454">
                  <v>3.818100360446954</v>
                </pt>
                <pt idx="455">
                  <v>3.854615291075295</v>
                </pt>
                <pt idx="456">
                  <v>3.886240397788728</v>
                </pt>
                <pt idx="457">
                  <v>3.895804095878889</v>
                </pt>
                <pt idx="458">
                  <v>3.915521635620719</v>
                </pt>
                <pt idx="459">
                  <v>3.900659828351939</v>
                </pt>
                <pt idx="460">
                  <v>3.908770066026411</v>
                </pt>
                <pt idx="461">
                  <v>3.927523956057149</v>
                </pt>
                <pt idx="462">
                  <v>3.936109990382303</v>
                </pt>
                <pt idx="463">
                  <v>3.976386715556623</v>
                </pt>
                <pt idx="464">
                  <v>3.997703479254359</v>
                </pt>
                <pt idx="465">
                  <v>3.999507611725132</v>
                </pt>
                <pt idx="466">
                  <v>3.993089289401032</v>
                </pt>
                <pt idx="467">
                  <v>4.003596128451381</v>
                </pt>
                <pt idx="468">
                  <v>4.001745630403458</v>
                </pt>
                <pt idx="469">
                  <v>4.005208134453782</v>
                </pt>
                <pt idx="470">
                  <v>4.008096114710823</v>
                </pt>
                <pt idx="471">
                  <v>4.03555108111351</v>
                </pt>
                <pt idx="472">
                  <v>4.063298207558489</v>
                </pt>
                <pt idx="473">
                  <v>4.090378460707858</v>
                </pt>
                <pt idx="474">
                  <v>4.120262481383617</v>
                </pt>
                <pt idx="475">
                  <v>4.181747143370894</v>
                </pt>
                <pt idx="476">
                  <v>4.222939740758522</v>
                </pt>
                <pt idx="477">
                  <v>4.251145618624744</v>
                </pt>
                <pt idx="478">
                  <v>4.265495905927526</v>
                </pt>
                <pt idx="479">
                  <v>4.25080295612563</v>
                </pt>
                <pt idx="480">
                  <v>4.275880448710258</v>
                </pt>
                <pt idx="481">
                  <v>4.258363524403405</v>
                </pt>
                <pt idx="482">
                  <v>4.27751297780444</v>
                </pt>
                <pt idx="483">
                  <v>4.32597187755102</v>
                </pt>
                <pt idx="484">
                  <v>4.374261703998073</v>
                </pt>
                <pt idx="485">
                  <v>4.379299793120039</v>
                </pt>
                <pt idx="486">
                  <v>4.386091048134777</v>
                </pt>
                <pt idx="487">
                  <v>4.277581257067244</v>
                </pt>
                <pt idx="488">
                  <v>4.319588940031247</v>
                </pt>
                <pt idx="489">
                  <v>4.35494415945166</v>
                </pt>
                <pt idx="490">
                  <v>4.37979326960077</v>
                </pt>
                <pt idx="491">
                  <v>4.410204165965123</v>
                </pt>
                <pt idx="492">
                  <v>4.424110118904636</v>
                </pt>
                <pt idx="493">
                  <v>4.440164178386826</v>
                </pt>
                <pt idx="494">
                  <v>4.456914593295686</v>
                </pt>
                <pt idx="495">
                  <v>4.44694651375045</v>
                </pt>
                <pt idx="496">
                  <v>4.445188380163304</v>
                </pt>
                <pt idx="497">
                  <v>4.486628925997117</v>
                </pt>
                <pt idx="498">
                  <v>4.50640097954272</v>
                </pt>
                <pt idx="499">
                  <v>4.473852185693641</v>
                </pt>
                <pt idx="500">
                  <v>4.484380606498195</v>
                </pt>
                <pt idx="501">
                  <v>4.504056510479402</v>
                </pt>
                <pt idx="502">
                  <v>4.52266060919817</v>
                </pt>
                <pt idx="503">
                  <v>4.568080190706096</v>
                </pt>
                <pt idx="504">
                  <v>4.603892691378895</v>
                </pt>
                <pt idx="505">
                  <v>4.576522272508425</v>
                </pt>
                <pt idx="506">
                  <v>4.515236868237557</v>
                </pt>
                <pt idx="507">
                  <v>4.505829944684945</v>
                </pt>
                <pt idx="508">
                  <v>4.560360997833414</v>
                </pt>
                <pt idx="509">
                  <v>4.569573642599278</v>
                </pt>
                <pt idx="510">
                  <v>4.463808252555622</v>
                </pt>
                <pt idx="511">
                  <v>4.526403637675929</v>
                </pt>
                <pt idx="512">
                  <v>4.526928865768584</v>
                </pt>
                <pt idx="513">
                  <v>4.600101504871888</v>
                </pt>
                <pt idx="514">
                  <v>4.578148041385949</v>
                </pt>
                <pt idx="515">
                  <v>4.634964845348417</v>
                </pt>
                <pt idx="516">
                  <v>4.638932459609356</v>
                </pt>
                <pt idx="517">
                  <v>4.676449192673816</v>
                </pt>
                <pt idx="518">
                  <v>4.671537941707816</v>
                </pt>
                <pt idx="519">
                  <v>4.722632732089104</v>
                </pt>
                <pt idx="520">
                  <v>4.756720972640712</v>
                </pt>
                <pt idx="521">
                  <v>4.743449106906112</v>
                </pt>
                <pt idx="522">
                  <v>4.720133503614457</v>
                </pt>
                <pt idx="523">
                  <v>4.630469443172231</v>
                </pt>
                <pt idx="524">
                  <v>4.647010288843423</v>
                </pt>
                <pt idx="525">
                  <v>4.698698689630254</v>
                </pt>
                <pt idx="526">
                  <v>4.727188275156475</v>
                </pt>
                <pt idx="527">
                  <v>4.757941800987833</v>
                </pt>
                <pt idx="528">
                  <v>4.782804644663936</v>
                </pt>
                <pt idx="529">
                  <v>4.792937635836755</v>
                </pt>
                <pt idx="530">
                  <v>4.754959129386229</v>
                </pt>
                <pt idx="531">
                  <v>4.800467448991911</v>
                </pt>
                <pt idx="532">
                  <v>4.810136644538322</v>
                </pt>
                <pt idx="533">
                  <v>4.797388746982135</v>
                </pt>
                <pt idx="534">
                  <v>4.796238679860021</v>
                </pt>
                <pt idx="535">
                  <v>4.722334683956574</v>
                </pt>
                <pt idx="536">
                  <v>4.744223112183353</v>
                </pt>
                <pt idx="537">
                  <v>4.800080988652824</v>
                </pt>
                <pt idx="538">
                  <v>4.819215288507968</v>
                </pt>
                <pt idx="539">
                  <v>4.811213135930528</v>
                </pt>
                <pt idx="540">
                  <v>4.802787055133309</v>
                </pt>
                <pt idx="541">
                  <v>4.788609499879198</v>
                </pt>
                <pt idx="542">
                  <v>4.811367651753325</v>
                </pt>
                <pt idx="543">
                  <v>4.770719977033724</v>
                </pt>
                <pt idx="544">
                  <v>4.71965604493839</v>
                </pt>
                <pt idx="545">
                  <v>4.553902565805361</v>
                </pt>
                <pt idx="546">
                  <v>4.642808137739718</v>
                </pt>
                <pt idx="547">
                  <v>4.626927857142857</v>
                </pt>
                <pt idx="548">
                  <v>4.630112703256936</v>
                </pt>
                <pt idx="549">
                  <v>4.565739734939759</v>
                </pt>
                <pt idx="550">
                  <v>4.559789097030179</v>
                </pt>
                <pt idx="551">
                  <v>4.62831932427558</v>
                </pt>
                <pt idx="552">
                  <v>4.635395665230917</v>
                </pt>
                <pt idx="553">
                  <v>4.653125757503001</v>
                </pt>
                <pt idx="554">
                  <v>4.666945854244207</v>
                </pt>
                <pt idx="555">
                  <v>4.642790344331135</v>
                </pt>
                <pt idx="556">
                  <v>4.716901360364684</v>
                </pt>
                <pt idx="557">
                  <v>4.749352851656266</v>
                </pt>
                <pt idx="558">
                  <v>4.760439735329341</v>
                </pt>
                <pt idx="559">
                  <v>4.780369198464123</v>
                </pt>
                <pt idx="560">
                  <v>4.796104480729979</v>
                </pt>
                <pt idx="561">
                  <v>4.815565674312477</v>
                </pt>
                <pt idx="562">
                  <v>4.81023602789132</v>
                </pt>
                <pt idx="563">
                  <v>4.826123681938115</v>
                </pt>
                <pt idx="564">
                  <v>4.78681038664113</v>
                </pt>
                <pt idx="565">
                  <v>4.726467195735505</v>
                </pt>
                <pt idx="566">
                  <v>4.716510007174459</v>
                </pt>
                <pt idx="567">
                  <v>4.70587298575362</v>
                </pt>
                <pt idx="568">
                  <v>4.722472514697061</v>
                </pt>
                <pt idx="569">
                  <v>4.774105481046065</v>
                </pt>
                <pt idx="570">
                  <v>4.802993110737448</v>
                </pt>
                <pt idx="571">
                  <v>4.820420830632576</v>
                </pt>
                <pt idx="572">
                  <v>4.840792101788501</v>
                </pt>
                <pt idx="573">
                  <v>4.847791430455636</v>
                </pt>
                <pt idx="574">
                  <v>4.875586253446829</v>
                </pt>
                <pt idx="575">
                  <v>4.875034215698022</v>
                </pt>
                <pt idx="576">
                  <v>4.899178196092532</v>
                </pt>
                <pt idx="577">
                  <v>4.877311964735516</v>
                </pt>
                <pt idx="578">
                  <v>4.836026048879837</v>
                </pt>
                <pt idx="579">
                  <v>4.778857461953265</v>
                </pt>
                <pt idx="580">
                  <v>4.804444555475677</v>
                </pt>
                <pt idx="581">
                  <v>4.717533614573346</v>
                </pt>
                <pt idx="582">
                  <v>4.748146025855877</v>
                </pt>
                <pt idx="583">
                  <v>4.761970282770189</v>
                </pt>
                <pt idx="584">
                  <v>4.815499004551988</v>
                </pt>
                <pt idx="585">
                  <v>4.84793752187987</v>
                </pt>
                <pt idx="586">
                  <v>4.883058257639305</v>
                </pt>
                <pt idx="587">
                  <v>4.927888539865513</v>
                </pt>
                <pt idx="588">
                  <v>4.953810859750241</v>
                </pt>
                <pt idx="589">
                  <v>4.981680779579579</v>
                </pt>
                <pt idx="590">
                  <v>5.000322374429223</v>
                </pt>
                <pt idx="591">
                  <v>5.049819369293609</v>
                </pt>
                <pt idx="592">
                  <v>5.058137289910907</v>
                </pt>
                <pt idx="593">
                  <v>5.053880305655837</v>
                </pt>
                <pt idx="594">
                  <v>5.014992834295334</v>
                </pt>
                <pt idx="595">
                  <v>4.982088052555795</v>
                </pt>
                <pt idx="596">
                  <v>4.928460670028818</v>
                </pt>
                <pt idx="597">
                  <v>4.941327282426276</v>
                </pt>
                <pt idx="598">
                  <v>5.126024679826673</v>
                </pt>
                <pt idx="599">
                  <v>4.727161730124521</v>
                </pt>
                <pt idx="600">
                  <v>4.894846761424973</v>
                </pt>
                <pt idx="601">
                  <v>4.983679898154805</v>
                </pt>
                <pt idx="602">
                  <v>5.072111892959771</v>
                </pt>
                <pt idx="603">
                  <v>5.09370096766467</v>
                </pt>
                <pt idx="604">
                  <v>5.108507476076555</v>
                </pt>
                <pt idx="605">
                  <v>5.148221935754524</v>
                </pt>
                <pt idx="606">
                  <v>5.169992334211156</v>
                </pt>
                <pt idx="607">
                  <v>5.208709630117308</v>
                </pt>
                <pt idx="608">
                  <v>5.2492717124685</v>
                </pt>
                <pt idx="609">
                  <v>5.202881072369998</v>
                </pt>
                <pt idx="610">
                  <v>5.214331690983019</v>
                </pt>
                <pt idx="611">
                  <v>5.204117228007181</v>
                </pt>
                <pt idx="612">
                  <v>5.222333844218094</v>
                </pt>
                <pt idx="613">
                  <v>5.228627037170264</v>
                </pt>
                <pt idx="614">
                  <v>5.233761136907612</v>
                </pt>
                <pt idx="615">
                  <v>5.258501956130888</v>
                </pt>
                <pt idx="616">
                  <v>5.275079671265747</v>
                </pt>
                <pt idx="617">
                  <v>5.314758120580127</v>
                </pt>
                <pt idx="618">
                  <v>5.301984831137725</v>
                </pt>
                <pt idx="619">
                  <v>5.340282916666667</v>
                </pt>
                <pt idx="620">
                  <v>5.365641868934947</v>
                </pt>
                <pt idx="621">
                  <v>5.394485778443114</v>
                </pt>
                <pt idx="622">
                  <v>5.391484731736527</v>
                </pt>
                <pt idx="623">
                  <v>5.413276379103761</v>
                </pt>
                <pt idx="624">
                  <v>5.395218495988503</v>
                </pt>
                <pt idx="625">
                  <v>5.409614017964071</v>
                </pt>
                <pt idx="626">
                  <v>5.42334061549515</v>
                </pt>
                <pt idx="627">
                  <v>5.451908457211251</v>
                </pt>
                <pt idx="628">
                  <v>5.457089956896552</v>
                </pt>
                <pt idx="629">
                  <v>5.441990807609477</v>
                </pt>
                <pt idx="630">
                  <v>5.314371740324893</v>
                </pt>
                <pt idx="631">
                  <v>5.363867814704124</v>
                </pt>
                <pt idx="632">
                  <v>5.34067973825744</v>
                </pt>
                <pt idx="633">
                  <v>5.375369868593956</v>
                </pt>
                <pt idx="634">
                  <v>5.378810155279503</v>
                </pt>
                <pt idx="635">
                  <v>5.463436488294315</v>
                </pt>
                <pt idx="636">
                  <v>5.495965034631002</v>
                </pt>
                <pt idx="637">
                  <v>5.511015280697563</v>
                </pt>
                <pt idx="638">
                  <v>5.530790313060103</v>
                </pt>
                <pt idx="639">
                  <v>5.519787212997253</v>
                </pt>
                <pt idx="640">
                  <v>5.461782088554719</v>
                </pt>
                <pt idx="641">
                  <v>5.2640469313177</v>
                </pt>
                <pt idx="642">
                  <v>5.243792662933397</v>
                </pt>
                <pt idx="643">
                  <v>5.353516423462089</v>
                </pt>
                <pt idx="644">
                  <v>5.314618030717943</v>
                </pt>
                <pt idx="645">
                  <v>5.371413421491542</v>
                </pt>
                <pt idx="646">
                  <v>5.36519315143572</v>
                </pt>
                <pt idx="647">
                  <v>5.314966645215112</v>
                </pt>
                <pt idx="648">
                  <v>5.299265963554074</v>
                </pt>
                <pt idx="649">
                  <v>5.391343042441584</v>
                </pt>
                <pt idx="650">
                  <v>5.42583544066786</v>
                </pt>
                <pt idx="651">
                  <v>5.463636230447761</v>
                </pt>
                <pt idx="652">
                  <v>5.485100386312149</v>
                </pt>
                <pt idx="653">
                  <v>5.496839914214226</v>
                </pt>
                <pt idx="654">
                  <v>5.497766075242517</v>
                </pt>
                <pt idx="655">
                  <v>5.521938654580152</v>
                </pt>
                <pt idx="656">
                  <v>5.529965026814444</v>
                </pt>
                <pt idx="657">
                  <v>5.528858371871276</v>
                </pt>
                <pt idx="658">
                  <v>5.523623961611826</v>
                </pt>
                <pt idx="659">
                  <v>5.55131302777016</v>
                </pt>
                <pt idx="660">
                  <v>5.554023507391513</v>
                </pt>
                <pt idx="661">
                  <v>5.560266356164384</v>
                </pt>
                <pt idx="662">
                  <v>5.554664181753217</v>
                </pt>
                <pt idx="663">
                  <v>5.561335486714071</v>
                </pt>
                <pt idx="664">
                  <v>5.493811933083289</v>
                </pt>
                <pt idx="665">
                  <v>5.494191267515014</v>
                </pt>
                <pt idx="666">
                  <v>5.534832648393667</v>
                </pt>
                <pt idx="667">
                  <v>5.50125230824202</v>
                </pt>
                <pt idx="668">
                  <v>5.583317782411821</v>
                </pt>
                <pt idx="669">
                  <v>5.602232266332856</v>
                </pt>
                <pt idx="670">
                  <v>5.62346133707061</v>
                </pt>
                <pt idx="671">
                  <v>5.629567718246625</v>
                </pt>
                <pt idx="672">
                  <v>5.60603134488942</v>
                </pt>
                <pt idx="673">
                  <v>5.579144149724946</v>
                </pt>
                <pt idx="674">
                  <v>5.663069806552075</v>
                </pt>
                <pt idx="675">
                  <v>5.710650059858734</v>
                </pt>
                <pt idx="676">
                  <v>5.708732072966507</v>
                </pt>
                <pt idx="677">
                  <v>5.699434259569379</v>
                </pt>
                <pt idx="678">
                  <v>5.721732407507087</v>
                </pt>
                <pt idx="679">
                  <v>5.723378571257915</v>
                </pt>
                <pt idx="680">
                  <v>5.675106156050385</v>
                </pt>
                <pt idx="681">
                  <v>5.67297779261025</v>
                </pt>
                <pt idx="682">
                  <v>5.549350727467556</v>
                </pt>
                <pt idx="683">
                  <v>5.497579059305191</v>
                </pt>
                <pt idx="684">
                  <v>5.392284173612764</v>
                </pt>
                <pt idx="685">
                  <v>5.484915651914944</v>
                </pt>
                <pt idx="686">
                  <v>5.517788671828469</v>
                </pt>
                <pt idx="687">
                  <v>5.518906529664045</v>
                </pt>
                <pt idx="688">
                  <v>5.512107370899277</v>
                </pt>
                <pt idx="689">
                  <v>5.529734627877922</v>
                </pt>
                <pt idx="690">
                  <v>5.5332941170871</v>
                </pt>
                <pt idx="691">
                  <v>5.528500184457931</v>
                </pt>
                <pt idx="692">
                  <v>5.455744546914976</v>
                </pt>
                <pt idx="693">
                  <v>5.465045885921608</v>
                </pt>
                <pt idx="694">
                  <v>5.408037139288687</v>
                </pt>
                <pt idx="695">
                  <v>5.299851841322708</v>
                </pt>
                <pt idx="696">
                  <v>5.310796378604739</v>
                </pt>
                <pt idx="697">
                  <v>5.293016850684118</v>
                </pt>
                <pt idx="698">
                  <v>5.209478865568703</v>
                </pt>
                <pt idx="699">
                  <v>5.259100487746847</v>
                </pt>
                <pt idx="700">
                  <v>5.186649585960739</v>
                </pt>
                <pt idx="701">
                  <v>5.199886245242626</v>
                </pt>
                <pt idx="702">
                  <v>5.304550362236946</v>
                </pt>
                <pt idx="703">
                  <v>5.343978085156993</v>
                </pt>
                <pt idx="704">
                  <v>5.267330721502437</v>
                </pt>
                <pt idx="705">
                  <v>5.303853289184273</v>
                </pt>
                <pt idx="706">
                  <v>5.383192907128454</v>
                </pt>
                <pt idx="707">
                  <v>5.335659416558908</v>
                </pt>
                <pt idx="708">
                  <v>5.280316689377333</v>
                </pt>
                <pt idx="709">
                  <v>5.258064441389445</v>
                </pt>
                <pt idx="710">
                  <v>5.197125250059257</v>
                </pt>
                <pt idx="711">
                  <v>5.100959035017058</v>
                </pt>
                <pt idx="712">
                  <v>5.112275835000769</v>
                </pt>
                <pt idx="713">
                  <v>5.096282972345317</v>
                </pt>
                <pt idx="714">
                  <v>5.117950791562981</v>
                </pt>
                <pt idx="715">
                  <v>5.048251973489555</v>
                </pt>
                <pt idx="716">
                  <v>5.138538565133963</v>
                </pt>
                <pt idx="717">
                  <v>5.227759190600521</v>
                </pt>
                <pt idx="718">
                  <v>5.237731301367426</v>
                </pt>
                <pt idx="719">
                  <v>5.280368769103188</v>
                </pt>
                <pt idx="720">
                  <v>5.2597789176387</v>
                </pt>
                <pt idx="721">
                  <v>5.263283001218085</v>
                </pt>
                <pt idx="722">
                  <v>5.285687900637244</v>
                </pt>
                <pt idx="723">
                  <v>5.336756683121546</v>
                </pt>
                <pt idx="724">
                  <v>5.394863335812876</v>
                </pt>
                <pt idx="725">
                  <v>5.426457542156724</v>
                </pt>
                <pt idx="726">
                  <v>5.440007608541597</v>
                </pt>
                <pt idx="727">
                  <v>5.429414113098115</v>
                </pt>
                <pt idx="728">
                  <v>5.429976619934024</v>
                </pt>
                <pt idx="729">
                  <v>5.44709883247833</v>
                </pt>
                <pt idx="730">
                  <v>5.418268714412025</v>
                </pt>
                <pt idx="731">
                  <v>5.435465600009436</v>
                </pt>
                <pt idx="732">
                  <v>5.434553635292731</v>
                </pt>
                <pt idx="733">
                  <v>5.377958632305482</v>
                </pt>
                <pt idx="734">
                  <v>5.349519223019549</v>
                </pt>
                <pt idx="735">
                  <v>5.30211182893005</v>
                </pt>
                <pt idx="736">
                  <v>5.207846616125348</v>
                </pt>
                <pt idx="737">
                  <v>5.208044035489746</v>
                </pt>
                <pt idx="738">
                  <v>5.20295228702921</v>
                </pt>
                <pt idx="739">
                  <v>5.199454566354658</v>
                </pt>
                <pt idx="740">
                  <v>5.197215878109336</v>
                </pt>
                <pt idx="741">
                  <v>5.17671792708894</v>
                </pt>
                <pt idx="742">
                  <v>5.183588243682353</v>
                </pt>
                <pt idx="743">
                  <v>5.206897542179929</v>
                </pt>
                <pt idx="744">
                  <v>5.270559849580223</v>
                </pt>
                <pt idx="745">
                  <v>5.262747504110259</v>
                </pt>
                <pt idx="746">
                  <v>5.136496457409568</v>
                </pt>
                <pt idx="747">
                  <v>5.16609082083377</v>
                </pt>
                <pt idx="748">
                  <v>5.134615488203731</v>
                </pt>
                <pt idx="749">
                  <v>5.087942166724881</v>
                </pt>
                <pt idx="750">
                  <v>5.003964388092612</v>
                </pt>
                <pt idx="751">
                  <v>4.827642081573298</v>
                </pt>
                <pt idx="752">
                  <v>4.907437183472984</v>
                </pt>
                <pt idx="753">
                  <v>4.928656730724705</v>
                </pt>
                <pt idx="754">
                  <v>4.964864225482269</v>
                </pt>
                <pt idx="755">
                  <v>4.968711837682365</v>
                </pt>
                <pt idx="756">
                  <v>5.021538055191454</v>
                </pt>
                <pt idx="757">
                  <v>4.921903457409893</v>
                </pt>
                <pt idx="758">
                  <v>4.896014868710236</v>
                </pt>
                <pt idx="759">
                  <v>4.928783425893786</v>
                </pt>
                <pt idx="760">
                  <v>4.882444716937355</v>
                </pt>
                <pt idx="761">
                  <v>4.763987555298205</v>
                </pt>
                <pt idx="762">
                  <v>4.734327819227571</v>
                </pt>
                <pt idx="763">
                  <v>4.821188271961215</v>
                </pt>
                <pt idx="764">
                  <v>4.838514256167312</v>
                </pt>
                <pt idx="765">
                  <v>4.911237775030045</v>
                </pt>
                <pt idx="766">
                  <v>4.90898363917907</v>
                </pt>
                <pt idx="767">
                  <v>4.83340611775529</v>
                </pt>
                <pt idx="768">
                  <v>4.895339550936029</v>
                </pt>
                <pt idx="769">
                  <v>4.901027257946322</v>
                </pt>
                <pt idx="770">
                  <v>4.861953282712948</v>
                </pt>
                <pt idx="771">
                  <v>4.847598177502368</v>
                </pt>
                <pt idx="772">
                  <v>4.785341742788874</v>
                </pt>
                <pt idx="773">
                  <v>4.715624807291247</v>
                </pt>
                <pt idx="774">
                  <v>4.697753757192174</v>
                </pt>
                <pt idx="775">
                  <v>4.70699149267505</v>
                </pt>
                <pt idx="776">
                  <v>4.629332845763103</v>
                </pt>
                <pt idx="777">
                  <v>4.617580726652767</v>
                </pt>
                <pt idx="778">
                  <v>4.593294912912844</v>
                </pt>
                <pt idx="779">
                  <v>4.632410973644839</v>
                </pt>
                <pt idx="780">
                  <v>4.685274340638393</v>
                </pt>
                <pt idx="781">
                  <v>4.654512238368063</v>
                </pt>
                <pt idx="782">
                  <v>4.598820753519501</v>
                </pt>
                <pt idx="783">
                  <v>4.558846018592908</v>
                </pt>
                <pt idx="784">
                  <v>4.509258612160769</v>
                </pt>
                <pt idx="785">
                  <v>4.397142692017471</v>
                </pt>
                <pt idx="786">
                  <v>4.405732038734816</v>
                </pt>
                <pt idx="787">
                  <v>4.419157068362844</v>
                </pt>
                <pt idx="788">
                  <v>4.530652399861879</v>
                </pt>
                <pt idx="789">
                  <v>4.5772711473262</v>
                </pt>
                <pt idx="790">
                  <v>4.580829047072331</v>
                </pt>
                <pt idx="791">
                  <v>4.518411624470156</v>
                </pt>
                <pt idx="792">
                  <v>4.529235170230339</v>
                </pt>
                <pt idx="793">
                  <v>4.514463730349971</v>
                </pt>
                <pt idx="794">
                  <v>4.508491066434974</v>
                </pt>
                <pt idx="795">
                  <v>4.535382653131849</v>
                </pt>
                <pt idx="796">
                  <v>4.627625932262165</v>
                </pt>
                <pt idx="797">
                  <v>4.699087249449658</v>
                </pt>
                <pt idx="798">
                  <v>4.74106499073216</v>
                </pt>
                <pt idx="799">
                  <v>4.813654381904874</v>
                </pt>
                <pt idx="800">
                  <v>4.898775144927536</v>
                </pt>
                <pt idx="801">
                  <v>4.858969405138871</v>
                </pt>
                <pt idx="802">
                  <v>4.817357438832117</v>
                </pt>
                <pt idx="803">
                  <v>4.852339725595516</v>
                </pt>
                <pt idx="804">
                  <v>4.83732623284308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85758208"/>
        <axId val="285756416"/>
      </lineChart>
      <dateAx>
        <axId val="285753344"/>
        <scaling>
          <orientation val="minMax"/>
        </scaling>
        <delete val="0"/>
        <axPos val="b"/>
        <numFmt formatCode="m/d/yyyy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85754880"/>
        <crosses val="autoZero"/>
        <lblOffset val="100"/>
        <baseTimeUnit val="days"/>
      </dateAx>
      <valAx>
        <axId val="28575488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85753344"/>
        <crosses val="autoZero"/>
        <crossBetween val="between"/>
      </valAx>
      <dateAx>
        <axId val="285758208"/>
        <scaling>
          <orientation val="minMax"/>
        </scaling>
        <delete val="1"/>
        <axPos val="b"/>
        <numFmt formatCode="m/d/yyyy" sourceLinked="1"/>
        <majorTickMark val="out"/>
        <minorTickMark val="none"/>
        <tickLblPos val="nextTo"/>
        <crossAx val="285756416"/>
        <crosses val="autoZero"/>
        <lblOffset val="100"/>
        <baseTimeUnit val="days"/>
      </dateAx>
      <valAx>
        <axId val="285756416"/>
        <scaling>
          <orientation val="minMax"/>
        </scaling>
        <delete val="0"/>
        <axPos val="r"/>
        <numFmt formatCode="0.00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85758208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 xml:space="preserve"> Term Yield Vs Short Term Yield</a:t>
            </a:r>
            <a:r>
              <a:rPr lang="en-GB"/>
              <a:t> 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'EVI 2025 Workings'!$H$1</f>
              <strCache>
                <ptCount val="1"/>
                <pt idx="0">
                  <v>BEER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'EVI 2025 Workings'!$B$2:$B$806</f>
              <numCache>
                <formatCode>m/d/yyyy</formatCode>
                <ptCount val="805"/>
                <pt idx="0">
                  <v>44564</v>
                </pt>
                <pt idx="1">
                  <v>44565</v>
                </pt>
                <pt idx="2">
                  <v>44566</v>
                </pt>
                <pt idx="3">
                  <v>44567</v>
                </pt>
                <pt idx="4">
                  <v>44568</v>
                </pt>
                <pt idx="5">
                  <v>44571</v>
                </pt>
                <pt idx="6">
                  <v>44572</v>
                </pt>
                <pt idx="7">
                  <v>44573</v>
                </pt>
                <pt idx="8">
                  <v>44574</v>
                </pt>
                <pt idx="9">
                  <v>44575</v>
                </pt>
                <pt idx="10">
                  <v>44578</v>
                </pt>
                <pt idx="11">
                  <v>44579</v>
                </pt>
                <pt idx="12">
                  <v>44580</v>
                </pt>
                <pt idx="13">
                  <v>44581</v>
                </pt>
                <pt idx="14">
                  <v>44582</v>
                </pt>
                <pt idx="15">
                  <v>44585</v>
                </pt>
                <pt idx="16">
                  <v>44586</v>
                </pt>
                <pt idx="17">
                  <v>44588</v>
                </pt>
                <pt idx="18">
                  <v>44589</v>
                </pt>
                <pt idx="19">
                  <v>44592</v>
                </pt>
                <pt idx="20">
                  <v>44593</v>
                </pt>
                <pt idx="21">
                  <v>44594</v>
                </pt>
                <pt idx="22">
                  <v>44595</v>
                </pt>
                <pt idx="23">
                  <v>44596</v>
                </pt>
                <pt idx="24">
                  <v>44599</v>
                </pt>
                <pt idx="25">
                  <v>44600</v>
                </pt>
                <pt idx="26">
                  <v>44601</v>
                </pt>
                <pt idx="27">
                  <v>44602</v>
                </pt>
                <pt idx="28">
                  <v>44603</v>
                </pt>
                <pt idx="29">
                  <v>44606</v>
                </pt>
                <pt idx="30">
                  <v>44607</v>
                </pt>
                <pt idx="31">
                  <v>44608</v>
                </pt>
                <pt idx="32">
                  <v>44609</v>
                </pt>
                <pt idx="33">
                  <v>44610</v>
                </pt>
                <pt idx="34">
                  <v>44613</v>
                </pt>
                <pt idx="35">
                  <v>44614</v>
                </pt>
                <pt idx="36">
                  <v>44615</v>
                </pt>
                <pt idx="37">
                  <v>44616</v>
                </pt>
                <pt idx="38">
                  <v>44617</v>
                </pt>
                <pt idx="39">
                  <v>44620</v>
                </pt>
                <pt idx="40">
                  <v>44622</v>
                </pt>
                <pt idx="41">
                  <v>44623</v>
                </pt>
                <pt idx="42">
                  <v>44624</v>
                </pt>
                <pt idx="43">
                  <v>44627</v>
                </pt>
                <pt idx="44">
                  <v>44628</v>
                </pt>
                <pt idx="45">
                  <v>44629</v>
                </pt>
                <pt idx="46">
                  <v>44630</v>
                </pt>
                <pt idx="47">
                  <v>44631</v>
                </pt>
                <pt idx="48">
                  <v>44634</v>
                </pt>
                <pt idx="49">
                  <v>44635</v>
                </pt>
                <pt idx="50">
                  <v>44636</v>
                </pt>
                <pt idx="51">
                  <v>44637</v>
                </pt>
                <pt idx="52">
                  <v>44641</v>
                </pt>
                <pt idx="53">
                  <v>44642</v>
                </pt>
                <pt idx="54">
                  <v>44643</v>
                </pt>
                <pt idx="55">
                  <v>44644</v>
                </pt>
                <pt idx="56">
                  <v>44645</v>
                </pt>
                <pt idx="57">
                  <v>44648</v>
                </pt>
                <pt idx="58">
                  <v>44649</v>
                </pt>
                <pt idx="59">
                  <v>44650</v>
                </pt>
                <pt idx="60">
                  <v>44651</v>
                </pt>
                <pt idx="61">
                  <v>44652</v>
                </pt>
                <pt idx="62">
                  <v>44655</v>
                </pt>
                <pt idx="63">
                  <v>44656</v>
                </pt>
                <pt idx="64">
                  <v>44657</v>
                </pt>
                <pt idx="65">
                  <v>44658</v>
                </pt>
                <pt idx="66">
                  <v>44659</v>
                </pt>
                <pt idx="67">
                  <v>44662</v>
                </pt>
                <pt idx="68">
                  <v>44663</v>
                </pt>
                <pt idx="69">
                  <v>44664</v>
                </pt>
                <pt idx="70">
                  <v>44669</v>
                </pt>
                <pt idx="71">
                  <v>44670</v>
                </pt>
                <pt idx="72">
                  <v>44671</v>
                </pt>
                <pt idx="73">
                  <v>44672</v>
                </pt>
                <pt idx="74">
                  <v>44673</v>
                </pt>
                <pt idx="75">
                  <v>44676</v>
                </pt>
                <pt idx="76">
                  <v>44677</v>
                </pt>
                <pt idx="77">
                  <v>44678</v>
                </pt>
                <pt idx="78">
                  <v>44679</v>
                </pt>
                <pt idx="79">
                  <v>44680</v>
                </pt>
                <pt idx="80">
                  <v>44683</v>
                </pt>
                <pt idx="81">
                  <v>44685</v>
                </pt>
                <pt idx="82">
                  <v>44686</v>
                </pt>
                <pt idx="83">
                  <v>44687</v>
                </pt>
                <pt idx="84">
                  <v>44690</v>
                </pt>
                <pt idx="85">
                  <v>44691</v>
                </pt>
                <pt idx="86">
                  <v>44692</v>
                </pt>
                <pt idx="87">
                  <v>44693</v>
                </pt>
                <pt idx="88">
                  <v>44694</v>
                </pt>
                <pt idx="89">
                  <v>44697</v>
                </pt>
                <pt idx="90">
                  <v>44698</v>
                </pt>
                <pt idx="91">
                  <v>44699</v>
                </pt>
                <pt idx="92">
                  <v>44700</v>
                </pt>
                <pt idx="93">
                  <v>44701</v>
                </pt>
                <pt idx="94">
                  <v>44704</v>
                </pt>
                <pt idx="95">
                  <v>44705</v>
                </pt>
                <pt idx="96">
                  <v>44706</v>
                </pt>
                <pt idx="97">
                  <v>44707</v>
                </pt>
                <pt idx="98">
                  <v>44708</v>
                </pt>
                <pt idx="99">
                  <v>44711</v>
                </pt>
                <pt idx="100">
                  <v>44712</v>
                </pt>
                <pt idx="101">
                  <v>44713</v>
                </pt>
                <pt idx="102">
                  <v>44714</v>
                </pt>
                <pt idx="103">
                  <v>44715</v>
                </pt>
                <pt idx="104">
                  <v>44718</v>
                </pt>
                <pt idx="105">
                  <v>44719</v>
                </pt>
                <pt idx="106">
                  <v>44720</v>
                </pt>
                <pt idx="107">
                  <v>44721</v>
                </pt>
                <pt idx="108">
                  <v>44722</v>
                </pt>
                <pt idx="109">
                  <v>44725</v>
                </pt>
                <pt idx="110">
                  <v>44726</v>
                </pt>
                <pt idx="111">
                  <v>44727</v>
                </pt>
                <pt idx="112">
                  <v>44728</v>
                </pt>
                <pt idx="113">
                  <v>44729</v>
                </pt>
                <pt idx="114">
                  <v>44732</v>
                </pt>
                <pt idx="115">
                  <v>44733</v>
                </pt>
                <pt idx="116">
                  <v>44734</v>
                </pt>
                <pt idx="117">
                  <v>44735</v>
                </pt>
                <pt idx="118">
                  <v>44736</v>
                </pt>
                <pt idx="119">
                  <v>44739</v>
                </pt>
                <pt idx="120">
                  <v>44740</v>
                </pt>
                <pt idx="121">
                  <v>44741</v>
                </pt>
                <pt idx="122">
                  <v>44742</v>
                </pt>
                <pt idx="123">
                  <v>44743</v>
                </pt>
                <pt idx="124">
                  <v>44746</v>
                </pt>
                <pt idx="125">
                  <v>44747</v>
                </pt>
                <pt idx="126">
                  <v>44748</v>
                </pt>
                <pt idx="127">
                  <v>44749</v>
                </pt>
                <pt idx="128">
                  <v>44750</v>
                </pt>
                <pt idx="129">
                  <v>44753</v>
                </pt>
                <pt idx="130">
                  <v>44754</v>
                </pt>
                <pt idx="131">
                  <v>44755</v>
                </pt>
                <pt idx="132">
                  <v>44756</v>
                </pt>
                <pt idx="133">
                  <v>44757</v>
                </pt>
                <pt idx="134">
                  <v>44760</v>
                </pt>
                <pt idx="135">
                  <v>44761</v>
                </pt>
                <pt idx="136">
                  <v>44762</v>
                </pt>
                <pt idx="137">
                  <v>44763</v>
                </pt>
                <pt idx="138">
                  <v>44764</v>
                </pt>
                <pt idx="139">
                  <v>44767</v>
                </pt>
                <pt idx="140">
                  <v>44768</v>
                </pt>
                <pt idx="141">
                  <v>44769</v>
                </pt>
                <pt idx="142">
                  <v>44770</v>
                </pt>
                <pt idx="143">
                  <v>44771</v>
                </pt>
                <pt idx="144">
                  <v>44774</v>
                </pt>
                <pt idx="145">
                  <v>44775</v>
                </pt>
                <pt idx="146">
                  <v>44776</v>
                </pt>
                <pt idx="147">
                  <v>44777</v>
                </pt>
                <pt idx="148">
                  <v>44778</v>
                </pt>
                <pt idx="149">
                  <v>44781</v>
                </pt>
                <pt idx="150">
                  <v>44783</v>
                </pt>
                <pt idx="151">
                  <v>44784</v>
                </pt>
                <pt idx="152">
                  <v>44785</v>
                </pt>
                <pt idx="153">
                  <v>44789</v>
                </pt>
                <pt idx="154">
                  <v>44790</v>
                </pt>
                <pt idx="155">
                  <v>44791</v>
                </pt>
                <pt idx="156">
                  <v>44792</v>
                </pt>
                <pt idx="157">
                  <v>44795</v>
                </pt>
                <pt idx="158">
                  <v>44796</v>
                </pt>
                <pt idx="159">
                  <v>44797</v>
                </pt>
                <pt idx="160">
                  <v>44798</v>
                </pt>
                <pt idx="161">
                  <v>44799</v>
                </pt>
                <pt idx="162">
                  <v>44802</v>
                </pt>
                <pt idx="163">
                  <v>44803</v>
                </pt>
                <pt idx="164">
                  <v>44805</v>
                </pt>
                <pt idx="165">
                  <v>44806</v>
                </pt>
                <pt idx="166">
                  <v>44809</v>
                </pt>
                <pt idx="167">
                  <v>44810</v>
                </pt>
                <pt idx="168">
                  <v>44811</v>
                </pt>
                <pt idx="169">
                  <v>44812</v>
                </pt>
                <pt idx="170">
                  <v>44813</v>
                </pt>
                <pt idx="171">
                  <v>44816</v>
                </pt>
                <pt idx="172">
                  <v>44817</v>
                </pt>
                <pt idx="173">
                  <v>44818</v>
                </pt>
                <pt idx="174">
                  <v>44819</v>
                </pt>
                <pt idx="175">
                  <v>44820</v>
                </pt>
                <pt idx="176">
                  <v>44823</v>
                </pt>
                <pt idx="177">
                  <v>44824</v>
                </pt>
                <pt idx="178">
                  <v>44825</v>
                </pt>
                <pt idx="179">
                  <v>44826</v>
                </pt>
                <pt idx="180">
                  <v>44827</v>
                </pt>
                <pt idx="181">
                  <v>44830</v>
                </pt>
                <pt idx="182">
                  <v>44831</v>
                </pt>
                <pt idx="183">
                  <v>44832</v>
                </pt>
                <pt idx="184">
                  <v>44833</v>
                </pt>
                <pt idx="185">
                  <v>44834</v>
                </pt>
                <pt idx="186">
                  <v>44837</v>
                </pt>
                <pt idx="187">
                  <v>44838</v>
                </pt>
                <pt idx="188">
                  <v>44840</v>
                </pt>
                <pt idx="189">
                  <v>44841</v>
                </pt>
                <pt idx="190">
                  <v>44844</v>
                </pt>
                <pt idx="191">
                  <v>44845</v>
                </pt>
                <pt idx="192">
                  <v>44846</v>
                </pt>
                <pt idx="193">
                  <v>44847</v>
                </pt>
                <pt idx="194">
                  <v>44848</v>
                </pt>
                <pt idx="195">
                  <v>44851</v>
                </pt>
                <pt idx="196">
                  <v>44852</v>
                </pt>
                <pt idx="197">
                  <v>44853</v>
                </pt>
                <pt idx="198">
                  <v>44854</v>
                </pt>
                <pt idx="199">
                  <v>44855</v>
                </pt>
                <pt idx="200">
                  <v>44858</v>
                </pt>
                <pt idx="201">
                  <v>44859</v>
                </pt>
                <pt idx="202">
                  <v>44861</v>
                </pt>
                <pt idx="203">
                  <v>44862</v>
                </pt>
                <pt idx="204">
                  <v>44865</v>
                </pt>
                <pt idx="205">
                  <v>44866</v>
                </pt>
                <pt idx="206">
                  <v>44867</v>
                </pt>
                <pt idx="207">
                  <v>44868</v>
                </pt>
                <pt idx="208">
                  <v>44869</v>
                </pt>
                <pt idx="209">
                  <v>44872</v>
                </pt>
                <pt idx="210">
                  <v>44874</v>
                </pt>
                <pt idx="211">
                  <v>44875</v>
                </pt>
                <pt idx="212">
                  <v>44876</v>
                </pt>
                <pt idx="213">
                  <v>44879</v>
                </pt>
                <pt idx="214">
                  <v>44880</v>
                </pt>
                <pt idx="215">
                  <v>44881</v>
                </pt>
                <pt idx="216">
                  <v>44882</v>
                </pt>
                <pt idx="217">
                  <v>44883</v>
                </pt>
                <pt idx="218">
                  <v>44886</v>
                </pt>
                <pt idx="219">
                  <v>44887</v>
                </pt>
                <pt idx="220">
                  <v>44888</v>
                </pt>
                <pt idx="221">
                  <v>44889</v>
                </pt>
                <pt idx="222">
                  <v>44890</v>
                </pt>
                <pt idx="223">
                  <v>44893</v>
                </pt>
                <pt idx="224">
                  <v>44894</v>
                </pt>
                <pt idx="225">
                  <v>44895</v>
                </pt>
                <pt idx="226">
                  <v>44896</v>
                </pt>
                <pt idx="227">
                  <v>44897</v>
                </pt>
                <pt idx="228">
                  <v>44900</v>
                </pt>
                <pt idx="229">
                  <v>44901</v>
                </pt>
                <pt idx="230">
                  <v>44902</v>
                </pt>
                <pt idx="231">
                  <v>44903</v>
                </pt>
                <pt idx="232">
                  <v>44904</v>
                </pt>
                <pt idx="233">
                  <v>44907</v>
                </pt>
                <pt idx="234">
                  <v>44908</v>
                </pt>
                <pt idx="235">
                  <v>44909</v>
                </pt>
                <pt idx="236">
                  <v>44910</v>
                </pt>
                <pt idx="237">
                  <v>44911</v>
                </pt>
                <pt idx="238">
                  <v>44914</v>
                </pt>
                <pt idx="239">
                  <v>44915</v>
                </pt>
                <pt idx="240">
                  <v>44916</v>
                </pt>
                <pt idx="241">
                  <v>44917</v>
                </pt>
                <pt idx="242">
                  <v>44918</v>
                </pt>
                <pt idx="243">
                  <v>44921</v>
                </pt>
                <pt idx="244">
                  <v>44922</v>
                </pt>
                <pt idx="245">
                  <v>44923</v>
                </pt>
                <pt idx="246">
                  <v>44924</v>
                </pt>
                <pt idx="247">
                  <v>44925</v>
                </pt>
                <pt idx="248">
                  <v>44928</v>
                </pt>
                <pt idx="249">
                  <v>44929</v>
                </pt>
                <pt idx="250">
                  <v>44930</v>
                </pt>
                <pt idx="251">
                  <v>44931</v>
                </pt>
                <pt idx="252">
                  <v>44932</v>
                </pt>
                <pt idx="253">
                  <v>44935</v>
                </pt>
                <pt idx="254">
                  <v>44936</v>
                </pt>
                <pt idx="255">
                  <v>44937</v>
                </pt>
                <pt idx="256">
                  <v>44938</v>
                </pt>
                <pt idx="257">
                  <v>44939</v>
                </pt>
                <pt idx="258">
                  <v>44942</v>
                </pt>
                <pt idx="259">
                  <v>44943</v>
                </pt>
                <pt idx="260">
                  <v>44944</v>
                </pt>
                <pt idx="261">
                  <v>44945</v>
                </pt>
                <pt idx="262">
                  <v>44946</v>
                </pt>
                <pt idx="263">
                  <v>44949</v>
                </pt>
                <pt idx="264">
                  <v>44950</v>
                </pt>
                <pt idx="265">
                  <v>44951</v>
                </pt>
                <pt idx="266">
                  <v>44953</v>
                </pt>
                <pt idx="267">
                  <v>44956</v>
                </pt>
                <pt idx="268">
                  <v>44957</v>
                </pt>
                <pt idx="269">
                  <v>44958</v>
                </pt>
                <pt idx="270">
                  <v>44959</v>
                </pt>
                <pt idx="271">
                  <v>44960</v>
                </pt>
                <pt idx="272">
                  <v>44963</v>
                </pt>
                <pt idx="273">
                  <v>44964</v>
                </pt>
                <pt idx="274">
                  <v>44965</v>
                </pt>
                <pt idx="275">
                  <v>44966</v>
                </pt>
                <pt idx="276">
                  <v>44967</v>
                </pt>
                <pt idx="277">
                  <v>44970</v>
                </pt>
                <pt idx="278">
                  <v>44971</v>
                </pt>
                <pt idx="279">
                  <v>44972</v>
                </pt>
                <pt idx="280">
                  <v>44973</v>
                </pt>
                <pt idx="281">
                  <v>44974</v>
                </pt>
                <pt idx="282">
                  <v>44977</v>
                </pt>
                <pt idx="283">
                  <v>44978</v>
                </pt>
                <pt idx="284">
                  <v>44979</v>
                </pt>
                <pt idx="285">
                  <v>44980</v>
                </pt>
                <pt idx="286">
                  <v>44981</v>
                </pt>
                <pt idx="287">
                  <v>44984</v>
                </pt>
                <pt idx="288">
                  <v>44985</v>
                </pt>
                <pt idx="289">
                  <v>44986</v>
                </pt>
                <pt idx="290">
                  <v>44987</v>
                </pt>
                <pt idx="291">
                  <v>44988</v>
                </pt>
                <pt idx="292">
                  <v>44991</v>
                </pt>
                <pt idx="293">
                  <v>44993</v>
                </pt>
                <pt idx="294">
                  <v>44994</v>
                </pt>
                <pt idx="295">
                  <v>44995</v>
                </pt>
                <pt idx="296">
                  <v>44998</v>
                </pt>
                <pt idx="297">
                  <v>44999</v>
                </pt>
                <pt idx="298">
                  <v>45000</v>
                </pt>
                <pt idx="299">
                  <v>45001</v>
                </pt>
                <pt idx="300">
                  <v>45002</v>
                </pt>
                <pt idx="301">
                  <v>45005</v>
                </pt>
                <pt idx="302">
                  <v>45006</v>
                </pt>
                <pt idx="303">
                  <v>45007</v>
                </pt>
                <pt idx="304">
                  <v>45008</v>
                </pt>
                <pt idx="305">
                  <v>45009</v>
                </pt>
                <pt idx="306">
                  <v>45012</v>
                </pt>
                <pt idx="307">
                  <v>45013</v>
                </pt>
                <pt idx="308">
                  <v>45014</v>
                </pt>
                <pt idx="309">
                  <v>45016</v>
                </pt>
                <pt idx="310">
                  <v>45019</v>
                </pt>
                <pt idx="311">
                  <v>45021</v>
                </pt>
                <pt idx="312">
                  <v>45022</v>
                </pt>
                <pt idx="313">
                  <v>45026</v>
                </pt>
                <pt idx="314">
                  <v>45027</v>
                </pt>
                <pt idx="315">
                  <v>45028</v>
                </pt>
                <pt idx="316">
                  <v>45029</v>
                </pt>
                <pt idx="317">
                  <v>45033</v>
                </pt>
                <pt idx="318">
                  <v>45034</v>
                </pt>
                <pt idx="319">
                  <v>45035</v>
                </pt>
                <pt idx="320">
                  <v>45036</v>
                </pt>
                <pt idx="321">
                  <v>45037</v>
                </pt>
                <pt idx="322">
                  <v>45040</v>
                </pt>
                <pt idx="323">
                  <v>45041</v>
                </pt>
                <pt idx="324">
                  <v>45042</v>
                </pt>
                <pt idx="325">
                  <v>45043</v>
                </pt>
                <pt idx="326">
                  <v>45044</v>
                </pt>
                <pt idx="327">
                  <v>45048</v>
                </pt>
                <pt idx="328">
                  <v>45049</v>
                </pt>
                <pt idx="329">
                  <v>45050</v>
                </pt>
                <pt idx="330">
                  <v>45051</v>
                </pt>
                <pt idx="331">
                  <v>45054</v>
                </pt>
                <pt idx="332">
                  <v>45055</v>
                </pt>
                <pt idx="333">
                  <v>45056</v>
                </pt>
                <pt idx="334">
                  <v>45057</v>
                </pt>
                <pt idx="335">
                  <v>45058</v>
                </pt>
                <pt idx="336">
                  <v>45061</v>
                </pt>
                <pt idx="337">
                  <v>45062</v>
                </pt>
                <pt idx="338">
                  <v>45063</v>
                </pt>
                <pt idx="339">
                  <v>45064</v>
                </pt>
                <pt idx="340">
                  <v>45065</v>
                </pt>
                <pt idx="341">
                  <v>45068</v>
                </pt>
                <pt idx="342">
                  <v>45069</v>
                </pt>
                <pt idx="343">
                  <v>45070</v>
                </pt>
                <pt idx="344">
                  <v>45071</v>
                </pt>
                <pt idx="345">
                  <v>45072</v>
                </pt>
                <pt idx="346">
                  <v>45075</v>
                </pt>
                <pt idx="347">
                  <v>45076</v>
                </pt>
                <pt idx="348">
                  <v>45077</v>
                </pt>
                <pt idx="349">
                  <v>45078</v>
                </pt>
                <pt idx="350">
                  <v>45079</v>
                </pt>
                <pt idx="351">
                  <v>45082</v>
                </pt>
                <pt idx="352">
                  <v>45083</v>
                </pt>
                <pt idx="353">
                  <v>45084</v>
                </pt>
                <pt idx="354">
                  <v>45085</v>
                </pt>
                <pt idx="355">
                  <v>45086</v>
                </pt>
                <pt idx="356">
                  <v>45089</v>
                </pt>
                <pt idx="357">
                  <v>45090</v>
                </pt>
                <pt idx="358">
                  <v>45091</v>
                </pt>
                <pt idx="359">
                  <v>45092</v>
                </pt>
                <pt idx="360">
                  <v>45093</v>
                </pt>
                <pt idx="361">
                  <v>45096</v>
                </pt>
                <pt idx="362">
                  <v>45097</v>
                </pt>
                <pt idx="363">
                  <v>45098</v>
                </pt>
                <pt idx="364">
                  <v>45099</v>
                </pt>
                <pt idx="365">
                  <v>45100</v>
                </pt>
                <pt idx="366">
                  <v>45103</v>
                </pt>
                <pt idx="367">
                  <v>45104</v>
                </pt>
                <pt idx="368">
                  <v>45105</v>
                </pt>
                <pt idx="369">
                  <v>45107</v>
                </pt>
                <pt idx="370">
                  <v>45110</v>
                </pt>
                <pt idx="371">
                  <v>45111</v>
                </pt>
                <pt idx="372">
                  <v>45112</v>
                </pt>
                <pt idx="373">
                  <v>45113</v>
                </pt>
                <pt idx="374">
                  <v>45114</v>
                </pt>
                <pt idx="375">
                  <v>45117</v>
                </pt>
                <pt idx="376">
                  <v>45118</v>
                </pt>
                <pt idx="377">
                  <v>45119</v>
                </pt>
                <pt idx="378">
                  <v>45120</v>
                </pt>
                <pt idx="379">
                  <v>45121</v>
                </pt>
                <pt idx="380">
                  <v>45124</v>
                </pt>
                <pt idx="381">
                  <v>45125</v>
                </pt>
                <pt idx="382">
                  <v>45126</v>
                </pt>
                <pt idx="383">
                  <v>45127</v>
                </pt>
                <pt idx="384">
                  <v>45128</v>
                </pt>
                <pt idx="385">
                  <v>45131</v>
                </pt>
                <pt idx="386">
                  <v>45132</v>
                </pt>
                <pt idx="387">
                  <v>45133</v>
                </pt>
                <pt idx="388">
                  <v>45134</v>
                </pt>
                <pt idx="389">
                  <v>45135</v>
                </pt>
                <pt idx="390">
                  <v>45138</v>
                </pt>
                <pt idx="391">
                  <v>45139</v>
                </pt>
                <pt idx="392">
                  <v>45140</v>
                </pt>
                <pt idx="393">
                  <v>45141</v>
                </pt>
                <pt idx="394">
                  <v>45142</v>
                </pt>
                <pt idx="395">
                  <v>45145</v>
                </pt>
                <pt idx="396">
                  <v>45146</v>
                </pt>
                <pt idx="397">
                  <v>45147</v>
                </pt>
                <pt idx="398">
                  <v>45148</v>
                </pt>
                <pt idx="399">
                  <v>45149</v>
                </pt>
                <pt idx="400">
                  <v>45152</v>
                </pt>
                <pt idx="401">
                  <v>45154</v>
                </pt>
                <pt idx="402">
                  <v>45155</v>
                </pt>
                <pt idx="403">
                  <v>45156</v>
                </pt>
                <pt idx="404">
                  <v>45159</v>
                </pt>
                <pt idx="405">
                  <v>45160</v>
                </pt>
                <pt idx="406">
                  <v>45161</v>
                </pt>
                <pt idx="407">
                  <v>45162</v>
                </pt>
                <pt idx="408">
                  <v>45163</v>
                </pt>
                <pt idx="409">
                  <v>45166</v>
                </pt>
                <pt idx="410">
                  <v>45167</v>
                </pt>
                <pt idx="411">
                  <v>45168</v>
                </pt>
                <pt idx="412">
                  <v>45169</v>
                </pt>
                <pt idx="413">
                  <v>45170</v>
                </pt>
                <pt idx="414">
                  <v>45173</v>
                </pt>
                <pt idx="415">
                  <v>45174</v>
                </pt>
                <pt idx="416">
                  <v>45175</v>
                </pt>
                <pt idx="417">
                  <v>45176</v>
                </pt>
                <pt idx="418">
                  <v>45177</v>
                </pt>
                <pt idx="419">
                  <v>45180</v>
                </pt>
                <pt idx="420">
                  <v>45181</v>
                </pt>
                <pt idx="421">
                  <v>45182</v>
                </pt>
                <pt idx="422">
                  <v>45183</v>
                </pt>
                <pt idx="423">
                  <v>45184</v>
                </pt>
                <pt idx="424">
                  <v>45187</v>
                </pt>
                <pt idx="425">
                  <v>45189</v>
                </pt>
                <pt idx="426">
                  <v>45190</v>
                </pt>
                <pt idx="427">
                  <v>45191</v>
                </pt>
                <pt idx="428">
                  <v>45194</v>
                </pt>
                <pt idx="429">
                  <v>45195</v>
                </pt>
                <pt idx="430">
                  <v>45196</v>
                </pt>
                <pt idx="431">
                  <v>45197</v>
                </pt>
                <pt idx="432">
                  <v>45198</v>
                </pt>
                <pt idx="433">
                  <v>45202</v>
                </pt>
                <pt idx="434">
                  <v>45203</v>
                </pt>
                <pt idx="435">
                  <v>45204</v>
                </pt>
                <pt idx="436">
                  <v>45205</v>
                </pt>
                <pt idx="437">
                  <v>45208</v>
                </pt>
                <pt idx="438">
                  <v>45209</v>
                </pt>
                <pt idx="439">
                  <v>45210</v>
                </pt>
                <pt idx="440">
                  <v>45211</v>
                </pt>
                <pt idx="441">
                  <v>45212</v>
                </pt>
                <pt idx="442">
                  <v>45215</v>
                </pt>
                <pt idx="443">
                  <v>45216</v>
                </pt>
                <pt idx="444">
                  <v>45217</v>
                </pt>
                <pt idx="445">
                  <v>45218</v>
                </pt>
                <pt idx="446">
                  <v>45219</v>
                </pt>
                <pt idx="447">
                  <v>45222</v>
                </pt>
                <pt idx="448">
                  <v>45224</v>
                </pt>
                <pt idx="449">
                  <v>45225</v>
                </pt>
                <pt idx="450">
                  <v>45226</v>
                </pt>
                <pt idx="451">
                  <v>45229</v>
                </pt>
                <pt idx="452">
                  <v>45230</v>
                </pt>
                <pt idx="453">
                  <v>45231</v>
                </pt>
                <pt idx="454">
                  <v>45232</v>
                </pt>
                <pt idx="455">
                  <v>45233</v>
                </pt>
                <pt idx="456">
                  <v>45236</v>
                </pt>
                <pt idx="457">
                  <v>45237</v>
                </pt>
                <pt idx="458">
                  <v>45238</v>
                </pt>
                <pt idx="459">
                  <v>45239</v>
                </pt>
                <pt idx="460">
                  <v>45240</v>
                </pt>
                <pt idx="461">
                  <v>45242</v>
                </pt>
                <pt idx="462">
                  <v>45243</v>
                </pt>
                <pt idx="463">
                  <v>45245</v>
                </pt>
                <pt idx="464">
                  <v>45246</v>
                </pt>
                <pt idx="465">
                  <v>45247</v>
                </pt>
                <pt idx="466">
                  <v>45250</v>
                </pt>
                <pt idx="467">
                  <v>45251</v>
                </pt>
                <pt idx="468">
                  <v>45252</v>
                </pt>
                <pt idx="469">
                  <v>45253</v>
                </pt>
                <pt idx="470">
                  <v>45254</v>
                </pt>
                <pt idx="471">
                  <v>45258</v>
                </pt>
                <pt idx="472">
                  <v>45259</v>
                </pt>
                <pt idx="473">
                  <v>45260</v>
                </pt>
                <pt idx="474">
                  <v>45261</v>
                </pt>
                <pt idx="475">
                  <v>45264</v>
                </pt>
                <pt idx="476">
                  <v>45265</v>
                </pt>
                <pt idx="477">
                  <v>45266</v>
                </pt>
                <pt idx="478">
                  <v>45267</v>
                </pt>
                <pt idx="479">
                  <v>45268</v>
                </pt>
                <pt idx="480">
                  <v>45271</v>
                </pt>
                <pt idx="481">
                  <v>45272</v>
                </pt>
                <pt idx="482">
                  <v>45273</v>
                </pt>
                <pt idx="483">
                  <v>45274</v>
                </pt>
                <pt idx="484">
                  <v>45275</v>
                </pt>
                <pt idx="485">
                  <v>45278</v>
                </pt>
                <pt idx="486">
                  <v>45279</v>
                </pt>
                <pt idx="487">
                  <v>45280</v>
                </pt>
                <pt idx="488">
                  <v>45281</v>
                </pt>
                <pt idx="489">
                  <v>45282</v>
                </pt>
                <pt idx="490">
                  <v>45286</v>
                </pt>
                <pt idx="491">
                  <v>45287</v>
                </pt>
                <pt idx="492">
                  <v>45288</v>
                </pt>
                <pt idx="493">
                  <v>45289</v>
                </pt>
                <pt idx="494">
                  <v>45292</v>
                </pt>
                <pt idx="495">
                  <v>45293</v>
                </pt>
                <pt idx="496">
                  <v>45294</v>
                </pt>
                <pt idx="497">
                  <v>45295</v>
                </pt>
                <pt idx="498">
                  <v>45296</v>
                </pt>
                <pt idx="499">
                  <v>45299</v>
                </pt>
                <pt idx="500">
                  <v>45300</v>
                </pt>
                <pt idx="501">
                  <v>45301</v>
                </pt>
                <pt idx="502">
                  <v>45302</v>
                </pt>
                <pt idx="503">
                  <v>45303</v>
                </pt>
                <pt idx="504">
                  <v>45306</v>
                </pt>
                <pt idx="505">
                  <v>45307</v>
                </pt>
                <pt idx="506">
                  <v>45308</v>
                </pt>
                <pt idx="507">
                  <v>45309</v>
                </pt>
                <pt idx="508">
                  <v>45310</v>
                </pt>
                <pt idx="509">
                  <v>45311</v>
                </pt>
                <pt idx="510">
                  <v>45314</v>
                </pt>
                <pt idx="511">
                  <v>45315</v>
                </pt>
                <pt idx="512">
                  <v>45316</v>
                </pt>
                <pt idx="513">
                  <v>45320</v>
                </pt>
                <pt idx="514">
                  <v>45321</v>
                </pt>
                <pt idx="515">
                  <v>45322</v>
                </pt>
                <pt idx="516">
                  <v>45323</v>
                </pt>
                <pt idx="517">
                  <v>45324</v>
                </pt>
                <pt idx="518">
                  <v>45327</v>
                </pt>
                <pt idx="519">
                  <v>45328</v>
                </pt>
                <pt idx="520">
                  <v>45329</v>
                </pt>
                <pt idx="521">
                  <v>45330</v>
                </pt>
                <pt idx="522">
                  <v>45331</v>
                </pt>
                <pt idx="523">
                  <v>45334</v>
                </pt>
                <pt idx="524">
                  <v>45335</v>
                </pt>
                <pt idx="525">
                  <v>45336</v>
                </pt>
                <pt idx="526">
                  <v>45337</v>
                </pt>
                <pt idx="527">
                  <v>45338</v>
                </pt>
                <pt idx="528">
                  <v>45341</v>
                </pt>
                <pt idx="529">
                  <v>45342</v>
                </pt>
                <pt idx="530">
                  <v>45343</v>
                </pt>
                <pt idx="531">
                  <v>45344</v>
                </pt>
                <pt idx="532">
                  <v>45345</v>
                </pt>
                <pt idx="533">
                  <v>45348</v>
                </pt>
                <pt idx="534">
                  <v>45349</v>
                </pt>
                <pt idx="535">
                  <v>45350</v>
                </pt>
                <pt idx="536">
                  <v>45351</v>
                </pt>
                <pt idx="537">
                  <v>45352</v>
                </pt>
                <pt idx="538">
                  <v>45353</v>
                </pt>
                <pt idx="539">
                  <v>45355</v>
                </pt>
                <pt idx="540">
                  <v>45356</v>
                </pt>
                <pt idx="541">
                  <v>45357</v>
                </pt>
                <pt idx="542">
                  <v>45358</v>
                </pt>
                <pt idx="543">
                  <v>45362</v>
                </pt>
                <pt idx="544">
                  <v>45363</v>
                </pt>
                <pt idx="545">
                  <v>45364</v>
                </pt>
                <pt idx="546">
                  <v>45365</v>
                </pt>
                <pt idx="547">
                  <v>45366</v>
                </pt>
                <pt idx="548">
                  <v>45369</v>
                </pt>
                <pt idx="549">
                  <v>45370</v>
                </pt>
                <pt idx="550">
                  <v>45371</v>
                </pt>
                <pt idx="551">
                  <v>45372</v>
                </pt>
                <pt idx="552">
                  <v>45373</v>
                </pt>
                <pt idx="553">
                  <v>45377</v>
                </pt>
                <pt idx="554">
                  <v>45378</v>
                </pt>
                <pt idx="555">
                  <v>45379</v>
                </pt>
                <pt idx="556">
                  <v>45383</v>
                </pt>
                <pt idx="557">
                  <v>45384</v>
                </pt>
                <pt idx="558">
                  <v>45385</v>
                </pt>
                <pt idx="559">
                  <v>45386</v>
                </pt>
                <pt idx="560">
                  <v>45387</v>
                </pt>
                <pt idx="561">
                  <v>45390</v>
                </pt>
                <pt idx="562">
                  <v>45391</v>
                </pt>
                <pt idx="563">
                  <v>45392</v>
                </pt>
                <pt idx="564">
                  <v>45394</v>
                </pt>
                <pt idx="565">
                  <v>45397</v>
                </pt>
                <pt idx="566">
                  <v>45398</v>
                </pt>
                <pt idx="567">
                  <v>45400</v>
                </pt>
                <pt idx="568">
                  <v>45401</v>
                </pt>
                <pt idx="569">
                  <v>45404</v>
                </pt>
                <pt idx="570">
                  <v>45405</v>
                </pt>
                <pt idx="571">
                  <v>45406</v>
                </pt>
                <pt idx="572">
                  <v>45407</v>
                </pt>
                <pt idx="573">
                  <v>45408</v>
                </pt>
                <pt idx="574">
                  <v>45411</v>
                </pt>
                <pt idx="575">
                  <v>45412</v>
                </pt>
                <pt idx="576">
                  <v>45414</v>
                </pt>
                <pt idx="577">
                  <v>45415</v>
                </pt>
                <pt idx="578">
                  <v>45418</v>
                </pt>
                <pt idx="579">
                  <v>45419</v>
                </pt>
                <pt idx="580">
                  <v>45420</v>
                </pt>
                <pt idx="581">
                  <v>45421</v>
                </pt>
                <pt idx="582">
                  <v>45422</v>
                </pt>
                <pt idx="583">
                  <v>45425</v>
                </pt>
                <pt idx="584">
                  <v>45426</v>
                </pt>
                <pt idx="585">
                  <v>45427</v>
                </pt>
                <pt idx="586">
                  <v>45428</v>
                </pt>
                <pt idx="587">
                  <v>45429</v>
                </pt>
                <pt idx="588">
                  <v>45430</v>
                </pt>
                <pt idx="589">
                  <v>45433</v>
                </pt>
                <pt idx="590">
                  <v>45434</v>
                </pt>
                <pt idx="591">
                  <v>45435</v>
                </pt>
                <pt idx="592">
                  <v>45436</v>
                </pt>
                <pt idx="593">
                  <v>45439</v>
                </pt>
                <pt idx="594">
                  <v>45440</v>
                </pt>
                <pt idx="595">
                  <v>45441</v>
                </pt>
                <pt idx="596">
                  <v>45442</v>
                </pt>
                <pt idx="597">
                  <v>45443</v>
                </pt>
                <pt idx="598">
                  <v>45446</v>
                </pt>
                <pt idx="599">
                  <v>45447</v>
                </pt>
                <pt idx="600">
                  <v>45448</v>
                </pt>
                <pt idx="601">
                  <v>45449</v>
                </pt>
                <pt idx="602">
                  <v>45450</v>
                </pt>
                <pt idx="603">
                  <v>45453</v>
                </pt>
                <pt idx="604">
                  <v>45454</v>
                </pt>
                <pt idx="605">
                  <v>45455</v>
                </pt>
                <pt idx="606">
                  <v>45456</v>
                </pt>
                <pt idx="607">
                  <v>45457</v>
                </pt>
                <pt idx="608">
                  <v>45461</v>
                </pt>
                <pt idx="609">
                  <v>45462</v>
                </pt>
                <pt idx="610">
                  <v>45463</v>
                </pt>
                <pt idx="611">
                  <v>45464</v>
                </pt>
                <pt idx="612">
                  <v>45467</v>
                </pt>
                <pt idx="613">
                  <v>45468</v>
                </pt>
                <pt idx="614">
                  <v>45469</v>
                </pt>
                <pt idx="615">
                  <v>45470</v>
                </pt>
                <pt idx="616">
                  <v>45471</v>
                </pt>
                <pt idx="617">
                  <v>45474</v>
                </pt>
                <pt idx="618">
                  <v>45475</v>
                </pt>
                <pt idx="619">
                  <v>45476</v>
                </pt>
                <pt idx="620">
                  <v>45477</v>
                </pt>
                <pt idx="621">
                  <v>45478</v>
                </pt>
                <pt idx="622">
                  <v>45481</v>
                </pt>
                <pt idx="623">
                  <v>45482</v>
                </pt>
                <pt idx="624">
                  <v>45483</v>
                </pt>
                <pt idx="625">
                  <v>45484</v>
                </pt>
                <pt idx="626">
                  <v>45485</v>
                </pt>
                <pt idx="627">
                  <v>45488</v>
                </pt>
                <pt idx="628">
                  <v>45489</v>
                </pt>
                <pt idx="629">
                  <v>45491</v>
                </pt>
                <pt idx="630">
                  <v>45492</v>
                </pt>
                <pt idx="631">
                  <v>45495</v>
                </pt>
                <pt idx="632">
                  <v>45496</v>
                </pt>
                <pt idx="633">
                  <v>45497</v>
                </pt>
                <pt idx="634">
                  <v>45498</v>
                </pt>
                <pt idx="635">
                  <v>45499</v>
                </pt>
                <pt idx="636">
                  <v>45502</v>
                </pt>
                <pt idx="637">
                  <v>45503</v>
                </pt>
                <pt idx="638">
                  <v>45504</v>
                </pt>
                <pt idx="639">
                  <v>45505</v>
                </pt>
                <pt idx="640">
                  <v>45506</v>
                </pt>
                <pt idx="641">
                  <v>45509</v>
                </pt>
                <pt idx="642">
                  <v>45510</v>
                </pt>
                <pt idx="643">
                  <v>45511</v>
                </pt>
                <pt idx="644">
                  <v>45512</v>
                </pt>
                <pt idx="645">
                  <v>45513</v>
                </pt>
                <pt idx="646">
                  <v>45516</v>
                </pt>
                <pt idx="647">
                  <v>45517</v>
                </pt>
                <pt idx="648">
                  <v>45518</v>
                </pt>
                <pt idx="649">
                  <v>45520</v>
                </pt>
                <pt idx="650">
                  <v>45523</v>
                </pt>
                <pt idx="651">
                  <v>45524</v>
                </pt>
                <pt idx="652">
                  <v>45525</v>
                </pt>
                <pt idx="653">
                  <v>45526</v>
                </pt>
                <pt idx="654">
                  <v>45527</v>
                </pt>
                <pt idx="655">
                  <v>45530</v>
                </pt>
                <pt idx="656">
                  <v>45531</v>
                </pt>
                <pt idx="657">
                  <v>45532</v>
                </pt>
                <pt idx="658">
                  <v>45533</v>
                </pt>
                <pt idx="659">
                  <v>45534</v>
                </pt>
                <pt idx="660">
                  <v>45537</v>
                </pt>
                <pt idx="661">
                  <v>45538</v>
                </pt>
                <pt idx="662">
                  <v>45539</v>
                </pt>
                <pt idx="663">
                  <v>45540</v>
                </pt>
                <pt idx="664">
                  <v>45541</v>
                </pt>
                <pt idx="665">
                  <v>45544</v>
                </pt>
                <pt idx="666">
                  <v>45545</v>
                </pt>
                <pt idx="667">
                  <v>45546</v>
                </pt>
                <pt idx="668">
                  <v>45547</v>
                </pt>
                <pt idx="669">
                  <v>45548</v>
                </pt>
                <pt idx="670">
                  <v>45551</v>
                </pt>
                <pt idx="671">
                  <v>45552</v>
                </pt>
                <pt idx="672">
                  <v>45553</v>
                </pt>
                <pt idx="673">
                  <v>45554</v>
                </pt>
                <pt idx="674">
                  <v>45555</v>
                </pt>
                <pt idx="675">
                  <v>45558</v>
                </pt>
                <pt idx="676">
                  <v>45559</v>
                </pt>
                <pt idx="677">
                  <v>45560</v>
                </pt>
                <pt idx="678">
                  <v>45561</v>
                </pt>
                <pt idx="679">
                  <v>45562</v>
                </pt>
                <pt idx="680">
                  <v>45565</v>
                </pt>
                <pt idx="681">
                  <v>45566</v>
                </pt>
                <pt idx="682">
                  <v>45568</v>
                </pt>
                <pt idx="683">
                  <v>45569</v>
                </pt>
                <pt idx="684">
                  <v>45572</v>
                </pt>
                <pt idx="685">
                  <v>45573</v>
                </pt>
                <pt idx="686">
                  <v>45574</v>
                </pt>
                <pt idx="687">
                  <v>45575</v>
                </pt>
                <pt idx="688">
                  <v>45576</v>
                </pt>
                <pt idx="689">
                  <v>45579</v>
                </pt>
                <pt idx="690">
                  <v>45580</v>
                </pt>
                <pt idx="691">
                  <v>45581</v>
                </pt>
                <pt idx="692">
                  <v>45582</v>
                </pt>
                <pt idx="693">
                  <v>45583</v>
                </pt>
                <pt idx="694">
                  <v>45586</v>
                </pt>
                <pt idx="695">
                  <v>45587</v>
                </pt>
                <pt idx="696">
                  <v>45588</v>
                </pt>
                <pt idx="697">
                  <v>45589</v>
                </pt>
                <pt idx="698">
                  <v>45590</v>
                </pt>
                <pt idx="699">
                  <v>45593</v>
                </pt>
                <pt idx="700">
                  <v>45594</v>
                </pt>
                <pt idx="701">
                  <v>45595</v>
                </pt>
                <pt idx="702">
                  <v>45596</v>
                </pt>
                <pt idx="703">
                  <v>45597</v>
                </pt>
                <pt idx="704">
                  <v>45600</v>
                </pt>
                <pt idx="705">
                  <v>45601</v>
                </pt>
                <pt idx="706">
                  <v>45602</v>
                </pt>
                <pt idx="707">
                  <v>45603</v>
                </pt>
                <pt idx="708">
                  <v>45604</v>
                </pt>
                <pt idx="709">
                  <v>45607</v>
                </pt>
                <pt idx="710">
                  <v>45608</v>
                </pt>
                <pt idx="711">
                  <v>45609</v>
                </pt>
                <pt idx="712">
                  <v>45610</v>
                </pt>
                <pt idx="713">
                  <v>45614</v>
                </pt>
                <pt idx="714">
                  <v>45615</v>
                </pt>
                <pt idx="715">
                  <v>45617</v>
                </pt>
                <pt idx="716">
                  <v>45618</v>
                </pt>
                <pt idx="717">
                  <v>45621</v>
                </pt>
                <pt idx="718">
                  <v>45622</v>
                </pt>
                <pt idx="719">
                  <v>45623</v>
                </pt>
                <pt idx="720">
                  <v>45624</v>
                </pt>
                <pt idx="721">
                  <v>45625</v>
                </pt>
                <pt idx="722">
                  <v>45628</v>
                </pt>
                <pt idx="723">
                  <v>45629</v>
                </pt>
                <pt idx="724">
                  <v>45630</v>
                </pt>
                <pt idx="725">
                  <v>45631</v>
                </pt>
                <pt idx="726">
                  <v>45632</v>
                </pt>
                <pt idx="727">
                  <v>45635</v>
                </pt>
                <pt idx="728">
                  <v>45636</v>
                </pt>
                <pt idx="729">
                  <v>45637</v>
                </pt>
                <pt idx="730">
                  <v>45638</v>
                </pt>
                <pt idx="731">
                  <v>45639</v>
                </pt>
                <pt idx="732">
                  <v>45642</v>
                </pt>
                <pt idx="733">
                  <v>45643</v>
                </pt>
                <pt idx="734">
                  <v>45644</v>
                </pt>
                <pt idx="735">
                  <v>45645</v>
                </pt>
                <pt idx="736">
                  <v>45646</v>
                </pt>
                <pt idx="737">
                  <v>45649</v>
                </pt>
                <pt idx="738">
                  <v>45650</v>
                </pt>
                <pt idx="739">
                  <v>45652</v>
                </pt>
                <pt idx="740">
                  <v>45653</v>
                </pt>
                <pt idx="741">
                  <v>45656</v>
                </pt>
                <pt idx="742">
                  <v>45657</v>
                </pt>
                <pt idx="743">
                  <v>45658</v>
                </pt>
                <pt idx="744">
                  <v>45659</v>
                </pt>
                <pt idx="745">
                  <v>45660</v>
                </pt>
                <pt idx="746">
                  <v>45663</v>
                </pt>
                <pt idx="747">
                  <v>45664</v>
                </pt>
                <pt idx="748">
                  <v>45665</v>
                </pt>
                <pt idx="749">
                  <v>45666</v>
                </pt>
                <pt idx="750">
                  <v>45667</v>
                </pt>
                <pt idx="751">
                  <v>45670</v>
                </pt>
                <pt idx="752">
                  <v>45671</v>
                </pt>
                <pt idx="753">
                  <v>45672</v>
                </pt>
                <pt idx="754">
                  <v>45673</v>
                </pt>
                <pt idx="755">
                  <v>45674</v>
                </pt>
                <pt idx="756">
                  <v>45677</v>
                </pt>
                <pt idx="757">
                  <v>45678</v>
                </pt>
                <pt idx="758">
                  <v>45679</v>
                </pt>
                <pt idx="759">
                  <v>45680</v>
                </pt>
                <pt idx="760">
                  <v>45681</v>
                </pt>
                <pt idx="761">
                  <v>45684</v>
                </pt>
                <pt idx="762">
                  <v>45685</v>
                </pt>
                <pt idx="763">
                  <v>45686</v>
                </pt>
                <pt idx="764">
                  <v>45687</v>
                </pt>
                <pt idx="765">
                  <v>45688</v>
                </pt>
                <pt idx="766">
                  <v>45689</v>
                </pt>
                <pt idx="767">
                  <v>45691</v>
                </pt>
                <pt idx="768">
                  <v>45692</v>
                </pt>
                <pt idx="769">
                  <v>45693</v>
                </pt>
                <pt idx="770">
                  <v>45694</v>
                </pt>
                <pt idx="771">
                  <v>45695</v>
                </pt>
                <pt idx="772">
                  <v>45698</v>
                </pt>
                <pt idx="773">
                  <v>45699</v>
                </pt>
                <pt idx="774">
                  <v>45700</v>
                </pt>
                <pt idx="775">
                  <v>45701</v>
                </pt>
                <pt idx="776">
                  <v>45702</v>
                </pt>
                <pt idx="777">
                  <v>45705</v>
                </pt>
                <pt idx="778">
                  <v>45706</v>
                </pt>
                <pt idx="779">
                  <v>45707</v>
                </pt>
                <pt idx="780">
                  <v>45708</v>
                </pt>
                <pt idx="781">
                  <v>45709</v>
                </pt>
                <pt idx="782">
                  <v>45712</v>
                </pt>
                <pt idx="783">
                  <v>45713</v>
                </pt>
                <pt idx="784">
                  <v>45715</v>
                </pt>
                <pt idx="785">
                  <v>45716</v>
                </pt>
                <pt idx="786">
                  <v>45719</v>
                </pt>
                <pt idx="787">
                  <v>45720</v>
                </pt>
                <pt idx="788">
                  <v>45721</v>
                </pt>
                <pt idx="789">
                  <v>45722</v>
                </pt>
                <pt idx="790">
                  <v>45723</v>
                </pt>
                <pt idx="791">
                  <v>45726</v>
                </pt>
                <pt idx="792">
                  <v>45727</v>
                </pt>
                <pt idx="793">
                  <v>45728</v>
                </pt>
                <pt idx="794">
                  <v>45729</v>
                </pt>
                <pt idx="795">
                  <v>45733</v>
                </pt>
                <pt idx="796">
                  <v>45734</v>
                </pt>
                <pt idx="797">
                  <v>45735</v>
                </pt>
                <pt idx="798">
                  <v>45736</v>
                </pt>
                <pt idx="799">
                  <v>45737</v>
                </pt>
                <pt idx="800">
                  <v>45740</v>
                </pt>
                <pt idx="801">
                  <v>45741</v>
                </pt>
                <pt idx="802">
                  <v>45742</v>
                </pt>
                <pt idx="803">
                  <v>45743</v>
                </pt>
                <pt idx="804">
                  <v>45744</v>
                </pt>
              </numCache>
            </numRef>
          </cat>
          <val>
            <numRef>
              <f>'EVI 2025 Workings'!$H$2:$H$806</f>
              <numCache>
                <formatCode>0.00</formatCode>
                <ptCount val="805"/>
                <pt idx="0">
                  <v>1.582054</v>
                </pt>
                <pt idx="1">
                  <v>1.6125532</v>
                </pt>
                <pt idx="2">
                  <v>1.6211428</v>
                </pt>
                <pt idx="3">
                  <v>1.609065</v>
                </pt>
                <pt idx="4">
                  <v>1.619145</v>
                </pt>
                <pt idx="5">
                  <v>1.648159</v>
                </pt>
                <pt idx="6">
                  <v>1.648413</v>
                </pt>
                <pt idx="7">
                  <v>1.668029</v>
                </pt>
                <pt idx="8">
                  <v>1.6645257</v>
                </pt>
                <pt idx="9">
                  <v>1.665246</v>
                </pt>
                <pt idx="10">
                  <v>1.6835532</v>
                </pt>
                <pt idx="11">
                  <v>1.65675</v>
                </pt>
                <pt idx="12">
                  <v>1.6336648</v>
                </pt>
                <pt idx="13">
                  <v>1.6169776</v>
                </pt>
                <pt idx="14">
                  <v>1.607998</v>
                </pt>
                <pt idx="15">
                  <v>1.5718676</v>
                </pt>
                <pt idx="16">
                  <v>1.5635714</v>
                </pt>
                <pt idx="17">
                  <v>1.5576514</v>
                </pt>
                <pt idx="18">
                  <v>1.563408</v>
                </pt>
                <pt idx="19">
                  <v>1.5653928</v>
                </pt>
                <pt idx="20">
                  <v>1.6127736</v>
                </pt>
                <pt idx="21">
                  <v>1.64776</v>
                </pt>
                <pt idx="22">
                  <v>1.6292485</v>
                </pt>
                <pt idx="23">
                  <v>1.6206924</v>
                </pt>
                <pt idx="24">
                  <v>1.5897369</v>
                </pt>
                <pt idx="25">
                  <v>1.554723</v>
                </pt>
                <pt idx="26">
                  <v>1.5696582</v>
                </pt>
                <pt idx="27">
                  <v>1.545405</v>
                </pt>
                <pt idx="28">
                  <v>1.5191064</v>
                </pt>
                <pt idx="29">
                  <v>1.4567395</v>
                </pt>
                <pt idx="30">
                  <v>1.4920828</v>
                </pt>
                <pt idx="31">
                  <v>1.4889722</v>
                </pt>
                <pt idx="32">
                  <v>1.484965</v>
                </pt>
                <pt idx="33">
                  <v>1.4798523</v>
                </pt>
                <pt idx="34">
                  <v>1.4804916</v>
                </pt>
                <pt idx="35">
                  <v>1.4827553</v>
                </pt>
                <pt idx="36">
                  <v>1.4785366</v>
                </pt>
                <pt idx="37">
                  <v>1.4119551</v>
                </pt>
                <pt idx="38">
                  <v>1.4456358</v>
                </pt>
                <pt idx="39">
                  <v>1.461643</v>
                </pt>
                <pt idx="40">
                  <v>1.454789</v>
                </pt>
                <pt idx="41">
                  <v>1.4477946</v>
                </pt>
                <pt idx="42">
                  <v>1.4232357</v>
                </pt>
                <pt idx="43">
                  <v>1.4044632</v>
                </pt>
                <pt idx="44">
                  <v>1.4196805</v>
                </pt>
                <pt idx="45">
                  <v>1.4381345</v>
                </pt>
                <pt idx="46">
                  <v>1.4530406</v>
                </pt>
                <pt idx="47">
                  <v>1.465599</v>
                </pt>
                <pt idx="48">
                  <v>1.4866326</v>
                </pt>
                <pt idx="49">
                  <v>1.4610582</v>
                </pt>
                <pt idx="50">
                  <v>1.4811416</v>
                </pt>
                <pt idx="51">
                  <v>1.5067494</v>
                </pt>
                <pt idx="52">
                  <v>1.4924981</v>
                </pt>
                <pt idx="53">
                  <v>1.5205806</v>
                </pt>
                <pt idx="54">
                  <v>1.5144327</v>
                </pt>
                <pt idx="55">
                  <v>1.5130476</v>
                </pt>
                <pt idx="56">
                  <v>1.5018255</v>
                </pt>
                <pt idx="57">
                  <v>1.5134904</v>
                </pt>
                <pt idx="58">
                  <v>1.5190367</v>
                </pt>
                <pt idx="59">
                  <v>1.5264</v>
                </pt>
                <pt idx="60">
                  <v>1.5684156</v>
                </pt>
                <pt idx="61">
                  <v>1.5868917</v>
                </pt>
                <pt idx="62">
                  <v>1.6341362</v>
                </pt>
                <pt idx="63">
                  <v>1.6260943</v>
                </pt>
                <pt idx="64">
                  <v>1.6165029</v>
                </pt>
                <pt idx="65">
                  <v>1.600591</v>
                </pt>
                <pt idx="66">
                  <v>1.6615746</v>
                </pt>
                <pt idx="67">
                  <v>1.658568</v>
                </pt>
                <pt idx="68">
                  <v>1.6541889</v>
                </pt>
                <pt idx="69">
                  <v>1.653678</v>
                </pt>
                <pt idx="70">
                  <v>1.6115709</v>
                </pt>
                <pt idx="71">
                  <v>1.580371</v>
                </pt>
                <pt idx="72">
                  <v>1.5865465</v>
                </pt>
                <pt idx="73">
                  <v>1.6195448</v>
                </pt>
                <pt idx="74">
                  <v>1.6039746</v>
                </pt>
                <pt idx="75">
                  <v>1.5515729</v>
                </pt>
                <pt idx="76">
                  <v>1.5636501</v>
                </pt>
                <pt idx="77">
                  <v>1.5554268</v>
                </pt>
                <pt idx="78">
                  <v>1.58841</v>
                </pt>
                <pt idx="79">
                  <v>1.5712939</v>
                </pt>
                <pt idx="80">
                  <v>1.5569253</v>
                </pt>
                <pt idx="81">
                  <v>1.5722518</v>
                </pt>
                <pt idx="82">
                  <v>1.5723972</v>
                </pt>
                <pt idx="83">
                  <v>1.5565139</v>
                </pt>
                <pt idx="84">
                  <v>1.5489875</v>
                </pt>
                <pt idx="85">
                  <v>1.4908642</v>
                </pt>
                <pt idx="86">
                  <v>1.466088</v>
                </pt>
                <pt idx="87">
                  <v>1.4393828</v>
                </pt>
                <pt idx="88">
                  <v>1.4511594</v>
                </pt>
                <pt idx="89">
                  <v>1.4431096</v>
                </pt>
                <pt idx="90">
                  <v>1.4820392</v>
                </pt>
                <pt idx="91">
                  <v>1.4776195</v>
                </pt>
                <pt idx="92">
                  <v>1.428132</v>
                </pt>
                <pt idx="93">
                  <v>1.4754795</v>
                </pt>
                <pt idx="94">
                  <v>1.4779386</v>
                </pt>
                <pt idx="95">
                  <v>1.4622333</v>
                </pt>
                <pt idx="96">
                  <v>1.442007</v>
                </pt>
                <pt idx="97">
                  <v>1.4500472</v>
                </pt>
                <pt idx="98">
                  <v>1.489845</v>
                </pt>
                <pt idx="99">
                  <v>1.5299585</v>
                </pt>
                <pt idx="100">
                  <v>1.515626</v>
                </pt>
                <pt idx="101">
                  <v>1.516163</v>
                </pt>
                <pt idx="102">
                  <v>1.5299172</v>
                </pt>
                <pt idx="103">
                  <v>1.5299712</v>
                </pt>
                <pt idx="104">
                  <v>1.5375</v>
                </pt>
                <pt idx="105">
                  <v>1.5269058</v>
                </pt>
                <pt idx="106">
                  <v>1.5167856</v>
                </pt>
                <pt idx="107">
                  <v>1.5284344</v>
                </pt>
                <pt idx="108">
                  <v>1.5075595</v>
                </pt>
                <pt idx="109">
                  <v>1.4843008</v>
                </pt>
                <pt idx="110">
                  <v>1.4760207</v>
                </pt>
                <pt idx="111">
                  <v>1.4743664</v>
                </pt>
                <pt idx="112">
                  <v>1.4479917</v>
                </pt>
                <pt idx="113">
                  <v>1.4277032</v>
                </pt>
                <pt idx="114">
                  <v>1.4103873</v>
                </pt>
                <pt idx="115">
                  <v>1.447767</v>
                </pt>
                <pt idx="116">
                  <v>1.4104172</v>
                </pt>
                <pt idx="117">
                  <v>1.4281575</v>
                </pt>
                <pt idx="118">
                  <v>1.4463692</v>
                </pt>
                <pt idx="119">
                  <v>1.4510313</v>
                </pt>
                <pt idx="120">
                  <v>1.4640826</v>
                </pt>
                <pt idx="121">
                  <v>1.4582345</v>
                </pt>
                <pt idx="122">
                  <v>1.45275</v>
                </pt>
                <pt idx="123">
                  <v>1.4447104</v>
                </pt>
                <pt idx="124">
                  <v>1.4430918</v>
                </pt>
                <pt idx="125">
                  <v>1.4442014</v>
                </pt>
                <pt idx="126">
                  <v>1.4412944</v>
                </pt>
                <pt idx="127">
                  <v>1.4656522</v>
                </pt>
                <pt idx="128">
                  <v>1.485966</v>
                </pt>
                <pt idx="129">
                  <v>1.4876281</v>
                </pt>
                <pt idx="130">
                  <v>1.4656353</v>
                </pt>
                <pt idx="131">
                  <v>1.4468564</v>
                </pt>
                <pt idx="132">
                  <v>1.4539096</v>
                </pt>
                <pt idx="133">
                  <v>1.4742116</v>
                </pt>
                <pt idx="134">
                  <v>1.4955807</v>
                </pt>
                <pt idx="135">
                  <v>1.5001812</v>
                </pt>
                <pt idx="136">
                  <v>1.5143817</v>
                </pt>
                <pt idx="137">
                  <v>1.519992</v>
                </pt>
                <pt idx="138">
                  <v>1.523577</v>
                </pt>
                <pt idx="139">
                  <v>1.5107204</v>
                </pt>
                <pt idx="140">
                  <v>1.4859239</v>
                </pt>
                <pt idx="141">
                  <v>1.4815422</v>
                </pt>
                <pt idx="142">
                  <v>1.5023268</v>
                </pt>
                <pt idx="143">
                  <v>1.517436</v>
                </pt>
                <pt idx="144">
                  <v>1.51316</v>
                </pt>
                <pt idx="145">
                  <v>1.5010856</v>
                </pt>
                <pt idx="146">
                  <v>1.509957</v>
                </pt>
                <pt idx="147">
                  <v>1.4922345</v>
                </pt>
                <pt idx="148">
                  <v>1.52278</v>
                </pt>
                <pt idx="149">
                  <v>1.5445496</v>
                </pt>
                <pt idx="150">
                  <v>1.543141</v>
                </pt>
                <pt idx="151">
                  <v>1.5471443</v>
                </pt>
                <pt idx="152">
                  <v>1.5438102</v>
                </pt>
                <pt idx="153">
                  <v>1.5554726</v>
                </pt>
                <pt idx="154">
                  <v>1.5383844</v>
                </pt>
                <pt idx="155">
                  <v>1.5526848</v>
                </pt>
                <pt idx="156">
                  <v>1.539968</v>
                </pt>
                <pt idx="157">
                  <v>1.517976</v>
                </pt>
                <pt idx="158">
                  <v>1.5275538</v>
                </pt>
                <pt idx="159">
                  <v>1.5315172</v>
                </pt>
                <pt idx="160">
                  <v>1.5254864</v>
                </pt>
                <pt idx="161">
                  <v>1.5126832</v>
                </pt>
                <pt idx="162">
                  <v>1.4975415</v>
                </pt>
                <pt idx="163">
                  <v>1.524068</v>
                </pt>
                <pt idx="164">
                  <v>1.510821</v>
                </pt>
                <pt idx="165">
                  <v>1.515009</v>
                </pt>
                <pt idx="166">
                  <v>1.5224871</v>
                </pt>
                <pt idx="167">
                  <v>1.5137548</v>
                </pt>
                <pt idx="168">
                  <v>1.5115136</v>
                </pt>
                <pt idx="169">
                  <v>1.5161875</v>
                </pt>
                <pt idx="170">
                  <v>1.5262801</v>
                </pt>
                <pt idx="171">
                  <v>1.5383085</v>
                </pt>
                <pt idx="172">
                  <v>1.5334113</v>
                </pt>
                <pt idx="173">
                  <v>1.5376095</v>
                </pt>
                <pt idx="174">
                  <v>1.5445892</v>
                </pt>
                <pt idx="175">
                  <v>1.5207738</v>
                </pt>
                <pt idx="176">
                  <v>1.5315016</v>
                </pt>
                <pt idx="177">
                  <v>1.5518592</v>
                </pt>
                <pt idx="178">
                  <v>1.53549</v>
                </pt>
                <pt idx="179">
                  <v>1.5225465</v>
                </pt>
                <pt idx="180">
                  <v>1.5296117</v>
                </pt>
                <pt idx="181">
                  <v>1.4960346</v>
                </pt>
                <pt idx="182">
                  <v>1.481291</v>
                </pt>
                <pt idx="183">
                  <v>1.4761329</v>
                </pt>
                <pt idx="184">
                  <v>1.473872</v>
                </pt>
                <pt idx="185">
                  <v>1.5259152</v>
                </pt>
                <pt idx="186">
                  <v>1.523133</v>
                </pt>
                <pt idx="187">
                  <v>1.5357132</v>
                </pt>
                <pt idx="188">
                  <v>1.5601222</v>
                </pt>
                <pt idx="189">
                  <v>1.559558</v>
                </pt>
                <pt idx="190">
                  <v>1.5571278</v>
                </pt>
                <pt idx="191">
                  <v>1.5236879</v>
                </pt>
                <pt idx="192">
                  <v>1.5368145</v>
                </pt>
                <pt idx="193">
                  <v>1.5237366</v>
                </pt>
                <pt idx="194">
                  <v>1.549278</v>
                </pt>
                <pt idx="195">
                  <v>1.546769</v>
                </pt>
                <pt idx="196">
                  <v>1.5589273</v>
                </pt>
                <pt idx="197">
                  <v>1.56599</v>
                </pt>
                <pt idx="198">
                  <v>1.5746562</v>
                </pt>
                <pt idx="199">
                  <v>1.5825677</v>
                </pt>
                <pt idx="200">
                  <v>1.5968386</v>
                </pt>
                <pt idx="201">
                  <v>1.56282</v>
                </pt>
                <pt idx="202">
                  <v>1.564143</v>
                </pt>
                <pt idx="203">
                  <v>1.568907</v>
                </pt>
                <pt idx="204">
                  <v>1.5951474</v>
                </pt>
                <pt idx="205">
                  <v>1.62712</v>
                </pt>
                <pt idx="206">
                  <v>1.6155528</v>
                </pt>
                <pt idx="207">
                  <v>1.6305457</v>
                </pt>
                <pt idx="208">
                  <v>1.6260013</v>
                </pt>
                <pt idx="209">
                  <v>1.6145727</v>
                </pt>
                <pt idx="210">
                  <v>1.6000242</v>
                </pt>
                <pt idx="211">
                  <v>1.5822397</v>
                </pt>
                <pt idx="212">
                  <v>1.6016944</v>
                </pt>
                <pt idx="213">
                  <v>1.5878373</v>
                </pt>
                <pt idx="214">
                  <v>1.5894329</v>
                </pt>
                <pt idx="215">
                  <v>1.5937334</v>
                </pt>
                <pt idx="216">
                  <v>1.5894423</v>
                </pt>
                <pt idx="217">
                  <v>1.5921953</v>
                </pt>
                <pt idx="218">
                  <v>1.597224</v>
                </pt>
                <pt idx="219">
                  <v>1.5976005</v>
                </pt>
                <pt idx="220">
                  <v>1.6003745</v>
                </pt>
                <pt idx="221">
                  <v>1.610225</v>
                </pt>
                <pt idx="222">
                  <v>1.62425</v>
                </pt>
                <pt idx="223">
                  <v>1.621937</v>
                </pt>
                <pt idx="224">
                  <v>1.626299</v>
                </pt>
                <pt idx="225">
                  <v>1.640912</v>
                </pt>
                <pt idx="226">
                  <v>1.630181</v>
                </pt>
                <pt idx="227">
                  <v>1.622334</v>
                </pt>
                <pt idx="228">
                  <v>1.622334</v>
                </pt>
                <pt idx="229">
                  <v>1.62176</v>
                </pt>
                <pt idx="230">
                  <v>1.619706</v>
                </pt>
                <pt idx="231">
                  <v>1.627808</v>
                </pt>
                <pt idx="232">
                  <v>1.620567</v>
                </pt>
                <pt idx="233">
                  <v>1.620567</v>
                </pt>
                <pt idx="234">
                  <v>1.623336</v>
                </pt>
                <pt idx="235">
                  <v>1.619446</v>
                </pt>
                <pt idx="236">
                  <v>1.606638</v>
                </pt>
                <pt idx="237">
                  <v>1.596492</v>
                </pt>
                <pt idx="238">
                  <v>1.614006</v>
                </pt>
                <pt idx="239">
                  <v>1.61109</v>
                </pt>
                <pt idx="240">
                  <v>1.592136</v>
                </pt>
                <pt idx="241">
                  <v>1.592849</v>
                </pt>
                <pt idx="242">
                  <v>1.56434</v>
                </pt>
                <pt idx="243">
                  <v>1.582615</v>
                </pt>
                <pt idx="244">
                  <v>1.59067</v>
                </pt>
                <pt idx="245">
                  <v>1.592118</v>
                </pt>
                <pt idx="246">
                  <v>1.597966</v>
                </pt>
                <pt idx="247">
                  <v>1.595028</v>
                </pt>
                <pt idx="248">
                  <v>1.60746</v>
                </pt>
                <pt idx="249">
                  <v>1.606008</v>
                </pt>
                <pt idx="250">
                  <v>1.589172</v>
                </pt>
                <pt idx="251">
                  <v>1.58478</v>
                </pt>
                <pt idx="252">
                  <v>1.583813</v>
                </pt>
                <pt idx="253">
                  <v>1.598652</v>
                </pt>
                <pt idx="254">
                  <v>1.576036</v>
                </pt>
                <pt idx="255">
                  <v>1.568808</v>
                </pt>
                <pt idx="256">
                  <v>1.563016</v>
                </pt>
                <pt idx="257">
                  <v>1.570266</v>
                </pt>
                <pt idx="258">
                  <v>1.562088</v>
                </pt>
                <pt idx="259">
                  <v>1.578149</v>
                </pt>
                <pt idx="260">
                  <v>1.586244</v>
                </pt>
                <pt idx="261">
                  <v>1.576036</v>
                </pt>
                <pt idx="262">
                  <v>1.575164</v>
                </pt>
                <pt idx="263">
                  <v>1.5876</v>
                </pt>
                <pt idx="264">
                  <v>1.577366</v>
                </pt>
                <pt idx="265">
                  <v>1.555346</v>
                </pt>
                <pt idx="266">
                  <v>1.52766</v>
                </pt>
                <pt idx="267">
                  <v>1.53402</v>
                </pt>
                <pt idx="268">
                  <v>1.521582</v>
                </pt>
                <pt idx="269">
                  <v>1.503436</v>
                </pt>
                <pt idx="270">
                  <v>1.501011</v>
                </pt>
                <pt idx="271">
                  <v>1.516522</v>
                </pt>
                <pt idx="272">
                  <v>1.515972</v>
                </pt>
                <pt idx="273">
                  <v>1.4965</v>
                </pt>
                <pt idx="274">
                  <v>1.54874</v>
                </pt>
                <pt idx="275">
                  <v>1.549474</v>
                </pt>
                <pt idx="276">
                  <v>1.550016</v>
                </pt>
                <pt idx="277">
                  <v>1.54928</v>
                </pt>
                <pt idx="278">
                  <v>1.563177</v>
                </pt>
                <pt idx="279">
                  <v>1.564154</v>
                </pt>
                <pt idx="280">
                  <v>1.560484</v>
                </pt>
                <pt idx="281">
                  <v>1.56087</v>
                </pt>
                <pt idx="282">
                  <v>1.550648</v>
                </pt>
                <pt idx="283">
                  <v>1.552639</v>
                </pt>
                <pt idx="284">
                  <v>1.535198</v>
                </pt>
                <pt idx="285">
                  <v>1.525296</v>
                </pt>
                <pt idx="286">
                  <v>1.524978</v>
                </pt>
                <pt idx="287">
                  <v>1.524456</v>
                </pt>
                <pt idx="288">
                  <v>1.519055</v>
                </pt>
                <pt idx="289">
                  <v>1.53172</v>
                </pt>
                <pt idx="290">
                  <v>1.516463</v>
                </pt>
                <pt idx="291">
                  <v>1.536093</v>
                </pt>
                <pt idx="292">
                  <v>1.546467</v>
                </pt>
                <pt idx="293">
                  <v>1.55854</v>
                </pt>
                <pt idx="294">
                  <v>1.542312</v>
                </pt>
                <pt idx="295">
                  <v>1.522584</v>
                </pt>
                <pt idx="296">
                  <v>1.487456</v>
                </pt>
                <pt idx="297">
                  <v>1.479896</v>
                </pt>
                <pt idx="298">
                  <v>1.472</v>
                </pt>
                <pt idx="299">
                  <v>1.470735</v>
                </pt>
                <pt idx="300">
                  <v>1.481025</v>
                </pt>
                <pt idx="301">
                  <v>1.467466</v>
                </pt>
                <pt idx="302">
                  <v>1.48176</v>
                </pt>
                <pt idx="303">
                  <v>1.485435</v>
                </pt>
                <pt idx="304">
                  <v>1.476808</v>
                </pt>
                <pt idx="305">
                  <v>1.459807</v>
                </pt>
                <pt idx="306">
                  <v>1.46</v>
                </pt>
                <pt idx="307">
                  <v>1.461804</v>
                </pt>
                <pt idx="308">
                  <v>1.467477</v>
                </pt>
                <pt idx="309">
                  <v>1.494164</v>
                </pt>
                <pt idx="310">
                  <v>1.497088</v>
                </pt>
                <pt idx="311">
                  <v>1.502709</v>
                </pt>
                <pt idx="312">
                  <v>1.493912</v>
                </pt>
                <pt idx="313">
                  <v>1.49815</v>
                </pt>
                <pt idx="314">
                  <v>1.506092</v>
                </pt>
                <pt idx="315">
                  <v>1.511937</v>
                </pt>
                <pt idx="316">
                  <v>1.515478</v>
                </pt>
                <pt idx="317">
                  <v>1.507368</v>
                </pt>
                <pt idx="318">
                  <v>1.49093</v>
                </pt>
                <pt idx="319">
                  <v>1.48732</v>
                </pt>
                <pt idx="320">
                  <v>1.488042</v>
                </pt>
                <pt idx="321">
                  <v>1.479798</v>
                </pt>
                <pt idx="322">
                  <v>1.474614</v>
                </pt>
                <pt idx="323">
                  <v>1.461816</v>
                </pt>
                <pt idx="324">
                  <v>1.463949</v>
                </pt>
                <pt idx="325">
                  <v>1.46763</v>
                </pt>
                <pt idx="326">
                  <v>1.483857</v>
                </pt>
                <pt idx="327">
                  <v>1.48532</v>
                </pt>
                <pt idx="328">
                  <v>1.495233</v>
                </pt>
                <pt idx="329">
                  <v>1.531685</v>
                </pt>
                <pt idx="330">
                  <v>1.515562</v>
                </pt>
                <pt idx="331">
                  <v>1.532608</v>
                </pt>
                <pt idx="332">
                  <v>1.532608</v>
                </pt>
                <pt idx="333">
                  <v>1.538164</v>
                </pt>
                <pt idx="334">
                  <v>1.534572</v>
                </pt>
                <pt idx="335">
                  <v>1.525218</v>
                </pt>
                <pt idx="336">
                  <v>1.5344</v>
                </pt>
                <pt idx="337">
                  <v>1.502664</v>
                </pt>
                <pt idx="338">
                  <v>1.496459</v>
                </pt>
                <pt idx="339">
                  <v>1.493022</v>
                </pt>
                <pt idx="340">
                  <v>1.5036</v>
                </pt>
                <pt idx="341">
                  <v>1.490928</v>
                </pt>
                <pt idx="342">
                  <v>1.500841</v>
                </pt>
                <pt idx="343">
                  <v>1.484676</v>
                </pt>
                <pt idx="344">
                  <v>1.4896</v>
                </pt>
                <pt idx="345">
                  <v>1.5078</v>
                </pt>
                <pt idx="346">
                  <v>1.51983</v>
                </pt>
                <pt idx="347">
                  <v>1.52117</v>
                </pt>
                <pt idx="348">
                  <v>1.506982</v>
                </pt>
                <pt idx="349">
                  <v>1.500641</v>
                </pt>
                <pt idx="350">
                  <v>1.506284</v>
                </pt>
                <pt idx="351">
                  <v>1.513335</v>
                </pt>
                <pt idx="352">
                  <v>1.509702</v>
                </pt>
                <pt idx="353">
                  <v>1.522338</v>
                </pt>
                <pt idx="354">
                  <v>1.52334</v>
                </pt>
                <pt idx="355">
                  <v>1.519886</v>
                </pt>
                <pt idx="356">
                  <v>1.518366</v>
                </pt>
                <pt idx="357">
                  <v>1.5253</v>
                </pt>
                <pt idx="358">
                  <v>1.530984</v>
                </pt>
                <pt idx="359">
                  <v>1.531904</v>
                </pt>
                <pt idx="360">
                  <v>1.540976</v>
                </pt>
                <pt idx="361">
                  <v>1.53972</v>
                </pt>
                <pt idx="362">
                  <v>1.544655</v>
                </pt>
                <pt idx="363">
                  <v>1.550376</v>
                </pt>
                <pt idx="364">
                  <v>1.54698</v>
                </pt>
                <pt idx="365">
                  <v>1.536311</v>
                </pt>
                <pt idx="366">
                  <v>1.536256</v>
                </pt>
                <pt idx="367">
                  <v>1.54614</v>
                </pt>
                <pt idx="368">
                  <v>1.55664</v>
                </pt>
                <pt idx="369">
                  <v>1.589796</v>
                </pt>
                <pt idx="370">
                  <v>1.600461</v>
                </pt>
                <pt idx="371">
                  <v>1.606149</v>
                </pt>
                <pt idx="372">
                  <v>1.6046</v>
                </pt>
                <pt idx="373">
                  <v>1.622208</v>
                </pt>
                <pt idx="374">
                  <v>1.61018</v>
                </pt>
                <pt idx="375">
                  <v>1.61007</v>
                </pt>
                <pt idx="376">
                  <v>1.605885</v>
                </pt>
                <pt idx="377">
                  <v>1.605438</v>
                </pt>
                <pt idx="378">
                  <v>1.683367</v>
                </pt>
                <pt idx="379">
                  <v>1.696368</v>
                </pt>
                <pt idx="380">
                  <v>1.706698</v>
                </pt>
                <pt idx="381">
                  <v>1.70469</v>
                </pt>
                <pt idx="382">
                  <v>1.703163</v>
                </pt>
                <pt idx="383">
                  <v>1.716192</v>
                </pt>
                <pt idx="384">
                  <v>1.69566</v>
                </pt>
                <pt idx="385">
                  <v>1.684781</v>
                </pt>
                <pt idx="386">
                  <v>1.67205</v>
                </pt>
                <pt idx="387">
                  <v>1.699473</v>
                </pt>
                <pt idx="388">
                  <v>1.696696</v>
                </pt>
                <pt idx="389">
                  <v>1.640356</v>
                </pt>
                <pt idx="390">
                  <v>1.649817</v>
                </pt>
                <pt idx="391">
                  <v>1.64164</v>
                </pt>
                <pt idx="392">
                  <v>1.62448</v>
                </pt>
                <pt idx="393">
                  <v>1.621345</v>
                </pt>
                <pt idx="394">
                  <v>1.632849</v>
                </pt>
                <pt idx="395">
                  <v>1.641477</v>
                </pt>
                <pt idx="396">
                  <v>1.627468</v>
                </pt>
                <pt idx="397">
                  <v>1.635477</v>
                </pt>
                <pt idx="398">
                  <v>1.628055</v>
                </pt>
                <pt idx="399">
                  <v>1.627097</v>
                </pt>
                <pt idx="400">
                  <v>1.63008</v>
                </pt>
                <pt idx="401">
                  <v>1.6327</v>
                </pt>
                <pt idx="402">
                  <v>1.614319</v>
                </pt>
                <pt idx="403">
                  <v>1.611504</v>
                </pt>
                <pt idx="404">
                  <v>1.616482</v>
                </pt>
                <pt idx="405">
                  <v>1.591147</v>
                </pt>
                <pt idx="406">
                  <v>1.595461</v>
                </pt>
                <pt idx="407">
                  <v>1.59264</v>
                </pt>
                <pt idx="408">
                  <v>1.575966</v>
                </pt>
                <pt idx="409">
                  <v>1.581754</v>
                </pt>
                <pt idx="410">
                  <v>1.584626</v>
                </pt>
                <pt idx="411">
                  <v>1.584626</v>
                </pt>
                <pt idx="412">
                  <v>1.573052</v>
                </pt>
                <pt idx="413">
                  <v>1.589589</v>
                </pt>
                <pt idx="414">
                  <v>1.60416</v>
                </pt>
                <pt idx="415">
                  <v>1.60776</v>
                </pt>
                <pt idx="416">
                  <v>1.612877</v>
                </pt>
                <pt idx="417">
                  <v>1.597476</v>
                </pt>
                <pt idx="418">
                  <v>1.609841</v>
                </pt>
                <pt idx="419">
                  <v>1.62648</v>
                </pt>
                <pt idx="420">
                  <v>1.62576</v>
                </pt>
                <pt idx="421">
                  <v>1.625439</v>
                </pt>
                <pt idx="422">
                  <v>1.61241</v>
                </pt>
                <pt idx="423">
                  <v>1.630915</v>
                </pt>
                <pt idx="424">
                  <v>1.623636</v>
                </pt>
                <pt idx="425">
                  <v>1.60732</v>
                </pt>
                <pt idx="426">
                  <v>1.58999</v>
                </pt>
                <pt idx="427">
                  <v>1.58873</v>
                </pt>
                <pt idx="428">
                  <v>1.58873</v>
                </pt>
                <pt idx="429">
                  <v>1.585794</v>
                </pt>
                <pt idx="430">
                  <v>1.596759</v>
                </pt>
                <pt idx="431">
                  <v>1.594215</v>
                </pt>
                <pt idx="432">
                  <v>1.601341</v>
                </pt>
                <pt idx="433">
                  <v>1.597107</v>
                </pt>
                <pt idx="434">
                  <v>1.589154</v>
                </pt>
                <pt idx="435">
                  <v>1.594131</v>
                </pt>
                <pt idx="436">
                  <v>1.629459</v>
                </pt>
                <pt idx="437">
                  <v>1.628766</v>
                </pt>
                <pt idx="438">
                  <v>1.636845</v>
                </pt>
                <pt idx="439">
                  <v>1.63593</v>
                </pt>
                <pt idx="440">
                  <v>1.63447</v>
                </pt>
                <pt idx="441">
                  <v>1.634556</v>
                </pt>
                <pt idx="442">
                  <v>1.633857</v>
                </pt>
                <pt idx="443">
                  <v>1.638216</v>
                </pt>
                <pt idx="444">
                  <v>1.607445</v>
                </pt>
                <pt idx="445">
                  <v>1.602272</v>
                </pt>
                <pt idx="446">
                  <v>1.595648</v>
                </pt>
                <pt idx="447">
                  <v>1.576368</v>
                </pt>
                <pt idx="448">
                  <v>1.535528</v>
                </pt>
                <pt idx="449">
                  <v>1.518368</v>
                </pt>
                <pt idx="450">
                  <v>1.53174</v>
                </pt>
                <pt idx="451">
                  <v>1.53824</v>
                </pt>
                <pt idx="452">
                  <v>1.503075</v>
                </pt>
                <pt idx="453">
                  <v>1.4994</v>
                </pt>
                <pt idx="454">
                  <v>1.520364</v>
                </pt>
                <pt idx="455">
                  <v>1.526328</v>
                </pt>
                <pt idx="456">
                  <v>1.53008</v>
                </pt>
                <pt idx="457">
                  <v>1.522976</v>
                </pt>
                <pt idx="458">
                  <v>1.522422</v>
                </pt>
                <pt idx="459">
                  <v>1.518066</v>
                </pt>
                <pt idx="460">
                  <v>1.52935</v>
                </pt>
                <pt idx="461">
                  <v>1.53665</v>
                </pt>
                <pt idx="462">
                  <v>1.525888</v>
                </pt>
                <pt idx="463">
                  <v>1.51981</v>
                </pt>
                <pt idx="464">
                  <v>1.527699</v>
                </pt>
                <pt idx="465">
                  <v>1.52131</v>
                </pt>
                <pt idx="466">
                  <v>1.52685</v>
                </pt>
                <pt idx="467">
                  <v>1.534764</v>
                </pt>
                <pt idx="468">
                  <v>1.532708</v>
                </pt>
                <pt idx="469">
                  <v>1.5341</v>
                </pt>
                <pt idx="470">
                  <v>1.537605</v>
                </pt>
                <pt idx="471">
                  <v>1.545602</v>
                </pt>
                <pt idx="472">
                  <v>1.5573</v>
                </pt>
                <pt idx="473">
                  <v>1.564504</v>
                </pt>
                <pt idx="474">
                  <v>1.579014</v>
                </pt>
                <pt idx="475">
                  <v>1.607397</v>
                </pt>
                <pt idx="476">
                  <v>1.618254</v>
                </pt>
                <pt idx="477">
                  <v>1.620312</v>
                </pt>
                <pt idx="478">
                  <v>1.615182</v>
                </pt>
                <pt idx="479">
                  <v>1.626966</v>
                </pt>
                <pt idx="480">
                  <v>1.633632</v>
                </pt>
                <pt idx="481">
                  <v>1.624118</v>
                </pt>
                <pt idx="482">
                  <v>1.6211</v>
                </pt>
                <pt idx="483">
                  <v>1.627097</v>
                </pt>
                <pt idx="484">
                  <v>1.641072</v>
                </pt>
                <pt idx="485">
                  <v>1.63592</v>
                </pt>
                <pt idx="486">
                  <v>1.643364</v>
                </pt>
                <pt idx="487">
                  <v>1.62042</v>
                </pt>
                <pt idx="488">
                  <v>1.630578</v>
                </pt>
                <pt idx="489">
                  <v>1.637758</v>
                </pt>
                <pt idx="490">
                  <v>1.644938</v>
                </pt>
                <pt idx="491">
                  <v>1.66608</v>
                </pt>
                <pt idx="492">
                  <v>1.67544</v>
                </pt>
                <pt idx="493">
                  <v>1.661289</v>
                </pt>
                <pt idx="494">
                  <v>1.666642</v>
                </pt>
                <pt idx="495">
                  <v>1.6632</v>
                </pt>
                <pt idx="496">
                  <v>1.653974</v>
                </pt>
                <pt idx="497">
                  <v>1.667098</v>
                </pt>
                <pt idx="498">
                  <v>1.673745</v>
                </pt>
                <pt idx="499">
                  <v>1.65168</v>
                </pt>
                <pt idx="500">
                  <v>1.649246</v>
                </pt>
                <pt idx="501">
                  <v>1.652685</v>
                </pt>
                <pt idx="502">
                  <v>1.652528</v>
                </pt>
                <pt idx="503">
                  <v>1.673478</v>
                </pt>
                <pt idx="504">
                  <v>1.684326</v>
                </pt>
                <pt idx="505">
                  <v>1.679328</v>
                </pt>
                <pt idx="506">
                  <v>1.648948</v>
                </pt>
                <pt idx="507">
                  <v>1.623288</v>
                </pt>
                <pt idx="508">
                  <v>1.636322</v>
                </pt>
                <pt idx="509">
                  <v>1.632014</v>
                </pt>
                <pt idx="510">
                  <v>1.599627</v>
                </pt>
                <pt idx="511">
                  <v>1.607602</v>
                </pt>
                <pt idx="512">
                  <v>1.596759</v>
                </pt>
                <pt idx="513">
                  <v>1.618986</v>
                </pt>
                <pt idx="514">
                  <v>1.595165</v>
                </pt>
                <pt idx="515">
                  <v>1.603644</v>
                </pt>
                <pt idx="516">
                  <v>1.580028</v>
                </pt>
                <pt idx="517">
                  <v>1.586955</v>
                </pt>
                <pt idx="518">
                  <v>1.587451</v>
                </pt>
                <pt idx="519">
                  <v>1.604328</v>
                </pt>
                <pt idx="520">
                  <v>1.602062</v>
                </pt>
                <pt idx="521">
                  <v>1.58946</v>
                </pt>
                <pt idx="522">
                  <v>1.600461</v>
                </pt>
                <pt idx="523">
                  <v>1.586742</v>
                </pt>
                <pt idx="524">
                  <v>1.59525</v>
                </pt>
                <pt idx="525">
                  <v>1.606149</v>
                </pt>
                <pt idx="526">
                  <v>1.601496</v>
                </pt>
                <pt idx="527">
                  <v>1.613684</v>
                </pt>
                <pt idx="528">
                  <v>1.619356</v>
                </pt>
                <pt idx="529">
                  <v>1.618152</v>
                </pt>
                <pt idx="530">
                  <v>1.603008</v>
                </pt>
                <pt idx="531">
                  <v>1.619564</v>
                </pt>
                <pt idx="532">
                  <v>1.621151</v>
                </pt>
                <pt idx="533">
                  <v>1.612504</v>
                </pt>
                <pt idx="534">
                  <v>1.618152</v>
                </pt>
                <pt idx="535">
                  <v>1.599796</v>
                </pt>
                <pt idx="536">
                  <v>1.60489</v>
                </pt>
                <pt idx="537">
                  <v>1.628036</v>
                </pt>
                <pt idx="538">
                  <v>1.63086</v>
                </pt>
                <pt idx="539">
                  <v>1.632978</v>
                </pt>
                <pt idx="540">
                  <v>1.62714</v>
                </pt>
                <pt idx="541">
                  <v>1.6356</v>
                </pt>
                <pt idx="542">
                  <v>1.632366</v>
                </pt>
                <pt idx="543">
                  <v>1.616506</v>
                </pt>
                <pt idx="544">
                  <v>1.618812</v>
                </pt>
                <pt idx="545">
                  <v>1.596513</v>
                </pt>
                <pt idx="546">
                  <v>1.609344</v>
                </pt>
                <pt idx="547">
                  <v>1.605444</v>
                </pt>
                <pt idx="548">
                  <v>1.612116</v>
                </pt>
                <pt idx="549">
                  <v>1.596668</v>
                </pt>
                <pt idx="550">
                  <v>1.598795</v>
                </pt>
                <pt idx="551">
                  <v>1.602465</v>
                </pt>
                <pt idx="552">
                  <v>1.614948</v>
                </pt>
                <pt idx="553">
                  <v>1.608576</v>
                </pt>
                <pt idx="554">
                  <v>1.614788</v>
                </pt>
                <pt idx="555">
                  <v>1.61304</v>
                </pt>
                <pt idx="556">
                  <v>1.63442</v>
                </pt>
                <pt idx="557">
                  <v>1.63371</v>
                </pt>
                <pt idx="558">
                  <v>1.629991</v>
                </pt>
                <pt idx="559">
                  <v>1.640277</v>
                </pt>
                <pt idx="560">
                  <v>1.649505</v>
                </pt>
                <pt idx="561">
                  <v>1.651653</v>
                </pt>
                <pt idx="562">
                  <v>1.6588</v>
                </pt>
                <pt idx="563">
                  <v>1.658052</v>
                </pt>
                <pt idx="564">
                  <v>1.654836</v>
                </pt>
                <pt idx="565">
                  <v>1.636194</v>
                </pt>
                <pt idx="566">
                  <v>1.630692</v>
                </pt>
                <pt idx="567">
                  <v>1.617654</v>
                </pt>
                <pt idx="568">
                  <v>1.637496</v>
                </pt>
                <pt idx="569">
                  <v>1.637882</v>
                </pt>
                <pt idx="570">
                  <v>1.613864</v>
                </pt>
                <pt idx="571">
                  <v>1.621244</v>
                </pt>
                <pt idx="572">
                  <v>1.638</v>
                </pt>
                <pt idx="573">
                  <v>1.5818</v>
                </pt>
                <pt idx="574">
                  <v>1.59618</v>
                </pt>
                <pt idx="575">
                  <v>1.5818</v>
                </pt>
                <pt idx="576">
                  <v>1.577348</v>
                </pt>
                <pt idx="577">
                  <v>1.561518</v>
                </pt>
                <pt idx="578">
                  <v>1.54567</v>
                </pt>
                <pt idx="579">
                  <v>1.538632</v>
                </pt>
                <pt idx="580">
                  <v>1.540793</v>
                </pt>
                <pt idx="581">
                  <v>1.515838</v>
                </pt>
                <pt idx="582">
                  <v>1.518696</v>
                </pt>
                <pt idx="583">
                  <v>1.517985</v>
                </pt>
                <pt idx="584">
                  <v>1.50449</v>
                </pt>
                <pt idx="585">
                  <v>1.498836</v>
                </pt>
                <pt idx="586">
                  <v>1.513687</v>
                </pt>
                <pt idx="587">
                  <v>1.522223</v>
                </pt>
                <pt idx="588">
                  <v>1.52005</v>
                </pt>
                <pt idx="589">
                  <v>1.504248</v>
                </pt>
                <pt idx="590">
                  <v>1.506345</v>
                </pt>
                <pt idx="591">
                  <v>1.52862</v>
                </pt>
                <pt idx="592">
                  <v>1.529412</v>
                </pt>
                <pt idx="593">
                  <v>1.52513</v>
                </pt>
                <pt idx="594">
                  <v>1.519626</v>
                </pt>
                <pt idx="595">
                  <v>1.5099</v>
                </pt>
                <pt idx="596">
                  <v>1.4952</v>
                </pt>
                <pt idx="597">
                  <v>1.49372</v>
                </pt>
                <pt idx="598">
                  <v>1.535822</v>
                </pt>
                <pt idx="599">
                  <v>1.462943</v>
                </pt>
                <pt idx="600">
                  <v>1.510002</v>
                </pt>
                <pt idx="601">
                  <v>1.521871</v>
                </pt>
                <pt idx="602">
                  <v>1.552715</v>
                </pt>
                <pt idx="603">
                  <v>1.555036</v>
                </pt>
                <pt idx="604">
                  <v>1.551313</v>
                </pt>
                <pt idx="605">
                  <v>1.548164</v>
                </pt>
                <pt idx="606">
                  <v>1.55305</v>
                </pt>
                <pt idx="607">
                  <v>1.557936</v>
                </pt>
                <pt idx="608">
                  <v>1.56352</v>
                </pt>
                <pt idx="609">
                  <v>1.558492</v>
                </pt>
                <pt idx="610">
                  <v>1.561977</v>
                </pt>
                <pt idx="611">
                  <v>1.557098</v>
                </pt>
                <pt idx="612">
                  <v>1.559886</v>
                </pt>
                <pt idx="613">
                  <v>1.57399</v>
                </pt>
                <pt idx="614">
                  <v>1.586031</v>
                </pt>
                <pt idx="615">
                  <v>1.6002</v>
                </pt>
                <pt idx="616">
                  <v>1.5995</v>
                </pt>
                <pt idx="617">
                  <v>1.610197</v>
                </pt>
                <pt idx="618">
                  <v>1.6072</v>
                </pt>
                <pt idx="619">
                  <v>1.6177</v>
                </pt>
                <pt idx="620">
                  <v>1.616787</v>
                </pt>
                <pt idx="621">
                  <v>1.618185</v>
                </pt>
                <pt idx="622">
                  <v>1.615172</v>
                </pt>
                <pt idx="623">
                  <v>1.62285</v>
                </pt>
                <pt idx="624">
                  <v>1.613555</v>
                </pt>
                <pt idx="625">
                  <v>1.615172</v>
                </pt>
                <pt idx="626">
                  <v>1.627736</v>
                </pt>
                <pt idx="627">
                  <v>1.631924</v>
                </pt>
                <pt idx="628">
                  <v>1.627944</v>
                </pt>
                <pt idx="629">
                  <v>1.640472</v>
                </pt>
                <pt idx="630">
                  <v>1.622376</v>
                </pt>
                <pt idx="631">
                  <v>1.620288</v>
                </pt>
                <pt idx="632">
                  <v>1.610767</v>
                </pt>
                <pt idx="633">
                  <v>1.60428</v>
                </pt>
                <pt idx="634">
                  <v>1.600585</v>
                </pt>
                <pt idx="635">
                  <v>1.62396</v>
                </pt>
                <pt idx="636">
                  <v>1.61694</v>
                </pt>
                <pt idx="637">
                  <v>1.615383</v>
                </pt>
                <pt idx="638">
                  <v>1.61928</v>
                </pt>
                <pt idx="639">
                  <v>1.620395</v>
                </pt>
                <pt idx="640">
                  <v>1.59321</v>
                </pt>
                <pt idx="641">
                  <v>1.535268</v>
                </pt>
                <pt idx="642">
                  <v>1.532010000000001</v>
                </pt>
                <pt idx="643">
                  <v>1.551046</v>
                </pt>
                <pt idx="644">
                  <v>1.541628</v>
                </pt>
                <pt idx="645">
                  <v>1.559696</v>
                </pt>
                <pt idx="646">
                  <v>1.5580935</v>
                </pt>
                <pt idx="647">
                  <v>1.545248</v>
                </pt>
                <pt idx="648">
                  <v>1.5409926</v>
                </pt>
                <pt idx="649">
                  <v>1.565676</v>
                </pt>
                <pt idx="650">
                  <v>1.5670512</v>
                </pt>
                <pt idx="651">
                  <v>1.573452</v>
                </pt>
                <pt idx="652">
                  <v>1.5768753</v>
                </pt>
                <pt idx="653">
                  <v>1.579386</v>
                </pt>
                <pt idx="654">
                  <v>1.5816854</v>
                </pt>
                <pt idx="655">
                  <v>1.5921724</v>
                </pt>
                <pt idx="656">
                  <v>1.5944964</v>
                </pt>
                <pt idx="657">
                  <v>1.5972408</v>
                </pt>
                <pt idx="658">
                  <v>1.6041168</v>
                </pt>
                <pt idx="659">
                  <v>1.6107461</v>
                </pt>
                <pt idx="660">
                  <v>1.6165476</v>
                </pt>
                <pt idx="661">
                  <v>1.615137</v>
                </pt>
                <pt idx="662">
                  <v>1.6070637</v>
                </pt>
                <pt idx="663">
                  <v>1.602699</v>
                </pt>
                <pt idx="664">
                  <v>1.5839594</v>
                </pt>
                <pt idx="665">
                  <v>1.5894426</v>
                </pt>
                <pt idx="666">
                  <v>1.5955979</v>
                </pt>
                <pt idx="667">
                  <v>1.582511</v>
                </pt>
                <pt idx="668">
                  <v>1.6080771</v>
                </pt>
                <pt idx="669">
                  <v>1.6015536</v>
                </pt>
                <pt idx="670">
                  <v>1.5965082</v>
                </pt>
                <pt idx="671">
                  <v>1.6025556</v>
                </pt>
                <pt idx="672">
                  <v>1.60008</v>
                </pt>
                <pt idx="673">
                  <v>1.5975912</v>
                </pt>
                <pt idx="674">
                  <v>1.6212878</v>
                </pt>
                <pt idx="675">
                  <v>1.6322004</v>
                </pt>
                <pt idx="676">
                  <v>1.6307532</v>
                </pt>
                <pt idx="677">
                  <v>1.6292484</v>
                </pt>
                <pt idx="678">
                  <v>1.6378484</v>
                </pt>
                <pt idx="679">
                  <v>1.6451406</v>
                </pt>
                <pt idx="680">
                  <v>1.63755</v>
                </pt>
                <pt idx="681">
                  <v>1.63251</v>
                </pt>
                <pt idx="682">
                  <v>1.6088598</v>
                </pt>
                <pt idx="683">
                  <v>1.6061808</v>
                </pt>
                <pt idx="684">
                  <v>1.5958026</v>
                </pt>
                <pt idx="685">
                  <v>1.6000906</v>
                </pt>
                <pt idx="686">
                  <v>1.5886568</v>
                </pt>
                <pt idx="687">
                  <v>1.59236</v>
                </pt>
                <pt idx="688">
                  <v>1.5931436</v>
                </pt>
                <pt idx="689">
                  <v>1.6019084</v>
                </pt>
                <pt idx="690">
                  <v>1.5940995</v>
                </pt>
                <pt idx="691">
                  <v>1.5896231</v>
                </pt>
                <pt idx="692">
                  <v>1.5779584</v>
                </pt>
                <pt idx="693">
                  <v>1.5919442</v>
                </pt>
                <pt idx="694">
                  <v>1.5882351</v>
                </pt>
                <pt idx="695">
                  <v>1.5597456</v>
                </pt>
                <pt idx="696">
                  <v>1.5551858</v>
                </pt>
                <pt idx="697">
                  <v>1.5526872</v>
                </pt>
                <pt idx="698">
                  <v>1.544232</v>
                </pt>
                <pt idx="699">
                  <v>1.5601914</v>
                </pt>
                <pt idx="700">
                  <v>1.5761794</v>
                </pt>
                <pt idx="701">
                  <v>1.563383</v>
                </pt>
                <pt idx="702">
                  <v>1.5446978</v>
                </pt>
                <pt idx="703">
                  <v>1.5515388</v>
                </pt>
                <pt idx="704">
                  <v>1.5198092</v>
                </pt>
                <pt idx="705">
                  <v>1.5331745</v>
                </pt>
                <pt idx="706">
                  <v>1.549944</v>
                </pt>
                <pt idx="707">
                  <v>1.532498</v>
                </pt>
                <pt idx="708">
                  <v>1.5085698</v>
                </pt>
                <pt idx="709">
                  <v>1.5083055</v>
                </pt>
                <pt idx="710">
                  <v>1.4901435</v>
                </pt>
                <pt idx="711">
                  <v>1.4751072</v>
                </pt>
                <pt idx="712">
                  <v>1.4780455</v>
                </pt>
                <pt idx="713">
                  <v>1.4712897</v>
                </pt>
                <pt idx="714">
                  <v>1.4745815</v>
                </pt>
                <pt idx="715">
                  <v>1.4679819</v>
                </pt>
                <pt idx="716">
                  <v>1.507685</v>
                </pt>
                <pt idx="717">
                  <v>1.5206238</v>
                </pt>
                <pt idx="718">
                  <v>1.5203729</v>
                </pt>
                <pt idx="719">
                  <v>1.5218008</v>
                </pt>
                <pt idx="720">
                  <v>1.4977805</v>
                </pt>
                <pt idx="721">
                  <v>1.4993971</v>
                </pt>
                <pt idx="722">
                  <v>1.499685</v>
                </pt>
                <pt idx="723">
                  <v>1.5113214</v>
                </pt>
                <pt idx="724">
                  <v>1.5056872</v>
                </pt>
                <pt idx="725">
                  <v>1.519032</v>
                </pt>
                <pt idx="726">
                  <v>1.531328</v>
                </pt>
                <pt idx="727">
                  <v>1.5220722</v>
                </pt>
                <pt idx="728">
                  <v>1.5186825</v>
                </pt>
                <pt idx="729">
                  <v>1.5236424</v>
                </pt>
                <pt idx="730">
                  <v>1.522336</v>
                </pt>
                <pt idx="731">
                  <v>1.534212</v>
                </pt>
                <pt idx="732">
                  <v>1.5308811</v>
                </pt>
                <pt idx="733">
                  <v>1.514016</v>
                </pt>
                <pt idx="734">
                  <v>1.5034477</v>
                </pt>
                <pt idx="735">
                  <v>1.4965335</v>
                </pt>
                <pt idx="736">
                  <v>1.4743261</v>
                </pt>
                <pt idx="737">
                  <v>1.4812336</v>
                </pt>
                <pt idx="738">
                  <v>1.4798784</v>
                </pt>
                <pt idx="739">
                  <v>1.4829824</v>
                </pt>
                <pt idx="740">
                  <v>1.4877104</v>
                </pt>
                <pt idx="741">
                  <v>1.47424</v>
                </pt>
                <pt idx="742">
                  <v>1.4727861</v>
                </pt>
                <pt idx="743">
                  <v>1.4832452</v>
                </pt>
                <pt idx="744">
                  <v>1.5128223</v>
                </pt>
                <pt idx="745">
                  <v>1.4995148</v>
                </pt>
                <pt idx="746">
                  <v>1.4716288</v>
                </pt>
                <pt idx="747">
                  <v>1.4733264</v>
                </pt>
                <pt idx="748">
                  <v>1.4772361</v>
                </pt>
                <pt idx="749">
                  <v>1.4664352</v>
                </pt>
                <pt idx="750">
                  <v>1.4614271</v>
                </pt>
                <pt idx="751">
                  <v>1.4541375</v>
                </pt>
                <pt idx="752">
                  <v>1.4573086</v>
                </pt>
                <pt idx="753">
                  <v>1.4559381</v>
                </pt>
                <pt idx="754">
                  <v>1.4494084</v>
                </pt>
                <pt idx="755">
                  <v>1.4469264</v>
                </pt>
                <pt idx="756">
                  <v>1.447282</v>
                </pt>
                <pt idx="757">
                  <v>1.4188538</v>
                </pt>
                <pt idx="758">
                  <v>1.4237561</v>
                </pt>
                <pt idx="759">
                  <v>1.4307264</v>
                </pt>
                <pt idx="760">
                  <v>1.417248</v>
                </pt>
                <pt idx="761">
                  <v>1.3917375</v>
                </pt>
                <pt idx="762">
                  <v>1.3929885</v>
                </pt>
                <pt idx="763">
                  <v>1.4074398</v>
                </pt>
                <pt idx="764">
                  <v>1.4103936</v>
                </pt>
                <pt idx="765">
                  <v>1.4278302</v>
                </pt>
                <pt idx="766">
                  <v>1.4251526</v>
                </pt>
                <pt idx="767">
                  <v>1.415374</v>
                </pt>
                <pt idx="768">
                  <v>1.4384832</v>
                </pt>
                <pt idx="769">
                  <v>1.4340928</v>
                </pt>
                <pt idx="770">
                  <v>1.4279265</v>
                </pt>
                <pt idx="771">
                  <v>1.4342559</v>
                </pt>
                <pt idx="772">
                  <v>1.3976466</v>
                </pt>
                <pt idx="773">
                  <v>1.3748941</v>
                </pt>
                <pt idx="774">
                  <v>1.3742244</v>
                </pt>
                <pt idx="775">
                  <v>1.3766312</v>
                </pt>
                <pt idx="776">
                  <v>1.369161</v>
                </pt>
                <pt idx="777">
                  <v>1.3678448</v>
                </pt>
                <pt idx="778">
                  <v>1.363128</v>
                </pt>
                <pt idx="779">
                  <v>1.3617916</v>
                </pt>
                <pt idx="780">
                  <v>1.3654011</v>
                </pt>
                <pt idx="781">
                  <v>1.3590408</v>
                </pt>
                <pt idx="782">
                  <v>1.34335</v>
                </pt>
                <pt idx="783">
                  <v>1.3438824</v>
                </pt>
                <pt idx="784">
                  <v>1.344684</v>
                </pt>
                <pt idx="785">
                  <v>1.321824</v>
                </pt>
                <pt idx="786">
                  <v>1.323118</v>
                </pt>
                <pt idx="787">
                  <v>1.323062</v>
                </pt>
                <pt idx="788">
                  <v>1.332606</v>
                </pt>
                <pt idx="789">
                  <v>1.338672</v>
                </pt>
                <pt idx="790">
                  <v>1.33934</v>
                </pt>
                <pt idx="791">
                  <v>1.33732</v>
                </pt>
                <pt idx="792">
                  <v>1.338</v>
                </pt>
                <pt idx="793">
                  <v>1.333996</v>
                </pt>
                <pt idx="794">
                  <v>1.331979</v>
                </pt>
                <pt idx="795">
                  <v>1.338669</v>
                </pt>
                <pt idx="796">
                  <v>1.35401</v>
                </pt>
                <pt idx="797">
                  <v>1.355976</v>
                </pt>
                <pt idx="798">
                  <v>1.368504</v>
                </pt>
                <pt idx="799">
                  <v>1.374312</v>
                </pt>
                <pt idx="800">
                  <v>1.392186</v>
                </pt>
                <pt idx="801">
                  <v>1.394952</v>
                </pt>
                <pt idx="802">
                  <v>1.37808</v>
                </pt>
                <pt idx="803">
                  <v>1.381923</v>
                </pt>
                <pt idx="804">
                  <v>1.406146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285909376"/>
        <axId val="285910912"/>
      </barChart>
      <lineChart>
        <grouping val="standard"/>
        <varyColors val="0"/>
        <ser>
          <idx val="1"/>
          <order val="1"/>
          <tx>
            <strRef>
              <f>'EVI 2025 Workings'!$S$1</f>
              <strCache>
                <ptCount val="1"/>
                <pt idx="0">
                  <v>PREITY Ratio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'EVI 2025 Workings'!$B$2:$B$806</f>
              <numCache>
                <formatCode>m/d/yyyy</formatCode>
                <ptCount val="805"/>
                <pt idx="0">
                  <v>44564</v>
                </pt>
                <pt idx="1">
                  <v>44565</v>
                </pt>
                <pt idx="2">
                  <v>44566</v>
                </pt>
                <pt idx="3">
                  <v>44567</v>
                </pt>
                <pt idx="4">
                  <v>44568</v>
                </pt>
                <pt idx="5">
                  <v>44571</v>
                </pt>
                <pt idx="6">
                  <v>44572</v>
                </pt>
                <pt idx="7">
                  <v>44573</v>
                </pt>
                <pt idx="8">
                  <v>44574</v>
                </pt>
                <pt idx="9">
                  <v>44575</v>
                </pt>
                <pt idx="10">
                  <v>44578</v>
                </pt>
                <pt idx="11">
                  <v>44579</v>
                </pt>
                <pt idx="12">
                  <v>44580</v>
                </pt>
                <pt idx="13">
                  <v>44581</v>
                </pt>
                <pt idx="14">
                  <v>44582</v>
                </pt>
                <pt idx="15">
                  <v>44585</v>
                </pt>
                <pt idx="16">
                  <v>44586</v>
                </pt>
                <pt idx="17">
                  <v>44588</v>
                </pt>
                <pt idx="18">
                  <v>44589</v>
                </pt>
                <pt idx="19">
                  <v>44592</v>
                </pt>
                <pt idx="20">
                  <v>44593</v>
                </pt>
                <pt idx="21">
                  <v>44594</v>
                </pt>
                <pt idx="22">
                  <v>44595</v>
                </pt>
                <pt idx="23">
                  <v>44596</v>
                </pt>
                <pt idx="24">
                  <v>44599</v>
                </pt>
                <pt idx="25">
                  <v>44600</v>
                </pt>
                <pt idx="26">
                  <v>44601</v>
                </pt>
                <pt idx="27">
                  <v>44602</v>
                </pt>
                <pt idx="28">
                  <v>44603</v>
                </pt>
                <pt idx="29">
                  <v>44606</v>
                </pt>
                <pt idx="30">
                  <v>44607</v>
                </pt>
                <pt idx="31">
                  <v>44608</v>
                </pt>
                <pt idx="32">
                  <v>44609</v>
                </pt>
                <pt idx="33">
                  <v>44610</v>
                </pt>
                <pt idx="34">
                  <v>44613</v>
                </pt>
                <pt idx="35">
                  <v>44614</v>
                </pt>
                <pt idx="36">
                  <v>44615</v>
                </pt>
                <pt idx="37">
                  <v>44616</v>
                </pt>
                <pt idx="38">
                  <v>44617</v>
                </pt>
                <pt idx="39">
                  <v>44620</v>
                </pt>
                <pt idx="40">
                  <v>44622</v>
                </pt>
                <pt idx="41">
                  <v>44623</v>
                </pt>
                <pt idx="42">
                  <v>44624</v>
                </pt>
                <pt idx="43">
                  <v>44627</v>
                </pt>
                <pt idx="44">
                  <v>44628</v>
                </pt>
                <pt idx="45">
                  <v>44629</v>
                </pt>
                <pt idx="46">
                  <v>44630</v>
                </pt>
                <pt idx="47">
                  <v>44631</v>
                </pt>
                <pt idx="48">
                  <v>44634</v>
                </pt>
                <pt idx="49">
                  <v>44635</v>
                </pt>
                <pt idx="50">
                  <v>44636</v>
                </pt>
                <pt idx="51">
                  <v>44637</v>
                </pt>
                <pt idx="52">
                  <v>44641</v>
                </pt>
                <pt idx="53">
                  <v>44642</v>
                </pt>
                <pt idx="54">
                  <v>44643</v>
                </pt>
                <pt idx="55">
                  <v>44644</v>
                </pt>
                <pt idx="56">
                  <v>44645</v>
                </pt>
                <pt idx="57">
                  <v>44648</v>
                </pt>
                <pt idx="58">
                  <v>44649</v>
                </pt>
                <pt idx="59">
                  <v>44650</v>
                </pt>
                <pt idx="60">
                  <v>44651</v>
                </pt>
                <pt idx="61">
                  <v>44652</v>
                </pt>
                <pt idx="62">
                  <v>44655</v>
                </pt>
                <pt idx="63">
                  <v>44656</v>
                </pt>
                <pt idx="64">
                  <v>44657</v>
                </pt>
                <pt idx="65">
                  <v>44658</v>
                </pt>
                <pt idx="66">
                  <v>44659</v>
                </pt>
                <pt idx="67">
                  <v>44662</v>
                </pt>
                <pt idx="68">
                  <v>44663</v>
                </pt>
                <pt idx="69">
                  <v>44664</v>
                </pt>
                <pt idx="70">
                  <v>44669</v>
                </pt>
                <pt idx="71">
                  <v>44670</v>
                </pt>
                <pt idx="72">
                  <v>44671</v>
                </pt>
                <pt idx="73">
                  <v>44672</v>
                </pt>
                <pt idx="74">
                  <v>44673</v>
                </pt>
                <pt idx="75">
                  <v>44676</v>
                </pt>
                <pt idx="76">
                  <v>44677</v>
                </pt>
                <pt idx="77">
                  <v>44678</v>
                </pt>
                <pt idx="78">
                  <v>44679</v>
                </pt>
                <pt idx="79">
                  <v>44680</v>
                </pt>
                <pt idx="80">
                  <v>44683</v>
                </pt>
                <pt idx="81">
                  <v>44685</v>
                </pt>
                <pt idx="82">
                  <v>44686</v>
                </pt>
                <pt idx="83">
                  <v>44687</v>
                </pt>
                <pt idx="84">
                  <v>44690</v>
                </pt>
                <pt idx="85">
                  <v>44691</v>
                </pt>
                <pt idx="86">
                  <v>44692</v>
                </pt>
                <pt idx="87">
                  <v>44693</v>
                </pt>
                <pt idx="88">
                  <v>44694</v>
                </pt>
                <pt idx="89">
                  <v>44697</v>
                </pt>
                <pt idx="90">
                  <v>44698</v>
                </pt>
                <pt idx="91">
                  <v>44699</v>
                </pt>
                <pt idx="92">
                  <v>44700</v>
                </pt>
                <pt idx="93">
                  <v>44701</v>
                </pt>
                <pt idx="94">
                  <v>44704</v>
                </pt>
                <pt idx="95">
                  <v>44705</v>
                </pt>
                <pt idx="96">
                  <v>44706</v>
                </pt>
                <pt idx="97">
                  <v>44707</v>
                </pt>
                <pt idx="98">
                  <v>44708</v>
                </pt>
                <pt idx="99">
                  <v>44711</v>
                </pt>
                <pt idx="100">
                  <v>44712</v>
                </pt>
                <pt idx="101">
                  <v>44713</v>
                </pt>
                <pt idx="102">
                  <v>44714</v>
                </pt>
                <pt idx="103">
                  <v>44715</v>
                </pt>
                <pt idx="104">
                  <v>44718</v>
                </pt>
                <pt idx="105">
                  <v>44719</v>
                </pt>
                <pt idx="106">
                  <v>44720</v>
                </pt>
                <pt idx="107">
                  <v>44721</v>
                </pt>
                <pt idx="108">
                  <v>44722</v>
                </pt>
                <pt idx="109">
                  <v>44725</v>
                </pt>
                <pt idx="110">
                  <v>44726</v>
                </pt>
                <pt idx="111">
                  <v>44727</v>
                </pt>
                <pt idx="112">
                  <v>44728</v>
                </pt>
                <pt idx="113">
                  <v>44729</v>
                </pt>
                <pt idx="114">
                  <v>44732</v>
                </pt>
                <pt idx="115">
                  <v>44733</v>
                </pt>
                <pt idx="116">
                  <v>44734</v>
                </pt>
                <pt idx="117">
                  <v>44735</v>
                </pt>
                <pt idx="118">
                  <v>44736</v>
                </pt>
                <pt idx="119">
                  <v>44739</v>
                </pt>
                <pt idx="120">
                  <v>44740</v>
                </pt>
                <pt idx="121">
                  <v>44741</v>
                </pt>
                <pt idx="122">
                  <v>44742</v>
                </pt>
                <pt idx="123">
                  <v>44743</v>
                </pt>
                <pt idx="124">
                  <v>44746</v>
                </pt>
                <pt idx="125">
                  <v>44747</v>
                </pt>
                <pt idx="126">
                  <v>44748</v>
                </pt>
                <pt idx="127">
                  <v>44749</v>
                </pt>
                <pt idx="128">
                  <v>44750</v>
                </pt>
                <pt idx="129">
                  <v>44753</v>
                </pt>
                <pt idx="130">
                  <v>44754</v>
                </pt>
                <pt idx="131">
                  <v>44755</v>
                </pt>
                <pt idx="132">
                  <v>44756</v>
                </pt>
                <pt idx="133">
                  <v>44757</v>
                </pt>
                <pt idx="134">
                  <v>44760</v>
                </pt>
                <pt idx="135">
                  <v>44761</v>
                </pt>
                <pt idx="136">
                  <v>44762</v>
                </pt>
                <pt idx="137">
                  <v>44763</v>
                </pt>
                <pt idx="138">
                  <v>44764</v>
                </pt>
                <pt idx="139">
                  <v>44767</v>
                </pt>
                <pt idx="140">
                  <v>44768</v>
                </pt>
                <pt idx="141">
                  <v>44769</v>
                </pt>
                <pt idx="142">
                  <v>44770</v>
                </pt>
                <pt idx="143">
                  <v>44771</v>
                </pt>
                <pt idx="144">
                  <v>44774</v>
                </pt>
                <pt idx="145">
                  <v>44775</v>
                </pt>
                <pt idx="146">
                  <v>44776</v>
                </pt>
                <pt idx="147">
                  <v>44777</v>
                </pt>
                <pt idx="148">
                  <v>44778</v>
                </pt>
                <pt idx="149">
                  <v>44781</v>
                </pt>
                <pt idx="150">
                  <v>44783</v>
                </pt>
                <pt idx="151">
                  <v>44784</v>
                </pt>
                <pt idx="152">
                  <v>44785</v>
                </pt>
                <pt idx="153">
                  <v>44789</v>
                </pt>
                <pt idx="154">
                  <v>44790</v>
                </pt>
                <pt idx="155">
                  <v>44791</v>
                </pt>
                <pt idx="156">
                  <v>44792</v>
                </pt>
                <pt idx="157">
                  <v>44795</v>
                </pt>
                <pt idx="158">
                  <v>44796</v>
                </pt>
                <pt idx="159">
                  <v>44797</v>
                </pt>
                <pt idx="160">
                  <v>44798</v>
                </pt>
                <pt idx="161">
                  <v>44799</v>
                </pt>
                <pt idx="162">
                  <v>44802</v>
                </pt>
                <pt idx="163">
                  <v>44803</v>
                </pt>
                <pt idx="164">
                  <v>44805</v>
                </pt>
                <pt idx="165">
                  <v>44806</v>
                </pt>
                <pt idx="166">
                  <v>44809</v>
                </pt>
                <pt idx="167">
                  <v>44810</v>
                </pt>
                <pt idx="168">
                  <v>44811</v>
                </pt>
                <pt idx="169">
                  <v>44812</v>
                </pt>
                <pt idx="170">
                  <v>44813</v>
                </pt>
                <pt idx="171">
                  <v>44816</v>
                </pt>
                <pt idx="172">
                  <v>44817</v>
                </pt>
                <pt idx="173">
                  <v>44818</v>
                </pt>
                <pt idx="174">
                  <v>44819</v>
                </pt>
                <pt idx="175">
                  <v>44820</v>
                </pt>
                <pt idx="176">
                  <v>44823</v>
                </pt>
                <pt idx="177">
                  <v>44824</v>
                </pt>
                <pt idx="178">
                  <v>44825</v>
                </pt>
                <pt idx="179">
                  <v>44826</v>
                </pt>
                <pt idx="180">
                  <v>44827</v>
                </pt>
                <pt idx="181">
                  <v>44830</v>
                </pt>
                <pt idx="182">
                  <v>44831</v>
                </pt>
                <pt idx="183">
                  <v>44832</v>
                </pt>
                <pt idx="184">
                  <v>44833</v>
                </pt>
                <pt idx="185">
                  <v>44834</v>
                </pt>
                <pt idx="186">
                  <v>44837</v>
                </pt>
                <pt idx="187">
                  <v>44838</v>
                </pt>
                <pt idx="188">
                  <v>44840</v>
                </pt>
                <pt idx="189">
                  <v>44841</v>
                </pt>
                <pt idx="190">
                  <v>44844</v>
                </pt>
                <pt idx="191">
                  <v>44845</v>
                </pt>
                <pt idx="192">
                  <v>44846</v>
                </pt>
                <pt idx="193">
                  <v>44847</v>
                </pt>
                <pt idx="194">
                  <v>44848</v>
                </pt>
                <pt idx="195">
                  <v>44851</v>
                </pt>
                <pt idx="196">
                  <v>44852</v>
                </pt>
                <pt idx="197">
                  <v>44853</v>
                </pt>
                <pt idx="198">
                  <v>44854</v>
                </pt>
                <pt idx="199">
                  <v>44855</v>
                </pt>
                <pt idx="200">
                  <v>44858</v>
                </pt>
                <pt idx="201">
                  <v>44859</v>
                </pt>
                <pt idx="202">
                  <v>44861</v>
                </pt>
                <pt idx="203">
                  <v>44862</v>
                </pt>
                <pt idx="204">
                  <v>44865</v>
                </pt>
                <pt idx="205">
                  <v>44866</v>
                </pt>
                <pt idx="206">
                  <v>44867</v>
                </pt>
                <pt idx="207">
                  <v>44868</v>
                </pt>
                <pt idx="208">
                  <v>44869</v>
                </pt>
                <pt idx="209">
                  <v>44872</v>
                </pt>
                <pt idx="210">
                  <v>44874</v>
                </pt>
                <pt idx="211">
                  <v>44875</v>
                </pt>
                <pt idx="212">
                  <v>44876</v>
                </pt>
                <pt idx="213">
                  <v>44879</v>
                </pt>
                <pt idx="214">
                  <v>44880</v>
                </pt>
                <pt idx="215">
                  <v>44881</v>
                </pt>
                <pt idx="216">
                  <v>44882</v>
                </pt>
                <pt idx="217">
                  <v>44883</v>
                </pt>
                <pt idx="218">
                  <v>44886</v>
                </pt>
                <pt idx="219">
                  <v>44887</v>
                </pt>
                <pt idx="220">
                  <v>44888</v>
                </pt>
                <pt idx="221">
                  <v>44889</v>
                </pt>
                <pt idx="222">
                  <v>44890</v>
                </pt>
                <pt idx="223">
                  <v>44893</v>
                </pt>
                <pt idx="224">
                  <v>44894</v>
                </pt>
                <pt idx="225">
                  <v>44895</v>
                </pt>
                <pt idx="226">
                  <v>44896</v>
                </pt>
                <pt idx="227">
                  <v>44897</v>
                </pt>
                <pt idx="228">
                  <v>44900</v>
                </pt>
                <pt idx="229">
                  <v>44901</v>
                </pt>
                <pt idx="230">
                  <v>44902</v>
                </pt>
                <pt idx="231">
                  <v>44903</v>
                </pt>
                <pt idx="232">
                  <v>44904</v>
                </pt>
                <pt idx="233">
                  <v>44907</v>
                </pt>
                <pt idx="234">
                  <v>44908</v>
                </pt>
                <pt idx="235">
                  <v>44909</v>
                </pt>
                <pt idx="236">
                  <v>44910</v>
                </pt>
                <pt idx="237">
                  <v>44911</v>
                </pt>
                <pt idx="238">
                  <v>44914</v>
                </pt>
                <pt idx="239">
                  <v>44915</v>
                </pt>
                <pt idx="240">
                  <v>44916</v>
                </pt>
                <pt idx="241">
                  <v>44917</v>
                </pt>
                <pt idx="242">
                  <v>44918</v>
                </pt>
                <pt idx="243">
                  <v>44921</v>
                </pt>
                <pt idx="244">
                  <v>44922</v>
                </pt>
                <pt idx="245">
                  <v>44923</v>
                </pt>
                <pt idx="246">
                  <v>44924</v>
                </pt>
                <pt idx="247">
                  <v>44925</v>
                </pt>
                <pt idx="248">
                  <v>44928</v>
                </pt>
                <pt idx="249">
                  <v>44929</v>
                </pt>
                <pt idx="250">
                  <v>44930</v>
                </pt>
                <pt idx="251">
                  <v>44931</v>
                </pt>
                <pt idx="252">
                  <v>44932</v>
                </pt>
                <pt idx="253">
                  <v>44935</v>
                </pt>
                <pt idx="254">
                  <v>44936</v>
                </pt>
                <pt idx="255">
                  <v>44937</v>
                </pt>
                <pt idx="256">
                  <v>44938</v>
                </pt>
                <pt idx="257">
                  <v>44939</v>
                </pt>
                <pt idx="258">
                  <v>44942</v>
                </pt>
                <pt idx="259">
                  <v>44943</v>
                </pt>
                <pt idx="260">
                  <v>44944</v>
                </pt>
                <pt idx="261">
                  <v>44945</v>
                </pt>
                <pt idx="262">
                  <v>44946</v>
                </pt>
                <pt idx="263">
                  <v>44949</v>
                </pt>
                <pt idx="264">
                  <v>44950</v>
                </pt>
                <pt idx="265">
                  <v>44951</v>
                </pt>
                <pt idx="266">
                  <v>44953</v>
                </pt>
                <pt idx="267">
                  <v>44956</v>
                </pt>
                <pt idx="268">
                  <v>44957</v>
                </pt>
                <pt idx="269">
                  <v>44958</v>
                </pt>
                <pt idx="270">
                  <v>44959</v>
                </pt>
                <pt idx="271">
                  <v>44960</v>
                </pt>
                <pt idx="272">
                  <v>44963</v>
                </pt>
                <pt idx="273">
                  <v>44964</v>
                </pt>
                <pt idx="274">
                  <v>44965</v>
                </pt>
                <pt idx="275">
                  <v>44966</v>
                </pt>
                <pt idx="276">
                  <v>44967</v>
                </pt>
                <pt idx="277">
                  <v>44970</v>
                </pt>
                <pt idx="278">
                  <v>44971</v>
                </pt>
                <pt idx="279">
                  <v>44972</v>
                </pt>
                <pt idx="280">
                  <v>44973</v>
                </pt>
                <pt idx="281">
                  <v>44974</v>
                </pt>
                <pt idx="282">
                  <v>44977</v>
                </pt>
                <pt idx="283">
                  <v>44978</v>
                </pt>
                <pt idx="284">
                  <v>44979</v>
                </pt>
                <pt idx="285">
                  <v>44980</v>
                </pt>
                <pt idx="286">
                  <v>44981</v>
                </pt>
                <pt idx="287">
                  <v>44984</v>
                </pt>
                <pt idx="288">
                  <v>44985</v>
                </pt>
                <pt idx="289">
                  <v>44986</v>
                </pt>
                <pt idx="290">
                  <v>44987</v>
                </pt>
                <pt idx="291">
                  <v>44988</v>
                </pt>
                <pt idx="292">
                  <v>44991</v>
                </pt>
                <pt idx="293">
                  <v>44993</v>
                </pt>
                <pt idx="294">
                  <v>44994</v>
                </pt>
                <pt idx="295">
                  <v>44995</v>
                </pt>
                <pt idx="296">
                  <v>44998</v>
                </pt>
                <pt idx="297">
                  <v>44999</v>
                </pt>
                <pt idx="298">
                  <v>45000</v>
                </pt>
                <pt idx="299">
                  <v>45001</v>
                </pt>
                <pt idx="300">
                  <v>45002</v>
                </pt>
                <pt idx="301">
                  <v>45005</v>
                </pt>
                <pt idx="302">
                  <v>45006</v>
                </pt>
                <pt idx="303">
                  <v>45007</v>
                </pt>
                <pt idx="304">
                  <v>45008</v>
                </pt>
                <pt idx="305">
                  <v>45009</v>
                </pt>
                <pt idx="306">
                  <v>45012</v>
                </pt>
                <pt idx="307">
                  <v>45013</v>
                </pt>
                <pt idx="308">
                  <v>45014</v>
                </pt>
                <pt idx="309">
                  <v>45016</v>
                </pt>
                <pt idx="310">
                  <v>45019</v>
                </pt>
                <pt idx="311">
                  <v>45021</v>
                </pt>
                <pt idx="312">
                  <v>45022</v>
                </pt>
                <pt idx="313">
                  <v>45026</v>
                </pt>
                <pt idx="314">
                  <v>45027</v>
                </pt>
                <pt idx="315">
                  <v>45028</v>
                </pt>
                <pt idx="316">
                  <v>45029</v>
                </pt>
                <pt idx="317">
                  <v>45033</v>
                </pt>
                <pt idx="318">
                  <v>45034</v>
                </pt>
                <pt idx="319">
                  <v>45035</v>
                </pt>
                <pt idx="320">
                  <v>45036</v>
                </pt>
                <pt idx="321">
                  <v>45037</v>
                </pt>
                <pt idx="322">
                  <v>45040</v>
                </pt>
                <pt idx="323">
                  <v>45041</v>
                </pt>
                <pt idx="324">
                  <v>45042</v>
                </pt>
                <pt idx="325">
                  <v>45043</v>
                </pt>
                <pt idx="326">
                  <v>45044</v>
                </pt>
                <pt idx="327">
                  <v>45048</v>
                </pt>
                <pt idx="328">
                  <v>45049</v>
                </pt>
                <pt idx="329">
                  <v>45050</v>
                </pt>
                <pt idx="330">
                  <v>45051</v>
                </pt>
                <pt idx="331">
                  <v>45054</v>
                </pt>
                <pt idx="332">
                  <v>45055</v>
                </pt>
                <pt idx="333">
                  <v>45056</v>
                </pt>
                <pt idx="334">
                  <v>45057</v>
                </pt>
                <pt idx="335">
                  <v>45058</v>
                </pt>
                <pt idx="336">
                  <v>45061</v>
                </pt>
                <pt idx="337">
                  <v>45062</v>
                </pt>
                <pt idx="338">
                  <v>45063</v>
                </pt>
                <pt idx="339">
                  <v>45064</v>
                </pt>
                <pt idx="340">
                  <v>45065</v>
                </pt>
                <pt idx="341">
                  <v>45068</v>
                </pt>
                <pt idx="342">
                  <v>45069</v>
                </pt>
                <pt idx="343">
                  <v>45070</v>
                </pt>
                <pt idx="344">
                  <v>45071</v>
                </pt>
                <pt idx="345">
                  <v>45072</v>
                </pt>
                <pt idx="346">
                  <v>45075</v>
                </pt>
                <pt idx="347">
                  <v>45076</v>
                </pt>
                <pt idx="348">
                  <v>45077</v>
                </pt>
                <pt idx="349">
                  <v>45078</v>
                </pt>
                <pt idx="350">
                  <v>45079</v>
                </pt>
                <pt idx="351">
                  <v>45082</v>
                </pt>
                <pt idx="352">
                  <v>45083</v>
                </pt>
                <pt idx="353">
                  <v>45084</v>
                </pt>
                <pt idx="354">
                  <v>45085</v>
                </pt>
                <pt idx="355">
                  <v>45086</v>
                </pt>
                <pt idx="356">
                  <v>45089</v>
                </pt>
                <pt idx="357">
                  <v>45090</v>
                </pt>
                <pt idx="358">
                  <v>45091</v>
                </pt>
                <pt idx="359">
                  <v>45092</v>
                </pt>
                <pt idx="360">
                  <v>45093</v>
                </pt>
                <pt idx="361">
                  <v>45096</v>
                </pt>
                <pt idx="362">
                  <v>45097</v>
                </pt>
                <pt idx="363">
                  <v>45098</v>
                </pt>
                <pt idx="364">
                  <v>45099</v>
                </pt>
                <pt idx="365">
                  <v>45100</v>
                </pt>
                <pt idx="366">
                  <v>45103</v>
                </pt>
                <pt idx="367">
                  <v>45104</v>
                </pt>
                <pt idx="368">
                  <v>45105</v>
                </pt>
                <pt idx="369">
                  <v>45107</v>
                </pt>
                <pt idx="370">
                  <v>45110</v>
                </pt>
                <pt idx="371">
                  <v>45111</v>
                </pt>
                <pt idx="372">
                  <v>45112</v>
                </pt>
                <pt idx="373">
                  <v>45113</v>
                </pt>
                <pt idx="374">
                  <v>45114</v>
                </pt>
                <pt idx="375">
                  <v>45117</v>
                </pt>
                <pt idx="376">
                  <v>45118</v>
                </pt>
                <pt idx="377">
                  <v>45119</v>
                </pt>
                <pt idx="378">
                  <v>45120</v>
                </pt>
                <pt idx="379">
                  <v>45121</v>
                </pt>
                <pt idx="380">
                  <v>45124</v>
                </pt>
                <pt idx="381">
                  <v>45125</v>
                </pt>
                <pt idx="382">
                  <v>45126</v>
                </pt>
                <pt idx="383">
                  <v>45127</v>
                </pt>
                <pt idx="384">
                  <v>45128</v>
                </pt>
                <pt idx="385">
                  <v>45131</v>
                </pt>
                <pt idx="386">
                  <v>45132</v>
                </pt>
                <pt idx="387">
                  <v>45133</v>
                </pt>
                <pt idx="388">
                  <v>45134</v>
                </pt>
                <pt idx="389">
                  <v>45135</v>
                </pt>
                <pt idx="390">
                  <v>45138</v>
                </pt>
                <pt idx="391">
                  <v>45139</v>
                </pt>
                <pt idx="392">
                  <v>45140</v>
                </pt>
                <pt idx="393">
                  <v>45141</v>
                </pt>
                <pt idx="394">
                  <v>45142</v>
                </pt>
                <pt idx="395">
                  <v>45145</v>
                </pt>
                <pt idx="396">
                  <v>45146</v>
                </pt>
                <pt idx="397">
                  <v>45147</v>
                </pt>
                <pt idx="398">
                  <v>45148</v>
                </pt>
                <pt idx="399">
                  <v>45149</v>
                </pt>
                <pt idx="400">
                  <v>45152</v>
                </pt>
                <pt idx="401">
                  <v>45154</v>
                </pt>
                <pt idx="402">
                  <v>45155</v>
                </pt>
                <pt idx="403">
                  <v>45156</v>
                </pt>
                <pt idx="404">
                  <v>45159</v>
                </pt>
                <pt idx="405">
                  <v>45160</v>
                </pt>
                <pt idx="406">
                  <v>45161</v>
                </pt>
                <pt idx="407">
                  <v>45162</v>
                </pt>
                <pt idx="408">
                  <v>45163</v>
                </pt>
                <pt idx="409">
                  <v>45166</v>
                </pt>
                <pt idx="410">
                  <v>45167</v>
                </pt>
                <pt idx="411">
                  <v>45168</v>
                </pt>
                <pt idx="412">
                  <v>45169</v>
                </pt>
                <pt idx="413">
                  <v>45170</v>
                </pt>
                <pt idx="414">
                  <v>45173</v>
                </pt>
                <pt idx="415">
                  <v>45174</v>
                </pt>
                <pt idx="416">
                  <v>45175</v>
                </pt>
                <pt idx="417">
                  <v>45176</v>
                </pt>
                <pt idx="418">
                  <v>45177</v>
                </pt>
                <pt idx="419">
                  <v>45180</v>
                </pt>
                <pt idx="420">
                  <v>45181</v>
                </pt>
                <pt idx="421">
                  <v>45182</v>
                </pt>
                <pt idx="422">
                  <v>45183</v>
                </pt>
                <pt idx="423">
                  <v>45184</v>
                </pt>
                <pt idx="424">
                  <v>45187</v>
                </pt>
                <pt idx="425">
                  <v>45189</v>
                </pt>
                <pt idx="426">
                  <v>45190</v>
                </pt>
                <pt idx="427">
                  <v>45191</v>
                </pt>
                <pt idx="428">
                  <v>45194</v>
                </pt>
                <pt idx="429">
                  <v>45195</v>
                </pt>
                <pt idx="430">
                  <v>45196</v>
                </pt>
                <pt idx="431">
                  <v>45197</v>
                </pt>
                <pt idx="432">
                  <v>45198</v>
                </pt>
                <pt idx="433">
                  <v>45202</v>
                </pt>
                <pt idx="434">
                  <v>45203</v>
                </pt>
                <pt idx="435">
                  <v>45204</v>
                </pt>
                <pt idx="436">
                  <v>45205</v>
                </pt>
                <pt idx="437">
                  <v>45208</v>
                </pt>
                <pt idx="438">
                  <v>45209</v>
                </pt>
                <pt idx="439">
                  <v>45210</v>
                </pt>
                <pt idx="440">
                  <v>45211</v>
                </pt>
                <pt idx="441">
                  <v>45212</v>
                </pt>
                <pt idx="442">
                  <v>45215</v>
                </pt>
                <pt idx="443">
                  <v>45216</v>
                </pt>
                <pt idx="444">
                  <v>45217</v>
                </pt>
                <pt idx="445">
                  <v>45218</v>
                </pt>
                <pt idx="446">
                  <v>45219</v>
                </pt>
                <pt idx="447">
                  <v>45222</v>
                </pt>
                <pt idx="448">
                  <v>45224</v>
                </pt>
                <pt idx="449">
                  <v>45225</v>
                </pt>
                <pt idx="450">
                  <v>45226</v>
                </pt>
                <pt idx="451">
                  <v>45229</v>
                </pt>
                <pt idx="452">
                  <v>45230</v>
                </pt>
                <pt idx="453">
                  <v>45231</v>
                </pt>
                <pt idx="454">
                  <v>45232</v>
                </pt>
                <pt idx="455">
                  <v>45233</v>
                </pt>
                <pt idx="456">
                  <v>45236</v>
                </pt>
                <pt idx="457">
                  <v>45237</v>
                </pt>
                <pt idx="458">
                  <v>45238</v>
                </pt>
                <pt idx="459">
                  <v>45239</v>
                </pt>
                <pt idx="460">
                  <v>45240</v>
                </pt>
                <pt idx="461">
                  <v>45242</v>
                </pt>
                <pt idx="462">
                  <v>45243</v>
                </pt>
                <pt idx="463">
                  <v>45245</v>
                </pt>
                <pt idx="464">
                  <v>45246</v>
                </pt>
                <pt idx="465">
                  <v>45247</v>
                </pt>
                <pt idx="466">
                  <v>45250</v>
                </pt>
                <pt idx="467">
                  <v>45251</v>
                </pt>
                <pt idx="468">
                  <v>45252</v>
                </pt>
                <pt idx="469">
                  <v>45253</v>
                </pt>
                <pt idx="470">
                  <v>45254</v>
                </pt>
                <pt idx="471">
                  <v>45258</v>
                </pt>
                <pt idx="472">
                  <v>45259</v>
                </pt>
                <pt idx="473">
                  <v>45260</v>
                </pt>
                <pt idx="474">
                  <v>45261</v>
                </pt>
                <pt idx="475">
                  <v>45264</v>
                </pt>
                <pt idx="476">
                  <v>45265</v>
                </pt>
                <pt idx="477">
                  <v>45266</v>
                </pt>
                <pt idx="478">
                  <v>45267</v>
                </pt>
                <pt idx="479">
                  <v>45268</v>
                </pt>
                <pt idx="480">
                  <v>45271</v>
                </pt>
                <pt idx="481">
                  <v>45272</v>
                </pt>
                <pt idx="482">
                  <v>45273</v>
                </pt>
                <pt idx="483">
                  <v>45274</v>
                </pt>
                <pt idx="484">
                  <v>45275</v>
                </pt>
                <pt idx="485">
                  <v>45278</v>
                </pt>
                <pt idx="486">
                  <v>45279</v>
                </pt>
                <pt idx="487">
                  <v>45280</v>
                </pt>
                <pt idx="488">
                  <v>45281</v>
                </pt>
                <pt idx="489">
                  <v>45282</v>
                </pt>
                <pt idx="490">
                  <v>45286</v>
                </pt>
                <pt idx="491">
                  <v>45287</v>
                </pt>
                <pt idx="492">
                  <v>45288</v>
                </pt>
                <pt idx="493">
                  <v>45289</v>
                </pt>
                <pt idx="494">
                  <v>45292</v>
                </pt>
                <pt idx="495">
                  <v>45293</v>
                </pt>
                <pt idx="496">
                  <v>45294</v>
                </pt>
                <pt idx="497">
                  <v>45295</v>
                </pt>
                <pt idx="498">
                  <v>45296</v>
                </pt>
                <pt idx="499">
                  <v>45299</v>
                </pt>
                <pt idx="500">
                  <v>45300</v>
                </pt>
                <pt idx="501">
                  <v>45301</v>
                </pt>
                <pt idx="502">
                  <v>45302</v>
                </pt>
                <pt idx="503">
                  <v>45303</v>
                </pt>
                <pt idx="504">
                  <v>45306</v>
                </pt>
                <pt idx="505">
                  <v>45307</v>
                </pt>
                <pt idx="506">
                  <v>45308</v>
                </pt>
                <pt idx="507">
                  <v>45309</v>
                </pt>
                <pt idx="508">
                  <v>45310</v>
                </pt>
                <pt idx="509">
                  <v>45311</v>
                </pt>
                <pt idx="510">
                  <v>45314</v>
                </pt>
                <pt idx="511">
                  <v>45315</v>
                </pt>
                <pt idx="512">
                  <v>45316</v>
                </pt>
                <pt idx="513">
                  <v>45320</v>
                </pt>
                <pt idx="514">
                  <v>45321</v>
                </pt>
                <pt idx="515">
                  <v>45322</v>
                </pt>
                <pt idx="516">
                  <v>45323</v>
                </pt>
                <pt idx="517">
                  <v>45324</v>
                </pt>
                <pt idx="518">
                  <v>45327</v>
                </pt>
                <pt idx="519">
                  <v>45328</v>
                </pt>
                <pt idx="520">
                  <v>45329</v>
                </pt>
                <pt idx="521">
                  <v>45330</v>
                </pt>
                <pt idx="522">
                  <v>45331</v>
                </pt>
                <pt idx="523">
                  <v>45334</v>
                </pt>
                <pt idx="524">
                  <v>45335</v>
                </pt>
                <pt idx="525">
                  <v>45336</v>
                </pt>
                <pt idx="526">
                  <v>45337</v>
                </pt>
                <pt idx="527">
                  <v>45338</v>
                </pt>
                <pt idx="528">
                  <v>45341</v>
                </pt>
                <pt idx="529">
                  <v>45342</v>
                </pt>
                <pt idx="530">
                  <v>45343</v>
                </pt>
                <pt idx="531">
                  <v>45344</v>
                </pt>
                <pt idx="532">
                  <v>45345</v>
                </pt>
                <pt idx="533">
                  <v>45348</v>
                </pt>
                <pt idx="534">
                  <v>45349</v>
                </pt>
                <pt idx="535">
                  <v>45350</v>
                </pt>
                <pt idx="536">
                  <v>45351</v>
                </pt>
                <pt idx="537">
                  <v>45352</v>
                </pt>
                <pt idx="538">
                  <v>45353</v>
                </pt>
                <pt idx="539">
                  <v>45355</v>
                </pt>
                <pt idx="540">
                  <v>45356</v>
                </pt>
                <pt idx="541">
                  <v>45357</v>
                </pt>
                <pt idx="542">
                  <v>45358</v>
                </pt>
                <pt idx="543">
                  <v>45362</v>
                </pt>
                <pt idx="544">
                  <v>45363</v>
                </pt>
                <pt idx="545">
                  <v>45364</v>
                </pt>
                <pt idx="546">
                  <v>45365</v>
                </pt>
                <pt idx="547">
                  <v>45366</v>
                </pt>
                <pt idx="548">
                  <v>45369</v>
                </pt>
                <pt idx="549">
                  <v>45370</v>
                </pt>
                <pt idx="550">
                  <v>45371</v>
                </pt>
                <pt idx="551">
                  <v>45372</v>
                </pt>
                <pt idx="552">
                  <v>45373</v>
                </pt>
                <pt idx="553">
                  <v>45377</v>
                </pt>
                <pt idx="554">
                  <v>45378</v>
                </pt>
                <pt idx="555">
                  <v>45379</v>
                </pt>
                <pt idx="556">
                  <v>45383</v>
                </pt>
                <pt idx="557">
                  <v>45384</v>
                </pt>
                <pt idx="558">
                  <v>45385</v>
                </pt>
                <pt idx="559">
                  <v>45386</v>
                </pt>
                <pt idx="560">
                  <v>45387</v>
                </pt>
                <pt idx="561">
                  <v>45390</v>
                </pt>
                <pt idx="562">
                  <v>45391</v>
                </pt>
                <pt idx="563">
                  <v>45392</v>
                </pt>
                <pt idx="564">
                  <v>45394</v>
                </pt>
                <pt idx="565">
                  <v>45397</v>
                </pt>
                <pt idx="566">
                  <v>45398</v>
                </pt>
                <pt idx="567">
                  <v>45400</v>
                </pt>
                <pt idx="568">
                  <v>45401</v>
                </pt>
                <pt idx="569">
                  <v>45404</v>
                </pt>
                <pt idx="570">
                  <v>45405</v>
                </pt>
                <pt idx="571">
                  <v>45406</v>
                </pt>
                <pt idx="572">
                  <v>45407</v>
                </pt>
                <pt idx="573">
                  <v>45408</v>
                </pt>
                <pt idx="574">
                  <v>45411</v>
                </pt>
                <pt idx="575">
                  <v>45412</v>
                </pt>
                <pt idx="576">
                  <v>45414</v>
                </pt>
                <pt idx="577">
                  <v>45415</v>
                </pt>
                <pt idx="578">
                  <v>45418</v>
                </pt>
                <pt idx="579">
                  <v>45419</v>
                </pt>
                <pt idx="580">
                  <v>45420</v>
                </pt>
                <pt idx="581">
                  <v>45421</v>
                </pt>
                <pt idx="582">
                  <v>45422</v>
                </pt>
                <pt idx="583">
                  <v>45425</v>
                </pt>
                <pt idx="584">
                  <v>45426</v>
                </pt>
                <pt idx="585">
                  <v>45427</v>
                </pt>
                <pt idx="586">
                  <v>45428</v>
                </pt>
                <pt idx="587">
                  <v>45429</v>
                </pt>
                <pt idx="588">
                  <v>45430</v>
                </pt>
                <pt idx="589">
                  <v>45433</v>
                </pt>
                <pt idx="590">
                  <v>45434</v>
                </pt>
                <pt idx="591">
                  <v>45435</v>
                </pt>
                <pt idx="592">
                  <v>45436</v>
                </pt>
                <pt idx="593">
                  <v>45439</v>
                </pt>
                <pt idx="594">
                  <v>45440</v>
                </pt>
                <pt idx="595">
                  <v>45441</v>
                </pt>
                <pt idx="596">
                  <v>45442</v>
                </pt>
                <pt idx="597">
                  <v>45443</v>
                </pt>
                <pt idx="598">
                  <v>45446</v>
                </pt>
                <pt idx="599">
                  <v>45447</v>
                </pt>
                <pt idx="600">
                  <v>45448</v>
                </pt>
                <pt idx="601">
                  <v>45449</v>
                </pt>
                <pt idx="602">
                  <v>45450</v>
                </pt>
                <pt idx="603">
                  <v>45453</v>
                </pt>
                <pt idx="604">
                  <v>45454</v>
                </pt>
                <pt idx="605">
                  <v>45455</v>
                </pt>
                <pt idx="606">
                  <v>45456</v>
                </pt>
                <pt idx="607">
                  <v>45457</v>
                </pt>
                <pt idx="608">
                  <v>45461</v>
                </pt>
                <pt idx="609">
                  <v>45462</v>
                </pt>
                <pt idx="610">
                  <v>45463</v>
                </pt>
                <pt idx="611">
                  <v>45464</v>
                </pt>
                <pt idx="612">
                  <v>45467</v>
                </pt>
                <pt idx="613">
                  <v>45468</v>
                </pt>
                <pt idx="614">
                  <v>45469</v>
                </pt>
                <pt idx="615">
                  <v>45470</v>
                </pt>
                <pt idx="616">
                  <v>45471</v>
                </pt>
                <pt idx="617">
                  <v>45474</v>
                </pt>
                <pt idx="618">
                  <v>45475</v>
                </pt>
                <pt idx="619">
                  <v>45476</v>
                </pt>
                <pt idx="620">
                  <v>45477</v>
                </pt>
                <pt idx="621">
                  <v>45478</v>
                </pt>
                <pt idx="622">
                  <v>45481</v>
                </pt>
                <pt idx="623">
                  <v>45482</v>
                </pt>
                <pt idx="624">
                  <v>45483</v>
                </pt>
                <pt idx="625">
                  <v>45484</v>
                </pt>
                <pt idx="626">
                  <v>45485</v>
                </pt>
                <pt idx="627">
                  <v>45488</v>
                </pt>
                <pt idx="628">
                  <v>45489</v>
                </pt>
                <pt idx="629">
                  <v>45491</v>
                </pt>
                <pt idx="630">
                  <v>45492</v>
                </pt>
                <pt idx="631">
                  <v>45495</v>
                </pt>
                <pt idx="632">
                  <v>45496</v>
                </pt>
                <pt idx="633">
                  <v>45497</v>
                </pt>
                <pt idx="634">
                  <v>45498</v>
                </pt>
                <pt idx="635">
                  <v>45499</v>
                </pt>
                <pt idx="636">
                  <v>45502</v>
                </pt>
                <pt idx="637">
                  <v>45503</v>
                </pt>
                <pt idx="638">
                  <v>45504</v>
                </pt>
                <pt idx="639">
                  <v>45505</v>
                </pt>
                <pt idx="640">
                  <v>45506</v>
                </pt>
                <pt idx="641">
                  <v>45509</v>
                </pt>
                <pt idx="642">
                  <v>45510</v>
                </pt>
                <pt idx="643">
                  <v>45511</v>
                </pt>
                <pt idx="644">
                  <v>45512</v>
                </pt>
                <pt idx="645">
                  <v>45513</v>
                </pt>
                <pt idx="646">
                  <v>45516</v>
                </pt>
                <pt idx="647">
                  <v>45517</v>
                </pt>
                <pt idx="648">
                  <v>45518</v>
                </pt>
                <pt idx="649">
                  <v>45520</v>
                </pt>
                <pt idx="650">
                  <v>45523</v>
                </pt>
                <pt idx="651">
                  <v>45524</v>
                </pt>
                <pt idx="652">
                  <v>45525</v>
                </pt>
                <pt idx="653">
                  <v>45526</v>
                </pt>
                <pt idx="654">
                  <v>45527</v>
                </pt>
                <pt idx="655">
                  <v>45530</v>
                </pt>
                <pt idx="656">
                  <v>45531</v>
                </pt>
                <pt idx="657">
                  <v>45532</v>
                </pt>
                <pt idx="658">
                  <v>45533</v>
                </pt>
                <pt idx="659">
                  <v>45534</v>
                </pt>
                <pt idx="660">
                  <v>45537</v>
                </pt>
                <pt idx="661">
                  <v>45538</v>
                </pt>
                <pt idx="662">
                  <v>45539</v>
                </pt>
                <pt idx="663">
                  <v>45540</v>
                </pt>
                <pt idx="664">
                  <v>45541</v>
                </pt>
                <pt idx="665">
                  <v>45544</v>
                </pt>
                <pt idx="666">
                  <v>45545</v>
                </pt>
                <pt idx="667">
                  <v>45546</v>
                </pt>
                <pt idx="668">
                  <v>45547</v>
                </pt>
                <pt idx="669">
                  <v>45548</v>
                </pt>
                <pt idx="670">
                  <v>45551</v>
                </pt>
                <pt idx="671">
                  <v>45552</v>
                </pt>
                <pt idx="672">
                  <v>45553</v>
                </pt>
                <pt idx="673">
                  <v>45554</v>
                </pt>
                <pt idx="674">
                  <v>45555</v>
                </pt>
                <pt idx="675">
                  <v>45558</v>
                </pt>
                <pt idx="676">
                  <v>45559</v>
                </pt>
                <pt idx="677">
                  <v>45560</v>
                </pt>
                <pt idx="678">
                  <v>45561</v>
                </pt>
                <pt idx="679">
                  <v>45562</v>
                </pt>
                <pt idx="680">
                  <v>45565</v>
                </pt>
                <pt idx="681">
                  <v>45566</v>
                </pt>
                <pt idx="682">
                  <v>45568</v>
                </pt>
                <pt idx="683">
                  <v>45569</v>
                </pt>
                <pt idx="684">
                  <v>45572</v>
                </pt>
                <pt idx="685">
                  <v>45573</v>
                </pt>
                <pt idx="686">
                  <v>45574</v>
                </pt>
                <pt idx="687">
                  <v>45575</v>
                </pt>
                <pt idx="688">
                  <v>45576</v>
                </pt>
                <pt idx="689">
                  <v>45579</v>
                </pt>
                <pt idx="690">
                  <v>45580</v>
                </pt>
                <pt idx="691">
                  <v>45581</v>
                </pt>
                <pt idx="692">
                  <v>45582</v>
                </pt>
                <pt idx="693">
                  <v>45583</v>
                </pt>
                <pt idx="694">
                  <v>45586</v>
                </pt>
                <pt idx="695">
                  <v>45587</v>
                </pt>
                <pt idx="696">
                  <v>45588</v>
                </pt>
                <pt idx="697">
                  <v>45589</v>
                </pt>
                <pt idx="698">
                  <v>45590</v>
                </pt>
                <pt idx="699">
                  <v>45593</v>
                </pt>
                <pt idx="700">
                  <v>45594</v>
                </pt>
                <pt idx="701">
                  <v>45595</v>
                </pt>
                <pt idx="702">
                  <v>45596</v>
                </pt>
                <pt idx="703">
                  <v>45597</v>
                </pt>
                <pt idx="704">
                  <v>45600</v>
                </pt>
                <pt idx="705">
                  <v>45601</v>
                </pt>
                <pt idx="706">
                  <v>45602</v>
                </pt>
                <pt idx="707">
                  <v>45603</v>
                </pt>
                <pt idx="708">
                  <v>45604</v>
                </pt>
                <pt idx="709">
                  <v>45607</v>
                </pt>
                <pt idx="710">
                  <v>45608</v>
                </pt>
                <pt idx="711">
                  <v>45609</v>
                </pt>
                <pt idx="712">
                  <v>45610</v>
                </pt>
                <pt idx="713">
                  <v>45614</v>
                </pt>
                <pt idx="714">
                  <v>45615</v>
                </pt>
                <pt idx="715">
                  <v>45617</v>
                </pt>
                <pt idx="716">
                  <v>45618</v>
                </pt>
                <pt idx="717">
                  <v>45621</v>
                </pt>
                <pt idx="718">
                  <v>45622</v>
                </pt>
                <pt idx="719">
                  <v>45623</v>
                </pt>
                <pt idx="720">
                  <v>45624</v>
                </pt>
                <pt idx="721">
                  <v>45625</v>
                </pt>
                <pt idx="722">
                  <v>45628</v>
                </pt>
                <pt idx="723">
                  <v>45629</v>
                </pt>
                <pt idx="724">
                  <v>45630</v>
                </pt>
                <pt idx="725">
                  <v>45631</v>
                </pt>
                <pt idx="726">
                  <v>45632</v>
                </pt>
                <pt idx="727">
                  <v>45635</v>
                </pt>
                <pt idx="728">
                  <v>45636</v>
                </pt>
                <pt idx="729">
                  <v>45637</v>
                </pt>
                <pt idx="730">
                  <v>45638</v>
                </pt>
                <pt idx="731">
                  <v>45639</v>
                </pt>
                <pt idx="732">
                  <v>45642</v>
                </pt>
                <pt idx="733">
                  <v>45643</v>
                </pt>
                <pt idx="734">
                  <v>45644</v>
                </pt>
                <pt idx="735">
                  <v>45645</v>
                </pt>
                <pt idx="736">
                  <v>45646</v>
                </pt>
                <pt idx="737">
                  <v>45649</v>
                </pt>
                <pt idx="738">
                  <v>45650</v>
                </pt>
                <pt idx="739">
                  <v>45652</v>
                </pt>
                <pt idx="740">
                  <v>45653</v>
                </pt>
                <pt idx="741">
                  <v>45656</v>
                </pt>
                <pt idx="742">
                  <v>45657</v>
                </pt>
                <pt idx="743">
                  <v>45658</v>
                </pt>
                <pt idx="744">
                  <v>45659</v>
                </pt>
                <pt idx="745">
                  <v>45660</v>
                </pt>
                <pt idx="746">
                  <v>45663</v>
                </pt>
                <pt idx="747">
                  <v>45664</v>
                </pt>
                <pt idx="748">
                  <v>45665</v>
                </pt>
                <pt idx="749">
                  <v>45666</v>
                </pt>
                <pt idx="750">
                  <v>45667</v>
                </pt>
                <pt idx="751">
                  <v>45670</v>
                </pt>
                <pt idx="752">
                  <v>45671</v>
                </pt>
                <pt idx="753">
                  <v>45672</v>
                </pt>
                <pt idx="754">
                  <v>45673</v>
                </pt>
                <pt idx="755">
                  <v>45674</v>
                </pt>
                <pt idx="756">
                  <v>45677</v>
                </pt>
                <pt idx="757">
                  <v>45678</v>
                </pt>
                <pt idx="758">
                  <v>45679</v>
                </pt>
                <pt idx="759">
                  <v>45680</v>
                </pt>
                <pt idx="760">
                  <v>45681</v>
                </pt>
                <pt idx="761">
                  <v>45684</v>
                </pt>
                <pt idx="762">
                  <v>45685</v>
                </pt>
                <pt idx="763">
                  <v>45686</v>
                </pt>
                <pt idx="764">
                  <v>45687</v>
                </pt>
                <pt idx="765">
                  <v>45688</v>
                </pt>
                <pt idx="766">
                  <v>45689</v>
                </pt>
                <pt idx="767">
                  <v>45691</v>
                </pt>
                <pt idx="768">
                  <v>45692</v>
                </pt>
                <pt idx="769">
                  <v>45693</v>
                </pt>
                <pt idx="770">
                  <v>45694</v>
                </pt>
                <pt idx="771">
                  <v>45695</v>
                </pt>
                <pt idx="772">
                  <v>45698</v>
                </pt>
                <pt idx="773">
                  <v>45699</v>
                </pt>
                <pt idx="774">
                  <v>45700</v>
                </pt>
                <pt idx="775">
                  <v>45701</v>
                </pt>
                <pt idx="776">
                  <v>45702</v>
                </pt>
                <pt idx="777">
                  <v>45705</v>
                </pt>
                <pt idx="778">
                  <v>45706</v>
                </pt>
                <pt idx="779">
                  <v>45707</v>
                </pt>
                <pt idx="780">
                  <v>45708</v>
                </pt>
                <pt idx="781">
                  <v>45709</v>
                </pt>
                <pt idx="782">
                  <v>45712</v>
                </pt>
                <pt idx="783">
                  <v>45713</v>
                </pt>
                <pt idx="784">
                  <v>45715</v>
                </pt>
                <pt idx="785">
                  <v>45716</v>
                </pt>
                <pt idx="786">
                  <v>45719</v>
                </pt>
                <pt idx="787">
                  <v>45720</v>
                </pt>
                <pt idx="788">
                  <v>45721</v>
                </pt>
                <pt idx="789">
                  <v>45722</v>
                </pt>
                <pt idx="790">
                  <v>45723</v>
                </pt>
                <pt idx="791">
                  <v>45726</v>
                </pt>
                <pt idx="792">
                  <v>45727</v>
                </pt>
                <pt idx="793">
                  <v>45728</v>
                </pt>
                <pt idx="794">
                  <v>45729</v>
                </pt>
                <pt idx="795">
                  <v>45733</v>
                </pt>
                <pt idx="796">
                  <v>45734</v>
                </pt>
                <pt idx="797">
                  <v>45735</v>
                </pt>
                <pt idx="798">
                  <v>45736</v>
                </pt>
                <pt idx="799">
                  <v>45737</v>
                </pt>
                <pt idx="800">
                  <v>45740</v>
                </pt>
                <pt idx="801">
                  <v>45741</v>
                </pt>
                <pt idx="802">
                  <v>45742</v>
                </pt>
                <pt idx="803">
                  <v>45743</v>
                </pt>
                <pt idx="804">
                  <v>45744</v>
                </pt>
              </numCache>
            </numRef>
          </cat>
          <val>
            <numRef>
              <f>'EVI 2025 Workings'!$S$2:$S$806</f>
              <numCache>
                <formatCode>0.00</formatCode>
                <ptCount val="805"/>
                <pt idx="0">
                  <v>0.8791909999999998</v>
                </pt>
                <pt idx="1">
                  <v>0.8906399999999999</v>
                </pt>
                <pt idx="2">
                  <v>0.8917780000000001</v>
                </pt>
                <pt idx="3">
                  <v>0.880362</v>
                </pt>
                <pt idx="4">
                  <v>0.8910000000000001</v>
                </pt>
                <pt idx="5">
                  <v>0.897859</v>
                </pt>
                <pt idx="6">
                  <v>0.898222</v>
                </pt>
                <pt idx="7">
                  <v>0.90321</v>
                </pt>
                <pt idx="8">
                  <v>0.908246</v>
                </pt>
                <pt idx="9">
                  <v>0.90827</v>
                </pt>
                <pt idx="10">
                  <v>0.9133200000000001</v>
                </pt>
                <pt idx="11">
                  <v>0.9</v>
                </pt>
                <pt idx="12">
                  <v>0.9111680000000001</v>
                </pt>
                <pt idx="13">
                  <v>0.912731</v>
                </pt>
                <pt idx="14">
                  <v>0.906017</v>
                </pt>
                <pt idx="15">
                  <v>0.8813989999999999</v>
                </pt>
                <pt idx="16">
                  <v>0.8707369999999999</v>
                </pt>
                <pt idx="17">
                  <v>0.868184</v>
                </pt>
                <pt idx="18">
                  <v>0.86856</v>
                </pt>
                <pt idx="19">
                  <v>0.880592</v>
                </pt>
                <pt idx="20">
                  <v>0.8904740000000001</v>
                </pt>
                <pt idx="21">
                  <v>0.9196799999999999</v>
                </pt>
                <pt idx="22">
                  <v>0.9057949999999999</v>
                </pt>
                <pt idx="23">
                  <v>0.9094159999999999</v>
                </pt>
                <pt idx="24">
                  <v>0.892046</v>
                </pt>
                <pt idx="25">
                  <v>0.8903699999999999</v>
                </pt>
                <pt idx="26">
                  <v>0.8958919999999999</v>
                </pt>
                <pt idx="27">
                  <v>0.8640479999999999</v>
                </pt>
                <pt idx="28">
                  <v>0.8504999999999999</v>
                </pt>
                <pt idx="29">
                  <v>0.8215600000000001</v>
                </pt>
                <pt idx="30">
                  <v>0.8429720000000001</v>
                </pt>
                <pt idx="31">
                  <v>0.8306709999999999</v>
                </pt>
                <pt idx="32">
                  <v>0.81435</v>
                </pt>
                <pt idx="33">
                  <v>0.8262120000000001</v>
                </pt>
                <pt idx="34">
                  <v>0.820652</v>
                </pt>
                <pt idx="35">
                  <v>0.8172839999999999</v>
                </pt>
                <pt idx="36">
                  <v>0.8139740000000001</v>
                </pt>
                <pt idx="37">
                  <v>0.781286</v>
                </pt>
                <pt idx="38">
                  <v>0.8011080000000002</v>
                </pt>
                <pt idx="39">
                  <v>0.805307</v>
                </pt>
                <pt idx="40">
                  <v>0.80703</v>
                </pt>
                <pt idx="41">
                  <v>0.8038590000000001</v>
                </pt>
                <pt idx="42">
                  <v>0.7938200000000001</v>
                </pt>
                <pt idx="43">
                  <v>0.780937</v>
                </pt>
                <pt idx="44">
                  <v>0.790656</v>
                </pt>
                <pt idx="45">
                  <v>0.7941780000000001</v>
                </pt>
                <pt idx="46">
                  <v>0.819456</v>
                </pt>
                <pt idx="47">
                  <v>0.8188540000000001</v>
                </pt>
                <pt idx="48">
                  <v>0.8307270000000001</v>
                </pt>
                <pt idx="49">
                  <v>0.81396</v>
                </pt>
                <pt idx="50">
                  <v>0.826978</v>
                </pt>
                <pt idx="51">
                  <v>0.838071</v>
                </pt>
                <pt idx="52">
                  <v>0.831978</v>
                </pt>
                <pt idx="53">
                  <v>0.8369759999999999</v>
                </pt>
                <pt idx="54">
                  <v>0.8424600000000001</v>
                </pt>
                <pt idx="55">
                  <v>0.8413200000000001</v>
                </pt>
                <pt idx="56">
                  <v>0.8356950000000001</v>
                </pt>
                <pt idx="57">
                  <v>0.836892</v>
                </pt>
                <pt idx="58">
                  <v>0.8418059999999999</v>
                </pt>
                <pt idx="59">
                  <v>0.86175</v>
                </pt>
                <pt idx="60">
                  <v>0.8778360000000001</v>
                </pt>
                <pt idx="61">
                  <v>0.888177</v>
                </pt>
                <pt idx="62">
                  <v>0.888375</v>
                </pt>
                <pt idx="63">
                  <v>0.879161</v>
                </pt>
                <pt idx="64">
                  <v>0.883386</v>
                </pt>
                <pt idx="65">
                  <v>0.895905</v>
                </pt>
                <pt idx="66">
                  <v>0.928932</v>
                </pt>
                <pt idx="67">
                  <v>0.9279999999999999</v>
                </pt>
                <pt idx="68">
                  <v>0.9157980000000001</v>
                </pt>
                <pt idx="69">
                  <v>0.9145080000000001</v>
                </pt>
                <pt idx="70">
                  <v>0.903453</v>
                </pt>
                <pt idx="71">
                  <v>0.8817900000000002</v>
                </pt>
                <pt idx="72">
                  <v>0.886501</v>
                </pt>
                <pt idx="73">
                  <v>0.8999990000000001</v>
                </pt>
                <pt idx="74">
                  <v>0.8907240000000001</v>
                </pt>
                <pt idx="75">
                  <v>0.8723879999999999</v>
                </pt>
                <pt idx="76">
                  <v>0.8823660000000001</v>
                </pt>
                <pt idx="77">
                  <v>0.8784000000000001</v>
                </pt>
                <pt idx="78">
                  <v>0.8902199999999999</v>
                </pt>
                <pt idx="79">
                  <v>0.8870030000000001</v>
                </pt>
                <pt idx="80">
                  <v>0.8813610000000002</v>
                </pt>
                <pt idx="81">
                  <v>0.9312469999999999</v>
                </pt>
                <pt idx="82">
                  <v>0.9727919999999999</v>
                </pt>
                <pt idx="83">
                  <v>0.9567620000000001</v>
                </pt>
                <pt idx="84">
                  <v>0.9586500000000001</v>
                </pt>
                <pt idx="85">
                  <v>0.945446</v>
                </pt>
                <pt idx="86">
                  <v>0.9651999999999999</v>
                </pt>
                <pt idx="87">
                  <v>0.961708</v>
                </pt>
                <pt idx="88">
                  <v>0.97167</v>
                </pt>
                <pt idx="89">
                  <v>0.96628</v>
                </pt>
                <pt idx="90">
                  <v>0.9818560000000001</v>
                </pt>
                <pt idx="91">
                  <v>0.982401</v>
                </pt>
                <pt idx="92">
                  <v>0.9579410000000002</v>
                </pt>
                <pt idx="93">
                  <v>0.98646</v>
                </pt>
                <pt idx="94">
                  <v>0.9744870000000002</v>
                </pt>
                <pt idx="95">
                  <v>0.9676690000000001</v>
                </pt>
                <pt idx="96">
                  <v>0.9633119999999999</v>
                </pt>
                <pt idx="97">
                  <v>0.9721319999999999</v>
                </pt>
                <pt idx="98">
                  <v>0.9891759999999999</v>
                </pt>
                <pt idx="99">
                  <v>1.009785</v>
                </pt>
                <pt idx="100">
                  <v>0.999516</v>
                </pt>
                <pt idx="101">
                  <v>1.008185</v>
                </pt>
                <pt idx="102">
                  <v>1.022826</v>
                </pt>
                <pt idx="103">
                  <v>1.021896</v>
                </pt>
                <pt idx="104">
                  <v>1.0209</v>
                </pt>
                <pt idx="105">
                  <v>1.019562</v>
                </pt>
                <pt idx="106">
                  <v>1.005928</v>
                </pt>
                <pt idx="107">
                  <v>1.021539</v>
                </pt>
                <pt idx="108">
                  <v>1.0025</v>
                </pt>
                <pt idx="109">
                  <v>0.9740480000000001</v>
                </pt>
                <pt idx="110">
                  <v>0.969606</v>
                </pt>
                <pt idx="111">
                  <v>0.9787680000000001</v>
                </pt>
                <pt idx="112">
                  <v>0.9638070000000002</v>
                </pt>
                <pt idx="113">
                  <v>0.9687040000000002</v>
                </pt>
                <pt idx="114">
                  <v>0.9627929999999999</v>
                </pt>
                <pt idx="115">
                  <v>0.977175</v>
                </pt>
                <pt idx="116">
                  <v>0.9668490000000002</v>
                </pt>
                <pt idx="117">
                  <v>0.9836750000000001</v>
                </pt>
                <pt idx="118">
                  <v>0.992873</v>
                </pt>
                <pt idx="119">
                  <v>0.9951720000000001</v>
                </pt>
                <pt idx="120">
                  <v>1.00011</v>
                </pt>
                <pt idx="121">
                  <v>1.002915</v>
                </pt>
                <pt idx="122">
                  <v>1.0023</v>
                </pt>
                <pt idx="123">
                  <v>0.998298</v>
                </pt>
                <pt idx="124">
                  <v>1.000027</v>
                </pt>
                <pt idx="125">
                  <v>1.000448</v>
                </pt>
                <pt idx="126">
                  <v>1.005784</v>
                </pt>
                <pt idx="127">
                  <v>1.028388</v>
                </pt>
                <pt idx="128">
                  <v>1.036068</v>
                </pt>
                <pt idx="129">
                  <v>1.031545</v>
                </pt>
                <pt idx="130">
                  <v>1.023228</v>
                </pt>
                <pt idx="131">
                  <v>1.021496</v>
                </pt>
                <pt idx="132">
                  <v>1.027818</v>
                </pt>
                <pt idx="133">
                  <v>1.036586</v>
                </pt>
                <pt idx="134">
                  <v>1.051753</v>
                </pt>
                <pt idx="135">
                  <v>1.05945</v>
                </pt>
                <pt idx="136">
                  <v>1.091721</v>
                </pt>
                <pt idx="137">
                  <v>1.109349</v>
                </pt>
                <pt idx="138">
                  <v>1.119975</v>
                </pt>
                <pt idx="139">
                  <v>1.11398</v>
                </pt>
                <pt idx="140">
                  <v>1.097248</v>
                </pt>
                <pt idx="141">
                  <v>1.136697</v>
                </pt>
                <pt idx="142">
                  <v>1.14744</v>
                </pt>
                <pt idx="143">
                  <v>1.16088</v>
                </pt>
                <pt idx="144">
                  <v>1.16622</v>
                </pt>
                <pt idx="145">
                  <v>1.141042</v>
                </pt>
                <pt idx="146">
                  <v>1.153005</v>
                </pt>
                <pt idx="147">
                  <v>1.153005</v>
                </pt>
                <pt idx="148">
                  <v>1.163988</v>
                </pt>
                <pt idx="149">
                  <v>1.172916</v>
                </pt>
                <pt idx="150">
                  <v>1.167383</v>
                </pt>
                <pt idx="151">
                  <v>1.194369</v>
                </pt>
                <pt idx="152">
                  <v>1.17549</v>
                </pt>
                <pt idx="153">
                  <v>1.18437</v>
                </pt>
                <pt idx="154">
                  <v>1.186668</v>
                </pt>
                <pt idx="155">
                  <v>1.192064</v>
                </pt>
                <pt idx="156">
                  <v>1.1766</v>
                </pt>
                <pt idx="157">
                  <v>1.165104</v>
                </pt>
                <pt idx="158">
                  <v>1.158096</v>
                </pt>
                <pt idx="159">
                  <v>1.172916</v>
                </pt>
                <pt idx="160">
                  <v>1.175704</v>
                </pt>
                <pt idx="161">
                  <v>1.171664</v>
                </pt>
                <pt idx="162">
                  <v>1.15752</v>
                </pt>
                <pt idx="163">
                  <v>1.18508</v>
                </pt>
                <pt idx="164">
                  <v>1.185204</v>
                </pt>
                <pt idx="165">
                  <v>1.178922</v>
                </pt>
                <pt idx="166">
                  <v>1.187367</v>
                </pt>
                <pt idx="167">
                  <v>1.18048</v>
                </pt>
                <pt idx="168">
                  <v>1.176136</v>
                </pt>
                <pt idx="169">
                  <v>1.1985</v>
                </pt>
                <pt idx="170">
                  <v>1.200756</v>
                </pt>
                <pt idx="171">
                  <v>1.211806</v>
                </pt>
                <pt idx="172">
                  <v>1.220862</v>
                </pt>
                <pt idx="173">
                  <v>1.22493</v>
                </pt>
                <pt idx="174">
                  <v>1.229184</v>
                </pt>
                <pt idx="175">
                  <v>1.207661</v>
                </pt>
                <pt idx="176">
                  <v>1.216112</v>
                </pt>
                <pt idx="177">
                  <v>1.231533</v>
                </pt>
                <pt idx="178">
                  <v>1.237275</v>
                </pt>
                <pt idx="179">
                  <v>1.23774</v>
                </pt>
                <pt idx="180">
                  <v>1.22071</v>
                </pt>
                <pt idx="181">
                  <v>1.206414</v>
                </pt>
                <pt idx="182">
                  <v>1.21191</v>
                </pt>
                <pt idx="183">
                  <v>1.22793</v>
                </pt>
                <pt idx="184">
                  <v>1.222872</v>
                </pt>
                <pt idx="185">
                  <v>1.256976</v>
                </pt>
                <pt idx="186">
                  <v>1.219322</v>
                </pt>
                <pt idx="187">
                  <v>1.243256</v>
                </pt>
                <pt idx="188">
                  <v>1.274637</v>
                </pt>
                <pt idx="189">
                  <v>1.27908</v>
                </pt>
                <pt idx="190">
                  <v>1.276266</v>
                </pt>
                <pt idx="191">
                  <v>1.27162</v>
                </pt>
                <pt idx="192">
                  <v>1.287741</v>
                </pt>
                <pt idx="193">
                  <v>1.29339</v>
                </pt>
                <pt idx="194">
                  <v>1.312842</v>
                </pt>
                <pt idx="195">
                  <v>1.31418</v>
                </pt>
                <pt idx="196">
                  <v>1.32237</v>
                </pt>
                <pt idx="197">
                  <v>1.330566</v>
                </pt>
                <pt idx="198">
                  <v>1.343628</v>
                </pt>
                <pt idx="199">
                  <v>1.344266</v>
                </pt>
                <pt idx="200">
                  <v>1.356388</v>
                </pt>
                <pt idx="201">
                  <v>1.3356</v>
                </pt>
                <pt idx="202">
                  <v>1.34618</v>
                </pt>
                <pt idx="203">
                  <v>1.364175</v>
                </pt>
                <pt idx="204">
                  <v>1.379448</v>
                </pt>
                <pt idx="205">
                  <v>1.419</v>
                </pt>
                <pt idx="206">
                  <v>1.411754</v>
                </pt>
                <pt idx="207">
                  <v>1.407634</v>
                </pt>
                <pt idx="208">
                  <v>1.410696</v>
                </pt>
                <pt idx="209">
                  <v>1.404637</v>
                </pt>
                <pt idx="210">
                  <v>1.39707</v>
                </pt>
                <pt idx="211">
                  <v>1.388685</v>
                </pt>
                <pt idx="212">
                  <v>1.409456</v>
                </pt>
                <pt idx="213">
                  <v>1.411992</v>
                </pt>
                <pt idx="214">
                  <v>1.418472</v>
                </pt>
                <pt idx="215">
                  <v>1.413195</v>
                </pt>
                <pt idx="216">
                  <v>1.403669</v>
                </pt>
                <pt idx="217">
                  <v>1.401097</v>
                </pt>
                <pt idx="218">
                  <v>1.403026</v>
                </pt>
                <pt idx="219">
                  <v>1.410099</v>
                </pt>
                <pt idx="220">
                  <v>1.41358</v>
                </pt>
                <pt idx="221">
                  <v>1.425882</v>
                </pt>
                <pt idx="222">
                  <v>1.435125</v>
                </pt>
                <pt idx="223">
                  <v>1.432302</v>
                </pt>
                <pt idx="224">
                  <v>1.436154</v>
                </pt>
                <pt idx="225">
                  <v>1.444814</v>
                </pt>
                <pt idx="226">
                  <v>1.444779</v>
                </pt>
                <pt idx="227">
                  <v>1.431339</v>
                </pt>
                <pt idx="228">
                  <v>1.429092</v>
                </pt>
                <pt idx="229">
                  <v>1.42464</v>
                </pt>
                <pt idx="230">
                  <v>1.42784</v>
                </pt>
                <pt idx="231">
                  <v>1.43104</v>
                </pt>
                <pt idx="232">
                  <v>1.418274</v>
                </pt>
                <pt idx="233">
                  <v>1.42272</v>
                </pt>
                <pt idx="234">
                  <v>1.424332</v>
                </pt>
                <pt idx="235">
                  <v>1.437763</v>
                </pt>
                <pt idx="236">
                  <v>1.420746</v>
                </pt>
                <pt idx="237">
                  <v>1.409832</v>
                </pt>
                <pt idx="238">
                  <v>1.423602</v>
                </pt>
                <pt idx="239">
                  <v>1.42103</v>
                </pt>
                <pt idx="240">
                  <v>1.412802</v>
                </pt>
                <pt idx="241">
                  <v>1.390202</v>
                </pt>
                <pt idx="242">
                  <v>1.36746</v>
                </pt>
                <pt idx="243">
                  <v>1.379105</v>
                </pt>
                <pt idx="244">
                  <v>1.390202</v>
                </pt>
                <pt idx="245">
                  <v>1.380852</v>
                </pt>
                <pt idx="246">
                  <v>1.379366</v>
                </pt>
                <pt idx="247">
                  <v>1.381486</v>
                </pt>
                <pt idx="248">
                  <v>1.37751</v>
                </pt>
                <pt idx="249">
                  <v>1.38222</v>
                </pt>
                <pt idx="250">
                  <v>1.380756</v>
                </pt>
                <pt idx="251">
                  <v>1.379105</v>
                </pt>
                <pt idx="252">
                  <v>1.368913</v>
                </pt>
                <pt idx="253">
                  <v>1.389564</v>
                </pt>
                <pt idx="254">
                  <v>1.375528</v>
                </pt>
                <pt idx="255">
                  <v>1.37728</v>
                </pt>
                <pt idx="256">
                  <v>1.378374</v>
                </pt>
                <pt idx="257">
                  <v>1.382868</v>
                </pt>
                <pt idx="258">
                  <v>1.372162</v>
                </pt>
                <pt idx="259">
                  <v>1.384379</v>
                </pt>
                <pt idx="260">
                  <v>1.399882</v>
                </pt>
                <pt idx="261">
                  <v>1.386308</v>
                </pt>
                <pt idx="262">
                  <v>1.38417</v>
                </pt>
                <pt idx="263">
                  <v>1.38888</v>
                </pt>
                <pt idx="264">
                  <v>1.379658</v>
                </pt>
                <pt idx="265">
                  <v>1.366755</v>
                </pt>
                <pt idx="266">
                  <v>1.34136</v>
                </pt>
                <pt idx="267">
                  <v>1.345377</v>
                </pt>
                <pt idx="268">
                  <v>1.343304</v>
                </pt>
                <pt idx="269">
                  <v>1.346268</v>
                </pt>
                <pt idx="270">
                  <v>1.350704</v>
                </pt>
                <pt idx="271">
                  <v>1.370502</v>
                </pt>
                <pt idx="272">
                  <v>1.354434</v>
                </pt>
                <pt idx="273">
                  <v>1.3448</v>
                </pt>
                <pt idx="274">
                  <v>1.38838</v>
                </pt>
                <pt idx="275">
                  <v>1.412259</v>
                </pt>
                <pt idx="276">
                  <v>1.408914</v>
                </pt>
                <pt idx="277">
                  <v>1.40614</v>
                </pt>
                <pt idx="278">
                  <v>1.42107</v>
                </pt>
                <pt idx="279">
                  <v>1.432032</v>
                </pt>
                <pt idx="280">
                  <v>1.43505</v>
                </pt>
                <pt idx="281">
                  <v>1.436085</v>
                </pt>
                <pt idx="282">
                  <v>1.426512</v>
                </pt>
                <pt idx="283">
                  <v>1.42868</v>
                </pt>
                <pt idx="284">
                  <v>1.411058</v>
                </pt>
                <pt idx="285">
                  <v>1.415904</v>
                </pt>
                <pt idx="286">
                  <v>1.422078</v>
                </pt>
                <pt idx="287">
                  <v>1.41381</v>
                </pt>
                <pt idx="288">
                  <v>1.408949</v>
                </pt>
                <pt idx="289">
                  <v>1.426864</v>
                </pt>
                <pt idx="290">
                  <v>1.416454</v>
                </pt>
                <pt idx="291">
                  <v>1.440735</v>
                </pt>
                <pt idx="292">
                  <v>1.444204</v>
                </pt>
                <pt idx="293">
                  <v>1.45394</v>
                </pt>
                <pt idx="294">
                  <v>1.444881</v>
                </pt>
                <pt idx="295">
                  <v>1.41588</v>
                </pt>
                <pt idx="296">
                  <v>1.388427</v>
                </pt>
                <pt idx="297">
                  <v>1.38552</v>
                </pt>
                <pt idx="298">
                  <v>1.374</v>
                </pt>
                <pt idx="299">
                  <v>1.362681</v>
                </pt>
                <pt idx="300">
                  <v>1.372215</v>
                </pt>
                <pt idx="301">
                  <v>1.363362</v>
                </pt>
                <pt idx="302">
                  <v>1.366848</v>
                </pt>
                <pt idx="303">
                  <v>1.370238</v>
                </pt>
                <pt idx="304">
                  <v>1.364136</v>
                </pt>
                <pt idx="305">
                  <v>1.349972</v>
                </pt>
                <pt idx="306">
                  <v>1.356</v>
                </pt>
                <pt idx="307">
                  <v>1.403891</v>
                </pt>
                <pt idx="308">
                  <v>1.445334</v>
                </pt>
                <pt idx="309">
                  <v>1.436932</v>
                </pt>
                <pt idx="310">
                  <v>1.41312</v>
                </pt>
                <pt idx="311">
                  <v>1.411761</v>
                </pt>
                <pt idx="312">
                  <v>1.404816</v>
                </pt>
                <pt idx="313">
                  <v>1.400625</v>
                </pt>
                <pt idx="314">
                  <v>1.39762</v>
                </pt>
                <pt idx="315">
                  <v>1.400796</v>
                </pt>
                <pt idx="316">
                  <v>1.412627</v>
                </pt>
                <pt idx="317">
                  <v>1.399104</v>
                </pt>
                <pt idx="318">
                  <v>1.389745</v>
                </pt>
                <pt idx="319">
                  <v>1.38638</v>
                </pt>
                <pt idx="320">
                  <v>1.397358</v>
                </pt>
                <pt idx="321">
                  <v>1.397358</v>
                </pt>
                <pt idx="322">
                  <v>1.39995</v>
                </pt>
                <pt idx="323">
                  <v>1.3878</v>
                </pt>
                <pt idx="324">
                  <v>1.404238</v>
                </pt>
                <pt idx="325">
                  <v>1.41381</v>
                </pt>
                <pt idx="326">
                  <v>1.433769</v>
                </pt>
                <pt idx="327">
                  <v>1.435112</v>
                </pt>
                <pt idx="328">
                  <v>1.467504</v>
                </pt>
                <pt idx="329">
                  <v>1.50328</v>
                </pt>
                <pt idx="330">
                  <v>1.487456</v>
                </pt>
                <pt idx="331">
                  <v>1.504307</v>
                </pt>
                <pt idx="332">
                  <v>1.497776</v>
                </pt>
                <pt idx="333">
                  <v>1.52066</v>
                </pt>
                <pt idx="334">
                  <v>1.51927</v>
                </pt>
                <pt idx="335">
                  <v>1.51649</v>
                </pt>
                <pt idx="336">
                  <v>1.52344</v>
                </pt>
                <pt idx="337">
                  <v>1.491869</v>
                </pt>
                <pt idx="338">
                  <v>1.474989</v>
                </pt>
                <pt idx="339">
                  <v>1.465215</v>
                </pt>
                <pt idx="340">
                  <v>1.456344</v>
                </pt>
                <pt idx="341">
                  <v>1.437528</v>
                </pt>
                <pt idx="342">
                  <v>1.451598</v>
                </pt>
                <pt idx="343">
                  <v>1.437948</v>
                </pt>
                <pt idx="344">
                  <v>1.440656</v>
                </pt>
                <pt idx="345">
                  <v>1.456104</v>
                </pt>
                <pt idx="346">
                  <v>1.461375</v>
                </pt>
                <pt idx="347">
                  <v>1.46475</v>
                </pt>
                <pt idx="348">
                  <v>1.461643</v>
                </pt>
                <pt idx="349">
                  <v>1.455428</v>
                </pt>
                <pt idx="350">
                  <v>1.45665</v>
                </pt>
                <pt idx="351">
                  <v>1.457045</v>
                </pt>
                <pt idx="352">
                  <v>1.46205</v>
                </pt>
                <pt idx="353">
                  <v>1.472175</v>
                </pt>
                <pt idx="354">
                  <v>1.46692</v>
                </pt>
                <pt idx="355">
                  <v>1.461512</v>
                </pt>
                <pt idx="356">
                  <v>1.46205</v>
                </pt>
                <pt idx="357">
                  <v>1.475183</v>
                </pt>
                <pt idx="358">
                  <v>1.478568</v>
                </pt>
                <pt idx="359">
                  <v>1.481856</v>
                </pt>
                <pt idx="360">
                  <v>1.483984</v>
                </pt>
                <pt idx="361">
                  <v>1.48512</v>
                </pt>
                <pt idx="362">
                  <v>1.492071</v>
                </pt>
                <pt idx="363">
                  <v>1.486692</v>
                </pt>
                <pt idx="364">
                  <v>1.47706</v>
                </pt>
                <pt idx="365">
                  <v>1.464602</v>
                </pt>
                <pt idx="366">
                  <v>1.475328</v>
                </pt>
                <pt idx="367">
                  <v>1.48482</v>
                </pt>
                <pt idx="368">
                  <v>1.497024</v>
                </pt>
                <pt idx="369">
                  <v>1.513772</v>
                </pt>
                <pt idx="370">
                  <v>1.523927</v>
                </pt>
                <pt idx="371">
                  <v>1.520307</v>
                </pt>
                <pt idx="372">
                  <v>1.52098</v>
                </pt>
                <pt idx="373">
                  <v>1.5336</v>
                </pt>
                <pt idx="374">
                  <v>1.515596</v>
                </pt>
                <pt idx="375">
                  <v>1.522125</v>
                </pt>
                <pt idx="376">
                  <v>1.52208</v>
                </pt>
                <pt idx="377">
                  <v>1.517376</v>
                </pt>
                <pt idx="378">
                  <v>1.600032</v>
                </pt>
                <pt idx="379">
                  <v>1.612508</v>
                </pt>
                <pt idx="380">
                  <v>1.624622</v>
                </pt>
                <pt idx="381">
                  <v>1.629732</v>
                </pt>
                <pt idx="382">
                  <v>1.623666</v>
                </pt>
                <pt idx="383">
                  <v>1.633776</v>
                </pt>
                <pt idx="384">
                  <v>1.611835</v>
                </pt>
                <pt idx="385">
                  <v>1.606142</v>
                </pt>
                <pt idx="386">
                  <v>1.584915</v>
                </pt>
                <pt idx="387">
                  <v>1.615578</v>
                </pt>
                <pt idx="388">
                  <v>1.603759</v>
                </pt>
                <pt idx="389">
                  <v>1.546425</v>
                </pt>
                <pt idx="390">
                  <v>1.550874</v>
                </pt>
                <pt idx="391">
                  <v>1.547504</v>
                </pt>
                <pt idx="392">
                  <v>1.531328</v>
                </pt>
                <pt idx="393">
                  <v>1.51987</v>
                </pt>
                <pt idx="394">
                  <v>1.528383</v>
                </pt>
                <pt idx="395">
                  <v>1.541025</v>
                </pt>
                <pt idx="396">
                  <v>1.534275</v>
                </pt>
                <pt idx="397">
                  <v>1.539675</v>
                </pt>
                <pt idx="398">
                  <v>1.541529</v>
                </pt>
                <pt idx="399">
                  <v>1.532051</v>
                </pt>
                <pt idx="400">
                  <v>1.532728</v>
                </pt>
                <pt idx="401">
                  <v>1.524604</v>
                </pt>
                <pt idx="402">
                  <v>1.538193</v>
                </pt>
                <pt idx="403">
                  <v>1.531152</v>
                </pt>
                <pt idx="404">
                  <v>1.538012</v>
                </pt>
                <pt idx="405">
                  <v>1.518118</v>
                </pt>
                <pt idx="406">
                  <v>1.522234</v>
                </pt>
                <pt idx="407">
                  <v>1.521856</v>
                </pt>
                <pt idx="408">
                  <v>1.510026</v>
                </pt>
                <pt idx="409">
                  <v>1.49804</v>
                </pt>
                <pt idx="410">
                  <v>1.50076</v>
                </pt>
                <pt idx="411">
                  <v>1.507381</v>
                </pt>
                <pt idx="412">
                  <v>1.491763</v>
                </pt>
                <pt idx="413">
                  <v>1.509777</v>
                </pt>
                <pt idx="414">
                  <v>1.51504</v>
                </pt>
                <pt idx="415">
                  <v>1.51844</v>
                </pt>
                <pt idx="416">
                  <v>1.525634</v>
                </pt>
                <pt idx="417">
                  <v>1.517268</v>
                </pt>
                <pt idx="418">
                  <v>1.533715</v>
                </pt>
                <pt idx="419">
                  <v>1.542897</v>
                </pt>
                <pt idx="420">
                  <v>1.551246</v>
                </pt>
                <pt idx="421">
                  <v>1.552895</v>
                </pt>
                <pt idx="422">
                  <v>1.553364</v>
                </pt>
                <pt idx="423">
                  <v>1.564766</v>
                </pt>
                <pt idx="424">
                  <v>1.555416</v>
                </pt>
                <pt idx="425">
                  <v>1.53988</v>
                </pt>
                <pt idx="426">
                  <v>1.52755</v>
                </pt>
                <pt idx="427">
                  <v>1.515404</v>
                </pt>
                <pt idx="428">
                  <v>1.515404</v>
                </pt>
                <pt idx="429">
                  <v>1.523606</v>
                </pt>
                <pt idx="430">
                  <v>1.529949</v>
                </pt>
                <pt idx="431">
                  <v>1.514835</v>
                </pt>
                <pt idx="432">
                  <v>1.525827</v>
                </pt>
                <pt idx="433">
                  <v>1.508747</v>
                </pt>
                <pt idx="434">
                  <v>1.50563</v>
                </pt>
                <pt idx="435">
                  <v>1.518957</v>
                </pt>
                <pt idx="436">
                  <v>1.529424</v>
                </pt>
                <pt idx="437">
                  <v>1.520623</v>
                </pt>
                <pt idx="438">
                  <v>1.532176</v>
                </pt>
                <pt idx="439">
                  <v>1.544049</v>
                </pt>
                <pt idx="440">
                  <v>1.54491</v>
                </pt>
                <pt idx="441">
                  <v>1.54077</v>
                </pt>
                <pt idx="442">
                  <v>1.533552</v>
                </pt>
                <pt idx="443">
                  <v>1.539744</v>
                </pt>
                <pt idx="444">
                  <v>1.506843</v>
                </pt>
                <pt idx="445">
                  <v>1.508661</v>
                </pt>
                <pt idx="446">
                  <v>1.502424</v>
                </pt>
                <pt idx="447">
                  <v>1.480248</v>
                </pt>
                <pt idx="448">
                  <v>1.449756</v>
                </pt>
                <pt idx="449">
                  <v>1.429659</v>
                </pt>
                <pt idx="450">
                  <v>1.44838</v>
                </pt>
                <pt idx="451">
                  <v>1.44628</v>
                </pt>
                <pt idx="452">
                  <v>1.41923</v>
                </pt>
                <pt idx="453">
                  <v>1.41372</v>
                </pt>
                <pt idx="454">
                  <v>1.443515</v>
                </pt>
                <pt idx="455">
                  <v>1.45116</v>
                </pt>
                <pt idx="456">
                  <v>1.452528</v>
                </pt>
                <pt idx="457">
                  <v>1.449756</v>
                </pt>
                <pt idx="458">
                  <v>1.453221</v>
                </pt>
                <pt idx="459">
                  <v>1.451154</v>
                </pt>
                <pt idx="460">
                  <v>1.45393</v>
                </pt>
                <pt idx="461">
                  <v>1.46087</v>
                </pt>
                <pt idx="462">
                  <v>1.454624</v>
                </pt>
                <pt idx="463">
                  <v>1.458765</v>
                </pt>
                <pt idx="464">
                  <v>1.464309</v>
                </pt>
                <pt idx="465">
                  <v>1.46223</v>
                </pt>
                <pt idx="466">
                  <v>1.46367</v>
                </pt>
                <pt idx="467">
                  <v>1.46923</v>
                </pt>
                <pt idx="468">
                  <v>1.469198</v>
                </pt>
                <pt idx="469">
                  <v>1.47062</v>
                </pt>
                <pt idx="470">
                  <v>1.469925</v>
                </pt>
                <pt idx="471">
                  <v>1.47757</v>
                </pt>
                <pt idx="472">
                  <v>1.499304</v>
                </pt>
                <pt idx="473">
                  <v>1.504248</v>
                </pt>
                <pt idx="474">
                  <v>1.511868</v>
                </pt>
                <pt idx="475">
                  <v>1.543278</v>
                </pt>
                <pt idx="476">
                  <v>1.555842</v>
                </pt>
                <pt idx="477">
                  <v>1.559886</v>
                </pt>
                <pt idx="478">
                  <v>1.559332</v>
                </pt>
                <pt idx="479">
                  <v>1.561977</v>
                </pt>
                <pt idx="480">
                  <v>1.55958</v>
                </pt>
                <pt idx="481">
                  <v>1.557098</v>
                </pt>
                <pt idx="482">
                  <v>1.558492</v>
                </pt>
                <pt idx="483">
                  <v>1.581837</v>
                </pt>
                <pt idx="484">
                  <v>1.579188</v>
                </pt>
                <pt idx="485">
                  <v>1.585584</v>
                </pt>
                <pt idx="486">
                  <v>1.59294</v>
                </pt>
                <pt idx="487">
                  <v>1.57748</v>
                </pt>
                <pt idx="488">
                  <v>1.580616</v>
                </pt>
                <pt idx="489">
                  <v>1.589857</v>
                </pt>
                <pt idx="490">
                  <v>1.601409</v>
                </pt>
                <pt idx="491">
                  <v>1.612858</v>
                </pt>
                <pt idx="492">
                  <v>1.619592</v>
                </pt>
                <pt idx="493">
                  <v>1.59873</v>
                </pt>
                <pt idx="494">
                  <v>1.608692</v>
                </pt>
                <pt idx="495">
                  <v>1.60083</v>
                </pt>
                <pt idx="496">
                  <v>1.589742</v>
                </pt>
                <pt idx="497">
                  <v>1.607064</v>
                </pt>
                <pt idx="498">
                  <v>1.604295</v>
                </pt>
                <pt idx="499">
                  <v>1.59433</v>
                </pt>
                <pt idx="500">
                  <v>1.598712</v>
                </pt>
                <pt idx="501">
                  <v>1.60428</v>
                </pt>
                <pt idx="502">
                  <v>1.60406</v>
                </pt>
                <pt idx="503">
                  <v>1.62213</v>
                </pt>
                <pt idx="504">
                  <v>1.639505</v>
                </pt>
                <pt idx="505">
                  <v>1.639344</v>
                </pt>
                <pt idx="506">
                  <v>1.600585</v>
                </pt>
                <pt idx="507">
                  <v>1.582536</v>
                </pt>
                <pt idx="508">
                  <v>1.5953</v>
                </pt>
                <pt idx="509">
                  <v>1.5911</v>
                </pt>
                <pt idx="510">
                  <v>1.559469</v>
                </pt>
                <pt idx="511">
                  <v>1.565061</v>
                </pt>
                <pt idx="512">
                  <v>1.565581</v>
                </pt>
                <pt idx="513">
                  <v>1.589632</v>
                </pt>
                <pt idx="514">
                  <v>1.570624</v>
                </pt>
                <pt idx="515">
                  <v>1.581184</v>
                </pt>
                <pt idx="516">
                  <v>1.575552</v>
                </pt>
                <pt idx="517">
                  <v>1.580202</v>
                </pt>
                <pt idx="518">
                  <v>1.574017</v>
                </pt>
                <pt idx="519">
                  <v>1.59753</v>
                </pt>
                <pt idx="520">
                  <v>1.592998</v>
                </pt>
                <pt idx="521">
                  <v>1.58048</v>
                </pt>
                <pt idx="522">
                  <v>1.582453</v>
                </pt>
                <pt idx="523">
                  <v>1.571076</v>
                </pt>
                <pt idx="524">
                  <v>1.58175</v>
                </pt>
                <pt idx="525">
                  <v>1.592595</v>
                </pt>
                <pt idx="526">
                  <v>1.596972</v>
                </pt>
                <pt idx="527">
                  <v>1.60458</v>
                </pt>
                <pt idx="528">
                  <v>1.61022</v>
                </pt>
                <pt idx="529">
                  <v>1.618152</v>
                </pt>
                <pt idx="530">
                  <v>1.607562</v>
                </pt>
                <pt idx="531">
                  <v>1.61727</v>
                </pt>
                <pt idx="532">
                  <v>1.616565</v>
                </pt>
                <pt idx="533">
                  <v>1.603368</v>
                </pt>
                <pt idx="534">
                  <v>1.608984</v>
                </pt>
                <pt idx="535">
                  <v>1.579402</v>
                </pt>
                <pt idx="536">
                  <v>1.56403</v>
                </pt>
                <pt idx="537">
                  <v>1.59114</v>
                </pt>
                <pt idx="538">
                  <v>1.5939</v>
                </pt>
                <pt idx="539">
                  <v>1.59597</v>
                </pt>
                <pt idx="540">
                  <v>1.601752</v>
                </pt>
                <pt idx="541">
                  <v>1.60776</v>
                </pt>
                <pt idx="542">
                  <v>1.604502</v>
                </pt>
                <pt idx="543">
                  <v>1.595752</v>
                </pt>
                <pt idx="544">
                  <v>1.588834</v>
                </pt>
                <pt idx="545">
                  <v>1.569261</v>
                </pt>
                <pt idx="546">
                  <v>1.57734</v>
                </pt>
                <pt idx="547">
                  <v>1.564512</v>
                </pt>
                <pt idx="548">
                  <v>1.564299</v>
                </pt>
                <pt idx="549">
                  <v>1.547124</v>
                </pt>
                <pt idx="550">
                  <v>1.562715</v>
                </pt>
                <pt idx="551">
                  <v>1.56837</v>
                </pt>
                <pt idx="552">
                  <v>1.567047</v>
                </pt>
                <pt idx="553">
                  <v>1.576768</v>
                </pt>
                <pt idx="554">
                  <v>1.591948</v>
                </pt>
                <pt idx="555">
                  <v>1.606176</v>
                </pt>
                <pt idx="556">
                  <v>1.616004</v>
                </pt>
                <pt idx="557">
                  <v>1.571583</v>
                </pt>
                <pt idx="558">
                  <v>1.570217</v>
                </pt>
                <pt idx="559">
                  <v>1.580295</v>
                </pt>
                <pt idx="560">
                  <v>1.582602</v>
                </pt>
                <pt idx="561">
                  <v>1.593578</v>
                </pt>
                <pt idx="562">
                  <v>1.59152</v>
                </pt>
                <pt idx="563">
                  <v>1.59742</v>
                </pt>
                <pt idx="564">
                  <v>1.583288</v>
                </pt>
                <pt idx="565">
                  <v>1.565452</v>
                </pt>
                <pt idx="566">
                  <v>1.555848</v>
                </pt>
                <pt idx="567">
                  <v>1.550064</v>
                </pt>
                <pt idx="568">
                  <v>1.560384</v>
                </pt>
                <pt idx="569">
                  <v>1.567264</v>
                </pt>
                <pt idx="570">
                  <v>1.550752</v>
                </pt>
                <pt idx="571">
                  <v>1.553504</v>
                </pt>
                <pt idx="572">
                  <v>1.57885</v>
                </pt>
                <pt idx="573">
                  <v>1.5312</v>
                </pt>
                <pt idx="574">
                  <v>1.554</v>
                </pt>
                <pt idx="575">
                  <v>1.5422</v>
                </pt>
                <pt idx="576">
                  <v>1.544303</v>
                </pt>
                <pt idx="577">
                  <v>1.537461</v>
                </pt>
                <pt idx="578">
                  <v>1.515192</v>
                </pt>
                <pt idx="579">
                  <v>1.506217</v>
                </pt>
                <pt idx="580">
                  <v>1.5127</v>
                </pt>
                <pt idx="581">
                  <v>1.492452</v>
                </pt>
                <pt idx="582">
                  <v>1.497366</v>
                </pt>
                <pt idx="583">
                  <v>1.500905</v>
                </pt>
                <pt idx="584">
                  <v>1.487538</v>
                </pt>
                <pt idx="585">
                  <v>1.486134</v>
                </pt>
                <pt idx="586">
                  <v>1.505123</v>
                </pt>
                <pt idx="587">
                  <v>1.500753</v>
                </pt>
                <pt idx="588">
                  <v>1.50285</v>
                </pt>
                <pt idx="589">
                  <v>1.476272</v>
                </pt>
                <pt idx="590">
                  <v>1.480485</v>
                </pt>
                <pt idx="591">
                  <v>1.50453</v>
                </pt>
                <pt idx="592">
                  <v>1.505344</v>
                </pt>
                <pt idx="593">
                  <v>1.509835</v>
                </pt>
                <pt idx="594">
                  <v>1.502234</v>
                </pt>
                <pt idx="595">
                  <v>1.48833</v>
                </pt>
                <pt idx="596">
                  <v>1.469568</v>
                </pt>
                <pt idx="597">
                  <v>1.47446</v>
                </pt>
                <pt idx="598">
                  <v>1.524757</v>
                </pt>
                <pt idx="599">
                  <v>1.433809</v>
                </pt>
                <pt idx="600">
                  <v>1.477737</v>
                </pt>
                <pt idx="601">
                  <v>1.493648</v>
                </pt>
                <pt idx="602">
                  <v>1.52392</v>
                </pt>
                <pt idx="603">
                  <v>1.521856</v>
                </pt>
                <pt idx="604">
                  <v>1.522544</v>
                </pt>
                <pt idx="605">
                  <v>1.525984</v>
                </pt>
                <pt idx="606">
                  <v>1.52635</v>
                </pt>
                <pt idx="607">
                  <v>1.52892</v>
                </pt>
                <pt idx="608">
                  <v>1.53664</v>
                </pt>
                <pt idx="609">
                  <v>1.536132</v>
                </pt>
                <pt idx="610">
                  <v>1.530603</v>
                </pt>
                <pt idx="611">
                  <v>1.525822</v>
                </pt>
                <pt idx="612">
                  <v>1.528554</v>
                </pt>
                <pt idx="613">
                  <v>1.54242</v>
                </pt>
                <pt idx="614">
                  <v>1.551996</v>
                </pt>
                <pt idx="615">
                  <v>1.561338</v>
                </pt>
                <pt idx="616">
                  <v>1.560655</v>
                </pt>
                <pt idx="617">
                  <v>1.568851</v>
                </pt>
                <pt idx="618">
                  <v>1.565872</v>
                </pt>
                <pt idx="619">
                  <v>1.566858</v>
                </pt>
                <pt idx="620">
                  <v>1.568214</v>
                </pt>
                <pt idx="621">
                  <v>1.56957</v>
                </pt>
                <pt idx="622">
                  <v>1.568892</v>
                </pt>
                <pt idx="623">
                  <v>1.57635</v>
                </pt>
                <pt idx="624">
                  <v>1.56957</v>
                </pt>
                <pt idx="625">
                  <v>1.566578</v>
                </pt>
                <pt idx="626">
                  <v>1.576432</v>
                </pt>
                <pt idx="627">
                  <v>1.580488</v>
                </pt>
                <pt idx="628">
                  <v>1.581164</v>
                </pt>
                <pt idx="629">
                  <v>1.590975</v>
                </pt>
                <pt idx="630">
                  <v>1.575756</v>
                </pt>
                <pt idx="631">
                  <v>1.5714</v>
                </pt>
                <pt idx="632">
                  <v>1.559925</v>
                </pt>
                <pt idx="633">
                  <v>1.555875</v>
                </pt>
                <pt idx="634">
                  <v>1.549919</v>
                </pt>
                <pt idx="635">
                  <v>1.57482</v>
                </pt>
                <pt idx="636">
                  <v>1.55142</v>
                </pt>
                <pt idx="637">
                  <v>1.545453</v>
                </pt>
                <pt idx="638">
                  <v>1.5561</v>
                </pt>
                <pt idx="639">
                  <v>1.56646</v>
                </pt>
                <pt idx="640">
                  <v>1.542412</v>
                </pt>
                <pt idx="641">
                  <v>1.48827</v>
                </pt>
                <pt idx="642">
                  <v>1.47849</v>
                </pt>
                <pt idx="643">
                  <v>1.499043</v>
                </pt>
                <pt idx="644">
                  <v>1.494504</v>
                </pt>
                <pt idx="645">
                  <v>1.507555</v>
                </pt>
                <pt idx="646">
                  <v>1.50396</v>
                </pt>
                <pt idx="647">
                  <v>1.491344</v>
                </pt>
                <pt idx="648">
                  <v>1.487514</v>
                </pt>
                <pt idx="649">
                  <v>1.51164</v>
                </pt>
                <pt idx="650">
                  <v>1.497648</v>
                </pt>
                <pt idx="651">
                  <v>1.5147</v>
                </pt>
                <pt idx="652">
                  <v>1.520961</v>
                </pt>
                <pt idx="653">
                  <v>1.53513</v>
                </pt>
                <pt idx="654">
                  <v>1.53349</v>
                </pt>
                <pt idx="655">
                  <v>1.54546</v>
                </pt>
                <pt idx="656">
                  <v>1.543136</v>
                </pt>
                <pt idx="657">
                  <v>1.545792</v>
                </pt>
                <pt idx="658">
                  <v>1.554105</v>
                </pt>
                <pt idx="659">
                  <v>1.560755</v>
                </pt>
                <pt idx="660">
                  <v>1.558713</v>
                </pt>
                <pt idx="661">
                  <v>1.563415</v>
                </pt>
                <pt idx="662">
                  <v>1.558095</v>
                </pt>
                <pt idx="663">
                  <v>1.55477</v>
                </pt>
                <pt idx="664">
                  <v>1.534504</v>
                </pt>
                <pt idx="665">
                  <v>1.542135</v>
                </pt>
                <pt idx="666">
                  <v>1.546456</v>
                </pt>
                <pt idx="667">
                  <v>1.536171</v>
                </pt>
                <pt idx="668">
                  <v>1.570065</v>
                </pt>
                <pt idx="669">
                  <v>1.549206</v>
                </pt>
                <pt idx="670">
                  <v>1.553538</v>
                </pt>
                <pt idx="671">
                  <v>1.56024</v>
                </pt>
                <pt idx="672">
                  <v>1.5576</v>
                </pt>
                <pt idx="673">
                  <v>1.54842</v>
                </pt>
                <pt idx="674">
                  <v>1.575486</v>
                </pt>
                <pt idx="675">
                  <v>1.584684</v>
                </pt>
                <pt idx="676">
                  <v>1.587096</v>
                </pt>
                <pt idx="677">
                  <v>1.591044</v>
                </pt>
                <pt idx="678">
                  <v>1.601766</v>
                </pt>
                <pt idx="679">
                  <v>1.591836</v>
                </pt>
                <pt idx="680">
                  <v>1.56477</v>
                </pt>
                <pt idx="681">
                  <v>1.5714</v>
                </pt>
                <pt idx="682">
                  <v>1.538352</v>
                </pt>
                <pt idx="683">
                  <v>1.524096</v>
                </pt>
                <pt idx="684">
                  <v>1.510488</v>
                </pt>
                <pt idx="685">
                  <v>1.523448</v>
                </pt>
                <pt idx="686">
                  <v>1.521504</v>
                </pt>
                <pt idx="687">
                  <v>1.5181</v>
                </pt>
                <pt idx="688">
                  <v>1.516162</v>
                </pt>
                <pt idx="689">
                  <v>1.525852</v>
                </pt>
                <pt idx="690">
                  <v>1.51662</v>
                </pt>
                <pt idx="691">
                  <v>1.516162</v>
                </pt>
                <pt idx="692">
                  <v>1.502596</v>
                </pt>
                <pt idx="693">
                  <v>1.510348</v>
                </pt>
                <pt idx="694">
                  <v>1.502981</v>
                </pt>
                <pt idx="695">
                  <v>1.479384</v>
                </pt>
                <pt idx="696">
                  <v>1.480369</v>
                </pt>
                <pt idx="697">
                  <v>1.4794</v>
                </pt>
                <pt idx="698">
                  <v>1.468656</v>
                </pt>
                <pt idx="699">
                  <v>1.482648</v>
                </pt>
                <pt idx="700">
                  <v>1.500904</v>
                </pt>
                <pt idx="701">
                  <v>1.49308</v>
                </pt>
                <pt idx="702">
                  <v>1.474474</v>
                </pt>
                <pt idx="703">
                  <v>1.481004</v>
                </pt>
                <pt idx="704">
                  <v>1.460108</v>
                </pt>
                <pt idx="705">
                  <v>1.468005</v>
                </pt>
                <pt idx="706">
                  <v>1.47744</v>
                </pt>
                <pt idx="707">
                  <v>1.458985</v>
                </pt>
                <pt idx="708">
                  <v>1.438642</v>
                </pt>
                <pt idx="709">
                  <v>1.440504</v>
                </pt>
                <pt idx="710">
                  <v>1.421064</v>
                </pt>
                <pt idx="711">
                  <v>1.404864</v>
                </pt>
                <pt idx="712">
                  <v>1.400755</v>
                </pt>
                <pt idx="713">
                  <v>1.393422</v>
                </pt>
                <pt idx="714">
                  <v>1.40292</v>
                </pt>
                <pt idx="715">
                  <v>1.392552</v>
                </pt>
                <pt idx="716">
                  <v>1.426248</v>
                </pt>
                <pt idx="717">
                  <v>1.444392</v>
                </pt>
                <pt idx="718">
                  <v>1.440869</v>
                </pt>
                <pt idx="719">
                  <v>1.4521</v>
                </pt>
                <pt idx="720">
                  <v>1.43065</v>
                </pt>
                <pt idx="721">
                  <v>1.441429</v>
                </pt>
                <pt idx="722">
                  <v>1.450515</v>
                </pt>
                <pt idx="723">
                  <v>1.449644</v>
                </pt>
                <pt idx="724">
                  <v>1.448036</v>
                </pt>
                <pt idx="725">
                  <v>1.462182</v>
                </pt>
                <pt idx="726">
                  <v>1.451808</v>
                </pt>
                <pt idx="727">
                  <v>1.452506</v>
                </pt>
                <pt idx="728">
                  <v>1.456395</v>
                </pt>
                <pt idx="729">
                  <v>1.458324</v>
                </pt>
                <pt idx="730">
                  <v>1.46222</v>
                </pt>
                <pt idx="731">
                  <v>1.47288</v>
                </pt>
                <pt idx="732">
                  <v>1.469337</v>
                </pt>
                <pt idx="733">
                  <v>1.45152</v>
                </pt>
                <pt idx="734">
                  <v>1.440869</v>
                </pt>
                <pt idx="735">
                  <v>1.43325</v>
                </pt>
                <pt idx="736">
                  <v>1.408979</v>
                </pt>
                <pt idx="737">
                  <v>1.418714</v>
                </pt>
                <pt idx="738">
                  <v>1.415232</v>
                </pt>
                <pt idx="739">
                  <v>1.438388</v>
                </pt>
                <pt idx="740">
                  <v>1.44672</v>
                </pt>
                <pt idx="741">
                  <v>1.438336</v>
                </pt>
                <pt idx="742">
                  <v>1.433782</v>
                </pt>
                <pt idx="743">
                  <v>1.439704</v>
                </pt>
                <pt idx="744">
                  <v>1.47114</v>
                </pt>
                <pt idx="745">
                  <v>1.462132</v>
                </pt>
                <pt idx="746">
                  <v>1.431808</v>
                </pt>
                <pt idx="747">
                  <v>1.44144</v>
                </pt>
                <pt idx="748">
                  <v>1.436414</v>
                </pt>
                <pt idx="749">
                  <v>1.433048</v>
                </pt>
                <pt idx="750">
                  <v>1.427099</v>
                </pt>
                <pt idx="751">
                  <v>1.404625</v>
                </pt>
                <pt idx="752">
                  <v>1.412708</v>
                </pt>
                <pt idx="753">
                  <v>1.41042</v>
                </pt>
                <pt idx="754">
                  <v>1.414214</v>
                </pt>
                <pt idx="755">
                  <v>1.411896</v>
                </pt>
                <pt idx="756">
                  <v>1.4124</v>
                </pt>
                <pt idx="757">
                  <v>1.39062</v>
                </pt>
                <pt idx="758">
                  <v>1.39854</v>
                </pt>
                <pt idx="759">
                  <v>1.406088</v>
                </pt>
                <pt idx="760">
                  <v>1.394049</v>
                </pt>
                <pt idx="761">
                  <v>1.378185</v>
                </pt>
                <pt idx="762">
                  <v>1.37193</v>
                </pt>
                <pt idx="763">
                  <v>1.387854</v>
                </pt>
                <pt idx="764">
                  <v>1.389696</v>
                </pt>
                <pt idx="765">
                  <v>1.401381</v>
                </pt>
                <pt idx="766">
                  <v>1.398753</v>
                </pt>
                <pt idx="767">
                  <v>1.394154</v>
                </pt>
                <pt idx="768">
                  <v>1.410024</v>
                </pt>
                <pt idx="769">
                  <v>1.394496</v>
                </pt>
                <pt idx="770">
                  <v>1.383525</v>
                </pt>
                <pt idx="771">
                  <v>1.374522</v>
                </pt>
                <pt idx="772">
                  <v>1.34289</v>
                </pt>
                <pt idx="773">
                  <v>1.324185</v>
                </pt>
                <pt idx="774">
                  <v>1.32354</v>
                </pt>
                <pt idx="775">
                  <v>1.324946</v>
                </pt>
                <pt idx="776">
                  <v>1.31709</v>
                </pt>
                <pt idx="777">
                  <v>1.324512</v>
                </pt>
                <pt idx="778">
                  <v>1.32192</v>
                </pt>
                <pt idx="779">
                  <v>1.320624</v>
                </pt>
                <pt idx="780">
                  <v>1.311828</v>
                </pt>
                <pt idx="781">
                  <v>1.308796</v>
                </pt>
                <pt idx="782">
                  <v>1.28721</v>
                </pt>
                <pt idx="783">
                  <v>1.288572</v>
                </pt>
                <pt idx="784">
                  <v>1.286568</v>
                </pt>
                <pt idx="785">
                  <v>1.264781</v>
                </pt>
                <pt idx="786">
                  <v>1.266104</v>
                </pt>
                <pt idx="787">
                  <v>1.264172</v>
                </pt>
                <pt idx="788">
                  <v>1.28097</v>
                </pt>
                <pt idx="789">
                  <v>1.296588</v>
                </pt>
                <pt idx="790">
                  <v>1.297235</v>
                </pt>
                <pt idx="791">
                  <v>1.291412</v>
                </pt>
                <pt idx="792">
                  <v>1.294</v>
                </pt>
                <pt idx="793">
                  <v>1.292059</v>
                </pt>
                <pt idx="794">
                  <v>1.290168</v>
                </pt>
                <pt idx="795">
                  <v>1.290645</v>
                </pt>
                <pt idx="796">
                  <v>1.30935</v>
                </pt>
                <pt idx="797">
                  <v>1.31322</v>
                </pt>
                <pt idx="798">
                  <v>1.331406</v>
                </pt>
                <pt idx="799">
                  <v>1.341096</v>
                </pt>
                <pt idx="800">
                  <v>1.356435</v>
                </pt>
                <pt idx="801">
                  <v>1.35708</v>
                </pt>
                <pt idx="802">
                  <v>1.34676</v>
                </pt>
                <pt idx="803">
                  <v>1.358856</v>
                </pt>
                <pt idx="804">
                  <v>1.356995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85918336"/>
        <axId val="285912448"/>
      </lineChart>
      <dateAx>
        <axId val="285909376"/>
        <scaling>
          <orientation val="minMax"/>
        </scaling>
        <delete val="0"/>
        <axPos val="b"/>
        <numFmt formatCode="m/d/yyyy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85910912"/>
        <crosses val="autoZero"/>
        <lblOffset val="100"/>
        <baseTimeUnit val="days"/>
      </dateAx>
      <valAx>
        <axId val="2859109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85909376"/>
        <crosses val="autoZero"/>
        <crossBetween val="between"/>
      </valAx>
      <dateAx>
        <axId val="285918336"/>
        <scaling>
          <orientation val="minMax"/>
        </scaling>
        <delete val="1"/>
        <axPos val="b"/>
        <numFmt formatCode="m/d/yyyy" sourceLinked="1"/>
        <majorTickMark val="out"/>
        <minorTickMark val="none"/>
        <tickLblPos val="nextTo"/>
        <crossAx val="285912448"/>
        <crosses val="autoZero"/>
        <lblOffset val="100"/>
        <baseTimeUnit val="days"/>
      </dateAx>
      <valAx>
        <axId val="285912448"/>
        <scaling>
          <orientation val="minMax"/>
        </scaling>
        <delete val="0"/>
        <axPos val="r"/>
        <numFmt formatCode="0.00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85918336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effectLst/>
                <a:uLnTx/>
                <a:uFillTx/>
                <a:latin typeface="Calibri" panose="020F0502020204030204"/>
              </a:rPr>
              <a:t>BEER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092366428318446"/>
          <y val="0.05822861841071773"/>
          <w val="0.9519481201934387"/>
          <h val="0.8891272703808019"/>
        </manualLayout>
      </layout>
      <lineChart>
        <grouping val="standard"/>
        <varyColors val="0"/>
        <ser>
          <idx val="0"/>
          <order val="0"/>
          <tx>
            <strRef>
              <f>'EVI 2025 Workings'!$H$1</f>
              <strCache>
                <ptCount val="1"/>
                <pt idx="0">
                  <v>BEER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'EVI 2025 Workings'!$B$2:$B$806</f>
              <numCache>
                <formatCode>m/d/yyyy</formatCode>
                <ptCount val="805"/>
                <pt idx="0">
                  <v>44564</v>
                </pt>
                <pt idx="1">
                  <v>44565</v>
                </pt>
                <pt idx="2">
                  <v>44566</v>
                </pt>
                <pt idx="3">
                  <v>44567</v>
                </pt>
                <pt idx="4">
                  <v>44568</v>
                </pt>
                <pt idx="5">
                  <v>44571</v>
                </pt>
                <pt idx="6">
                  <v>44572</v>
                </pt>
                <pt idx="7">
                  <v>44573</v>
                </pt>
                <pt idx="8">
                  <v>44574</v>
                </pt>
                <pt idx="9">
                  <v>44575</v>
                </pt>
                <pt idx="10">
                  <v>44578</v>
                </pt>
                <pt idx="11">
                  <v>44579</v>
                </pt>
                <pt idx="12">
                  <v>44580</v>
                </pt>
                <pt idx="13">
                  <v>44581</v>
                </pt>
                <pt idx="14">
                  <v>44582</v>
                </pt>
                <pt idx="15">
                  <v>44585</v>
                </pt>
                <pt idx="16">
                  <v>44586</v>
                </pt>
                <pt idx="17">
                  <v>44588</v>
                </pt>
                <pt idx="18">
                  <v>44589</v>
                </pt>
                <pt idx="19">
                  <v>44592</v>
                </pt>
                <pt idx="20">
                  <v>44593</v>
                </pt>
                <pt idx="21">
                  <v>44594</v>
                </pt>
                <pt idx="22">
                  <v>44595</v>
                </pt>
                <pt idx="23">
                  <v>44596</v>
                </pt>
                <pt idx="24">
                  <v>44599</v>
                </pt>
                <pt idx="25">
                  <v>44600</v>
                </pt>
                <pt idx="26">
                  <v>44601</v>
                </pt>
                <pt idx="27">
                  <v>44602</v>
                </pt>
                <pt idx="28">
                  <v>44603</v>
                </pt>
                <pt idx="29">
                  <v>44606</v>
                </pt>
                <pt idx="30">
                  <v>44607</v>
                </pt>
                <pt idx="31">
                  <v>44608</v>
                </pt>
                <pt idx="32">
                  <v>44609</v>
                </pt>
                <pt idx="33">
                  <v>44610</v>
                </pt>
                <pt idx="34">
                  <v>44613</v>
                </pt>
                <pt idx="35">
                  <v>44614</v>
                </pt>
                <pt idx="36">
                  <v>44615</v>
                </pt>
                <pt idx="37">
                  <v>44616</v>
                </pt>
                <pt idx="38">
                  <v>44617</v>
                </pt>
                <pt idx="39">
                  <v>44620</v>
                </pt>
                <pt idx="40">
                  <v>44622</v>
                </pt>
                <pt idx="41">
                  <v>44623</v>
                </pt>
                <pt idx="42">
                  <v>44624</v>
                </pt>
                <pt idx="43">
                  <v>44627</v>
                </pt>
                <pt idx="44">
                  <v>44628</v>
                </pt>
                <pt idx="45">
                  <v>44629</v>
                </pt>
                <pt idx="46">
                  <v>44630</v>
                </pt>
                <pt idx="47">
                  <v>44631</v>
                </pt>
                <pt idx="48">
                  <v>44634</v>
                </pt>
                <pt idx="49">
                  <v>44635</v>
                </pt>
                <pt idx="50">
                  <v>44636</v>
                </pt>
                <pt idx="51">
                  <v>44637</v>
                </pt>
                <pt idx="52">
                  <v>44641</v>
                </pt>
                <pt idx="53">
                  <v>44642</v>
                </pt>
                <pt idx="54">
                  <v>44643</v>
                </pt>
                <pt idx="55">
                  <v>44644</v>
                </pt>
                <pt idx="56">
                  <v>44645</v>
                </pt>
                <pt idx="57">
                  <v>44648</v>
                </pt>
                <pt idx="58">
                  <v>44649</v>
                </pt>
                <pt idx="59">
                  <v>44650</v>
                </pt>
                <pt idx="60">
                  <v>44651</v>
                </pt>
                <pt idx="61">
                  <v>44652</v>
                </pt>
                <pt idx="62">
                  <v>44655</v>
                </pt>
                <pt idx="63">
                  <v>44656</v>
                </pt>
                <pt idx="64">
                  <v>44657</v>
                </pt>
                <pt idx="65">
                  <v>44658</v>
                </pt>
                <pt idx="66">
                  <v>44659</v>
                </pt>
                <pt idx="67">
                  <v>44662</v>
                </pt>
                <pt idx="68">
                  <v>44663</v>
                </pt>
                <pt idx="69">
                  <v>44664</v>
                </pt>
                <pt idx="70">
                  <v>44669</v>
                </pt>
                <pt idx="71">
                  <v>44670</v>
                </pt>
                <pt idx="72">
                  <v>44671</v>
                </pt>
                <pt idx="73">
                  <v>44672</v>
                </pt>
                <pt idx="74">
                  <v>44673</v>
                </pt>
                <pt idx="75">
                  <v>44676</v>
                </pt>
                <pt idx="76">
                  <v>44677</v>
                </pt>
                <pt idx="77">
                  <v>44678</v>
                </pt>
                <pt idx="78">
                  <v>44679</v>
                </pt>
                <pt idx="79">
                  <v>44680</v>
                </pt>
                <pt idx="80">
                  <v>44683</v>
                </pt>
                <pt idx="81">
                  <v>44685</v>
                </pt>
                <pt idx="82">
                  <v>44686</v>
                </pt>
                <pt idx="83">
                  <v>44687</v>
                </pt>
                <pt idx="84">
                  <v>44690</v>
                </pt>
                <pt idx="85">
                  <v>44691</v>
                </pt>
                <pt idx="86">
                  <v>44692</v>
                </pt>
                <pt idx="87">
                  <v>44693</v>
                </pt>
                <pt idx="88">
                  <v>44694</v>
                </pt>
                <pt idx="89">
                  <v>44697</v>
                </pt>
                <pt idx="90">
                  <v>44698</v>
                </pt>
                <pt idx="91">
                  <v>44699</v>
                </pt>
                <pt idx="92">
                  <v>44700</v>
                </pt>
                <pt idx="93">
                  <v>44701</v>
                </pt>
                <pt idx="94">
                  <v>44704</v>
                </pt>
                <pt idx="95">
                  <v>44705</v>
                </pt>
                <pt idx="96">
                  <v>44706</v>
                </pt>
                <pt idx="97">
                  <v>44707</v>
                </pt>
                <pt idx="98">
                  <v>44708</v>
                </pt>
                <pt idx="99">
                  <v>44711</v>
                </pt>
                <pt idx="100">
                  <v>44712</v>
                </pt>
                <pt idx="101">
                  <v>44713</v>
                </pt>
                <pt idx="102">
                  <v>44714</v>
                </pt>
                <pt idx="103">
                  <v>44715</v>
                </pt>
                <pt idx="104">
                  <v>44718</v>
                </pt>
                <pt idx="105">
                  <v>44719</v>
                </pt>
                <pt idx="106">
                  <v>44720</v>
                </pt>
                <pt idx="107">
                  <v>44721</v>
                </pt>
                <pt idx="108">
                  <v>44722</v>
                </pt>
                <pt idx="109">
                  <v>44725</v>
                </pt>
                <pt idx="110">
                  <v>44726</v>
                </pt>
                <pt idx="111">
                  <v>44727</v>
                </pt>
                <pt idx="112">
                  <v>44728</v>
                </pt>
                <pt idx="113">
                  <v>44729</v>
                </pt>
                <pt idx="114">
                  <v>44732</v>
                </pt>
                <pt idx="115">
                  <v>44733</v>
                </pt>
                <pt idx="116">
                  <v>44734</v>
                </pt>
                <pt idx="117">
                  <v>44735</v>
                </pt>
                <pt idx="118">
                  <v>44736</v>
                </pt>
                <pt idx="119">
                  <v>44739</v>
                </pt>
                <pt idx="120">
                  <v>44740</v>
                </pt>
                <pt idx="121">
                  <v>44741</v>
                </pt>
                <pt idx="122">
                  <v>44742</v>
                </pt>
                <pt idx="123">
                  <v>44743</v>
                </pt>
                <pt idx="124">
                  <v>44746</v>
                </pt>
                <pt idx="125">
                  <v>44747</v>
                </pt>
                <pt idx="126">
                  <v>44748</v>
                </pt>
                <pt idx="127">
                  <v>44749</v>
                </pt>
                <pt idx="128">
                  <v>44750</v>
                </pt>
                <pt idx="129">
                  <v>44753</v>
                </pt>
                <pt idx="130">
                  <v>44754</v>
                </pt>
                <pt idx="131">
                  <v>44755</v>
                </pt>
                <pt idx="132">
                  <v>44756</v>
                </pt>
                <pt idx="133">
                  <v>44757</v>
                </pt>
                <pt idx="134">
                  <v>44760</v>
                </pt>
                <pt idx="135">
                  <v>44761</v>
                </pt>
                <pt idx="136">
                  <v>44762</v>
                </pt>
                <pt idx="137">
                  <v>44763</v>
                </pt>
                <pt idx="138">
                  <v>44764</v>
                </pt>
                <pt idx="139">
                  <v>44767</v>
                </pt>
                <pt idx="140">
                  <v>44768</v>
                </pt>
                <pt idx="141">
                  <v>44769</v>
                </pt>
                <pt idx="142">
                  <v>44770</v>
                </pt>
                <pt idx="143">
                  <v>44771</v>
                </pt>
                <pt idx="144">
                  <v>44774</v>
                </pt>
                <pt idx="145">
                  <v>44775</v>
                </pt>
                <pt idx="146">
                  <v>44776</v>
                </pt>
                <pt idx="147">
                  <v>44777</v>
                </pt>
                <pt idx="148">
                  <v>44778</v>
                </pt>
                <pt idx="149">
                  <v>44781</v>
                </pt>
                <pt idx="150">
                  <v>44783</v>
                </pt>
                <pt idx="151">
                  <v>44784</v>
                </pt>
                <pt idx="152">
                  <v>44785</v>
                </pt>
                <pt idx="153">
                  <v>44789</v>
                </pt>
                <pt idx="154">
                  <v>44790</v>
                </pt>
                <pt idx="155">
                  <v>44791</v>
                </pt>
                <pt idx="156">
                  <v>44792</v>
                </pt>
                <pt idx="157">
                  <v>44795</v>
                </pt>
                <pt idx="158">
                  <v>44796</v>
                </pt>
                <pt idx="159">
                  <v>44797</v>
                </pt>
                <pt idx="160">
                  <v>44798</v>
                </pt>
                <pt idx="161">
                  <v>44799</v>
                </pt>
                <pt idx="162">
                  <v>44802</v>
                </pt>
                <pt idx="163">
                  <v>44803</v>
                </pt>
                <pt idx="164">
                  <v>44805</v>
                </pt>
                <pt idx="165">
                  <v>44806</v>
                </pt>
                <pt idx="166">
                  <v>44809</v>
                </pt>
                <pt idx="167">
                  <v>44810</v>
                </pt>
                <pt idx="168">
                  <v>44811</v>
                </pt>
                <pt idx="169">
                  <v>44812</v>
                </pt>
                <pt idx="170">
                  <v>44813</v>
                </pt>
                <pt idx="171">
                  <v>44816</v>
                </pt>
                <pt idx="172">
                  <v>44817</v>
                </pt>
                <pt idx="173">
                  <v>44818</v>
                </pt>
                <pt idx="174">
                  <v>44819</v>
                </pt>
                <pt idx="175">
                  <v>44820</v>
                </pt>
                <pt idx="176">
                  <v>44823</v>
                </pt>
                <pt idx="177">
                  <v>44824</v>
                </pt>
                <pt idx="178">
                  <v>44825</v>
                </pt>
                <pt idx="179">
                  <v>44826</v>
                </pt>
                <pt idx="180">
                  <v>44827</v>
                </pt>
                <pt idx="181">
                  <v>44830</v>
                </pt>
                <pt idx="182">
                  <v>44831</v>
                </pt>
                <pt idx="183">
                  <v>44832</v>
                </pt>
                <pt idx="184">
                  <v>44833</v>
                </pt>
                <pt idx="185">
                  <v>44834</v>
                </pt>
                <pt idx="186">
                  <v>44837</v>
                </pt>
                <pt idx="187">
                  <v>44838</v>
                </pt>
                <pt idx="188">
                  <v>44840</v>
                </pt>
                <pt idx="189">
                  <v>44841</v>
                </pt>
                <pt idx="190">
                  <v>44844</v>
                </pt>
                <pt idx="191">
                  <v>44845</v>
                </pt>
                <pt idx="192">
                  <v>44846</v>
                </pt>
                <pt idx="193">
                  <v>44847</v>
                </pt>
                <pt idx="194">
                  <v>44848</v>
                </pt>
                <pt idx="195">
                  <v>44851</v>
                </pt>
                <pt idx="196">
                  <v>44852</v>
                </pt>
                <pt idx="197">
                  <v>44853</v>
                </pt>
                <pt idx="198">
                  <v>44854</v>
                </pt>
                <pt idx="199">
                  <v>44855</v>
                </pt>
                <pt idx="200">
                  <v>44858</v>
                </pt>
                <pt idx="201">
                  <v>44859</v>
                </pt>
                <pt idx="202">
                  <v>44861</v>
                </pt>
                <pt idx="203">
                  <v>44862</v>
                </pt>
                <pt idx="204">
                  <v>44865</v>
                </pt>
                <pt idx="205">
                  <v>44866</v>
                </pt>
                <pt idx="206">
                  <v>44867</v>
                </pt>
                <pt idx="207">
                  <v>44868</v>
                </pt>
                <pt idx="208">
                  <v>44869</v>
                </pt>
                <pt idx="209">
                  <v>44872</v>
                </pt>
                <pt idx="210">
                  <v>44874</v>
                </pt>
                <pt idx="211">
                  <v>44875</v>
                </pt>
                <pt idx="212">
                  <v>44876</v>
                </pt>
                <pt idx="213">
                  <v>44879</v>
                </pt>
                <pt idx="214">
                  <v>44880</v>
                </pt>
                <pt idx="215">
                  <v>44881</v>
                </pt>
                <pt idx="216">
                  <v>44882</v>
                </pt>
                <pt idx="217">
                  <v>44883</v>
                </pt>
                <pt idx="218">
                  <v>44886</v>
                </pt>
                <pt idx="219">
                  <v>44887</v>
                </pt>
                <pt idx="220">
                  <v>44888</v>
                </pt>
                <pt idx="221">
                  <v>44889</v>
                </pt>
                <pt idx="222">
                  <v>44890</v>
                </pt>
                <pt idx="223">
                  <v>44893</v>
                </pt>
                <pt idx="224">
                  <v>44894</v>
                </pt>
                <pt idx="225">
                  <v>44895</v>
                </pt>
                <pt idx="226">
                  <v>44896</v>
                </pt>
                <pt idx="227">
                  <v>44897</v>
                </pt>
                <pt idx="228">
                  <v>44900</v>
                </pt>
                <pt idx="229">
                  <v>44901</v>
                </pt>
                <pt idx="230">
                  <v>44902</v>
                </pt>
                <pt idx="231">
                  <v>44903</v>
                </pt>
                <pt idx="232">
                  <v>44904</v>
                </pt>
                <pt idx="233">
                  <v>44907</v>
                </pt>
                <pt idx="234">
                  <v>44908</v>
                </pt>
                <pt idx="235">
                  <v>44909</v>
                </pt>
                <pt idx="236">
                  <v>44910</v>
                </pt>
                <pt idx="237">
                  <v>44911</v>
                </pt>
                <pt idx="238">
                  <v>44914</v>
                </pt>
                <pt idx="239">
                  <v>44915</v>
                </pt>
                <pt idx="240">
                  <v>44916</v>
                </pt>
                <pt idx="241">
                  <v>44917</v>
                </pt>
                <pt idx="242">
                  <v>44918</v>
                </pt>
                <pt idx="243">
                  <v>44921</v>
                </pt>
                <pt idx="244">
                  <v>44922</v>
                </pt>
                <pt idx="245">
                  <v>44923</v>
                </pt>
                <pt idx="246">
                  <v>44924</v>
                </pt>
                <pt idx="247">
                  <v>44925</v>
                </pt>
                <pt idx="248">
                  <v>44928</v>
                </pt>
                <pt idx="249">
                  <v>44929</v>
                </pt>
                <pt idx="250">
                  <v>44930</v>
                </pt>
                <pt idx="251">
                  <v>44931</v>
                </pt>
                <pt idx="252">
                  <v>44932</v>
                </pt>
                <pt idx="253">
                  <v>44935</v>
                </pt>
                <pt idx="254">
                  <v>44936</v>
                </pt>
                <pt idx="255">
                  <v>44937</v>
                </pt>
                <pt idx="256">
                  <v>44938</v>
                </pt>
                <pt idx="257">
                  <v>44939</v>
                </pt>
                <pt idx="258">
                  <v>44942</v>
                </pt>
                <pt idx="259">
                  <v>44943</v>
                </pt>
                <pt idx="260">
                  <v>44944</v>
                </pt>
                <pt idx="261">
                  <v>44945</v>
                </pt>
                <pt idx="262">
                  <v>44946</v>
                </pt>
                <pt idx="263">
                  <v>44949</v>
                </pt>
                <pt idx="264">
                  <v>44950</v>
                </pt>
                <pt idx="265">
                  <v>44951</v>
                </pt>
                <pt idx="266">
                  <v>44953</v>
                </pt>
                <pt idx="267">
                  <v>44956</v>
                </pt>
                <pt idx="268">
                  <v>44957</v>
                </pt>
                <pt idx="269">
                  <v>44958</v>
                </pt>
                <pt idx="270">
                  <v>44959</v>
                </pt>
                <pt idx="271">
                  <v>44960</v>
                </pt>
                <pt idx="272">
                  <v>44963</v>
                </pt>
                <pt idx="273">
                  <v>44964</v>
                </pt>
                <pt idx="274">
                  <v>44965</v>
                </pt>
                <pt idx="275">
                  <v>44966</v>
                </pt>
                <pt idx="276">
                  <v>44967</v>
                </pt>
                <pt idx="277">
                  <v>44970</v>
                </pt>
                <pt idx="278">
                  <v>44971</v>
                </pt>
                <pt idx="279">
                  <v>44972</v>
                </pt>
                <pt idx="280">
                  <v>44973</v>
                </pt>
                <pt idx="281">
                  <v>44974</v>
                </pt>
                <pt idx="282">
                  <v>44977</v>
                </pt>
                <pt idx="283">
                  <v>44978</v>
                </pt>
                <pt idx="284">
                  <v>44979</v>
                </pt>
                <pt idx="285">
                  <v>44980</v>
                </pt>
                <pt idx="286">
                  <v>44981</v>
                </pt>
                <pt idx="287">
                  <v>44984</v>
                </pt>
                <pt idx="288">
                  <v>44985</v>
                </pt>
                <pt idx="289">
                  <v>44986</v>
                </pt>
                <pt idx="290">
                  <v>44987</v>
                </pt>
                <pt idx="291">
                  <v>44988</v>
                </pt>
                <pt idx="292">
                  <v>44991</v>
                </pt>
                <pt idx="293">
                  <v>44993</v>
                </pt>
                <pt idx="294">
                  <v>44994</v>
                </pt>
                <pt idx="295">
                  <v>44995</v>
                </pt>
                <pt idx="296">
                  <v>44998</v>
                </pt>
                <pt idx="297">
                  <v>44999</v>
                </pt>
                <pt idx="298">
                  <v>45000</v>
                </pt>
                <pt idx="299">
                  <v>45001</v>
                </pt>
                <pt idx="300">
                  <v>45002</v>
                </pt>
                <pt idx="301">
                  <v>45005</v>
                </pt>
                <pt idx="302">
                  <v>45006</v>
                </pt>
                <pt idx="303">
                  <v>45007</v>
                </pt>
                <pt idx="304">
                  <v>45008</v>
                </pt>
                <pt idx="305">
                  <v>45009</v>
                </pt>
                <pt idx="306">
                  <v>45012</v>
                </pt>
                <pt idx="307">
                  <v>45013</v>
                </pt>
                <pt idx="308">
                  <v>45014</v>
                </pt>
                <pt idx="309">
                  <v>45016</v>
                </pt>
                <pt idx="310">
                  <v>45019</v>
                </pt>
                <pt idx="311">
                  <v>45021</v>
                </pt>
                <pt idx="312">
                  <v>45022</v>
                </pt>
                <pt idx="313">
                  <v>45026</v>
                </pt>
                <pt idx="314">
                  <v>45027</v>
                </pt>
                <pt idx="315">
                  <v>45028</v>
                </pt>
                <pt idx="316">
                  <v>45029</v>
                </pt>
                <pt idx="317">
                  <v>45033</v>
                </pt>
                <pt idx="318">
                  <v>45034</v>
                </pt>
                <pt idx="319">
                  <v>45035</v>
                </pt>
                <pt idx="320">
                  <v>45036</v>
                </pt>
                <pt idx="321">
                  <v>45037</v>
                </pt>
                <pt idx="322">
                  <v>45040</v>
                </pt>
                <pt idx="323">
                  <v>45041</v>
                </pt>
                <pt idx="324">
                  <v>45042</v>
                </pt>
                <pt idx="325">
                  <v>45043</v>
                </pt>
                <pt idx="326">
                  <v>45044</v>
                </pt>
                <pt idx="327">
                  <v>45048</v>
                </pt>
                <pt idx="328">
                  <v>45049</v>
                </pt>
                <pt idx="329">
                  <v>45050</v>
                </pt>
                <pt idx="330">
                  <v>45051</v>
                </pt>
                <pt idx="331">
                  <v>45054</v>
                </pt>
                <pt idx="332">
                  <v>45055</v>
                </pt>
                <pt idx="333">
                  <v>45056</v>
                </pt>
                <pt idx="334">
                  <v>45057</v>
                </pt>
                <pt idx="335">
                  <v>45058</v>
                </pt>
                <pt idx="336">
                  <v>45061</v>
                </pt>
                <pt idx="337">
                  <v>45062</v>
                </pt>
                <pt idx="338">
                  <v>45063</v>
                </pt>
                <pt idx="339">
                  <v>45064</v>
                </pt>
                <pt idx="340">
                  <v>45065</v>
                </pt>
                <pt idx="341">
                  <v>45068</v>
                </pt>
                <pt idx="342">
                  <v>45069</v>
                </pt>
                <pt idx="343">
                  <v>45070</v>
                </pt>
                <pt idx="344">
                  <v>45071</v>
                </pt>
                <pt idx="345">
                  <v>45072</v>
                </pt>
                <pt idx="346">
                  <v>45075</v>
                </pt>
                <pt idx="347">
                  <v>45076</v>
                </pt>
                <pt idx="348">
                  <v>45077</v>
                </pt>
                <pt idx="349">
                  <v>45078</v>
                </pt>
                <pt idx="350">
                  <v>45079</v>
                </pt>
                <pt idx="351">
                  <v>45082</v>
                </pt>
                <pt idx="352">
                  <v>45083</v>
                </pt>
                <pt idx="353">
                  <v>45084</v>
                </pt>
                <pt idx="354">
                  <v>45085</v>
                </pt>
                <pt idx="355">
                  <v>45086</v>
                </pt>
                <pt idx="356">
                  <v>45089</v>
                </pt>
                <pt idx="357">
                  <v>45090</v>
                </pt>
                <pt idx="358">
                  <v>45091</v>
                </pt>
                <pt idx="359">
                  <v>45092</v>
                </pt>
                <pt idx="360">
                  <v>45093</v>
                </pt>
                <pt idx="361">
                  <v>45096</v>
                </pt>
                <pt idx="362">
                  <v>45097</v>
                </pt>
                <pt idx="363">
                  <v>45098</v>
                </pt>
                <pt idx="364">
                  <v>45099</v>
                </pt>
                <pt idx="365">
                  <v>45100</v>
                </pt>
                <pt idx="366">
                  <v>45103</v>
                </pt>
                <pt idx="367">
                  <v>45104</v>
                </pt>
                <pt idx="368">
                  <v>45105</v>
                </pt>
                <pt idx="369">
                  <v>45107</v>
                </pt>
                <pt idx="370">
                  <v>45110</v>
                </pt>
                <pt idx="371">
                  <v>45111</v>
                </pt>
                <pt idx="372">
                  <v>45112</v>
                </pt>
                <pt idx="373">
                  <v>45113</v>
                </pt>
                <pt idx="374">
                  <v>45114</v>
                </pt>
                <pt idx="375">
                  <v>45117</v>
                </pt>
                <pt idx="376">
                  <v>45118</v>
                </pt>
                <pt idx="377">
                  <v>45119</v>
                </pt>
                <pt idx="378">
                  <v>45120</v>
                </pt>
                <pt idx="379">
                  <v>45121</v>
                </pt>
                <pt idx="380">
                  <v>45124</v>
                </pt>
                <pt idx="381">
                  <v>45125</v>
                </pt>
                <pt idx="382">
                  <v>45126</v>
                </pt>
                <pt idx="383">
                  <v>45127</v>
                </pt>
                <pt idx="384">
                  <v>45128</v>
                </pt>
                <pt idx="385">
                  <v>45131</v>
                </pt>
                <pt idx="386">
                  <v>45132</v>
                </pt>
                <pt idx="387">
                  <v>45133</v>
                </pt>
                <pt idx="388">
                  <v>45134</v>
                </pt>
                <pt idx="389">
                  <v>45135</v>
                </pt>
                <pt idx="390">
                  <v>45138</v>
                </pt>
                <pt idx="391">
                  <v>45139</v>
                </pt>
                <pt idx="392">
                  <v>45140</v>
                </pt>
                <pt idx="393">
                  <v>45141</v>
                </pt>
                <pt idx="394">
                  <v>45142</v>
                </pt>
                <pt idx="395">
                  <v>45145</v>
                </pt>
                <pt idx="396">
                  <v>45146</v>
                </pt>
                <pt idx="397">
                  <v>45147</v>
                </pt>
                <pt idx="398">
                  <v>45148</v>
                </pt>
                <pt idx="399">
                  <v>45149</v>
                </pt>
                <pt idx="400">
                  <v>45152</v>
                </pt>
                <pt idx="401">
                  <v>45154</v>
                </pt>
                <pt idx="402">
                  <v>45155</v>
                </pt>
                <pt idx="403">
                  <v>45156</v>
                </pt>
                <pt idx="404">
                  <v>45159</v>
                </pt>
                <pt idx="405">
                  <v>45160</v>
                </pt>
                <pt idx="406">
                  <v>45161</v>
                </pt>
                <pt idx="407">
                  <v>45162</v>
                </pt>
                <pt idx="408">
                  <v>45163</v>
                </pt>
                <pt idx="409">
                  <v>45166</v>
                </pt>
                <pt idx="410">
                  <v>45167</v>
                </pt>
                <pt idx="411">
                  <v>45168</v>
                </pt>
                <pt idx="412">
                  <v>45169</v>
                </pt>
                <pt idx="413">
                  <v>45170</v>
                </pt>
                <pt idx="414">
                  <v>45173</v>
                </pt>
                <pt idx="415">
                  <v>45174</v>
                </pt>
                <pt idx="416">
                  <v>45175</v>
                </pt>
                <pt idx="417">
                  <v>45176</v>
                </pt>
                <pt idx="418">
                  <v>45177</v>
                </pt>
                <pt idx="419">
                  <v>45180</v>
                </pt>
                <pt idx="420">
                  <v>45181</v>
                </pt>
                <pt idx="421">
                  <v>45182</v>
                </pt>
                <pt idx="422">
                  <v>45183</v>
                </pt>
                <pt idx="423">
                  <v>45184</v>
                </pt>
                <pt idx="424">
                  <v>45187</v>
                </pt>
                <pt idx="425">
                  <v>45189</v>
                </pt>
                <pt idx="426">
                  <v>45190</v>
                </pt>
                <pt idx="427">
                  <v>45191</v>
                </pt>
                <pt idx="428">
                  <v>45194</v>
                </pt>
                <pt idx="429">
                  <v>45195</v>
                </pt>
                <pt idx="430">
                  <v>45196</v>
                </pt>
                <pt idx="431">
                  <v>45197</v>
                </pt>
                <pt idx="432">
                  <v>45198</v>
                </pt>
                <pt idx="433">
                  <v>45202</v>
                </pt>
                <pt idx="434">
                  <v>45203</v>
                </pt>
                <pt idx="435">
                  <v>45204</v>
                </pt>
                <pt idx="436">
                  <v>45205</v>
                </pt>
                <pt idx="437">
                  <v>45208</v>
                </pt>
                <pt idx="438">
                  <v>45209</v>
                </pt>
                <pt idx="439">
                  <v>45210</v>
                </pt>
                <pt idx="440">
                  <v>45211</v>
                </pt>
                <pt idx="441">
                  <v>45212</v>
                </pt>
                <pt idx="442">
                  <v>45215</v>
                </pt>
                <pt idx="443">
                  <v>45216</v>
                </pt>
                <pt idx="444">
                  <v>45217</v>
                </pt>
                <pt idx="445">
                  <v>45218</v>
                </pt>
                <pt idx="446">
                  <v>45219</v>
                </pt>
                <pt idx="447">
                  <v>45222</v>
                </pt>
                <pt idx="448">
                  <v>45224</v>
                </pt>
                <pt idx="449">
                  <v>45225</v>
                </pt>
                <pt idx="450">
                  <v>45226</v>
                </pt>
                <pt idx="451">
                  <v>45229</v>
                </pt>
                <pt idx="452">
                  <v>45230</v>
                </pt>
                <pt idx="453">
                  <v>45231</v>
                </pt>
                <pt idx="454">
                  <v>45232</v>
                </pt>
                <pt idx="455">
                  <v>45233</v>
                </pt>
                <pt idx="456">
                  <v>45236</v>
                </pt>
                <pt idx="457">
                  <v>45237</v>
                </pt>
                <pt idx="458">
                  <v>45238</v>
                </pt>
                <pt idx="459">
                  <v>45239</v>
                </pt>
                <pt idx="460">
                  <v>45240</v>
                </pt>
                <pt idx="461">
                  <v>45242</v>
                </pt>
                <pt idx="462">
                  <v>45243</v>
                </pt>
                <pt idx="463">
                  <v>45245</v>
                </pt>
                <pt idx="464">
                  <v>45246</v>
                </pt>
                <pt idx="465">
                  <v>45247</v>
                </pt>
                <pt idx="466">
                  <v>45250</v>
                </pt>
                <pt idx="467">
                  <v>45251</v>
                </pt>
                <pt idx="468">
                  <v>45252</v>
                </pt>
                <pt idx="469">
                  <v>45253</v>
                </pt>
                <pt idx="470">
                  <v>45254</v>
                </pt>
                <pt idx="471">
                  <v>45258</v>
                </pt>
                <pt idx="472">
                  <v>45259</v>
                </pt>
                <pt idx="473">
                  <v>45260</v>
                </pt>
                <pt idx="474">
                  <v>45261</v>
                </pt>
                <pt idx="475">
                  <v>45264</v>
                </pt>
                <pt idx="476">
                  <v>45265</v>
                </pt>
                <pt idx="477">
                  <v>45266</v>
                </pt>
                <pt idx="478">
                  <v>45267</v>
                </pt>
                <pt idx="479">
                  <v>45268</v>
                </pt>
                <pt idx="480">
                  <v>45271</v>
                </pt>
                <pt idx="481">
                  <v>45272</v>
                </pt>
                <pt idx="482">
                  <v>45273</v>
                </pt>
                <pt idx="483">
                  <v>45274</v>
                </pt>
                <pt idx="484">
                  <v>45275</v>
                </pt>
                <pt idx="485">
                  <v>45278</v>
                </pt>
                <pt idx="486">
                  <v>45279</v>
                </pt>
                <pt idx="487">
                  <v>45280</v>
                </pt>
                <pt idx="488">
                  <v>45281</v>
                </pt>
                <pt idx="489">
                  <v>45282</v>
                </pt>
                <pt idx="490">
                  <v>45286</v>
                </pt>
                <pt idx="491">
                  <v>45287</v>
                </pt>
                <pt idx="492">
                  <v>45288</v>
                </pt>
                <pt idx="493">
                  <v>45289</v>
                </pt>
                <pt idx="494">
                  <v>45292</v>
                </pt>
                <pt idx="495">
                  <v>45293</v>
                </pt>
                <pt idx="496">
                  <v>45294</v>
                </pt>
                <pt idx="497">
                  <v>45295</v>
                </pt>
                <pt idx="498">
                  <v>45296</v>
                </pt>
                <pt idx="499">
                  <v>45299</v>
                </pt>
                <pt idx="500">
                  <v>45300</v>
                </pt>
                <pt idx="501">
                  <v>45301</v>
                </pt>
                <pt idx="502">
                  <v>45302</v>
                </pt>
                <pt idx="503">
                  <v>45303</v>
                </pt>
                <pt idx="504">
                  <v>45306</v>
                </pt>
                <pt idx="505">
                  <v>45307</v>
                </pt>
                <pt idx="506">
                  <v>45308</v>
                </pt>
                <pt idx="507">
                  <v>45309</v>
                </pt>
                <pt idx="508">
                  <v>45310</v>
                </pt>
                <pt idx="509">
                  <v>45311</v>
                </pt>
                <pt idx="510">
                  <v>45314</v>
                </pt>
                <pt idx="511">
                  <v>45315</v>
                </pt>
                <pt idx="512">
                  <v>45316</v>
                </pt>
                <pt idx="513">
                  <v>45320</v>
                </pt>
                <pt idx="514">
                  <v>45321</v>
                </pt>
                <pt idx="515">
                  <v>45322</v>
                </pt>
                <pt idx="516">
                  <v>45323</v>
                </pt>
                <pt idx="517">
                  <v>45324</v>
                </pt>
                <pt idx="518">
                  <v>45327</v>
                </pt>
                <pt idx="519">
                  <v>45328</v>
                </pt>
                <pt idx="520">
                  <v>45329</v>
                </pt>
                <pt idx="521">
                  <v>45330</v>
                </pt>
                <pt idx="522">
                  <v>45331</v>
                </pt>
                <pt idx="523">
                  <v>45334</v>
                </pt>
                <pt idx="524">
                  <v>45335</v>
                </pt>
                <pt idx="525">
                  <v>45336</v>
                </pt>
                <pt idx="526">
                  <v>45337</v>
                </pt>
                <pt idx="527">
                  <v>45338</v>
                </pt>
                <pt idx="528">
                  <v>45341</v>
                </pt>
                <pt idx="529">
                  <v>45342</v>
                </pt>
                <pt idx="530">
                  <v>45343</v>
                </pt>
                <pt idx="531">
                  <v>45344</v>
                </pt>
                <pt idx="532">
                  <v>45345</v>
                </pt>
                <pt idx="533">
                  <v>45348</v>
                </pt>
                <pt idx="534">
                  <v>45349</v>
                </pt>
                <pt idx="535">
                  <v>45350</v>
                </pt>
                <pt idx="536">
                  <v>45351</v>
                </pt>
                <pt idx="537">
                  <v>45352</v>
                </pt>
                <pt idx="538">
                  <v>45353</v>
                </pt>
                <pt idx="539">
                  <v>45355</v>
                </pt>
                <pt idx="540">
                  <v>45356</v>
                </pt>
                <pt idx="541">
                  <v>45357</v>
                </pt>
                <pt idx="542">
                  <v>45358</v>
                </pt>
                <pt idx="543">
                  <v>45362</v>
                </pt>
                <pt idx="544">
                  <v>45363</v>
                </pt>
                <pt idx="545">
                  <v>45364</v>
                </pt>
                <pt idx="546">
                  <v>45365</v>
                </pt>
                <pt idx="547">
                  <v>45366</v>
                </pt>
                <pt idx="548">
                  <v>45369</v>
                </pt>
                <pt idx="549">
                  <v>45370</v>
                </pt>
                <pt idx="550">
                  <v>45371</v>
                </pt>
                <pt idx="551">
                  <v>45372</v>
                </pt>
                <pt idx="552">
                  <v>45373</v>
                </pt>
                <pt idx="553">
                  <v>45377</v>
                </pt>
                <pt idx="554">
                  <v>45378</v>
                </pt>
                <pt idx="555">
                  <v>45379</v>
                </pt>
                <pt idx="556">
                  <v>45383</v>
                </pt>
                <pt idx="557">
                  <v>45384</v>
                </pt>
                <pt idx="558">
                  <v>45385</v>
                </pt>
                <pt idx="559">
                  <v>45386</v>
                </pt>
                <pt idx="560">
                  <v>45387</v>
                </pt>
                <pt idx="561">
                  <v>45390</v>
                </pt>
                <pt idx="562">
                  <v>45391</v>
                </pt>
                <pt idx="563">
                  <v>45392</v>
                </pt>
                <pt idx="564">
                  <v>45394</v>
                </pt>
                <pt idx="565">
                  <v>45397</v>
                </pt>
                <pt idx="566">
                  <v>45398</v>
                </pt>
                <pt idx="567">
                  <v>45400</v>
                </pt>
                <pt idx="568">
                  <v>45401</v>
                </pt>
                <pt idx="569">
                  <v>45404</v>
                </pt>
                <pt idx="570">
                  <v>45405</v>
                </pt>
                <pt idx="571">
                  <v>45406</v>
                </pt>
                <pt idx="572">
                  <v>45407</v>
                </pt>
                <pt idx="573">
                  <v>45408</v>
                </pt>
                <pt idx="574">
                  <v>45411</v>
                </pt>
                <pt idx="575">
                  <v>45412</v>
                </pt>
                <pt idx="576">
                  <v>45414</v>
                </pt>
                <pt idx="577">
                  <v>45415</v>
                </pt>
                <pt idx="578">
                  <v>45418</v>
                </pt>
                <pt idx="579">
                  <v>45419</v>
                </pt>
                <pt idx="580">
                  <v>45420</v>
                </pt>
                <pt idx="581">
                  <v>45421</v>
                </pt>
                <pt idx="582">
                  <v>45422</v>
                </pt>
                <pt idx="583">
                  <v>45425</v>
                </pt>
                <pt idx="584">
                  <v>45426</v>
                </pt>
                <pt idx="585">
                  <v>45427</v>
                </pt>
                <pt idx="586">
                  <v>45428</v>
                </pt>
                <pt idx="587">
                  <v>45429</v>
                </pt>
                <pt idx="588">
                  <v>45430</v>
                </pt>
                <pt idx="589">
                  <v>45433</v>
                </pt>
                <pt idx="590">
                  <v>45434</v>
                </pt>
                <pt idx="591">
                  <v>45435</v>
                </pt>
                <pt idx="592">
                  <v>45436</v>
                </pt>
                <pt idx="593">
                  <v>45439</v>
                </pt>
                <pt idx="594">
                  <v>45440</v>
                </pt>
                <pt idx="595">
                  <v>45441</v>
                </pt>
                <pt idx="596">
                  <v>45442</v>
                </pt>
                <pt idx="597">
                  <v>45443</v>
                </pt>
                <pt idx="598">
                  <v>45446</v>
                </pt>
                <pt idx="599">
                  <v>45447</v>
                </pt>
                <pt idx="600">
                  <v>45448</v>
                </pt>
                <pt idx="601">
                  <v>45449</v>
                </pt>
                <pt idx="602">
                  <v>45450</v>
                </pt>
                <pt idx="603">
                  <v>45453</v>
                </pt>
                <pt idx="604">
                  <v>45454</v>
                </pt>
                <pt idx="605">
                  <v>45455</v>
                </pt>
                <pt idx="606">
                  <v>45456</v>
                </pt>
                <pt idx="607">
                  <v>45457</v>
                </pt>
                <pt idx="608">
                  <v>45461</v>
                </pt>
                <pt idx="609">
                  <v>45462</v>
                </pt>
                <pt idx="610">
                  <v>45463</v>
                </pt>
                <pt idx="611">
                  <v>45464</v>
                </pt>
                <pt idx="612">
                  <v>45467</v>
                </pt>
                <pt idx="613">
                  <v>45468</v>
                </pt>
                <pt idx="614">
                  <v>45469</v>
                </pt>
                <pt idx="615">
                  <v>45470</v>
                </pt>
                <pt idx="616">
                  <v>45471</v>
                </pt>
                <pt idx="617">
                  <v>45474</v>
                </pt>
                <pt idx="618">
                  <v>45475</v>
                </pt>
                <pt idx="619">
                  <v>45476</v>
                </pt>
                <pt idx="620">
                  <v>45477</v>
                </pt>
                <pt idx="621">
                  <v>45478</v>
                </pt>
                <pt idx="622">
                  <v>45481</v>
                </pt>
                <pt idx="623">
                  <v>45482</v>
                </pt>
                <pt idx="624">
                  <v>45483</v>
                </pt>
                <pt idx="625">
                  <v>45484</v>
                </pt>
                <pt idx="626">
                  <v>45485</v>
                </pt>
                <pt idx="627">
                  <v>45488</v>
                </pt>
                <pt idx="628">
                  <v>45489</v>
                </pt>
                <pt idx="629">
                  <v>45491</v>
                </pt>
                <pt idx="630">
                  <v>45492</v>
                </pt>
                <pt idx="631">
                  <v>45495</v>
                </pt>
                <pt idx="632">
                  <v>45496</v>
                </pt>
                <pt idx="633">
                  <v>45497</v>
                </pt>
                <pt idx="634">
                  <v>45498</v>
                </pt>
                <pt idx="635">
                  <v>45499</v>
                </pt>
                <pt idx="636">
                  <v>45502</v>
                </pt>
                <pt idx="637">
                  <v>45503</v>
                </pt>
                <pt idx="638">
                  <v>45504</v>
                </pt>
                <pt idx="639">
                  <v>45505</v>
                </pt>
                <pt idx="640">
                  <v>45506</v>
                </pt>
                <pt idx="641">
                  <v>45509</v>
                </pt>
                <pt idx="642">
                  <v>45510</v>
                </pt>
                <pt idx="643">
                  <v>45511</v>
                </pt>
                <pt idx="644">
                  <v>45512</v>
                </pt>
                <pt idx="645">
                  <v>45513</v>
                </pt>
                <pt idx="646">
                  <v>45516</v>
                </pt>
                <pt idx="647">
                  <v>45517</v>
                </pt>
                <pt idx="648">
                  <v>45518</v>
                </pt>
                <pt idx="649">
                  <v>45520</v>
                </pt>
                <pt idx="650">
                  <v>45523</v>
                </pt>
                <pt idx="651">
                  <v>45524</v>
                </pt>
                <pt idx="652">
                  <v>45525</v>
                </pt>
                <pt idx="653">
                  <v>45526</v>
                </pt>
                <pt idx="654">
                  <v>45527</v>
                </pt>
                <pt idx="655">
                  <v>45530</v>
                </pt>
                <pt idx="656">
                  <v>45531</v>
                </pt>
                <pt idx="657">
                  <v>45532</v>
                </pt>
                <pt idx="658">
                  <v>45533</v>
                </pt>
                <pt idx="659">
                  <v>45534</v>
                </pt>
                <pt idx="660">
                  <v>45537</v>
                </pt>
                <pt idx="661">
                  <v>45538</v>
                </pt>
                <pt idx="662">
                  <v>45539</v>
                </pt>
                <pt idx="663">
                  <v>45540</v>
                </pt>
                <pt idx="664">
                  <v>45541</v>
                </pt>
                <pt idx="665">
                  <v>45544</v>
                </pt>
                <pt idx="666">
                  <v>45545</v>
                </pt>
                <pt idx="667">
                  <v>45546</v>
                </pt>
                <pt idx="668">
                  <v>45547</v>
                </pt>
                <pt idx="669">
                  <v>45548</v>
                </pt>
                <pt idx="670">
                  <v>45551</v>
                </pt>
                <pt idx="671">
                  <v>45552</v>
                </pt>
                <pt idx="672">
                  <v>45553</v>
                </pt>
                <pt idx="673">
                  <v>45554</v>
                </pt>
                <pt idx="674">
                  <v>45555</v>
                </pt>
                <pt idx="675">
                  <v>45558</v>
                </pt>
                <pt idx="676">
                  <v>45559</v>
                </pt>
                <pt idx="677">
                  <v>45560</v>
                </pt>
                <pt idx="678">
                  <v>45561</v>
                </pt>
                <pt idx="679">
                  <v>45562</v>
                </pt>
                <pt idx="680">
                  <v>45565</v>
                </pt>
                <pt idx="681">
                  <v>45566</v>
                </pt>
                <pt idx="682">
                  <v>45568</v>
                </pt>
                <pt idx="683">
                  <v>45569</v>
                </pt>
                <pt idx="684">
                  <v>45572</v>
                </pt>
                <pt idx="685">
                  <v>45573</v>
                </pt>
                <pt idx="686">
                  <v>45574</v>
                </pt>
                <pt idx="687">
                  <v>45575</v>
                </pt>
                <pt idx="688">
                  <v>45576</v>
                </pt>
                <pt idx="689">
                  <v>45579</v>
                </pt>
                <pt idx="690">
                  <v>45580</v>
                </pt>
                <pt idx="691">
                  <v>45581</v>
                </pt>
                <pt idx="692">
                  <v>45582</v>
                </pt>
                <pt idx="693">
                  <v>45583</v>
                </pt>
                <pt idx="694">
                  <v>45586</v>
                </pt>
                <pt idx="695">
                  <v>45587</v>
                </pt>
                <pt idx="696">
                  <v>45588</v>
                </pt>
                <pt idx="697">
                  <v>45589</v>
                </pt>
                <pt idx="698">
                  <v>45590</v>
                </pt>
                <pt idx="699">
                  <v>45593</v>
                </pt>
                <pt idx="700">
                  <v>45594</v>
                </pt>
                <pt idx="701">
                  <v>45595</v>
                </pt>
                <pt idx="702">
                  <v>45596</v>
                </pt>
                <pt idx="703">
                  <v>45597</v>
                </pt>
                <pt idx="704">
                  <v>45600</v>
                </pt>
                <pt idx="705">
                  <v>45601</v>
                </pt>
                <pt idx="706">
                  <v>45602</v>
                </pt>
                <pt idx="707">
                  <v>45603</v>
                </pt>
                <pt idx="708">
                  <v>45604</v>
                </pt>
                <pt idx="709">
                  <v>45607</v>
                </pt>
                <pt idx="710">
                  <v>45608</v>
                </pt>
                <pt idx="711">
                  <v>45609</v>
                </pt>
                <pt idx="712">
                  <v>45610</v>
                </pt>
                <pt idx="713">
                  <v>45614</v>
                </pt>
                <pt idx="714">
                  <v>45615</v>
                </pt>
                <pt idx="715">
                  <v>45617</v>
                </pt>
                <pt idx="716">
                  <v>45618</v>
                </pt>
                <pt idx="717">
                  <v>45621</v>
                </pt>
                <pt idx="718">
                  <v>45622</v>
                </pt>
                <pt idx="719">
                  <v>45623</v>
                </pt>
                <pt idx="720">
                  <v>45624</v>
                </pt>
                <pt idx="721">
                  <v>45625</v>
                </pt>
                <pt idx="722">
                  <v>45628</v>
                </pt>
                <pt idx="723">
                  <v>45629</v>
                </pt>
                <pt idx="724">
                  <v>45630</v>
                </pt>
                <pt idx="725">
                  <v>45631</v>
                </pt>
                <pt idx="726">
                  <v>45632</v>
                </pt>
                <pt idx="727">
                  <v>45635</v>
                </pt>
                <pt idx="728">
                  <v>45636</v>
                </pt>
                <pt idx="729">
                  <v>45637</v>
                </pt>
                <pt idx="730">
                  <v>45638</v>
                </pt>
                <pt idx="731">
                  <v>45639</v>
                </pt>
                <pt idx="732">
                  <v>45642</v>
                </pt>
                <pt idx="733">
                  <v>45643</v>
                </pt>
                <pt idx="734">
                  <v>45644</v>
                </pt>
                <pt idx="735">
                  <v>45645</v>
                </pt>
                <pt idx="736">
                  <v>45646</v>
                </pt>
                <pt idx="737">
                  <v>45649</v>
                </pt>
                <pt idx="738">
                  <v>45650</v>
                </pt>
                <pt idx="739">
                  <v>45652</v>
                </pt>
                <pt idx="740">
                  <v>45653</v>
                </pt>
                <pt idx="741">
                  <v>45656</v>
                </pt>
                <pt idx="742">
                  <v>45657</v>
                </pt>
                <pt idx="743">
                  <v>45658</v>
                </pt>
                <pt idx="744">
                  <v>45659</v>
                </pt>
                <pt idx="745">
                  <v>45660</v>
                </pt>
                <pt idx="746">
                  <v>45663</v>
                </pt>
                <pt idx="747">
                  <v>45664</v>
                </pt>
                <pt idx="748">
                  <v>45665</v>
                </pt>
                <pt idx="749">
                  <v>45666</v>
                </pt>
                <pt idx="750">
                  <v>45667</v>
                </pt>
                <pt idx="751">
                  <v>45670</v>
                </pt>
                <pt idx="752">
                  <v>45671</v>
                </pt>
                <pt idx="753">
                  <v>45672</v>
                </pt>
                <pt idx="754">
                  <v>45673</v>
                </pt>
                <pt idx="755">
                  <v>45674</v>
                </pt>
                <pt idx="756">
                  <v>45677</v>
                </pt>
                <pt idx="757">
                  <v>45678</v>
                </pt>
                <pt idx="758">
                  <v>45679</v>
                </pt>
                <pt idx="759">
                  <v>45680</v>
                </pt>
                <pt idx="760">
                  <v>45681</v>
                </pt>
                <pt idx="761">
                  <v>45684</v>
                </pt>
                <pt idx="762">
                  <v>45685</v>
                </pt>
                <pt idx="763">
                  <v>45686</v>
                </pt>
                <pt idx="764">
                  <v>45687</v>
                </pt>
                <pt idx="765">
                  <v>45688</v>
                </pt>
                <pt idx="766">
                  <v>45689</v>
                </pt>
                <pt idx="767">
                  <v>45691</v>
                </pt>
                <pt idx="768">
                  <v>45692</v>
                </pt>
                <pt idx="769">
                  <v>45693</v>
                </pt>
                <pt idx="770">
                  <v>45694</v>
                </pt>
                <pt idx="771">
                  <v>45695</v>
                </pt>
                <pt idx="772">
                  <v>45698</v>
                </pt>
                <pt idx="773">
                  <v>45699</v>
                </pt>
                <pt idx="774">
                  <v>45700</v>
                </pt>
                <pt idx="775">
                  <v>45701</v>
                </pt>
                <pt idx="776">
                  <v>45702</v>
                </pt>
                <pt idx="777">
                  <v>45705</v>
                </pt>
                <pt idx="778">
                  <v>45706</v>
                </pt>
                <pt idx="779">
                  <v>45707</v>
                </pt>
                <pt idx="780">
                  <v>45708</v>
                </pt>
                <pt idx="781">
                  <v>45709</v>
                </pt>
                <pt idx="782">
                  <v>45712</v>
                </pt>
                <pt idx="783">
                  <v>45713</v>
                </pt>
                <pt idx="784">
                  <v>45715</v>
                </pt>
                <pt idx="785">
                  <v>45716</v>
                </pt>
                <pt idx="786">
                  <v>45719</v>
                </pt>
                <pt idx="787">
                  <v>45720</v>
                </pt>
                <pt idx="788">
                  <v>45721</v>
                </pt>
                <pt idx="789">
                  <v>45722</v>
                </pt>
                <pt idx="790">
                  <v>45723</v>
                </pt>
                <pt idx="791">
                  <v>45726</v>
                </pt>
                <pt idx="792">
                  <v>45727</v>
                </pt>
                <pt idx="793">
                  <v>45728</v>
                </pt>
                <pt idx="794">
                  <v>45729</v>
                </pt>
                <pt idx="795">
                  <v>45733</v>
                </pt>
                <pt idx="796">
                  <v>45734</v>
                </pt>
                <pt idx="797">
                  <v>45735</v>
                </pt>
                <pt idx="798">
                  <v>45736</v>
                </pt>
                <pt idx="799">
                  <v>45737</v>
                </pt>
                <pt idx="800">
                  <v>45740</v>
                </pt>
                <pt idx="801">
                  <v>45741</v>
                </pt>
                <pt idx="802">
                  <v>45742</v>
                </pt>
                <pt idx="803">
                  <v>45743</v>
                </pt>
                <pt idx="804">
                  <v>45744</v>
                </pt>
              </numCache>
            </numRef>
          </cat>
          <val>
            <numRef>
              <f>'EVI 2025 Workings'!$H$2:$H$806</f>
              <numCache>
                <formatCode>0.00</formatCode>
                <ptCount val="805"/>
                <pt idx="0">
                  <v>1.582054</v>
                </pt>
                <pt idx="1">
                  <v>1.6125532</v>
                </pt>
                <pt idx="2">
                  <v>1.6211428</v>
                </pt>
                <pt idx="3">
                  <v>1.609065</v>
                </pt>
                <pt idx="4">
                  <v>1.619145</v>
                </pt>
                <pt idx="5">
                  <v>1.648159</v>
                </pt>
                <pt idx="6">
                  <v>1.648413</v>
                </pt>
                <pt idx="7">
                  <v>1.668029</v>
                </pt>
                <pt idx="8">
                  <v>1.6645257</v>
                </pt>
                <pt idx="9">
                  <v>1.665246</v>
                </pt>
                <pt idx="10">
                  <v>1.6835532</v>
                </pt>
                <pt idx="11">
                  <v>1.65675</v>
                </pt>
                <pt idx="12">
                  <v>1.6336648</v>
                </pt>
                <pt idx="13">
                  <v>1.6169776</v>
                </pt>
                <pt idx="14">
                  <v>1.607998</v>
                </pt>
                <pt idx="15">
                  <v>1.5718676</v>
                </pt>
                <pt idx="16">
                  <v>1.5635714</v>
                </pt>
                <pt idx="17">
                  <v>1.5576514</v>
                </pt>
                <pt idx="18">
                  <v>1.563408</v>
                </pt>
                <pt idx="19">
                  <v>1.5653928</v>
                </pt>
                <pt idx="20">
                  <v>1.6127736</v>
                </pt>
                <pt idx="21">
                  <v>1.64776</v>
                </pt>
                <pt idx="22">
                  <v>1.6292485</v>
                </pt>
                <pt idx="23">
                  <v>1.6206924</v>
                </pt>
                <pt idx="24">
                  <v>1.5897369</v>
                </pt>
                <pt idx="25">
                  <v>1.554723</v>
                </pt>
                <pt idx="26">
                  <v>1.5696582</v>
                </pt>
                <pt idx="27">
                  <v>1.545405</v>
                </pt>
                <pt idx="28">
                  <v>1.5191064</v>
                </pt>
                <pt idx="29">
                  <v>1.4567395</v>
                </pt>
                <pt idx="30">
                  <v>1.4920828</v>
                </pt>
                <pt idx="31">
                  <v>1.4889722</v>
                </pt>
                <pt idx="32">
                  <v>1.484965</v>
                </pt>
                <pt idx="33">
                  <v>1.4798523</v>
                </pt>
                <pt idx="34">
                  <v>1.4804916</v>
                </pt>
                <pt idx="35">
                  <v>1.4827553</v>
                </pt>
                <pt idx="36">
                  <v>1.4785366</v>
                </pt>
                <pt idx="37">
                  <v>1.4119551</v>
                </pt>
                <pt idx="38">
                  <v>1.4456358</v>
                </pt>
                <pt idx="39">
                  <v>1.461643</v>
                </pt>
                <pt idx="40">
                  <v>1.454789</v>
                </pt>
                <pt idx="41">
                  <v>1.4477946</v>
                </pt>
                <pt idx="42">
                  <v>1.4232357</v>
                </pt>
                <pt idx="43">
                  <v>1.4044632</v>
                </pt>
                <pt idx="44">
                  <v>1.4196805</v>
                </pt>
                <pt idx="45">
                  <v>1.4381345</v>
                </pt>
                <pt idx="46">
                  <v>1.4530406</v>
                </pt>
                <pt idx="47">
                  <v>1.465599</v>
                </pt>
                <pt idx="48">
                  <v>1.4866326</v>
                </pt>
                <pt idx="49">
                  <v>1.4610582</v>
                </pt>
                <pt idx="50">
                  <v>1.4811416</v>
                </pt>
                <pt idx="51">
                  <v>1.5067494</v>
                </pt>
                <pt idx="52">
                  <v>1.4924981</v>
                </pt>
                <pt idx="53">
                  <v>1.5205806</v>
                </pt>
                <pt idx="54">
                  <v>1.5144327</v>
                </pt>
                <pt idx="55">
                  <v>1.5130476</v>
                </pt>
                <pt idx="56">
                  <v>1.5018255</v>
                </pt>
                <pt idx="57">
                  <v>1.5134904</v>
                </pt>
                <pt idx="58">
                  <v>1.5190367</v>
                </pt>
                <pt idx="59">
                  <v>1.5264</v>
                </pt>
                <pt idx="60">
                  <v>1.5684156</v>
                </pt>
                <pt idx="61">
                  <v>1.5868917</v>
                </pt>
                <pt idx="62">
                  <v>1.6341362</v>
                </pt>
                <pt idx="63">
                  <v>1.6260943</v>
                </pt>
                <pt idx="64">
                  <v>1.6165029</v>
                </pt>
                <pt idx="65">
                  <v>1.600591</v>
                </pt>
                <pt idx="66">
                  <v>1.6615746</v>
                </pt>
                <pt idx="67">
                  <v>1.658568</v>
                </pt>
                <pt idx="68">
                  <v>1.6541889</v>
                </pt>
                <pt idx="69">
                  <v>1.653678</v>
                </pt>
                <pt idx="70">
                  <v>1.6115709</v>
                </pt>
                <pt idx="71">
                  <v>1.580371</v>
                </pt>
                <pt idx="72">
                  <v>1.5865465</v>
                </pt>
                <pt idx="73">
                  <v>1.6195448</v>
                </pt>
                <pt idx="74">
                  <v>1.6039746</v>
                </pt>
                <pt idx="75">
                  <v>1.5515729</v>
                </pt>
                <pt idx="76">
                  <v>1.5636501</v>
                </pt>
                <pt idx="77">
                  <v>1.5554268</v>
                </pt>
                <pt idx="78">
                  <v>1.58841</v>
                </pt>
                <pt idx="79">
                  <v>1.5712939</v>
                </pt>
                <pt idx="80">
                  <v>1.5569253</v>
                </pt>
                <pt idx="81">
                  <v>1.5722518</v>
                </pt>
                <pt idx="82">
                  <v>1.5723972</v>
                </pt>
                <pt idx="83">
                  <v>1.5565139</v>
                </pt>
                <pt idx="84">
                  <v>1.5489875</v>
                </pt>
                <pt idx="85">
                  <v>1.4908642</v>
                </pt>
                <pt idx="86">
                  <v>1.466088</v>
                </pt>
                <pt idx="87">
                  <v>1.4393828</v>
                </pt>
                <pt idx="88">
                  <v>1.4511594</v>
                </pt>
                <pt idx="89">
                  <v>1.4431096</v>
                </pt>
                <pt idx="90">
                  <v>1.4820392</v>
                </pt>
                <pt idx="91">
                  <v>1.4776195</v>
                </pt>
                <pt idx="92">
                  <v>1.428132</v>
                </pt>
                <pt idx="93">
                  <v>1.4754795</v>
                </pt>
                <pt idx="94">
                  <v>1.4779386</v>
                </pt>
                <pt idx="95">
                  <v>1.4622333</v>
                </pt>
                <pt idx="96">
                  <v>1.442007</v>
                </pt>
                <pt idx="97">
                  <v>1.4500472</v>
                </pt>
                <pt idx="98">
                  <v>1.489845</v>
                </pt>
                <pt idx="99">
                  <v>1.5299585</v>
                </pt>
                <pt idx="100">
                  <v>1.515626</v>
                </pt>
                <pt idx="101">
                  <v>1.516163</v>
                </pt>
                <pt idx="102">
                  <v>1.5299172</v>
                </pt>
                <pt idx="103">
                  <v>1.5299712</v>
                </pt>
                <pt idx="104">
                  <v>1.5375</v>
                </pt>
                <pt idx="105">
                  <v>1.5269058</v>
                </pt>
                <pt idx="106">
                  <v>1.5167856</v>
                </pt>
                <pt idx="107">
                  <v>1.5284344</v>
                </pt>
                <pt idx="108">
                  <v>1.5075595</v>
                </pt>
                <pt idx="109">
                  <v>1.4843008</v>
                </pt>
                <pt idx="110">
                  <v>1.4760207</v>
                </pt>
                <pt idx="111">
                  <v>1.4743664</v>
                </pt>
                <pt idx="112">
                  <v>1.4479917</v>
                </pt>
                <pt idx="113">
                  <v>1.4277032</v>
                </pt>
                <pt idx="114">
                  <v>1.4103873</v>
                </pt>
                <pt idx="115">
                  <v>1.447767</v>
                </pt>
                <pt idx="116">
                  <v>1.4104172</v>
                </pt>
                <pt idx="117">
                  <v>1.4281575</v>
                </pt>
                <pt idx="118">
                  <v>1.4463692</v>
                </pt>
                <pt idx="119">
                  <v>1.4510313</v>
                </pt>
                <pt idx="120">
                  <v>1.4640826</v>
                </pt>
                <pt idx="121">
                  <v>1.4582345</v>
                </pt>
                <pt idx="122">
                  <v>1.45275</v>
                </pt>
                <pt idx="123">
                  <v>1.4447104</v>
                </pt>
                <pt idx="124">
                  <v>1.4430918</v>
                </pt>
                <pt idx="125">
                  <v>1.4442014</v>
                </pt>
                <pt idx="126">
                  <v>1.4412944</v>
                </pt>
                <pt idx="127">
                  <v>1.4656522</v>
                </pt>
                <pt idx="128">
                  <v>1.485966</v>
                </pt>
                <pt idx="129">
                  <v>1.4876281</v>
                </pt>
                <pt idx="130">
                  <v>1.4656353</v>
                </pt>
                <pt idx="131">
                  <v>1.4468564</v>
                </pt>
                <pt idx="132">
                  <v>1.4539096</v>
                </pt>
                <pt idx="133">
                  <v>1.4742116</v>
                </pt>
                <pt idx="134">
                  <v>1.4955807</v>
                </pt>
                <pt idx="135">
                  <v>1.5001812</v>
                </pt>
                <pt idx="136">
                  <v>1.5143817</v>
                </pt>
                <pt idx="137">
                  <v>1.519992</v>
                </pt>
                <pt idx="138">
                  <v>1.523577</v>
                </pt>
                <pt idx="139">
                  <v>1.5107204</v>
                </pt>
                <pt idx="140">
                  <v>1.4859239</v>
                </pt>
                <pt idx="141">
                  <v>1.4815422</v>
                </pt>
                <pt idx="142">
                  <v>1.5023268</v>
                </pt>
                <pt idx="143">
                  <v>1.517436</v>
                </pt>
                <pt idx="144">
                  <v>1.51316</v>
                </pt>
                <pt idx="145">
                  <v>1.5010856</v>
                </pt>
                <pt idx="146">
                  <v>1.509957</v>
                </pt>
                <pt idx="147">
                  <v>1.4922345</v>
                </pt>
                <pt idx="148">
                  <v>1.52278</v>
                </pt>
                <pt idx="149">
                  <v>1.5445496</v>
                </pt>
                <pt idx="150">
                  <v>1.543141</v>
                </pt>
                <pt idx="151">
                  <v>1.5471443</v>
                </pt>
                <pt idx="152">
                  <v>1.5438102</v>
                </pt>
                <pt idx="153">
                  <v>1.5554726</v>
                </pt>
                <pt idx="154">
                  <v>1.5383844</v>
                </pt>
                <pt idx="155">
                  <v>1.5526848</v>
                </pt>
                <pt idx="156">
                  <v>1.539968</v>
                </pt>
                <pt idx="157">
                  <v>1.517976</v>
                </pt>
                <pt idx="158">
                  <v>1.5275538</v>
                </pt>
                <pt idx="159">
                  <v>1.5315172</v>
                </pt>
                <pt idx="160">
                  <v>1.5254864</v>
                </pt>
                <pt idx="161">
                  <v>1.5126832</v>
                </pt>
                <pt idx="162">
                  <v>1.4975415</v>
                </pt>
                <pt idx="163">
                  <v>1.524068</v>
                </pt>
                <pt idx="164">
                  <v>1.510821</v>
                </pt>
                <pt idx="165">
                  <v>1.515009</v>
                </pt>
                <pt idx="166">
                  <v>1.5224871</v>
                </pt>
                <pt idx="167">
                  <v>1.5137548</v>
                </pt>
                <pt idx="168">
                  <v>1.5115136</v>
                </pt>
                <pt idx="169">
                  <v>1.5161875</v>
                </pt>
                <pt idx="170">
                  <v>1.5262801</v>
                </pt>
                <pt idx="171">
                  <v>1.5383085</v>
                </pt>
                <pt idx="172">
                  <v>1.5334113</v>
                </pt>
                <pt idx="173">
                  <v>1.5376095</v>
                </pt>
                <pt idx="174">
                  <v>1.5445892</v>
                </pt>
                <pt idx="175">
                  <v>1.5207738</v>
                </pt>
                <pt idx="176">
                  <v>1.5315016</v>
                </pt>
                <pt idx="177">
                  <v>1.5518592</v>
                </pt>
                <pt idx="178">
                  <v>1.53549</v>
                </pt>
                <pt idx="179">
                  <v>1.5225465</v>
                </pt>
                <pt idx="180">
                  <v>1.5296117</v>
                </pt>
                <pt idx="181">
                  <v>1.4960346</v>
                </pt>
                <pt idx="182">
                  <v>1.481291</v>
                </pt>
                <pt idx="183">
                  <v>1.4761329</v>
                </pt>
                <pt idx="184">
                  <v>1.473872</v>
                </pt>
                <pt idx="185">
                  <v>1.5259152</v>
                </pt>
                <pt idx="186">
                  <v>1.523133</v>
                </pt>
                <pt idx="187">
                  <v>1.5357132</v>
                </pt>
                <pt idx="188">
                  <v>1.5601222</v>
                </pt>
                <pt idx="189">
                  <v>1.559558</v>
                </pt>
                <pt idx="190">
                  <v>1.5571278</v>
                </pt>
                <pt idx="191">
                  <v>1.5236879</v>
                </pt>
                <pt idx="192">
                  <v>1.5368145</v>
                </pt>
                <pt idx="193">
                  <v>1.5237366</v>
                </pt>
                <pt idx="194">
                  <v>1.549278</v>
                </pt>
                <pt idx="195">
                  <v>1.546769</v>
                </pt>
                <pt idx="196">
                  <v>1.5589273</v>
                </pt>
                <pt idx="197">
                  <v>1.56599</v>
                </pt>
                <pt idx="198">
                  <v>1.5746562</v>
                </pt>
                <pt idx="199">
                  <v>1.5825677</v>
                </pt>
                <pt idx="200">
                  <v>1.5968386</v>
                </pt>
                <pt idx="201">
                  <v>1.56282</v>
                </pt>
                <pt idx="202">
                  <v>1.564143</v>
                </pt>
                <pt idx="203">
                  <v>1.568907</v>
                </pt>
                <pt idx="204">
                  <v>1.5951474</v>
                </pt>
                <pt idx="205">
                  <v>1.62712</v>
                </pt>
                <pt idx="206">
                  <v>1.6155528</v>
                </pt>
                <pt idx="207">
                  <v>1.6305457</v>
                </pt>
                <pt idx="208">
                  <v>1.6260013</v>
                </pt>
                <pt idx="209">
                  <v>1.6145727</v>
                </pt>
                <pt idx="210">
                  <v>1.6000242</v>
                </pt>
                <pt idx="211">
                  <v>1.5822397</v>
                </pt>
                <pt idx="212">
                  <v>1.6016944</v>
                </pt>
                <pt idx="213">
                  <v>1.5878373</v>
                </pt>
                <pt idx="214">
                  <v>1.5894329</v>
                </pt>
                <pt idx="215">
                  <v>1.5937334</v>
                </pt>
                <pt idx="216">
                  <v>1.5894423</v>
                </pt>
                <pt idx="217">
                  <v>1.5921953</v>
                </pt>
                <pt idx="218">
                  <v>1.597224</v>
                </pt>
                <pt idx="219">
                  <v>1.5976005</v>
                </pt>
                <pt idx="220">
                  <v>1.6003745</v>
                </pt>
                <pt idx="221">
                  <v>1.610225</v>
                </pt>
                <pt idx="222">
                  <v>1.62425</v>
                </pt>
                <pt idx="223">
                  <v>1.621937</v>
                </pt>
                <pt idx="224">
                  <v>1.626299</v>
                </pt>
                <pt idx="225">
                  <v>1.640912</v>
                </pt>
                <pt idx="226">
                  <v>1.630181</v>
                </pt>
                <pt idx="227">
                  <v>1.622334</v>
                </pt>
                <pt idx="228">
                  <v>1.622334</v>
                </pt>
                <pt idx="229">
                  <v>1.62176</v>
                </pt>
                <pt idx="230">
                  <v>1.619706</v>
                </pt>
                <pt idx="231">
                  <v>1.627808</v>
                </pt>
                <pt idx="232">
                  <v>1.620567</v>
                </pt>
                <pt idx="233">
                  <v>1.620567</v>
                </pt>
                <pt idx="234">
                  <v>1.623336</v>
                </pt>
                <pt idx="235">
                  <v>1.619446</v>
                </pt>
                <pt idx="236">
                  <v>1.606638</v>
                </pt>
                <pt idx="237">
                  <v>1.596492</v>
                </pt>
                <pt idx="238">
                  <v>1.614006</v>
                </pt>
                <pt idx="239">
                  <v>1.61109</v>
                </pt>
                <pt idx="240">
                  <v>1.592136</v>
                </pt>
                <pt idx="241">
                  <v>1.592849</v>
                </pt>
                <pt idx="242">
                  <v>1.56434</v>
                </pt>
                <pt idx="243">
                  <v>1.582615</v>
                </pt>
                <pt idx="244">
                  <v>1.59067</v>
                </pt>
                <pt idx="245">
                  <v>1.592118</v>
                </pt>
                <pt idx="246">
                  <v>1.597966</v>
                </pt>
                <pt idx="247">
                  <v>1.595028</v>
                </pt>
                <pt idx="248">
                  <v>1.60746</v>
                </pt>
                <pt idx="249">
                  <v>1.606008</v>
                </pt>
                <pt idx="250">
                  <v>1.589172</v>
                </pt>
                <pt idx="251">
                  <v>1.58478</v>
                </pt>
                <pt idx="252">
                  <v>1.583813</v>
                </pt>
                <pt idx="253">
                  <v>1.598652</v>
                </pt>
                <pt idx="254">
                  <v>1.576036</v>
                </pt>
                <pt idx="255">
                  <v>1.568808</v>
                </pt>
                <pt idx="256">
                  <v>1.563016</v>
                </pt>
                <pt idx="257">
                  <v>1.570266</v>
                </pt>
                <pt idx="258">
                  <v>1.562088</v>
                </pt>
                <pt idx="259">
                  <v>1.578149</v>
                </pt>
                <pt idx="260">
                  <v>1.586244</v>
                </pt>
                <pt idx="261">
                  <v>1.576036</v>
                </pt>
                <pt idx="262">
                  <v>1.575164</v>
                </pt>
                <pt idx="263">
                  <v>1.5876</v>
                </pt>
                <pt idx="264">
                  <v>1.577366</v>
                </pt>
                <pt idx="265">
                  <v>1.555346</v>
                </pt>
                <pt idx="266">
                  <v>1.52766</v>
                </pt>
                <pt idx="267">
                  <v>1.53402</v>
                </pt>
                <pt idx="268">
                  <v>1.521582</v>
                </pt>
                <pt idx="269">
                  <v>1.503436</v>
                </pt>
                <pt idx="270">
                  <v>1.501011</v>
                </pt>
                <pt idx="271">
                  <v>1.516522</v>
                </pt>
                <pt idx="272">
                  <v>1.515972</v>
                </pt>
                <pt idx="273">
                  <v>1.4965</v>
                </pt>
                <pt idx="274">
                  <v>1.54874</v>
                </pt>
                <pt idx="275">
                  <v>1.549474</v>
                </pt>
                <pt idx="276">
                  <v>1.550016</v>
                </pt>
                <pt idx="277">
                  <v>1.54928</v>
                </pt>
                <pt idx="278">
                  <v>1.563177</v>
                </pt>
                <pt idx="279">
                  <v>1.564154</v>
                </pt>
                <pt idx="280">
                  <v>1.560484</v>
                </pt>
                <pt idx="281">
                  <v>1.56087</v>
                </pt>
                <pt idx="282">
                  <v>1.550648</v>
                </pt>
                <pt idx="283">
                  <v>1.552639</v>
                </pt>
                <pt idx="284">
                  <v>1.535198</v>
                </pt>
                <pt idx="285">
                  <v>1.525296</v>
                </pt>
                <pt idx="286">
                  <v>1.524978</v>
                </pt>
                <pt idx="287">
                  <v>1.524456</v>
                </pt>
                <pt idx="288">
                  <v>1.519055</v>
                </pt>
                <pt idx="289">
                  <v>1.53172</v>
                </pt>
                <pt idx="290">
                  <v>1.516463</v>
                </pt>
                <pt idx="291">
                  <v>1.536093</v>
                </pt>
                <pt idx="292">
                  <v>1.546467</v>
                </pt>
                <pt idx="293">
                  <v>1.55854</v>
                </pt>
                <pt idx="294">
                  <v>1.542312</v>
                </pt>
                <pt idx="295">
                  <v>1.522584</v>
                </pt>
                <pt idx="296">
                  <v>1.487456</v>
                </pt>
                <pt idx="297">
                  <v>1.479896</v>
                </pt>
                <pt idx="298">
                  <v>1.472</v>
                </pt>
                <pt idx="299">
                  <v>1.470735</v>
                </pt>
                <pt idx="300">
                  <v>1.481025</v>
                </pt>
                <pt idx="301">
                  <v>1.467466</v>
                </pt>
                <pt idx="302">
                  <v>1.48176</v>
                </pt>
                <pt idx="303">
                  <v>1.485435</v>
                </pt>
                <pt idx="304">
                  <v>1.476808</v>
                </pt>
                <pt idx="305">
                  <v>1.459807</v>
                </pt>
                <pt idx="306">
                  <v>1.46</v>
                </pt>
                <pt idx="307">
                  <v>1.461804</v>
                </pt>
                <pt idx="308">
                  <v>1.467477</v>
                </pt>
                <pt idx="309">
                  <v>1.494164</v>
                </pt>
                <pt idx="310">
                  <v>1.497088</v>
                </pt>
                <pt idx="311">
                  <v>1.502709</v>
                </pt>
                <pt idx="312">
                  <v>1.493912</v>
                </pt>
                <pt idx="313">
                  <v>1.49815</v>
                </pt>
                <pt idx="314">
                  <v>1.506092</v>
                </pt>
                <pt idx="315">
                  <v>1.511937</v>
                </pt>
                <pt idx="316">
                  <v>1.515478</v>
                </pt>
                <pt idx="317">
                  <v>1.507368</v>
                </pt>
                <pt idx="318">
                  <v>1.49093</v>
                </pt>
                <pt idx="319">
                  <v>1.48732</v>
                </pt>
                <pt idx="320">
                  <v>1.488042</v>
                </pt>
                <pt idx="321">
                  <v>1.479798</v>
                </pt>
                <pt idx="322">
                  <v>1.474614</v>
                </pt>
                <pt idx="323">
                  <v>1.461816</v>
                </pt>
                <pt idx="324">
                  <v>1.463949</v>
                </pt>
                <pt idx="325">
                  <v>1.46763</v>
                </pt>
                <pt idx="326">
                  <v>1.483857</v>
                </pt>
                <pt idx="327">
                  <v>1.48532</v>
                </pt>
                <pt idx="328">
                  <v>1.495233</v>
                </pt>
                <pt idx="329">
                  <v>1.531685</v>
                </pt>
                <pt idx="330">
                  <v>1.515562</v>
                </pt>
                <pt idx="331">
                  <v>1.532608</v>
                </pt>
                <pt idx="332">
                  <v>1.532608</v>
                </pt>
                <pt idx="333">
                  <v>1.538164</v>
                </pt>
                <pt idx="334">
                  <v>1.534572</v>
                </pt>
                <pt idx="335">
                  <v>1.525218</v>
                </pt>
                <pt idx="336">
                  <v>1.5344</v>
                </pt>
                <pt idx="337">
                  <v>1.502664</v>
                </pt>
                <pt idx="338">
                  <v>1.496459</v>
                </pt>
                <pt idx="339">
                  <v>1.493022</v>
                </pt>
                <pt idx="340">
                  <v>1.5036</v>
                </pt>
                <pt idx="341">
                  <v>1.490928</v>
                </pt>
                <pt idx="342">
                  <v>1.500841</v>
                </pt>
                <pt idx="343">
                  <v>1.484676</v>
                </pt>
                <pt idx="344">
                  <v>1.4896</v>
                </pt>
                <pt idx="345">
                  <v>1.5078</v>
                </pt>
                <pt idx="346">
                  <v>1.51983</v>
                </pt>
                <pt idx="347">
                  <v>1.52117</v>
                </pt>
                <pt idx="348">
                  <v>1.506982</v>
                </pt>
                <pt idx="349">
                  <v>1.500641</v>
                </pt>
                <pt idx="350">
                  <v>1.506284</v>
                </pt>
                <pt idx="351">
                  <v>1.513335</v>
                </pt>
                <pt idx="352">
                  <v>1.509702</v>
                </pt>
                <pt idx="353">
                  <v>1.522338</v>
                </pt>
                <pt idx="354">
                  <v>1.52334</v>
                </pt>
                <pt idx="355">
                  <v>1.519886</v>
                </pt>
                <pt idx="356">
                  <v>1.518366</v>
                </pt>
                <pt idx="357">
                  <v>1.5253</v>
                </pt>
                <pt idx="358">
                  <v>1.530984</v>
                </pt>
                <pt idx="359">
                  <v>1.531904</v>
                </pt>
                <pt idx="360">
                  <v>1.540976</v>
                </pt>
                <pt idx="361">
                  <v>1.53972</v>
                </pt>
                <pt idx="362">
                  <v>1.544655</v>
                </pt>
                <pt idx="363">
                  <v>1.550376</v>
                </pt>
                <pt idx="364">
                  <v>1.54698</v>
                </pt>
                <pt idx="365">
                  <v>1.536311</v>
                </pt>
                <pt idx="366">
                  <v>1.536256</v>
                </pt>
                <pt idx="367">
                  <v>1.54614</v>
                </pt>
                <pt idx="368">
                  <v>1.55664</v>
                </pt>
                <pt idx="369">
                  <v>1.589796</v>
                </pt>
                <pt idx="370">
                  <v>1.600461</v>
                </pt>
                <pt idx="371">
                  <v>1.606149</v>
                </pt>
                <pt idx="372">
                  <v>1.6046</v>
                </pt>
                <pt idx="373">
                  <v>1.622208</v>
                </pt>
                <pt idx="374">
                  <v>1.61018</v>
                </pt>
                <pt idx="375">
                  <v>1.61007</v>
                </pt>
                <pt idx="376">
                  <v>1.605885</v>
                </pt>
                <pt idx="377">
                  <v>1.605438</v>
                </pt>
                <pt idx="378">
                  <v>1.683367</v>
                </pt>
                <pt idx="379">
                  <v>1.696368</v>
                </pt>
                <pt idx="380">
                  <v>1.706698</v>
                </pt>
                <pt idx="381">
                  <v>1.70469</v>
                </pt>
                <pt idx="382">
                  <v>1.703163</v>
                </pt>
                <pt idx="383">
                  <v>1.716192</v>
                </pt>
                <pt idx="384">
                  <v>1.69566</v>
                </pt>
                <pt idx="385">
                  <v>1.684781</v>
                </pt>
                <pt idx="386">
                  <v>1.67205</v>
                </pt>
                <pt idx="387">
                  <v>1.699473</v>
                </pt>
                <pt idx="388">
                  <v>1.696696</v>
                </pt>
                <pt idx="389">
                  <v>1.640356</v>
                </pt>
                <pt idx="390">
                  <v>1.649817</v>
                </pt>
                <pt idx="391">
                  <v>1.64164</v>
                </pt>
                <pt idx="392">
                  <v>1.62448</v>
                </pt>
                <pt idx="393">
                  <v>1.621345</v>
                </pt>
                <pt idx="394">
                  <v>1.632849</v>
                </pt>
                <pt idx="395">
                  <v>1.641477</v>
                </pt>
                <pt idx="396">
                  <v>1.627468</v>
                </pt>
                <pt idx="397">
                  <v>1.635477</v>
                </pt>
                <pt idx="398">
                  <v>1.628055</v>
                </pt>
                <pt idx="399">
                  <v>1.627097</v>
                </pt>
                <pt idx="400">
                  <v>1.63008</v>
                </pt>
                <pt idx="401">
                  <v>1.6327</v>
                </pt>
                <pt idx="402">
                  <v>1.614319</v>
                </pt>
                <pt idx="403">
                  <v>1.611504</v>
                </pt>
                <pt idx="404">
                  <v>1.616482</v>
                </pt>
                <pt idx="405">
                  <v>1.591147</v>
                </pt>
                <pt idx="406">
                  <v>1.595461</v>
                </pt>
                <pt idx="407">
                  <v>1.59264</v>
                </pt>
                <pt idx="408">
                  <v>1.575966</v>
                </pt>
                <pt idx="409">
                  <v>1.581754</v>
                </pt>
                <pt idx="410">
                  <v>1.584626</v>
                </pt>
                <pt idx="411">
                  <v>1.584626</v>
                </pt>
                <pt idx="412">
                  <v>1.573052</v>
                </pt>
                <pt idx="413">
                  <v>1.589589</v>
                </pt>
                <pt idx="414">
                  <v>1.60416</v>
                </pt>
                <pt idx="415">
                  <v>1.60776</v>
                </pt>
                <pt idx="416">
                  <v>1.612877</v>
                </pt>
                <pt idx="417">
                  <v>1.597476</v>
                </pt>
                <pt idx="418">
                  <v>1.609841</v>
                </pt>
                <pt idx="419">
                  <v>1.62648</v>
                </pt>
                <pt idx="420">
                  <v>1.62576</v>
                </pt>
                <pt idx="421">
                  <v>1.625439</v>
                </pt>
                <pt idx="422">
                  <v>1.61241</v>
                </pt>
                <pt idx="423">
                  <v>1.630915</v>
                </pt>
                <pt idx="424">
                  <v>1.623636</v>
                </pt>
                <pt idx="425">
                  <v>1.60732</v>
                </pt>
                <pt idx="426">
                  <v>1.58999</v>
                </pt>
                <pt idx="427">
                  <v>1.58873</v>
                </pt>
                <pt idx="428">
                  <v>1.58873</v>
                </pt>
                <pt idx="429">
                  <v>1.585794</v>
                </pt>
                <pt idx="430">
                  <v>1.596759</v>
                </pt>
                <pt idx="431">
                  <v>1.594215</v>
                </pt>
                <pt idx="432">
                  <v>1.601341</v>
                </pt>
                <pt idx="433">
                  <v>1.597107</v>
                </pt>
                <pt idx="434">
                  <v>1.589154</v>
                </pt>
                <pt idx="435">
                  <v>1.594131</v>
                </pt>
                <pt idx="436">
                  <v>1.629459</v>
                </pt>
                <pt idx="437">
                  <v>1.628766</v>
                </pt>
                <pt idx="438">
                  <v>1.636845</v>
                </pt>
                <pt idx="439">
                  <v>1.63593</v>
                </pt>
                <pt idx="440">
                  <v>1.63447</v>
                </pt>
                <pt idx="441">
                  <v>1.634556</v>
                </pt>
                <pt idx="442">
                  <v>1.633857</v>
                </pt>
                <pt idx="443">
                  <v>1.638216</v>
                </pt>
                <pt idx="444">
                  <v>1.607445</v>
                </pt>
                <pt idx="445">
                  <v>1.602272</v>
                </pt>
                <pt idx="446">
                  <v>1.595648</v>
                </pt>
                <pt idx="447">
                  <v>1.576368</v>
                </pt>
                <pt idx="448">
                  <v>1.535528</v>
                </pt>
                <pt idx="449">
                  <v>1.518368</v>
                </pt>
                <pt idx="450">
                  <v>1.53174</v>
                </pt>
                <pt idx="451">
                  <v>1.53824</v>
                </pt>
                <pt idx="452">
                  <v>1.503075</v>
                </pt>
                <pt idx="453">
                  <v>1.4994</v>
                </pt>
                <pt idx="454">
                  <v>1.520364</v>
                </pt>
                <pt idx="455">
                  <v>1.526328</v>
                </pt>
                <pt idx="456">
                  <v>1.53008</v>
                </pt>
                <pt idx="457">
                  <v>1.522976</v>
                </pt>
                <pt idx="458">
                  <v>1.522422</v>
                </pt>
                <pt idx="459">
                  <v>1.518066</v>
                </pt>
                <pt idx="460">
                  <v>1.52935</v>
                </pt>
                <pt idx="461">
                  <v>1.53665</v>
                </pt>
                <pt idx="462">
                  <v>1.525888</v>
                </pt>
                <pt idx="463">
                  <v>1.51981</v>
                </pt>
                <pt idx="464">
                  <v>1.527699</v>
                </pt>
                <pt idx="465">
                  <v>1.52131</v>
                </pt>
                <pt idx="466">
                  <v>1.52685</v>
                </pt>
                <pt idx="467">
                  <v>1.534764</v>
                </pt>
                <pt idx="468">
                  <v>1.532708</v>
                </pt>
                <pt idx="469">
                  <v>1.5341</v>
                </pt>
                <pt idx="470">
                  <v>1.537605</v>
                </pt>
                <pt idx="471">
                  <v>1.545602</v>
                </pt>
                <pt idx="472">
                  <v>1.5573</v>
                </pt>
                <pt idx="473">
                  <v>1.564504</v>
                </pt>
                <pt idx="474">
                  <v>1.579014</v>
                </pt>
                <pt idx="475">
                  <v>1.607397</v>
                </pt>
                <pt idx="476">
                  <v>1.618254</v>
                </pt>
                <pt idx="477">
                  <v>1.620312</v>
                </pt>
                <pt idx="478">
                  <v>1.615182</v>
                </pt>
                <pt idx="479">
                  <v>1.626966</v>
                </pt>
                <pt idx="480">
                  <v>1.633632</v>
                </pt>
                <pt idx="481">
                  <v>1.624118</v>
                </pt>
                <pt idx="482">
                  <v>1.6211</v>
                </pt>
                <pt idx="483">
                  <v>1.627097</v>
                </pt>
                <pt idx="484">
                  <v>1.641072</v>
                </pt>
                <pt idx="485">
                  <v>1.63592</v>
                </pt>
                <pt idx="486">
                  <v>1.643364</v>
                </pt>
                <pt idx="487">
                  <v>1.62042</v>
                </pt>
                <pt idx="488">
                  <v>1.630578</v>
                </pt>
                <pt idx="489">
                  <v>1.637758</v>
                </pt>
                <pt idx="490">
                  <v>1.644938</v>
                </pt>
                <pt idx="491">
                  <v>1.66608</v>
                </pt>
                <pt idx="492">
                  <v>1.67544</v>
                </pt>
                <pt idx="493">
                  <v>1.661289</v>
                </pt>
                <pt idx="494">
                  <v>1.666642</v>
                </pt>
                <pt idx="495">
                  <v>1.6632</v>
                </pt>
                <pt idx="496">
                  <v>1.653974</v>
                </pt>
                <pt idx="497">
                  <v>1.667098</v>
                </pt>
                <pt idx="498">
                  <v>1.673745</v>
                </pt>
                <pt idx="499">
                  <v>1.65168</v>
                </pt>
                <pt idx="500">
                  <v>1.649246</v>
                </pt>
                <pt idx="501">
                  <v>1.652685</v>
                </pt>
                <pt idx="502">
                  <v>1.652528</v>
                </pt>
                <pt idx="503">
                  <v>1.673478</v>
                </pt>
                <pt idx="504">
                  <v>1.684326</v>
                </pt>
                <pt idx="505">
                  <v>1.679328</v>
                </pt>
                <pt idx="506">
                  <v>1.648948</v>
                </pt>
                <pt idx="507">
                  <v>1.623288</v>
                </pt>
                <pt idx="508">
                  <v>1.636322</v>
                </pt>
                <pt idx="509">
                  <v>1.632014</v>
                </pt>
                <pt idx="510">
                  <v>1.599627</v>
                </pt>
                <pt idx="511">
                  <v>1.607602</v>
                </pt>
                <pt idx="512">
                  <v>1.596759</v>
                </pt>
                <pt idx="513">
                  <v>1.618986</v>
                </pt>
                <pt idx="514">
                  <v>1.595165</v>
                </pt>
                <pt idx="515">
                  <v>1.603644</v>
                </pt>
                <pt idx="516">
                  <v>1.580028</v>
                </pt>
                <pt idx="517">
                  <v>1.586955</v>
                </pt>
                <pt idx="518">
                  <v>1.587451</v>
                </pt>
                <pt idx="519">
                  <v>1.604328</v>
                </pt>
                <pt idx="520">
                  <v>1.602062</v>
                </pt>
                <pt idx="521">
                  <v>1.58946</v>
                </pt>
                <pt idx="522">
                  <v>1.600461</v>
                </pt>
                <pt idx="523">
                  <v>1.586742</v>
                </pt>
                <pt idx="524">
                  <v>1.59525</v>
                </pt>
                <pt idx="525">
                  <v>1.606149</v>
                </pt>
                <pt idx="526">
                  <v>1.601496</v>
                </pt>
                <pt idx="527">
                  <v>1.613684</v>
                </pt>
                <pt idx="528">
                  <v>1.619356</v>
                </pt>
                <pt idx="529">
                  <v>1.618152</v>
                </pt>
                <pt idx="530">
                  <v>1.603008</v>
                </pt>
                <pt idx="531">
                  <v>1.619564</v>
                </pt>
                <pt idx="532">
                  <v>1.621151</v>
                </pt>
                <pt idx="533">
                  <v>1.612504</v>
                </pt>
                <pt idx="534">
                  <v>1.618152</v>
                </pt>
                <pt idx="535">
                  <v>1.599796</v>
                </pt>
                <pt idx="536">
                  <v>1.60489</v>
                </pt>
                <pt idx="537">
                  <v>1.628036</v>
                </pt>
                <pt idx="538">
                  <v>1.63086</v>
                </pt>
                <pt idx="539">
                  <v>1.632978</v>
                </pt>
                <pt idx="540">
                  <v>1.62714</v>
                </pt>
                <pt idx="541">
                  <v>1.6356</v>
                </pt>
                <pt idx="542">
                  <v>1.632366</v>
                </pt>
                <pt idx="543">
                  <v>1.616506</v>
                </pt>
                <pt idx="544">
                  <v>1.618812</v>
                </pt>
                <pt idx="545">
                  <v>1.596513</v>
                </pt>
                <pt idx="546">
                  <v>1.609344</v>
                </pt>
                <pt idx="547">
                  <v>1.605444</v>
                </pt>
                <pt idx="548">
                  <v>1.612116</v>
                </pt>
                <pt idx="549">
                  <v>1.596668</v>
                </pt>
                <pt idx="550">
                  <v>1.598795</v>
                </pt>
                <pt idx="551">
                  <v>1.602465</v>
                </pt>
                <pt idx="552">
                  <v>1.614948</v>
                </pt>
                <pt idx="553">
                  <v>1.608576</v>
                </pt>
                <pt idx="554">
                  <v>1.614788</v>
                </pt>
                <pt idx="555">
                  <v>1.61304</v>
                </pt>
                <pt idx="556">
                  <v>1.63442</v>
                </pt>
                <pt idx="557">
                  <v>1.63371</v>
                </pt>
                <pt idx="558">
                  <v>1.629991</v>
                </pt>
                <pt idx="559">
                  <v>1.640277</v>
                </pt>
                <pt idx="560">
                  <v>1.649505</v>
                </pt>
                <pt idx="561">
                  <v>1.651653</v>
                </pt>
                <pt idx="562">
                  <v>1.6588</v>
                </pt>
                <pt idx="563">
                  <v>1.658052</v>
                </pt>
                <pt idx="564">
                  <v>1.654836</v>
                </pt>
                <pt idx="565">
                  <v>1.636194</v>
                </pt>
                <pt idx="566">
                  <v>1.630692</v>
                </pt>
                <pt idx="567">
                  <v>1.617654</v>
                </pt>
                <pt idx="568">
                  <v>1.637496</v>
                </pt>
                <pt idx="569">
                  <v>1.637882</v>
                </pt>
                <pt idx="570">
                  <v>1.613864</v>
                </pt>
                <pt idx="571">
                  <v>1.621244</v>
                </pt>
                <pt idx="572">
                  <v>1.638</v>
                </pt>
                <pt idx="573">
                  <v>1.5818</v>
                </pt>
                <pt idx="574">
                  <v>1.59618</v>
                </pt>
                <pt idx="575">
                  <v>1.5818</v>
                </pt>
                <pt idx="576">
                  <v>1.577348</v>
                </pt>
                <pt idx="577">
                  <v>1.561518</v>
                </pt>
                <pt idx="578">
                  <v>1.54567</v>
                </pt>
                <pt idx="579">
                  <v>1.538632</v>
                </pt>
                <pt idx="580">
                  <v>1.540793</v>
                </pt>
                <pt idx="581">
                  <v>1.515838</v>
                </pt>
                <pt idx="582">
                  <v>1.518696</v>
                </pt>
                <pt idx="583">
                  <v>1.517985</v>
                </pt>
                <pt idx="584">
                  <v>1.50449</v>
                </pt>
                <pt idx="585">
                  <v>1.498836</v>
                </pt>
                <pt idx="586">
                  <v>1.513687</v>
                </pt>
                <pt idx="587">
                  <v>1.522223</v>
                </pt>
                <pt idx="588">
                  <v>1.52005</v>
                </pt>
                <pt idx="589">
                  <v>1.504248</v>
                </pt>
                <pt idx="590">
                  <v>1.506345</v>
                </pt>
                <pt idx="591">
                  <v>1.52862</v>
                </pt>
                <pt idx="592">
                  <v>1.529412</v>
                </pt>
                <pt idx="593">
                  <v>1.52513</v>
                </pt>
                <pt idx="594">
                  <v>1.519626</v>
                </pt>
                <pt idx="595">
                  <v>1.5099</v>
                </pt>
                <pt idx="596">
                  <v>1.4952</v>
                </pt>
                <pt idx="597">
                  <v>1.49372</v>
                </pt>
                <pt idx="598">
                  <v>1.535822</v>
                </pt>
                <pt idx="599">
                  <v>1.462943</v>
                </pt>
                <pt idx="600">
                  <v>1.510002</v>
                </pt>
                <pt idx="601">
                  <v>1.521871</v>
                </pt>
                <pt idx="602">
                  <v>1.552715</v>
                </pt>
                <pt idx="603">
                  <v>1.555036</v>
                </pt>
                <pt idx="604">
                  <v>1.551313</v>
                </pt>
                <pt idx="605">
                  <v>1.548164</v>
                </pt>
                <pt idx="606">
                  <v>1.55305</v>
                </pt>
                <pt idx="607">
                  <v>1.557936</v>
                </pt>
                <pt idx="608">
                  <v>1.56352</v>
                </pt>
                <pt idx="609">
                  <v>1.558492</v>
                </pt>
                <pt idx="610">
                  <v>1.561977</v>
                </pt>
                <pt idx="611">
                  <v>1.557098</v>
                </pt>
                <pt idx="612">
                  <v>1.559886</v>
                </pt>
                <pt idx="613">
                  <v>1.57399</v>
                </pt>
                <pt idx="614">
                  <v>1.586031</v>
                </pt>
                <pt idx="615">
                  <v>1.6002</v>
                </pt>
                <pt idx="616">
                  <v>1.5995</v>
                </pt>
                <pt idx="617">
                  <v>1.610197</v>
                </pt>
                <pt idx="618">
                  <v>1.6072</v>
                </pt>
                <pt idx="619">
                  <v>1.6177</v>
                </pt>
                <pt idx="620">
                  <v>1.616787</v>
                </pt>
                <pt idx="621">
                  <v>1.618185</v>
                </pt>
                <pt idx="622">
                  <v>1.615172</v>
                </pt>
                <pt idx="623">
                  <v>1.62285</v>
                </pt>
                <pt idx="624">
                  <v>1.613555</v>
                </pt>
                <pt idx="625">
                  <v>1.615172</v>
                </pt>
                <pt idx="626">
                  <v>1.627736</v>
                </pt>
                <pt idx="627">
                  <v>1.631924</v>
                </pt>
                <pt idx="628">
                  <v>1.627944</v>
                </pt>
                <pt idx="629">
                  <v>1.640472</v>
                </pt>
                <pt idx="630">
                  <v>1.622376</v>
                </pt>
                <pt idx="631">
                  <v>1.620288</v>
                </pt>
                <pt idx="632">
                  <v>1.610767</v>
                </pt>
                <pt idx="633">
                  <v>1.60428</v>
                </pt>
                <pt idx="634">
                  <v>1.600585</v>
                </pt>
                <pt idx="635">
                  <v>1.62396</v>
                </pt>
                <pt idx="636">
                  <v>1.61694</v>
                </pt>
                <pt idx="637">
                  <v>1.615383</v>
                </pt>
                <pt idx="638">
                  <v>1.61928</v>
                </pt>
                <pt idx="639">
                  <v>1.620395</v>
                </pt>
                <pt idx="640">
                  <v>1.59321</v>
                </pt>
                <pt idx="641">
                  <v>1.535268</v>
                </pt>
                <pt idx="642">
                  <v>1.532010000000001</v>
                </pt>
                <pt idx="643">
                  <v>1.551046</v>
                </pt>
                <pt idx="644">
                  <v>1.541628</v>
                </pt>
                <pt idx="645">
                  <v>1.559696</v>
                </pt>
                <pt idx="646">
                  <v>1.5580935</v>
                </pt>
                <pt idx="647">
                  <v>1.545248</v>
                </pt>
                <pt idx="648">
                  <v>1.5409926</v>
                </pt>
                <pt idx="649">
                  <v>1.565676</v>
                </pt>
                <pt idx="650">
                  <v>1.5670512</v>
                </pt>
                <pt idx="651">
                  <v>1.573452</v>
                </pt>
                <pt idx="652">
                  <v>1.5768753</v>
                </pt>
                <pt idx="653">
                  <v>1.579386</v>
                </pt>
                <pt idx="654">
                  <v>1.5816854</v>
                </pt>
                <pt idx="655">
                  <v>1.5921724</v>
                </pt>
                <pt idx="656">
                  <v>1.5944964</v>
                </pt>
                <pt idx="657">
                  <v>1.5972408</v>
                </pt>
                <pt idx="658">
                  <v>1.6041168</v>
                </pt>
                <pt idx="659">
                  <v>1.6107461</v>
                </pt>
                <pt idx="660">
                  <v>1.6165476</v>
                </pt>
                <pt idx="661">
                  <v>1.615137</v>
                </pt>
                <pt idx="662">
                  <v>1.6070637</v>
                </pt>
                <pt idx="663">
                  <v>1.602699</v>
                </pt>
                <pt idx="664">
                  <v>1.5839594</v>
                </pt>
                <pt idx="665">
                  <v>1.5894426</v>
                </pt>
                <pt idx="666">
                  <v>1.5955979</v>
                </pt>
                <pt idx="667">
                  <v>1.582511</v>
                </pt>
                <pt idx="668">
                  <v>1.6080771</v>
                </pt>
                <pt idx="669">
                  <v>1.6015536</v>
                </pt>
                <pt idx="670">
                  <v>1.5965082</v>
                </pt>
                <pt idx="671">
                  <v>1.6025556</v>
                </pt>
                <pt idx="672">
                  <v>1.60008</v>
                </pt>
                <pt idx="673">
                  <v>1.5975912</v>
                </pt>
                <pt idx="674">
                  <v>1.6212878</v>
                </pt>
                <pt idx="675">
                  <v>1.6322004</v>
                </pt>
                <pt idx="676">
                  <v>1.6307532</v>
                </pt>
                <pt idx="677">
                  <v>1.6292484</v>
                </pt>
                <pt idx="678">
                  <v>1.6378484</v>
                </pt>
                <pt idx="679">
                  <v>1.6451406</v>
                </pt>
                <pt idx="680">
                  <v>1.63755</v>
                </pt>
                <pt idx="681">
                  <v>1.63251</v>
                </pt>
                <pt idx="682">
                  <v>1.6088598</v>
                </pt>
                <pt idx="683">
                  <v>1.6061808</v>
                </pt>
                <pt idx="684">
                  <v>1.5958026</v>
                </pt>
                <pt idx="685">
                  <v>1.6000906</v>
                </pt>
                <pt idx="686">
                  <v>1.5886568</v>
                </pt>
                <pt idx="687">
                  <v>1.59236</v>
                </pt>
                <pt idx="688">
                  <v>1.5931436</v>
                </pt>
                <pt idx="689">
                  <v>1.6019084</v>
                </pt>
                <pt idx="690">
                  <v>1.5940995</v>
                </pt>
                <pt idx="691">
                  <v>1.5896231</v>
                </pt>
                <pt idx="692">
                  <v>1.5779584</v>
                </pt>
                <pt idx="693">
                  <v>1.5919442</v>
                </pt>
                <pt idx="694">
                  <v>1.5882351</v>
                </pt>
                <pt idx="695">
                  <v>1.5597456</v>
                </pt>
                <pt idx="696">
                  <v>1.5551858</v>
                </pt>
                <pt idx="697">
                  <v>1.5526872</v>
                </pt>
                <pt idx="698">
                  <v>1.544232</v>
                </pt>
                <pt idx="699">
                  <v>1.5601914</v>
                </pt>
                <pt idx="700">
                  <v>1.5761794</v>
                </pt>
                <pt idx="701">
                  <v>1.563383</v>
                </pt>
                <pt idx="702">
                  <v>1.5446978</v>
                </pt>
                <pt idx="703">
                  <v>1.5515388</v>
                </pt>
                <pt idx="704">
                  <v>1.5198092</v>
                </pt>
                <pt idx="705">
                  <v>1.5331745</v>
                </pt>
                <pt idx="706">
                  <v>1.549944</v>
                </pt>
                <pt idx="707">
                  <v>1.532498</v>
                </pt>
                <pt idx="708">
                  <v>1.5085698</v>
                </pt>
                <pt idx="709">
                  <v>1.5083055</v>
                </pt>
                <pt idx="710">
                  <v>1.4901435</v>
                </pt>
                <pt idx="711">
                  <v>1.4751072</v>
                </pt>
                <pt idx="712">
                  <v>1.4780455</v>
                </pt>
                <pt idx="713">
                  <v>1.4712897</v>
                </pt>
                <pt idx="714">
                  <v>1.4745815</v>
                </pt>
                <pt idx="715">
                  <v>1.4679819</v>
                </pt>
                <pt idx="716">
                  <v>1.507685</v>
                </pt>
                <pt idx="717">
                  <v>1.5206238</v>
                </pt>
                <pt idx="718">
                  <v>1.5203729</v>
                </pt>
                <pt idx="719">
                  <v>1.5218008</v>
                </pt>
                <pt idx="720">
                  <v>1.4977805</v>
                </pt>
                <pt idx="721">
                  <v>1.4993971</v>
                </pt>
                <pt idx="722">
                  <v>1.499685</v>
                </pt>
                <pt idx="723">
                  <v>1.5113214</v>
                </pt>
                <pt idx="724">
                  <v>1.5056872</v>
                </pt>
                <pt idx="725">
                  <v>1.519032</v>
                </pt>
                <pt idx="726">
                  <v>1.531328</v>
                </pt>
                <pt idx="727">
                  <v>1.5220722</v>
                </pt>
                <pt idx="728">
                  <v>1.5186825</v>
                </pt>
                <pt idx="729">
                  <v>1.5236424</v>
                </pt>
                <pt idx="730">
                  <v>1.522336</v>
                </pt>
                <pt idx="731">
                  <v>1.534212</v>
                </pt>
                <pt idx="732">
                  <v>1.5308811</v>
                </pt>
                <pt idx="733">
                  <v>1.514016</v>
                </pt>
                <pt idx="734">
                  <v>1.5034477</v>
                </pt>
                <pt idx="735">
                  <v>1.4965335</v>
                </pt>
                <pt idx="736">
                  <v>1.4743261</v>
                </pt>
                <pt idx="737">
                  <v>1.4812336</v>
                </pt>
                <pt idx="738">
                  <v>1.4798784</v>
                </pt>
                <pt idx="739">
                  <v>1.4829824</v>
                </pt>
                <pt idx="740">
                  <v>1.4877104</v>
                </pt>
                <pt idx="741">
                  <v>1.47424</v>
                </pt>
                <pt idx="742">
                  <v>1.4727861</v>
                </pt>
                <pt idx="743">
                  <v>1.4832452</v>
                </pt>
                <pt idx="744">
                  <v>1.5128223</v>
                </pt>
                <pt idx="745">
                  <v>1.4995148</v>
                </pt>
                <pt idx="746">
                  <v>1.4716288</v>
                </pt>
                <pt idx="747">
                  <v>1.4733264</v>
                </pt>
                <pt idx="748">
                  <v>1.4772361</v>
                </pt>
                <pt idx="749">
                  <v>1.4664352</v>
                </pt>
                <pt idx="750">
                  <v>1.4614271</v>
                </pt>
                <pt idx="751">
                  <v>1.4541375</v>
                </pt>
                <pt idx="752">
                  <v>1.4573086</v>
                </pt>
                <pt idx="753">
                  <v>1.4559381</v>
                </pt>
                <pt idx="754">
                  <v>1.4494084</v>
                </pt>
                <pt idx="755">
                  <v>1.4469264</v>
                </pt>
                <pt idx="756">
                  <v>1.447282</v>
                </pt>
                <pt idx="757">
                  <v>1.4188538</v>
                </pt>
                <pt idx="758">
                  <v>1.4237561</v>
                </pt>
                <pt idx="759">
                  <v>1.4307264</v>
                </pt>
                <pt idx="760">
                  <v>1.417248</v>
                </pt>
                <pt idx="761">
                  <v>1.3917375</v>
                </pt>
                <pt idx="762">
                  <v>1.3929885</v>
                </pt>
                <pt idx="763">
                  <v>1.4074398</v>
                </pt>
                <pt idx="764">
                  <v>1.4103936</v>
                </pt>
                <pt idx="765">
                  <v>1.4278302</v>
                </pt>
                <pt idx="766">
                  <v>1.4251526</v>
                </pt>
                <pt idx="767">
                  <v>1.415374</v>
                </pt>
                <pt idx="768">
                  <v>1.4384832</v>
                </pt>
                <pt idx="769">
                  <v>1.4340928</v>
                </pt>
                <pt idx="770">
                  <v>1.4279265</v>
                </pt>
                <pt idx="771">
                  <v>1.4342559</v>
                </pt>
                <pt idx="772">
                  <v>1.3976466</v>
                </pt>
                <pt idx="773">
                  <v>1.3748941</v>
                </pt>
                <pt idx="774">
                  <v>1.3742244</v>
                </pt>
                <pt idx="775">
                  <v>1.3766312</v>
                </pt>
                <pt idx="776">
                  <v>1.369161</v>
                </pt>
                <pt idx="777">
                  <v>1.3678448</v>
                </pt>
                <pt idx="778">
                  <v>1.363128</v>
                </pt>
                <pt idx="779">
                  <v>1.3617916</v>
                </pt>
                <pt idx="780">
                  <v>1.3654011</v>
                </pt>
                <pt idx="781">
                  <v>1.3590408</v>
                </pt>
                <pt idx="782">
                  <v>1.34335</v>
                </pt>
                <pt idx="783">
                  <v>1.3438824</v>
                </pt>
                <pt idx="784">
                  <v>1.344684</v>
                </pt>
                <pt idx="785">
                  <v>1.321824</v>
                </pt>
                <pt idx="786">
                  <v>1.323118</v>
                </pt>
                <pt idx="787">
                  <v>1.323062</v>
                </pt>
                <pt idx="788">
                  <v>1.332606</v>
                </pt>
                <pt idx="789">
                  <v>1.338672</v>
                </pt>
                <pt idx="790">
                  <v>1.33934</v>
                </pt>
                <pt idx="791">
                  <v>1.33732</v>
                </pt>
                <pt idx="792">
                  <v>1.338</v>
                </pt>
                <pt idx="793">
                  <v>1.333996</v>
                </pt>
                <pt idx="794">
                  <v>1.331979</v>
                </pt>
                <pt idx="795">
                  <v>1.338669</v>
                </pt>
                <pt idx="796">
                  <v>1.35401</v>
                </pt>
                <pt idx="797">
                  <v>1.355976</v>
                </pt>
                <pt idx="798">
                  <v>1.368504</v>
                </pt>
                <pt idx="799">
                  <v>1.374312</v>
                </pt>
                <pt idx="800">
                  <v>1.392186</v>
                </pt>
                <pt idx="801">
                  <v>1.394952</v>
                </pt>
                <pt idx="802">
                  <v>1.37808</v>
                </pt>
                <pt idx="803">
                  <v>1.381923</v>
                </pt>
                <pt idx="804">
                  <v>1.406146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85988736"/>
        <axId val="285990272"/>
      </lineChart>
      <dateAx>
        <axId val="285988736"/>
        <scaling>
          <orientation val="minMax"/>
        </scaling>
        <delete val="0"/>
        <axPos val="b"/>
        <numFmt formatCode="m/d/yyyy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85990272"/>
        <crosses val="autoZero"/>
        <lblOffset val="100"/>
        <baseTimeUnit val="days"/>
      </dateAx>
      <valAx>
        <axId val="285990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8598873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strRef>
              <f>'EVI 2025 Workings'!$I$1</f>
              <strCache>
                <ptCount val="1"/>
                <pt idx="0">
                  <v>Nifty 50 Earning Yield</v>
                </pt>
              </strCache>
            </strRef>
          </tx>
          <spPr>
            <a:gradFill xmlns:a="http://schemas.openxmlformats.org/drawingml/2006/main"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'EVI 2025 Workings'!$B$2:$B$806</f>
              <numCache>
                <formatCode>m/d/yyyy</formatCode>
                <ptCount val="805"/>
                <pt idx="0">
                  <v>44564</v>
                </pt>
                <pt idx="1">
                  <v>44565</v>
                </pt>
                <pt idx="2">
                  <v>44566</v>
                </pt>
                <pt idx="3">
                  <v>44567</v>
                </pt>
                <pt idx="4">
                  <v>44568</v>
                </pt>
                <pt idx="5">
                  <v>44571</v>
                </pt>
                <pt idx="6">
                  <v>44572</v>
                </pt>
                <pt idx="7">
                  <v>44573</v>
                </pt>
                <pt idx="8">
                  <v>44574</v>
                </pt>
                <pt idx="9">
                  <v>44575</v>
                </pt>
                <pt idx="10">
                  <v>44578</v>
                </pt>
                <pt idx="11">
                  <v>44579</v>
                </pt>
                <pt idx="12">
                  <v>44580</v>
                </pt>
                <pt idx="13">
                  <v>44581</v>
                </pt>
                <pt idx="14">
                  <v>44582</v>
                </pt>
                <pt idx="15">
                  <v>44585</v>
                </pt>
                <pt idx="16">
                  <v>44586</v>
                </pt>
                <pt idx="17">
                  <v>44588</v>
                </pt>
                <pt idx="18">
                  <v>44589</v>
                </pt>
                <pt idx="19">
                  <v>44592</v>
                </pt>
                <pt idx="20">
                  <v>44593</v>
                </pt>
                <pt idx="21">
                  <v>44594</v>
                </pt>
                <pt idx="22">
                  <v>44595</v>
                </pt>
                <pt idx="23">
                  <v>44596</v>
                </pt>
                <pt idx="24">
                  <v>44599</v>
                </pt>
                <pt idx="25">
                  <v>44600</v>
                </pt>
                <pt idx="26">
                  <v>44601</v>
                </pt>
                <pt idx="27">
                  <v>44602</v>
                </pt>
                <pt idx="28">
                  <v>44603</v>
                </pt>
                <pt idx="29">
                  <v>44606</v>
                </pt>
                <pt idx="30">
                  <v>44607</v>
                </pt>
                <pt idx="31">
                  <v>44608</v>
                </pt>
                <pt idx="32">
                  <v>44609</v>
                </pt>
                <pt idx="33">
                  <v>44610</v>
                </pt>
                <pt idx="34">
                  <v>44613</v>
                </pt>
                <pt idx="35">
                  <v>44614</v>
                </pt>
                <pt idx="36">
                  <v>44615</v>
                </pt>
                <pt idx="37">
                  <v>44616</v>
                </pt>
                <pt idx="38">
                  <v>44617</v>
                </pt>
                <pt idx="39">
                  <v>44620</v>
                </pt>
                <pt idx="40">
                  <v>44622</v>
                </pt>
                <pt idx="41">
                  <v>44623</v>
                </pt>
                <pt idx="42">
                  <v>44624</v>
                </pt>
                <pt idx="43">
                  <v>44627</v>
                </pt>
                <pt idx="44">
                  <v>44628</v>
                </pt>
                <pt idx="45">
                  <v>44629</v>
                </pt>
                <pt idx="46">
                  <v>44630</v>
                </pt>
                <pt idx="47">
                  <v>44631</v>
                </pt>
                <pt idx="48">
                  <v>44634</v>
                </pt>
                <pt idx="49">
                  <v>44635</v>
                </pt>
                <pt idx="50">
                  <v>44636</v>
                </pt>
                <pt idx="51">
                  <v>44637</v>
                </pt>
                <pt idx="52">
                  <v>44641</v>
                </pt>
                <pt idx="53">
                  <v>44642</v>
                </pt>
                <pt idx="54">
                  <v>44643</v>
                </pt>
                <pt idx="55">
                  <v>44644</v>
                </pt>
                <pt idx="56">
                  <v>44645</v>
                </pt>
                <pt idx="57">
                  <v>44648</v>
                </pt>
                <pt idx="58">
                  <v>44649</v>
                </pt>
                <pt idx="59">
                  <v>44650</v>
                </pt>
                <pt idx="60">
                  <v>44651</v>
                </pt>
                <pt idx="61">
                  <v>44652</v>
                </pt>
                <pt idx="62">
                  <v>44655</v>
                </pt>
                <pt idx="63">
                  <v>44656</v>
                </pt>
                <pt idx="64">
                  <v>44657</v>
                </pt>
                <pt idx="65">
                  <v>44658</v>
                </pt>
                <pt idx="66">
                  <v>44659</v>
                </pt>
                <pt idx="67">
                  <v>44662</v>
                </pt>
                <pt idx="68">
                  <v>44663</v>
                </pt>
                <pt idx="69">
                  <v>44664</v>
                </pt>
                <pt idx="70">
                  <v>44669</v>
                </pt>
                <pt idx="71">
                  <v>44670</v>
                </pt>
                <pt idx="72">
                  <v>44671</v>
                </pt>
                <pt idx="73">
                  <v>44672</v>
                </pt>
                <pt idx="74">
                  <v>44673</v>
                </pt>
                <pt idx="75">
                  <v>44676</v>
                </pt>
                <pt idx="76">
                  <v>44677</v>
                </pt>
                <pt idx="77">
                  <v>44678</v>
                </pt>
                <pt idx="78">
                  <v>44679</v>
                </pt>
                <pt idx="79">
                  <v>44680</v>
                </pt>
                <pt idx="80">
                  <v>44683</v>
                </pt>
                <pt idx="81">
                  <v>44685</v>
                </pt>
                <pt idx="82">
                  <v>44686</v>
                </pt>
                <pt idx="83">
                  <v>44687</v>
                </pt>
                <pt idx="84">
                  <v>44690</v>
                </pt>
                <pt idx="85">
                  <v>44691</v>
                </pt>
                <pt idx="86">
                  <v>44692</v>
                </pt>
                <pt idx="87">
                  <v>44693</v>
                </pt>
                <pt idx="88">
                  <v>44694</v>
                </pt>
                <pt idx="89">
                  <v>44697</v>
                </pt>
                <pt idx="90">
                  <v>44698</v>
                </pt>
                <pt idx="91">
                  <v>44699</v>
                </pt>
                <pt idx="92">
                  <v>44700</v>
                </pt>
                <pt idx="93">
                  <v>44701</v>
                </pt>
                <pt idx="94">
                  <v>44704</v>
                </pt>
                <pt idx="95">
                  <v>44705</v>
                </pt>
                <pt idx="96">
                  <v>44706</v>
                </pt>
                <pt idx="97">
                  <v>44707</v>
                </pt>
                <pt idx="98">
                  <v>44708</v>
                </pt>
                <pt idx="99">
                  <v>44711</v>
                </pt>
                <pt idx="100">
                  <v>44712</v>
                </pt>
                <pt idx="101">
                  <v>44713</v>
                </pt>
                <pt idx="102">
                  <v>44714</v>
                </pt>
                <pt idx="103">
                  <v>44715</v>
                </pt>
                <pt idx="104">
                  <v>44718</v>
                </pt>
                <pt idx="105">
                  <v>44719</v>
                </pt>
                <pt idx="106">
                  <v>44720</v>
                </pt>
                <pt idx="107">
                  <v>44721</v>
                </pt>
                <pt idx="108">
                  <v>44722</v>
                </pt>
                <pt idx="109">
                  <v>44725</v>
                </pt>
                <pt idx="110">
                  <v>44726</v>
                </pt>
                <pt idx="111">
                  <v>44727</v>
                </pt>
                <pt idx="112">
                  <v>44728</v>
                </pt>
                <pt idx="113">
                  <v>44729</v>
                </pt>
                <pt idx="114">
                  <v>44732</v>
                </pt>
                <pt idx="115">
                  <v>44733</v>
                </pt>
                <pt idx="116">
                  <v>44734</v>
                </pt>
                <pt idx="117">
                  <v>44735</v>
                </pt>
                <pt idx="118">
                  <v>44736</v>
                </pt>
                <pt idx="119">
                  <v>44739</v>
                </pt>
                <pt idx="120">
                  <v>44740</v>
                </pt>
                <pt idx="121">
                  <v>44741</v>
                </pt>
                <pt idx="122">
                  <v>44742</v>
                </pt>
                <pt idx="123">
                  <v>44743</v>
                </pt>
                <pt idx="124">
                  <v>44746</v>
                </pt>
                <pt idx="125">
                  <v>44747</v>
                </pt>
                <pt idx="126">
                  <v>44748</v>
                </pt>
                <pt idx="127">
                  <v>44749</v>
                </pt>
                <pt idx="128">
                  <v>44750</v>
                </pt>
                <pt idx="129">
                  <v>44753</v>
                </pt>
                <pt idx="130">
                  <v>44754</v>
                </pt>
                <pt idx="131">
                  <v>44755</v>
                </pt>
                <pt idx="132">
                  <v>44756</v>
                </pt>
                <pt idx="133">
                  <v>44757</v>
                </pt>
                <pt idx="134">
                  <v>44760</v>
                </pt>
                <pt idx="135">
                  <v>44761</v>
                </pt>
                <pt idx="136">
                  <v>44762</v>
                </pt>
                <pt idx="137">
                  <v>44763</v>
                </pt>
                <pt idx="138">
                  <v>44764</v>
                </pt>
                <pt idx="139">
                  <v>44767</v>
                </pt>
                <pt idx="140">
                  <v>44768</v>
                </pt>
                <pt idx="141">
                  <v>44769</v>
                </pt>
                <pt idx="142">
                  <v>44770</v>
                </pt>
                <pt idx="143">
                  <v>44771</v>
                </pt>
                <pt idx="144">
                  <v>44774</v>
                </pt>
                <pt idx="145">
                  <v>44775</v>
                </pt>
                <pt idx="146">
                  <v>44776</v>
                </pt>
                <pt idx="147">
                  <v>44777</v>
                </pt>
                <pt idx="148">
                  <v>44778</v>
                </pt>
                <pt idx="149">
                  <v>44781</v>
                </pt>
                <pt idx="150">
                  <v>44783</v>
                </pt>
                <pt idx="151">
                  <v>44784</v>
                </pt>
                <pt idx="152">
                  <v>44785</v>
                </pt>
                <pt idx="153">
                  <v>44789</v>
                </pt>
                <pt idx="154">
                  <v>44790</v>
                </pt>
                <pt idx="155">
                  <v>44791</v>
                </pt>
                <pt idx="156">
                  <v>44792</v>
                </pt>
                <pt idx="157">
                  <v>44795</v>
                </pt>
                <pt idx="158">
                  <v>44796</v>
                </pt>
                <pt idx="159">
                  <v>44797</v>
                </pt>
                <pt idx="160">
                  <v>44798</v>
                </pt>
                <pt idx="161">
                  <v>44799</v>
                </pt>
                <pt idx="162">
                  <v>44802</v>
                </pt>
                <pt idx="163">
                  <v>44803</v>
                </pt>
                <pt idx="164">
                  <v>44805</v>
                </pt>
                <pt idx="165">
                  <v>44806</v>
                </pt>
                <pt idx="166">
                  <v>44809</v>
                </pt>
                <pt idx="167">
                  <v>44810</v>
                </pt>
                <pt idx="168">
                  <v>44811</v>
                </pt>
                <pt idx="169">
                  <v>44812</v>
                </pt>
                <pt idx="170">
                  <v>44813</v>
                </pt>
                <pt idx="171">
                  <v>44816</v>
                </pt>
                <pt idx="172">
                  <v>44817</v>
                </pt>
                <pt idx="173">
                  <v>44818</v>
                </pt>
                <pt idx="174">
                  <v>44819</v>
                </pt>
                <pt idx="175">
                  <v>44820</v>
                </pt>
                <pt idx="176">
                  <v>44823</v>
                </pt>
                <pt idx="177">
                  <v>44824</v>
                </pt>
                <pt idx="178">
                  <v>44825</v>
                </pt>
                <pt idx="179">
                  <v>44826</v>
                </pt>
                <pt idx="180">
                  <v>44827</v>
                </pt>
                <pt idx="181">
                  <v>44830</v>
                </pt>
                <pt idx="182">
                  <v>44831</v>
                </pt>
                <pt idx="183">
                  <v>44832</v>
                </pt>
                <pt idx="184">
                  <v>44833</v>
                </pt>
                <pt idx="185">
                  <v>44834</v>
                </pt>
                <pt idx="186">
                  <v>44837</v>
                </pt>
                <pt idx="187">
                  <v>44838</v>
                </pt>
                <pt idx="188">
                  <v>44840</v>
                </pt>
                <pt idx="189">
                  <v>44841</v>
                </pt>
                <pt idx="190">
                  <v>44844</v>
                </pt>
                <pt idx="191">
                  <v>44845</v>
                </pt>
                <pt idx="192">
                  <v>44846</v>
                </pt>
                <pt idx="193">
                  <v>44847</v>
                </pt>
                <pt idx="194">
                  <v>44848</v>
                </pt>
                <pt idx="195">
                  <v>44851</v>
                </pt>
                <pt idx="196">
                  <v>44852</v>
                </pt>
                <pt idx="197">
                  <v>44853</v>
                </pt>
                <pt idx="198">
                  <v>44854</v>
                </pt>
                <pt idx="199">
                  <v>44855</v>
                </pt>
                <pt idx="200">
                  <v>44858</v>
                </pt>
                <pt idx="201">
                  <v>44859</v>
                </pt>
                <pt idx="202">
                  <v>44861</v>
                </pt>
                <pt idx="203">
                  <v>44862</v>
                </pt>
                <pt idx="204">
                  <v>44865</v>
                </pt>
                <pt idx="205">
                  <v>44866</v>
                </pt>
                <pt idx="206">
                  <v>44867</v>
                </pt>
                <pt idx="207">
                  <v>44868</v>
                </pt>
                <pt idx="208">
                  <v>44869</v>
                </pt>
                <pt idx="209">
                  <v>44872</v>
                </pt>
                <pt idx="210">
                  <v>44874</v>
                </pt>
                <pt idx="211">
                  <v>44875</v>
                </pt>
                <pt idx="212">
                  <v>44876</v>
                </pt>
                <pt idx="213">
                  <v>44879</v>
                </pt>
                <pt idx="214">
                  <v>44880</v>
                </pt>
                <pt idx="215">
                  <v>44881</v>
                </pt>
                <pt idx="216">
                  <v>44882</v>
                </pt>
                <pt idx="217">
                  <v>44883</v>
                </pt>
                <pt idx="218">
                  <v>44886</v>
                </pt>
                <pt idx="219">
                  <v>44887</v>
                </pt>
                <pt idx="220">
                  <v>44888</v>
                </pt>
                <pt idx="221">
                  <v>44889</v>
                </pt>
                <pt idx="222">
                  <v>44890</v>
                </pt>
                <pt idx="223">
                  <v>44893</v>
                </pt>
                <pt idx="224">
                  <v>44894</v>
                </pt>
                <pt idx="225">
                  <v>44895</v>
                </pt>
                <pt idx="226">
                  <v>44896</v>
                </pt>
                <pt idx="227">
                  <v>44897</v>
                </pt>
                <pt idx="228">
                  <v>44900</v>
                </pt>
                <pt idx="229">
                  <v>44901</v>
                </pt>
                <pt idx="230">
                  <v>44902</v>
                </pt>
                <pt idx="231">
                  <v>44903</v>
                </pt>
                <pt idx="232">
                  <v>44904</v>
                </pt>
                <pt idx="233">
                  <v>44907</v>
                </pt>
                <pt idx="234">
                  <v>44908</v>
                </pt>
                <pt idx="235">
                  <v>44909</v>
                </pt>
                <pt idx="236">
                  <v>44910</v>
                </pt>
                <pt idx="237">
                  <v>44911</v>
                </pt>
                <pt idx="238">
                  <v>44914</v>
                </pt>
                <pt idx="239">
                  <v>44915</v>
                </pt>
                <pt idx="240">
                  <v>44916</v>
                </pt>
                <pt idx="241">
                  <v>44917</v>
                </pt>
                <pt idx="242">
                  <v>44918</v>
                </pt>
                <pt idx="243">
                  <v>44921</v>
                </pt>
                <pt idx="244">
                  <v>44922</v>
                </pt>
                <pt idx="245">
                  <v>44923</v>
                </pt>
                <pt idx="246">
                  <v>44924</v>
                </pt>
                <pt idx="247">
                  <v>44925</v>
                </pt>
                <pt idx="248">
                  <v>44928</v>
                </pt>
                <pt idx="249">
                  <v>44929</v>
                </pt>
                <pt idx="250">
                  <v>44930</v>
                </pt>
                <pt idx="251">
                  <v>44931</v>
                </pt>
                <pt idx="252">
                  <v>44932</v>
                </pt>
                <pt idx="253">
                  <v>44935</v>
                </pt>
                <pt idx="254">
                  <v>44936</v>
                </pt>
                <pt idx="255">
                  <v>44937</v>
                </pt>
                <pt idx="256">
                  <v>44938</v>
                </pt>
                <pt idx="257">
                  <v>44939</v>
                </pt>
                <pt idx="258">
                  <v>44942</v>
                </pt>
                <pt idx="259">
                  <v>44943</v>
                </pt>
                <pt idx="260">
                  <v>44944</v>
                </pt>
                <pt idx="261">
                  <v>44945</v>
                </pt>
                <pt idx="262">
                  <v>44946</v>
                </pt>
                <pt idx="263">
                  <v>44949</v>
                </pt>
                <pt idx="264">
                  <v>44950</v>
                </pt>
                <pt idx="265">
                  <v>44951</v>
                </pt>
                <pt idx="266">
                  <v>44953</v>
                </pt>
                <pt idx="267">
                  <v>44956</v>
                </pt>
                <pt idx="268">
                  <v>44957</v>
                </pt>
                <pt idx="269">
                  <v>44958</v>
                </pt>
                <pt idx="270">
                  <v>44959</v>
                </pt>
                <pt idx="271">
                  <v>44960</v>
                </pt>
                <pt idx="272">
                  <v>44963</v>
                </pt>
                <pt idx="273">
                  <v>44964</v>
                </pt>
                <pt idx="274">
                  <v>44965</v>
                </pt>
                <pt idx="275">
                  <v>44966</v>
                </pt>
                <pt idx="276">
                  <v>44967</v>
                </pt>
                <pt idx="277">
                  <v>44970</v>
                </pt>
                <pt idx="278">
                  <v>44971</v>
                </pt>
                <pt idx="279">
                  <v>44972</v>
                </pt>
                <pt idx="280">
                  <v>44973</v>
                </pt>
                <pt idx="281">
                  <v>44974</v>
                </pt>
                <pt idx="282">
                  <v>44977</v>
                </pt>
                <pt idx="283">
                  <v>44978</v>
                </pt>
                <pt idx="284">
                  <v>44979</v>
                </pt>
                <pt idx="285">
                  <v>44980</v>
                </pt>
                <pt idx="286">
                  <v>44981</v>
                </pt>
                <pt idx="287">
                  <v>44984</v>
                </pt>
                <pt idx="288">
                  <v>44985</v>
                </pt>
                <pt idx="289">
                  <v>44986</v>
                </pt>
                <pt idx="290">
                  <v>44987</v>
                </pt>
                <pt idx="291">
                  <v>44988</v>
                </pt>
                <pt idx="292">
                  <v>44991</v>
                </pt>
                <pt idx="293">
                  <v>44993</v>
                </pt>
                <pt idx="294">
                  <v>44994</v>
                </pt>
                <pt idx="295">
                  <v>44995</v>
                </pt>
                <pt idx="296">
                  <v>44998</v>
                </pt>
                <pt idx="297">
                  <v>44999</v>
                </pt>
                <pt idx="298">
                  <v>45000</v>
                </pt>
                <pt idx="299">
                  <v>45001</v>
                </pt>
                <pt idx="300">
                  <v>45002</v>
                </pt>
                <pt idx="301">
                  <v>45005</v>
                </pt>
                <pt idx="302">
                  <v>45006</v>
                </pt>
                <pt idx="303">
                  <v>45007</v>
                </pt>
                <pt idx="304">
                  <v>45008</v>
                </pt>
                <pt idx="305">
                  <v>45009</v>
                </pt>
                <pt idx="306">
                  <v>45012</v>
                </pt>
                <pt idx="307">
                  <v>45013</v>
                </pt>
                <pt idx="308">
                  <v>45014</v>
                </pt>
                <pt idx="309">
                  <v>45016</v>
                </pt>
                <pt idx="310">
                  <v>45019</v>
                </pt>
                <pt idx="311">
                  <v>45021</v>
                </pt>
                <pt idx="312">
                  <v>45022</v>
                </pt>
                <pt idx="313">
                  <v>45026</v>
                </pt>
                <pt idx="314">
                  <v>45027</v>
                </pt>
                <pt idx="315">
                  <v>45028</v>
                </pt>
                <pt idx="316">
                  <v>45029</v>
                </pt>
                <pt idx="317">
                  <v>45033</v>
                </pt>
                <pt idx="318">
                  <v>45034</v>
                </pt>
                <pt idx="319">
                  <v>45035</v>
                </pt>
                <pt idx="320">
                  <v>45036</v>
                </pt>
                <pt idx="321">
                  <v>45037</v>
                </pt>
                <pt idx="322">
                  <v>45040</v>
                </pt>
                <pt idx="323">
                  <v>45041</v>
                </pt>
                <pt idx="324">
                  <v>45042</v>
                </pt>
                <pt idx="325">
                  <v>45043</v>
                </pt>
                <pt idx="326">
                  <v>45044</v>
                </pt>
                <pt idx="327">
                  <v>45048</v>
                </pt>
                <pt idx="328">
                  <v>45049</v>
                </pt>
                <pt idx="329">
                  <v>45050</v>
                </pt>
                <pt idx="330">
                  <v>45051</v>
                </pt>
                <pt idx="331">
                  <v>45054</v>
                </pt>
                <pt idx="332">
                  <v>45055</v>
                </pt>
                <pt idx="333">
                  <v>45056</v>
                </pt>
                <pt idx="334">
                  <v>45057</v>
                </pt>
                <pt idx="335">
                  <v>45058</v>
                </pt>
                <pt idx="336">
                  <v>45061</v>
                </pt>
                <pt idx="337">
                  <v>45062</v>
                </pt>
                <pt idx="338">
                  <v>45063</v>
                </pt>
                <pt idx="339">
                  <v>45064</v>
                </pt>
                <pt idx="340">
                  <v>45065</v>
                </pt>
                <pt idx="341">
                  <v>45068</v>
                </pt>
                <pt idx="342">
                  <v>45069</v>
                </pt>
                <pt idx="343">
                  <v>45070</v>
                </pt>
                <pt idx="344">
                  <v>45071</v>
                </pt>
                <pt idx="345">
                  <v>45072</v>
                </pt>
                <pt idx="346">
                  <v>45075</v>
                </pt>
                <pt idx="347">
                  <v>45076</v>
                </pt>
                <pt idx="348">
                  <v>45077</v>
                </pt>
                <pt idx="349">
                  <v>45078</v>
                </pt>
                <pt idx="350">
                  <v>45079</v>
                </pt>
                <pt idx="351">
                  <v>45082</v>
                </pt>
                <pt idx="352">
                  <v>45083</v>
                </pt>
                <pt idx="353">
                  <v>45084</v>
                </pt>
                <pt idx="354">
                  <v>45085</v>
                </pt>
                <pt idx="355">
                  <v>45086</v>
                </pt>
                <pt idx="356">
                  <v>45089</v>
                </pt>
                <pt idx="357">
                  <v>45090</v>
                </pt>
                <pt idx="358">
                  <v>45091</v>
                </pt>
                <pt idx="359">
                  <v>45092</v>
                </pt>
                <pt idx="360">
                  <v>45093</v>
                </pt>
                <pt idx="361">
                  <v>45096</v>
                </pt>
                <pt idx="362">
                  <v>45097</v>
                </pt>
                <pt idx="363">
                  <v>45098</v>
                </pt>
                <pt idx="364">
                  <v>45099</v>
                </pt>
                <pt idx="365">
                  <v>45100</v>
                </pt>
                <pt idx="366">
                  <v>45103</v>
                </pt>
                <pt idx="367">
                  <v>45104</v>
                </pt>
                <pt idx="368">
                  <v>45105</v>
                </pt>
                <pt idx="369">
                  <v>45107</v>
                </pt>
                <pt idx="370">
                  <v>45110</v>
                </pt>
                <pt idx="371">
                  <v>45111</v>
                </pt>
                <pt idx="372">
                  <v>45112</v>
                </pt>
                <pt idx="373">
                  <v>45113</v>
                </pt>
                <pt idx="374">
                  <v>45114</v>
                </pt>
                <pt idx="375">
                  <v>45117</v>
                </pt>
                <pt idx="376">
                  <v>45118</v>
                </pt>
                <pt idx="377">
                  <v>45119</v>
                </pt>
                <pt idx="378">
                  <v>45120</v>
                </pt>
                <pt idx="379">
                  <v>45121</v>
                </pt>
                <pt idx="380">
                  <v>45124</v>
                </pt>
                <pt idx="381">
                  <v>45125</v>
                </pt>
                <pt idx="382">
                  <v>45126</v>
                </pt>
                <pt idx="383">
                  <v>45127</v>
                </pt>
                <pt idx="384">
                  <v>45128</v>
                </pt>
                <pt idx="385">
                  <v>45131</v>
                </pt>
                <pt idx="386">
                  <v>45132</v>
                </pt>
                <pt idx="387">
                  <v>45133</v>
                </pt>
                <pt idx="388">
                  <v>45134</v>
                </pt>
                <pt idx="389">
                  <v>45135</v>
                </pt>
                <pt idx="390">
                  <v>45138</v>
                </pt>
                <pt idx="391">
                  <v>45139</v>
                </pt>
                <pt idx="392">
                  <v>45140</v>
                </pt>
                <pt idx="393">
                  <v>45141</v>
                </pt>
                <pt idx="394">
                  <v>45142</v>
                </pt>
                <pt idx="395">
                  <v>45145</v>
                </pt>
                <pt idx="396">
                  <v>45146</v>
                </pt>
                <pt idx="397">
                  <v>45147</v>
                </pt>
                <pt idx="398">
                  <v>45148</v>
                </pt>
                <pt idx="399">
                  <v>45149</v>
                </pt>
                <pt idx="400">
                  <v>45152</v>
                </pt>
                <pt idx="401">
                  <v>45154</v>
                </pt>
                <pt idx="402">
                  <v>45155</v>
                </pt>
                <pt idx="403">
                  <v>45156</v>
                </pt>
                <pt idx="404">
                  <v>45159</v>
                </pt>
                <pt idx="405">
                  <v>45160</v>
                </pt>
                <pt idx="406">
                  <v>45161</v>
                </pt>
                <pt idx="407">
                  <v>45162</v>
                </pt>
                <pt idx="408">
                  <v>45163</v>
                </pt>
                <pt idx="409">
                  <v>45166</v>
                </pt>
                <pt idx="410">
                  <v>45167</v>
                </pt>
                <pt idx="411">
                  <v>45168</v>
                </pt>
                <pt idx="412">
                  <v>45169</v>
                </pt>
                <pt idx="413">
                  <v>45170</v>
                </pt>
                <pt idx="414">
                  <v>45173</v>
                </pt>
                <pt idx="415">
                  <v>45174</v>
                </pt>
                <pt idx="416">
                  <v>45175</v>
                </pt>
                <pt idx="417">
                  <v>45176</v>
                </pt>
                <pt idx="418">
                  <v>45177</v>
                </pt>
                <pt idx="419">
                  <v>45180</v>
                </pt>
                <pt idx="420">
                  <v>45181</v>
                </pt>
                <pt idx="421">
                  <v>45182</v>
                </pt>
                <pt idx="422">
                  <v>45183</v>
                </pt>
                <pt idx="423">
                  <v>45184</v>
                </pt>
                <pt idx="424">
                  <v>45187</v>
                </pt>
                <pt idx="425">
                  <v>45189</v>
                </pt>
                <pt idx="426">
                  <v>45190</v>
                </pt>
                <pt idx="427">
                  <v>45191</v>
                </pt>
                <pt idx="428">
                  <v>45194</v>
                </pt>
                <pt idx="429">
                  <v>45195</v>
                </pt>
                <pt idx="430">
                  <v>45196</v>
                </pt>
                <pt idx="431">
                  <v>45197</v>
                </pt>
                <pt idx="432">
                  <v>45198</v>
                </pt>
                <pt idx="433">
                  <v>45202</v>
                </pt>
                <pt idx="434">
                  <v>45203</v>
                </pt>
                <pt idx="435">
                  <v>45204</v>
                </pt>
                <pt idx="436">
                  <v>45205</v>
                </pt>
                <pt idx="437">
                  <v>45208</v>
                </pt>
                <pt idx="438">
                  <v>45209</v>
                </pt>
                <pt idx="439">
                  <v>45210</v>
                </pt>
                <pt idx="440">
                  <v>45211</v>
                </pt>
                <pt idx="441">
                  <v>45212</v>
                </pt>
                <pt idx="442">
                  <v>45215</v>
                </pt>
                <pt idx="443">
                  <v>45216</v>
                </pt>
                <pt idx="444">
                  <v>45217</v>
                </pt>
                <pt idx="445">
                  <v>45218</v>
                </pt>
                <pt idx="446">
                  <v>45219</v>
                </pt>
                <pt idx="447">
                  <v>45222</v>
                </pt>
                <pt idx="448">
                  <v>45224</v>
                </pt>
                <pt idx="449">
                  <v>45225</v>
                </pt>
                <pt idx="450">
                  <v>45226</v>
                </pt>
                <pt idx="451">
                  <v>45229</v>
                </pt>
                <pt idx="452">
                  <v>45230</v>
                </pt>
                <pt idx="453">
                  <v>45231</v>
                </pt>
                <pt idx="454">
                  <v>45232</v>
                </pt>
                <pt idx="455">
                  <v>45233</v>
                </pt>
                <pt idx="456">
                  <v>45236</v>
                </pt>
                <pt idx="457">
                  <v>45237</v>
                </pt>
                <pt idx="458">
                  <v>45238</v>
                </pt>
                <pt idx="459">
                  <v>45239</v>
                </pt>
                <pt idx="460">
                  <v>45240</v>
                </pt>
                <pt idx="461">
                  <v>45242</v>
                </pt>
                <pt idx="462">
                  <v>45243</v>
                </pt>
                <pt idx="463">
                  <v>45245</v>
                </pt>
                <pt idx="464">
                  <v>45246</v>
                </pt>
                <pt idx="465">
                  <v>45247</v>
                </pt>
                <pt idx="466">
                  <v>45250</v>
                </pt>
                <pt idx="467">
                  <v>45251</v>
                </pt>
                <pt idx="468">
                  <v>45252</v>
                </pt>
                <pt idx="469">
                  <v>45253</v>
                </pt>
                <pt idx="470">
                  <v>45254</v>
                </pt>
                <pt idx="471">
                  <v>45258</v>
                </pt>
                <pt idx="472">
                  <v>45259</v>
                </pt>
                <pt idx="473">
                  <v>45260</v>
                </pt>
                <pt idx="474">
                  <v>45261</v>
                </pt>
                <pt idx="475">
                  <v>45264</v>
                </pt>
                <pt idx="476">
                  <v>45265</v>
                </pt>
                <pt idx="477">
                  <v>45266</v>
                </pt>
                <pt idx="478">
                  <v>45267</v>
                </pt>
                <pt idx="479">
                  <v>45268</v>
                </pt>
                <pt idx="480">
                  <v>45271</v>
                </pt>
                <pt idx="481">
                  <v>45272</v>
                </pt>
                <pt idx="482">
                  <v>45273</v>
                </pt>
                <pt idx="483">
                  <v>45274</v>
                </pt>
                <pt idx="484">
                  <v>45275</v>
                </pt>
                <pt idx="485">
                  <v>45278</v>
                </pt>
                <pt idx="486">
                  <v>45279</v>
                </pt>
                <pt idx="487">
                  <v>45280</v>
                </pt>
                <pt idx="488">
                  <v>45281</v>
                </pt>
                <pt idx="489">
                  <v>45282</v>
                </pt>
                <pt idx="490">
                  <v>45286</v>
                </pt>
                <pt idx="491">
                  <v>45287</v>
                </pt>
                <pt idx="492">
                  <v>45288</v>
                </pt>
                <pt idx="493">
                  <v>45289</v>
                </pt>
                <pt idx="494">
                  <v>45292</v>
                </pt>
                <pt idx="495">
                  <v>45293</v>
                </pt>
                <pt idx="496">
                  <v>45294</v>
                </pt>
                <pt idx="497">
                  <v>45295</v>
                </pt>
                <pt idx="498">
                  <v>45296</v>
                </pt>
                <pt idx="499">
                  <v>45299</v>
                </pt>
                <pt idx="500">
                  <v>45300</v>
                </pt>
                <pt idx="501">
                  <v>45301</v>
                </pt>
                <pt idx="502">
                  <v>45302</v>
                </pt>
                <pt idx="503">
                  <v>45303</v>
                </pt>
                <pt idx="504">
                  <v>45306</v>
                </pt>
                <pt idx="505">
                  <v>45307</v>
                </pt>
                <pt idx="506">
                  <v>45308</v>
                </pt>
                <pt idx="507">
                  <v>45309</v>
                </pt>
                <pt idx="508">
                  <v>45310</v>
                </pt>
                <pt idx="509">
                  <v>45311</v>
                </pt>
                <pt idx="510">
                  <v>45314</v>
                </pt>
                <pt idx="511">
                  <v>45315</v>
                </pt>
                <pt idx="512">
                  <v>45316</v>
                </pt>
                <pt idx="513">
                  <v>45320</v>
                </pt>
                <pt idx="514">
                  <v>45321</v>
                </pt>
                <pt idx="515">
                  <v>45322</v>
                </pt>
                <pt idx="516">
                  <v>45323</v>
                </pt>
                <pt idx="517">
                  <v>45324</v>
                </pt>
                <pt idx="518">
                  <v>45327</v>
                </pt>
                <pt idx="519">
                  <v>45328</v>
                </pt>
                <pt idx="520">
                  <v>45329</v>
                </pt>
                <pt idx="521">
                  <v>45330</v>
                </pt>
                <pt idx="522">
                  <v>45331</v>
                </pt>
                <pt idx="523">
                  <v>45334</v>
                </pt>
                <pt idx="524">
                  <v>45335</v>
                </pt>
                <pt idx="525">
                  <v>45336</v>
                </pt>
                <pt idx="526">
                  <v>45337</v>
                </pt>
                <pt idx="527">
                  <v>45338</v>
                </pt>
                <pt idx="528">
                  <v>45341</v>
                </pt>
                <pt idx="529">
                  <v>45342</v>
                </pt>
                <pt idx="530">
                  <v>45343</v>
                </pt>
                <pt idx="531">
                  <v>45344</v>
                </pt>
                <pt idx="532">
                  <v>45345</v>
                </pt>
                <pt idx="533">
                  <v>45348</v>
                </pt>
                <pt idx="534">
                  <v>45349</v>
                </pt>
                <pt idx="535">
                  <v>45350</v>
                </pt>
                <pt idx="536">
                  <v>45351</v>
                </pt>
                <pt idx="537">
                  <v>45352</v>
                </pt>
                <pt idx="538">
                  <v>45353</v>
                </pt>
                <pt idx="539">
                  <v>45355</v>
                </pt>
                <pt idx="540">
                  <v>45356</v>
                </pt>
                <pt idx="541">
                  <v>45357</v>
                </pt>
                <pt idx="542">
                  <v>45358</v>
                </pt>
                <pt idx="543">
                  <v>45362</v>
                </pt>
                <pt idx="544">
                  <v>45363</v>
                </pt>
                <pt idx="545">
                  <v>45364</v>
                </pt>
                <pt idx="546">
                  <v>45365</v>
                </pt>
                <pt idx="547">
                  <v>45366</v>
                </pt>
                <pt idx="548">
                  <v>45369</v>
                </pt>
                <pt idx="549">
                  <v>45370</v>
                </pt>
                <pt idx="550">
                  <v>45371</v>
                </pt>
                <pt idx="551">
                  <v>45372</v>
                </pt>
                <pt idx="552">
                  <v>45373</v>
                </pt>
                <pt idx="553">
                  <v>45377</v>
                </pt>
                <pt idx="554">
                  <v>45378</v>
                </pt>
                <pt idx="555">
                  <v>45379</v>
                </pt>
                <pt idx="556">
                  <v>45383</v>
                </pt>
                <pt idx="557">
                  <v>45384</v>
                </pt>
                <pt idx="558">
                  <v>45385</v>
                </pt>
                <pt idx="559">
                  <v>45386</v>
                </pt>
                <pt idx="560">
                  <v>45387</v>
                </pt>
                <pt idx="561">
                  <v>45390</v>
                </pt>
                <pt idx="562">
                  <v>45391</v>
                </pt>
                <pt idx="563">
                  <v>45392</v>
                </pt>
                <pt idx="564">
                  <v>45394</v>
                </pt>
                <pt idx="565">
                  <v>45397</v>
                </pt>
                <pt idx="566">
                  <v>45398</v>
                </pt>
                <pt idx="567">
                  <v>45400</v>
                </pt>
                <pt idx="568">
                  <v>45401</v>
                </pt>
                <pt idx="569">
                  <v>45404</v>
                </pt>
                <pt idx="570">
                  <v>45405</v>
                </pt>
                <pt idx="571">
                  <v>45406</v>
                </pt>
                <pt idx="572">
                  <v>45407</v>
                </pt>
                <pt idx="573">
                  <v>45408</v>
                </pt>
                <pt idx="574">
                  <v>45411</v>
                </pt>
                <pt idx="575">
                  <v>45412</v>
                </pt>
                <pt idx="576">
                  <v>45414</v>
                </pt>
                <pt idx="577">
                  <v>45415</v>
                </pt>
                <pt idx="578">
                  <v>45418</v>
                </pt>
                <pt idx="579">
                  <v>45419</v>
                </pt>
                <pt idx="580">
                  <v>45420</v>
                </pt>
                <pt idx="581">
                  <v>45421</v>
                </pt>
                <pt idx="582">
                  <v>45422</v>
                </pt>
                <pt idx="583">
                  <v>45425</v>
                </pt>
                <pt idx="584">
                  <v>45426</v>
                </pt>
                <pt idx="585">
                  <v>45427</v>
                </pt>
                <pt idx="586">
                  <v>45428</v>
                </pt>
                <pt idx="587">
                  <v>45429</v>
                </pt>
                <pt idx="588">
                  <v>45430</v>
                </pt>
                <pt idx="589">
                  <v>45433</v>
                </pt>
                <pt idx="590">
                  <v>45434</v>
                </pt>
                <pt idx="591">
                  <v>45435</v>
                </pt>
                <pt idx="592">
                  <v>45436</v>
                </pt>
                <pt idx="593">
                  <v>45439</v>
                </pt>
                <pt idx="594">
                  <v>45440</v>
                </pt>
                <pt idx="595">
                  <v>45441</v>
                </pt>
                <pt idx="596">
                  <v>45442</v>
                </pt>
                <pt idx="597">
                  <v>45443</v>
                </pt>
                <pt idx="598">
                  <v>45446</v>
                </pt>
                <pt idx="599">
                  <v>45447</v>
                </pt>
                <pt idx="600">
                  <v>45448</v>
                </pt>
                <pt idx="601">
                  <v>45449</v>
                </pt>
                <pt idx="602">
                  <v>45450</v>
                </pt>
                <pt idx="603">
                  <v>45453</v>
                </pt>
                <pt idx="604">
                  <v>45454</v>
                </pt>
                <pt idx="605">
                  <v>45455</v>
                </pt>
                <pt idx="606">
                  <v>45456</v>
                </pt>
                <pt idx="607">
                  <v>45457</v>
                </pt>
                <pt idx="608">
                  <v>45461</v>
                </pt>
                <pt idx="609">
                  <v>45462</v>
                </pt>
                <pt idx="610">
                  <v>45463</v>
                </pt>
                <pt idx="611">
                  <v>45464</v>
                </pt>
                <pt idx="612">
                  <v>45467</v>
                </pt>
                <pt idx="613">
                  <v>45468</v>
                </pt>
                <pt idx="614">
                  <v>45469</v>
                </pt>
                <pt idx="615">
                  <v>45470</v>
                </pt>
                <pt idx="616">
                  <v>45471</v>
                </pt>
                <pt idx="617">
                  <v>45474</v>
                </pt>
                <pt idx="618">
                  <v>45475</v>
                </pt>
                <pt idx="619">
                  <v>45476</v>
                </pt>
                <pt idx="620">
                  <v>45477</v>
                </pt>
                <pt idx="621">
                  <v>45478</v>
                </pt>
                <pt idx="622">
                  <v>45481</v>
                </pt>
                <pt idx="623">
                  <v>45482</v>
                </pt>
                <pt idx="624">
                  <v>45483</v>
                </pt>
                <pt idx="625">
                  <v>45484</v>
                </pt>
                <pt idx="626">
                  <v>45485</v>
                </pt>
                <pt idx="627">
                  <v>45488</v>
                </pt>
                <pt idx="628">
                  <v>45489</v>
                </pt>
                <pt idx="629">
                  <v>45491</v>
                </pt>
                <pt idx="630">
                  <v>45492</v>
                </pt>
                <pt idx="631">
                  <v>45495</v>
                </pt>
                <pt idx="632">
                  <v>45496</v>
                </pt>
                <pt idx="633">
                  <v>45497</v>
                </pt>
                <pt idx="634">
                  <v>45498</v>
                </pt>
                <pt idx="635">
                  <v>45499</v>
                </pt>
                <pt idx="636">
                  <v>45502</v>
                </pt>
                <pt idx="637">
                  <v>45503</v>
                </pt>
                <pt idx="638">
                  <v>45504</v>
                </pt>
                <pt idx="639">
                  <v>45505</v>
                </pt>
                <pt idx="640">
                  <v>45506</v>
                </pt>
                <pt idx="641">
                  <v>45509</v>
                </pt>
                <pt idx="642">
                  <v>45510</v>
                </pt>
                <pt idx="643">
                  <v>45511</v>
                </pt>
                <pt idx="644">
                  <v>45512</v>
                </pt>
                <pt idx="645">
                  <v>45513</v>
                </pt>
                <pt idx="646">
                  <v>45516</v>
                </pt>
                <pt idx="647">
                  <v>45517</v>
                </pt>
                <pt idx="648">
                  <v>45518</v>
                </pt>
                <pt idx="649">
                  <v>45520</v>
                </pt>
                <pt idx="650">
                  <v>45523</v>
                </pt>
                <pt idx="651">
                  <v>45524</v>
                </pt>
                <pt idx="652">
                  <v>45525</v>
                </pt>
                <pt idx="653">
                  <v>45526</v>
                </pt>
                <pt idx="654">
                  <v>45527</v>
                </pt>
                <pt idx="655">
                  <v>45530</v>
                </pt>
                <pt idx="656">
                  <v>45531</v>
                </pt>
                <pt idx="657">
                  <v>45532</v>
                </pt>
                <pt idx="658">
                  <v>45533</v>
                </pt>
                <pt idx="659">
                  <v>45534</v>
                </pt>
                <pt idx="660">
                  <v>45537</v>
                </pt>
                <pt idx="661">
                  <v>45538</v>
                </pt>
                <pt idx="662">
                  <v>45539</v>
                </pt>
                <pt idx="663">
                  <v>45540</v>
                </pt>
                <pt idx="664">
                  <v>45541</v>
                </pt>
                <pt idx="665">
                  <v>45544</v>
                </pt>
                <pt idx="666">
                  <v>45545</v>
                </pt>
                <pt idx="667">
                  <v>45546</v>
                </pt>
                <pt idx="668">
                  <v>45547</v>
                </pt>
                <pt idx="669">
                  <v>45548</v>
                </pt>
                <pt idx="670">
                  <v>45551</v>
                </pt>
                <pt idx="671">
                  <v>45552</v>
                </pt>
                <pt idx="672">
                  <v>45553</v>
                </pt>
                <pt idx="673">
                  <v>45554</v>
                </pt>
                <pt idx="674">
                  <v>45555</v>
                </pt>
                <pt idx="675">
                  <v>45558</v>
                </pt>
                <pt idx="676">
                  <v>45559</v>
                </pt>
                <pt idx="677">
                  <v>45560</v>
                </pt>
                <pt idx="678">
                  <v>45561</v>
                </pt>
                <pt idx="679">
                  <v>45562</v>
                </pt>
                <pt idx="680">
                  <v>45565</v>
                </pt>
                <pt idx="681">
                  <v>45566</v>
                </pt>
                <pt idx="682">
                  <v>45568</v>
                </pt>
                <pt idx="683">
                  <v>45569</v>
                </pt>
                <pt idx="684">
                  <v>45572</v>
                </pt>
                <pt idx="685">
                  <v>45573</v>
                </pt>
                <pt idx="686">
                  <v>45574</v>
                </pt>
                <pt idx="687">
                  <v>45575</v>
                </pt>
                <pt idx="688">
                  <v>45576</v>
                </pt>
                <pt idx="689">
                  <v>45579</v>
                </pt>
                <pt idx="690">
                  <v>45580</v>
                </pt>
                <pt idx="691">
                  <v>45581</v>
                </pt>
                <pt idx="692">
                  <v>45582</v>
                </pt>
                <pt idx="693">
                  <v>45583</v>
                </pt>
                <pt idx="694">
                  <v>45586</v>
                </pt>
                <pt idx="695">
                  <v>45587</v>
                </pt>
                <pt idx="696">
                  <v>45588</v>
                </pt>
                <pt idx="697">
                  <v>45589</v>
                </pt>
                <pt idx="698">
                  <v>45590</v>
                </pt>
                <pt idx="699">
                  <v>45593</v>
                </pt>
                <pt idx="700">
                  <v>45594</v>
                </pt>
                <pt idx="701">
                  <v>45595</v>
                </pt>
                <pt idx="702">
                  <v>45596</v>
                </pt>
                <pt idx="703">
                  <v>45597</v>
                </pt>
                <pt idx="704">
                  <v>45600</v>
                </pt>
                <pt idx="705">
                  <v>45601</v>
                </pt>
                <pt idx="706">
                  <v>45602</v>
                </pt>
                <pt idx="707">
                  <v>45603</v>
                </pt>
                <pt idx="708">
                  <v>45604</v>
                </pt>
                <pt idx="709">
                  <v>45607</v>
                </pt>
                <pt idx="710">
                  <v>45608</v>
                </pt>
                <pt idx="711">
                  <v>45609</v>
                </pt>
                <pt idx="712">
                  <v>45610</v>
                </pt>
                <pt idx="713">
                  <v>45614</v>
                </pt>
                <pt idx="714">
                  <v>45615</v>
                </pt>
                <pt idx="715">
                  <v>45617</v>
                </pt>
                <pt idx="716">
                  <v>45618</v>
                </pt>
                <pt idx="717">
                  <v>45621</v>
                </pt>
                <pt idx="718">
                  <v>45622</v>
                </pt>
                <pt idx="719">
                  <v>45623</v>
                </pt>
                <pt idx="720">
                  <v>45624</v>
                </pt>
                <pt idx="721">
                  <v>45625</v>
                </pt>
                <pt idx="722">
                  <v>45628</v>
                </pt>
                <pt idx="723">
                  <v>45629</v>
                </pt>
                <pt idx="724">
                  <v>45630</v>
                </pt>
                <pt idx="725">
                  <v>45631</v>
                </pt>
                <pt idx="726">
                  <v>45632</v>
                </pt>
                <pt idx="727">
                  <v>45635</v>
                </pt>
                <pt idx="728">
                  <v>45636</v>
                </pt>
                <pt idx="729">
                  <v>45637</v>
                </pt>
                <pt idx="730">
                  <v>45638</v>
                </pt>
                <pt idx="731">
                  <v>45639</v>
                </pt>
                <pt idx="732">
                  <v>45642</v>
                </pt>
                <pt idx="733">
                  <v>45643</v>
                </pt>
                <pt idx="734">
                  <v>45644</v>
                </pt>
                <pt idx="735">
                  <v>45645</v>
                </pt>
                <pt idx="736">
                  <v>45646</v>
                </pt>
                <pt idx="737">
                  <v>45649</v>
                </pt>
                <pt idx="738">
                  <v>45650</v>
                </pt>
                <pt idx="739">
                  <v>45652</v>
                </pt>
                <pt idx="740">
                  <v>45653</v>
                </pt>
                <pt idx="741">
                  <v>45656</v>
                </pt>
                <pt idx="742">
                  <v>45657</v>
                </pt>
                <pt idx="743">
                  <v>45658</v>
                </pt>
                <pt idx="744">
                  <v>45659</v>
                </pt>
                <pt idx="745">
                  <v>45660</v>
                </pt>
                <pt idx="746">
                  <v>45663</v>
                </pt>
                <pt idx="747">
                  <v>45664</v>
                </pt>
                <pt idx="748">
                  <v>45665</v>
                </pt>
                <pt idx="749">
                  <v>45666</v>
                </pt>
                <pt idx="750">
                  <v>45667</v>
                </pt>
                <pt idx="751">
                  <v>45670</v>
                </pt>
                <pt idx="752">
                  <v>45671</v>
                </pt>
                <pt idx="753">
                  <v>45672</v>
                </pt>
                <pt idx="754">
                  <v>45673</v>
                </pt>
                <pt idx="755">
                  <v>45674</v>
                </pt>
                <pt idx="756">
                  <v>45677</v>
                </pt>
                <pt idx="757">
                  <v>45678</v>
                </pt>
                <pt idx="758">
                  <v>45679</v>
                </pt>
                <pt idx="759">
                  <v>45680</v>
                </pt>
                <pt idx="760">
                  <v>45681</v>
                </pt>
                <pt idx="761">
                  <v>45684</v>
                </pt>
                <pt idx="762">
                  <v>45685</v>
                </pt>
                <pt idx="763">
                  <v>45686</v>
                </pt>
                <pt idx="764">
                  <v>45687</v>
                </pt>
                <pt idx="765">
                  <v>45688</v>
                </pt>
                <pt idx="766">
                  <v>45689</v>
                </pt>
                <pt idx="767">
                  <v>45691</v>
                </pt>
                <pt idx="768">
                  <v>45692</v>
                </pt>
                <pt idx="769">
                  <v>45693</v>
                </pt>
                <pt idx="770">
                  <v>45694</v>
                </pt>
                <pt idx="771">
                  <v>45695</v>
                </pt>
                <pt idx="772">
                  <v>45698</v>
                </pt>
                <pt idx="773">
                  <v>45699</v>
                </pt>
                <pt idx="774">
                  <v>45700</v>
                </pt>
                <pt idx="775">
                  <v>45701</v>
                </pt>
                <pt idx="776">
                  <v>45702</v>
                </pt>
                <pt idx="777">
                  <v>45705</v>
                </pt>
                <pt idx="778">
                  <v>45706</v>
                </pt>
                <pt idx="779">
                  <v>45707</v>
                </pt>
                <pt idx="780">
                  <v>45708</v>
                </pt>
                <pt idx="781">
                  <v>45709</v>
                </pt>
                <pt idx="782">
                  <v>45712</v>
                </pt>
                <pt idx="783">
                  <v>45713</v>
                </pt>
                <pt idx="784">
                  <v>45715</v>
                </pt>
                <pt idx="785">
                  <v>45716</v>
                </pt>
                <pt idx="786">
                  <v>45719</v>
                </pt>
                <pt idx="787">
                  <v>45720</v>
                </pt>
                <pt idx="788">
                  <v>45721</v>
                </pt>
                <pt idx="789">
                  <v>45722</v>
                </pt>
                <pt idx="790">
                  <v>45723</v>
                </pt>
                <pt idx="791">
                  <v>45726</v>
                </pt>
                <pt idx="792">
                  <v>45727</v>
                </pt>
                <pt idx="793">
                  <v>45728</v>
                </pt>
                <pt idx="794">
                  <v>45729</v>
                </pt>
                <pt idx="795">
                  <v>45733</v>
                </pt>
                <pt idx="796">
                  <v>45734</v>
                </pt>
                <pt idx="797">
                  <v>45735</v>
                </pt>
                <pt idx="798">
                  <v>45736</v>
                </pt>
                <pt idx="799">
                  <v>45737</v>
                </pt>
                <pt idx="800">
                  <v>45740</v>
                </pt>
                <pt idx="801">
                  <v>45741</v>
                </pt>
                <pt idx="802">
                  <v>45742</v>
                </pt>
                <pt idx="803">
                  <v>45743</v>
                </pt>
                <pt idx="804">
                  <v>45744</v>
                </pt>
              </numCache>
            </numRef>
          </cat>
          <val>
            <numRef>
              <f>'EVI 2025 Workings'!$I$2:$I$806</f>
              <numCache>
                <formatCode>0.00</formatCode>
                <ptCount val="805"/>
                <pt idx="0">
                  <v>4.083299305839119</v>
                </pt>
                <pt idx="1">
                  <v>4.042037186742118</v>
                </pt>
                <pt idx="2">
                  <v>4.014452027298273</v>
                </pt>
                <pt idx="3">
                  <v>4.0551500405515</v>
                </pt>
                <pt idx="4">
                  <v>4.04040404040404</v>
                </pt>
                <pt idx="5">
                  <v>3.998400639744102</v>
                </pt>
                <pt idx="6">
                  <v>3.985651654045436</v>
                </pt>
                <pt idx="7">
                  <v>3.952569169960475</v>
                </pt>
                <pt idx="8">
                  <v>3.941663381947182</v>
                </pt>
                <pt idx="9">
                  <v>3.952569169960475</v>
                </pt>
                <pt idx="10">
                  <v>3.941663381947182</v>
                </pt>
                <pt idx="11">
                  <v>4</v>
                </pt>
                <pt idx="12">
                  <v>4.038772213247173</v>
                </pt>
                <pt idx="13">
                  <v>4.086636697997548</v>
                </pt>
                <pt idx="14">
                  <v>4.116920543433512</v>
                </pt>
                <pt idx="15">
                  <v>4.231908590774439</v>
                </pt>
                <pt idx="16">
                  <v>4.26075841499787</v>
                </pt>
                <pt idx="17">
                  <v>4.330879168471199</v>
                </pt>
                <pt idx="18">
                  <v>4.329004329004329</v>
                </pt>
                <pt idx="19">
                  <v>4.269854824935951</v>
                </pt>
                <pt idx="20">
                  <v>4.233700254022015</v>
                </pt>
                <pt idx="21">
                  <v>4.175365344467641</v>
                </pt>
                <pt idx="22">
                  <v>4.228329809725158</v>
                </pt>
                <pt idx="23">
                  <v>4.244482173174873</v>
                </pt>
                <pt idx="24">
                  <v>4.327131112072696</v>
                </pt>
                <pt idx="25">
                  <v>4.380201489268506</v>
                </pt>
                <pt idx="26">
                  <v>4.330879168471199</v>
                </pt>
                <pt idx="27">
                  <v>4.351610095735422</v>
                </pt>
                <pt idx="28">
                  <v>4.409171075837742</v>
                </pt>
                <pt idx="29">
                  <v>4.576659038901601</v>
                </pt>
                <pt idx="30">
                  <v>4.47227191413238</v>
                </pt>
                <pt idx="31">
                  <v>4.490345756623261</v>
                </pt>
                <pt idx="32">
                  <v>4.49438202247191</v>
                </pt>
                <pt idx="33">
                  <v>4.502476361999099</v>
                </pt>
                <pt idx="34">
                  <v>4.520795660036166</v>
                </pt>
                <pt idx="35">
                  <v>4.551661356395084</v>
                </pt>
                <pt idx="36">
                  <v>4.55788514129444</v>
                </pt>
                <pt idx="37">
                  <v>4.786979415988511</v>
                </pt>
                <pt idx="38">
                  <v>4.668534080298786</v>
                </pt>
                <pt idx="39">
                  <v>4.631773969430292</v>
                </pt>
                <pt idx="40">
                  <v>4.68384074941452</v>
                </pt>
                <pt idx="41">
                  <v>4.714757190004715</v>
                </pt>
                <pt idx="42">
                  <v>4.786979415988511</v>
                </pt>
                <pt idx="43">
                  <v>4.904364884747425</v>
                </pt>
                <pt idx="44">
                  <v>4.856726566294318</v>
                </pt>
                <pt idx="45">
                  <v>4.75963826749167</v>
                </pt>
                <pt idx="46">
                  <v>4.686035613870666</v>
                </pt>
                <pt idx="47">
                  <v>4.677268475210478</v>
                </pt>
                <pt idx="48">
                  <v>4.610419548178884</v>
                </pt>
                <pt idx="49">
                  <v>4.668534080298786</v>
                </pt>
                <pt idx="50">
                  <v>4.582951420714941</v>
                </pt>
                <pt idx="51">
                  <v>4.49842555105713</v>
                </pt>
                <pt idx="52">
                  <v>4.543389368468877</v>
                </pt>
                <pt idx="53">
                  <v>4.492362982929021</v>
                </pt>
                <pt idx="54">
                  <v>4.510599909788001</v>
                </pt>
                <pt idx="55">
                  <v>4.516711833785005</v>
                </pt>
                <pt idx="56">
                  <v>4.535147392290249</v>
                </pt>
                <pt idx="57">
                  <v>4.516711833785005</v>
                </pt>
                <pt idx="58">
                  <v>4.490345756623261</v>
                </pt>
                <pt idx="59">
                  <v>4.444444444444445</v>
                </pt>
                <pt idx="60">
                  <v>4.363001745200698</v>
                </pt>
                <pt idx="61">
                  <v>4.3122035360069</v>
                </pt>
                <pt idx="62">
                  <v>4.221190375685943</v>
                </pt>
                <pt idx="63">
                  <v>4.242681374628765</v>
                </pt>
                <pt idx="64">
                  <v>4.278990158322635</v>
                </pt>
                <pt idx="65">
                  <v>4.319654427645789</v>
                </pt>
                <pt idx="66">
                  <v>4.284490145672666</v>
                </pt>
                <pt idx="67">
                  <v>4.310344827586207</v>
                </pt>
                <pt idx="68">
                  <v>4.34593654932638</v>
                </pt>
                <pt idx="69">
                  <v>4.363001745200698</v>
                </pt>
                <pt idx="70">
                  <v>4.438526409232135</v>
                </pt>
                <pt idx="71">
                  <v>4.524886877828053</v>
                </pt>
                <pt idx="72">
                  <v>4.478280340349306</v>
                </pt>
                <pt idx="73">
                  <v>4.411116012351124</v>
                </pt>
                <pt idx="74">
                  <v>4.468275245755138</v>
                </pt>
                <pt idx="75">
                  <v>4.539264639128461</v>
                </pt>
                <pt idx="76">
                  <v>4.510599909788001</v>
                </pt>
                <pt idx="77">
                  <v>4.553734061930784</v>
                </pt>
                <pt idx="78">
                  <v>4.504504504504505</v>
                </pt>
                <pt idx="79">
                  <v>4.543389368468877</v>
                </pt>
                <pt idx="80">
                  <v>4.572473708276177</v>
                </pt>
                <pt idx="81">
                  <v>4.692632566870014</v>
                </pt>
                <pt idx="82">
                  <v>4.708097928436912</v>
                </pt>
                <pt idx="83">
                  <v>4.786979415988511</v>
                </pt>
                <pt idx="84">
                  <v>4.819277108433734</v>
                </pt>
                <pt idx="85">
                  <v>4.897159647404504</v>
                </pt>
                <pt idx="86">
                  <v>4.921259842519684</v>
                </pt>
                <pt idx="87">
                  <v>5.032712632108707</v>
                </pt>
                <pt idx="88">
                  <v>5.042864346949067</v>
                </pt>
                <pt idx="89">
                  <v>5.070993914807302</v>
                </pt>
                <pt idx="90">
                  <v>4.970178926441352</v>
                </pt>
                <pt idx="91">
                  <v>4.977600796416128</v>
                </pt>
                <pt idx="92">
                  <v>5.125576627370579</v>
                </pt>
                <pt idx="93">
                  <v>4.987531172069825</v>
                </pt>
                <pt idx="94">
                  <v>4.997501249375312</v>
                </pt>
                <pt idx="95">
                  <v>5.032712632108707</v>
                </pt>
                <pt idx="96">
                  <v>5.065856129685917</v>
                </pt>
                <pt idx="97">
                  <v>5.030181086519115</v>
                </pt>
                <pt idx="98">
                  <v>4.93339911198816</v>
                </pt>
                <pt idx="99">
                  <v>4.842615012106537</v>
                </pt>
                <pt idx="100">
                  <v>4.892367906066536</v>
                </pt>
                <pt idx="101">
                  <v>4.88997555012225</v>
                </pt>
                <pt idx="102">
                  <v>4.859086491739554</v>
                </pt>
                <pt idx="103">
                  <v>4.873294346978558</v>
                </pt>
                <pt idx="104">
                  <v>4.878048780487805</v>
                </pt>
                <pt idx="105">
                  <v>4.923682914820287</v>
                </pt>
                <pt idx="106">
                  <v>4.940711462450593</v>
                </pt>
                <pt idx="107">
                  <v>4.904364884747425</v>
                </pt>
                <pt idx="108">
                  <v>4.987531172069825</v>
                </pt>
                <pt idx="109">
                  <v>5.122950819672131</v>
                </pt>
                <pt idx="110">
                  <v>5.136106831022086</v>
                </pt>
                <pt idx="111">
                  <v>5.149330587023687</v>
                </pt>
                <pt idx="112">
                  <v>5.260389268805891</v>
                </pt>
                <pt idx="113">
                  <v>5.285412262156448</v>
                </pt>
                <pt idx="114">
                  <v>5.265929436545551</v>
                </pt>
                <pt idx="115">
                  <v>5.167958656330749</v>
                </pt>
                <pt idx="116">
                  <v>5.243838489774514</v>
                </pt>
                <pt idx="117">
                  <v>5.194805194805195</v>
                </pt>
                <pt idx="118">
                  <v>5.14668039114771</v>
                </pt>
                <pt idx="119">
                  <v>5.104645227156713</v>
                </pt>
                <pt idx="120">
                  <v>5.099439061703213</v>
                </pt>
                <pt idx="121">
                  <v>5.115089514066495</v>
                </pt>
                <pt idx="122">
                  <v>5.128205128205128</v>
                </pt>
                <pt idx="123">
                  <v>5.13874614594039</v>
                </pt>
                <pt idx="124">
                  <v>5.109862033725089</v>
                </pt>
                <pt idx="125">
                  <v>5.117707267144319</v>
                </pt>
                <pt idx="126">
                  <v>5.060728744939271</v>
                </pt>
                <pt idx="127">
                  <v>5.017561465127947</v>
                </pt>
                <pt idx="128">
                  <v>4.990019960079841</v>
                </pt>
                <pt idx="129">
                  <v>4.992511233150275</v>
                </pt>
                <pt idx="130">
                  <v>5.042864346949067</v>
                </pt>
                <pt idx="131">
                  <v>5.070993914807302</v>
                </pt>
                <pt idx="132">
                  <v>5.078720162519044</v>
                </pt>
                <pt idx="133">
                  <v>5.045408678102927</v>
                </pt>
                <pt idx="134">
                  <v>4.972650422675286</v>
                </pt>
                <pt idx="135">
                  <v>4.955401387512389</v>
                </pt>
                <pt idx="136">
                  <v>4.918839153959667</v>
                </pt>
                <pt idx="137">
                  <v>4.894762604013706</v>
                </pt>
                <pt idx="138">
                  <v>4.866180048661801</v>
                </pt>
                <pt idx="139">
                  <v>4.892367906066536</v>
                </pt>
                <pt idx="140">
                  <v>4.957858205255329</v>
                </pt>
                <pt idx="141">
                  <v>4.952947003467063</v>
                </pt>
                <pt idx="142">
                  <v>4.880429477794046</v>
                </pt>
                <pt idx="143">
                  <v>4.82392667631452</v>
                </pt>
                <pt idx="144">
                  <v>4.784688995215312</v>
                </pt>
                <pt idx="145">
                  <v>4.793863854266539</v>
                </pt>
                <pt idx="146">
                  <v>4.796163069544365</v>
                </pt>
                <pt idx="147">
                  <v>4.796163069544365</v>
                </pt>
                <pt idx="148">
                  <v>4.793863854266539</v>
                </pt>
                <pt idx="149">
                  <v>4.757373929590866</v>
                </pt>
                <pt idx="150">
                  <v>4.737091425864519</v>
                </pt>
                <pt idx="151">
                  <v>4.697040864255519</v>
                </pt>
                <pt idx="152">
                  <v>4.721435316336166</v>
                </pt>
                <pt idx="153">
                  <v>4.686035613870666</v>
                </pt>
                <pt idx="154">
                  <v>4.668534080298786</v>
                </pt>
                <pt idx="155">
                  <v>4.664179104477611</v>
                </pt>
                <pt idx="156">
                  <v>4.716981132075471</v>
                </pt>
                <pt idx="157">
                  <v>4.789272030651341</v>
                </pt>
                <pt idx="158">
                  <v>4.766444232602479</v>
                </pt>
                <pt idx="159">
                  <v>4.757373929590866</v>
                </pt>
                <pt idx="160">
                  <v>4.780114722753346</v>
                </pt>
                <pt idx="161">
                  <v>4.770992366412213</v>
                </pt>
                <pt idx="162">
                  <v>4.837929366231252</v>
                </pt>
                <pt idx="163">
                  <v>4.716981132075472</v>
                </pt>
                <pt idx="164">
                  <v>4.775549188156638</v>
                </pt>
                <pt idx="165">
                  <v>4.775549188156638</v>
                </pt>
                <pt idx="166">
                  <v>4.74158368895211</v>
                </pt>
                <pt idx="167">
                  <v>4.743833017077799</v>
                </pt>
                <pt idx="168">
                  <v>4.752851711026616</v>
                </pt>
                <pt idx="169">
                  <v>4.705882352941177</v>
                </pt>
                <pt idx="170">
                  <v>4.69704086425552</v>
                </pt>
                <pt idx="171">
                  <v>4.670714619336758</v>
                </pt>
                <pt idx="172">
                  <v>4.636068613815484</v>
                </pt>
                <pt idx="173">
                  <v>4.653327128897162</v>
                </pt>
                <pt idx="174">
                  <v>4.686035613870665</v>
                </pt>
                <pt idx="175">
                  <v>4.777830864787387</v>
                </pt>
                <pt idx="176">
                  <v>4.752851711026616</v>
                </pt>
                <pt idx="177">
                  <v>4.701457451810062</v>
                </pt>
                <pt idx="178">
                  <v>4.728132387706856</v>
                </pt>
                <pt idx="179">
                  <v>4.750593824228028</v>
                </pt>
                <pt idx="180">
                  <v>4.833252779120348</v>
                </pt>
                <pt idx="181">
                  <v>4.923682914820287</v>
                </pt>
                <pt idx="182">
                  <v>4.926108374384237</v>
                </pt>
                <pt idx="183">
                  <v>4.967709885742673</v>
                </pt>
                <pt idx="184">
                  <v>4.9800796812749</v>
                </pt>
                <pt idx="185">
                  <v>4.844961240310077</v>
                </pt>
                <pt idx="186">
                  <v>4.904364884747425</v>
                </pt>
                <pt idx="187">
                  <v>4.793863854266539</v>
                </pt>
                <pt idx="188">
                  <v>4.777830864787386</v>
                </pt>
                <pt idx="189">
                  <v>4.784688995215312</v>
                </pt>
                <pt idx="190">
                  <v>4.803073967339097</v>
                </pt>
                <pt idx="191">
                  <v>4.875670404680643</v>
                </pt>
                <pt idx="192">
                  <v>4.837929366231252</v>
                </pt>
                <pt idx="193">
                  <v>4.870920603994155</v>
                </pt>
                <pt idx="194">
                  <v>4.821600771456124</v>
                </pt>
                <pt idx="195">
                  <v>4.793863854266539</v>
                </pt>
                <pt idx="196">
                  <v>4.76417341591234</v>
                </pt>
                <pt idx="197">
                  <v>4.757373929590866</v>
                </pt>
                <pt idx="198">
                  <v>4.748338081671415</v>
                </pt>
                <pt idx="199">
                  <v>4.746084480303749</v>
                </pt>
                <pt idx="200">
                  <v>4.703668861712136</v>
                </pt>
                <pt idx="201">
                  <v>4.761904761904762</v>
                </pt>
                <pt idx="202">
                  <v>4.739336492890995</v>
                </pt>
                <pt idx="203">
                  <v>4.728132387706856</v>
                </pt>
                <pt idx="204">
                  <v>4.668534080298786</v>
                </pt>
                <pt idx="205">
                  <v>4.545454545454546</v>
                </pt>
                <pt idx="206">
                  <v>4.582951420714941</v>
                </pt>
                <pt idx="207">
                  <v>4.589261128958237</v>
                </pt>
                <pt idx="208">
                  <v>4.593477262287552</v>
                </pt>
                <pt idx="209">
                  <v>4.606172270842929</v>
                </pt>
                <pt idx="210">
                  <v>4.616805170821791</v>
                </pt>
                <pt idx="211">
                  <v>4.644681839294008</v>
                </pt>
                <pt idx="212">
                  <v>4.562043795620438</v>
                </pt>
                <pt idx="213">
                  <v>4.589261128958237</v>
                </pt>
                <pt idx="214">
                  <v>4.568296025582457</v>
                </pt>
                <pt idx="215">
                  <v>4.564125969876769</v>
                </pt>
                <pt idx="216">
                  <v>4.580852038479157</v>
                </pt>
                <pt idx="217">
                  <v>4.589261128958237</v>
                </pt>
                <pt idx="218">
                  <v>4.582951420714941</v>
                </pt>
                <pt idx="219">
                  <v>4.559963520291839</v>
                </pt>
                <pt idx="220">
                  <v>4.555808656036446</v>
                </pt>
                <pt idx="221">
                  <v>4.5024763619991</v>
                </pt>
                <pt idx="222">
                  <v>4.49438202247191</v>
                </pt>
                <pt idx="223">
                  <v>4.482294935006723</v>
                </pt>
                <pt idx="224">
                  <v>4.470272686633884</v>
                </pt>
                <pt idx="225">
                  <v>4.436557231588288</v>
                </pt>
                <pt idx="226">
                  <v>4.42282176028306</v>
                </pt>
                <pt idx="227">
                  <v>4.450378282153983</v>
                </pt>
                <pt idx="228">
                  <v>4.450378282153983</v>
                </pt>
                <pt idx="229">
                  <v>4.464285714285714</v>
                </pt>
                <pt idx="230">
                  <v>4.482294935006724</v>
                </pt>
                <pt idx="231">
                  <v>4.47227191413238</v>
                </pt>
                <pt idx="232">
                  <v>4.49842555105713</v>
                </pt>
                <pt idx="233">
                  <v>4.49842555105713</v>
                </pt>
                <pt idx="234">
                  <v>4.47227191413238</v>
                </pt>
                <pt idx="235">
                  <v>4.458314757021846</v>
                </pt>
                <pt idx="236">
                  <v>4.518752824220516</v>
                </pt>
                <pt idx="237">
                  <v>4.553734061930783</v>
                </pt>
                <pt idx="238">
                  <v>4.516711833785005</v>
                </pt>
                <pt idx="239">
                  <v>4.524886877828054</v>
                </pt>
                <pt idx="240">
                  <v>4.572473708276177</v>
                </pt>
                <pt idx="241">
                  <v>4.589261128958237</v>
                </pt>
                <pt idx="242">
                  <v>4.672897196261683</v>
                </pt>
                <pt idx="243">
                  <v>4.618937644341801</v>
                </pt>
                <pt idx="244">
                  <v>4.589261128958237</v>
                </pt>
                <pt idx="245">
                  <v>4.591368227731864</v>
                </pt>
                <pt idx="246">
                  <v>4.574565416285452</v>
                </pt>
                <pt idx="247">
                  <v>4.589261128958237</v>
                </pt>
                <pt idx="248">
                  <v>4.566210045662101</v>
                </pt>
                <pt idx="249">
                  <v>4.557885141294439</v>
                </pt>
                <pt idx="250">
                  <v>4.606172270842929</v>
                </pt>
                <pt idx="251">
                  <v>4.618937644341801</v>
                </pt>
                <pt idx="252">
                  <v>4.653327128897161</v>
                </pt>
                <pt idx="253">
                  <v>4.591368227731864</v>
                </pt>
                <pt idx="254">
                  <v>4.63821892393321</v>
                </pt>
                <pt idx="255">
                  <v>4.646840148698885</v>
                </pt>
                <pt idx="256">
                  <v>4.657661853749418</v>
                </pt>
                <pt idx="257">
                  <v>4.642525533890436</v>
                </pt>
                <pt idx="258">
                  <v>4.686035613870666</v>
                </pt>
                <pt idx="259">
                  <v>4.644681839294008</v>
                </pt>
                <pt idx="260">
                  <v>4.614674665436087</v>
                </pt>
                <pt idx="261">
                  <v>4.63821892393321</v>
                </pt>
                <pt idx="262">
                  <v>4.659832246039143</v>
                </pt>
                <pt idx="263">
                  <v>4.62962962962963</v>
                </pt>
                <pt idx="264">
                  <v>4.653327128897162</v>
                </pt>
                <pt idx="265">
                  <v>4.719207173194903</v>
                </pt>
                <pt idx="266">
                  <v>4.830917874396135</v>
                </pt>
                <pt idx="267">
                  <v>4.82392667631452</v>
                </pt>
                <pt idx="268">
                  <v>4.823926676314519</v>
                </pt>
                <pt idx="269">
                  <v>4.835589941972921</v>
                </pt>
                <pt idx="270">
                  <v>4.856726566294318</v>
                </pt>
                <pt idx="271">
                  <v>4.793863854266539</v>
                </pt>
                <pt idx="272">
                  <v>4.828585224529213</v>
                </pt>
                <pt idx="273">
                  <v>4.878048780487805</v>
                </pt>
                <pt idx="274">
                  <v>4.739336492890995</v>
                </pt>
                <pt idx="275">
                  <v>4.737091425864519</v>
                </pt>
                <pt idx="276">
                  <v>4.748338081671415</v>
                </pt>
                <pt idx="277">
                  <v>4.750593824228028</v>
                </pt>
                <pt idx="278">
                  <v>4.714757190004715</v>
                </pt>
                <pt idx="279">
                  <v>4.692632566870014</v>
                </pt>
                <pt idx="280">
                  <v>4.703668861712136</v>
                </pt>
                <pt idx="281">
                  <v>4.728132387706856</v>
                </pt>
                <pt idx="282">
                  <v>4.752851711026616</v>
                </pt>
                <pt idx="283">
                  <v>4.75963826749167</v>
                </pt>
                <pt idx="284">
                  <v>4.833252779120348</v>
                </pt>
                <pt idx="285">
                  <v>4.844961240310077</v>
                </pt>
                <pt idx="286">
                  <v>4.859086491739554</v>
                </pt>
                <pt idx="287">
                  <v>4.880429477794046</v>
                </pt>
                <pt idx="288">
                  <v>4.904364884747425</v>
                </pt>
                <pt idx="289">
                  <v>4.863813229571985</v>
                </pt>
                <pt idx="290">
                  <v>4.899559039686428</v>
                </pt>
                <pt idx="291">
                  <v>4.823926676314519</v>
                </pt>
                <pt idx="292">
                  <v>4.79156684235745</v>
                </pt>
                <pt idx="293">
                  <v>4.780114722753346</v>
                </pt>
                <pt idx="294">
                  <v>4.82392667631452</v>
                </pt>
                <pt idx="295">
                  <v>4.873294346978557</v>
                </pt>
                <pt idx="296">
                  <v>4.948045522018802</v>
                </pt>
                <pt idx="297">
                  <v>4.9800796812749</v>
                </pt>
                <pt idx="298">
                  <v>5</v>
                </pt>
                <pt idx="299">
                  <v>4.997501249375312</v>
                </pt>
                <pt idx="300">
                  <v>4.962779156327544</v>
                </pt>
                <pt idx="301">
                  <v>4.995004995004996</v>
                </pt>
                <pt idx="302">
                  <v>4.96031746031746</v>
                </pt>
                <pt idx="303">
                  <v>4.948045522018802</v>
                </pt>
                <pt idx="304">
                  <v>4.970178926441352</v>
                </pt>
                <pt idx="305">
                  <v>5.007511266900351</v>
                </pt>
                <pt idx="306">
                  <v>5</v>
                </pt>
                <pt idx="307">
                  <v>5.007511266900351</v>
                </pt>
                <pt idx="308">
                  <v>4.967709885742673</v>
                </pt>
                <pt idx="309">
                  <v>4.892367906066536</v>
                </pt>
                <pt idx="310">
                  <v>4.8828125</v>
                </pt>
                <pt idx="311">
                  <v>4.837929366231252</v>
                </pt>
                <pt idx="312">
                  <v>4.826254826254827</v>
                </pt>
                <pt idx="313">
                  <v>4.819277108433735</v>
                </pt>
                <pt idx="314">
                  <v>4.793863854266539</v>
                </pt>
                <pt idx="315">
                  <v>4.768717215069147</v>
                </pt>
                <pt idx="316">
                  <v>4.76417341591234</v>
                </pt>
                <pt idx="317">
                  <v>4.803073967339096</v>
                </pt>
                <pt idx="318">
                  <v>4.842615012106537</v>
                </pt>
                <pt idx="319">
                  <v>4.854368932038835</v>
                </pt>
                <pt idx="320">
                  <v>4.852013585638041</v>
                </pt>
                <pt idx="321">
                  <v>4.85201358563804</v>
                </pt>
                <pt idx="322">
                  <v>4.821600771456124</v>
                </pt>
                <pt idx="323">
                  <v>4.863813229571985</v>
                </pt>
                <pt idx="324">
                  <v>4.856726566294317</v>
                </pt>
                <pt idx="325">
                  <v>4.830917874396135</v>
                </pt>
                <pt idx="326">
                  <v>4.791566842357451</v>
                </pt>
                <pt idx="327">
                  <v>4.780114722753345</v>
                </pt>
                <pt idx="328">
                  <v>4.688232536333803</v>
                </pt>
                <pt idx="329">
                  <v>4.576659038901601</v>
                </pt>
                <pt idx="330">
                  <v>4.625346901017577</v>
                </pt>
                <pt idx="331">
                  <v>4.593477262287552</v>
                </pt>
                <pt idx="332">
                  <v>4.593477262287552</v>
                </pt>
                <pt idx="333">
                  <v>4.570383912248629</v>
                </pt>
                <pt idx="334">
                  <v>4.574565416285452</v>
                </pt>
                <pt idx="335">
                  <v>4.582951420714941</v>
                </pt>
                <pt idx="336">
                  <v>4.562043795620438</v>
                </pt>
                <pt idx="337">
                  <v>4.631773969430292</v>
                </pt>
                <pt idx="338">
                  <v>4.657661853749418</v>
                </pt>
                <pt idx="339">
                  <v>4.675081813931743</v>
                </pt>
                <pt idx="340">
                  <v>4.655493482309125</v>
                </pt>
                <pt idx="341">
                  <v>4.681647940074907</v>
                </pt>
                <pt idx="342">
                  <v>4.670714619336758</v>
                </pt>
                <pt idx="343">
                  <v>4.708097928436912</v>
                </pt>
                <pt idx="344">
                  <v>4.699248120300751</v>
                </pt>
                <pt idx="345">
                  <v>4.642525533890437</v>
                </pt>
                <pt idx="346">
                  <v>4.618937644341801</v>
                </pt>
                <pt idx="347">
                  <v>4.608294930875577</v>
                </pt>
                <pt idx="348">
                  <v>4.631773969430292</v>
                </pt>
                <pt idx="349">
                  <v>4.644681839294009</v>
                </pt>
                <pt idx="350">
                  <v>4.633920296570899</v>
                </pt>
                <pt idx="351">
                  <v>4.618937644341802</v>
                </pt>
                <pt idx="352">
                  <v>4.616805170821792</v>
                </pt>
                <pt idx="353">
                  <v>4.585052728106374</v>
                </pt>
                <pt idx="354">
                  <v>4.608294930875577</v>
                </pt>
                <pt idx="355">
                  <v>4.625346901017577</v>
                </pt>
                <pt idx="356">
                  <v>4.616805170821792</v>
                </pt>
                <pt idx="357">
                  <v>4.589261128958237</v>
                </pt>
                <pt idx="358">
                  <v>4.578754578754579</v>
                </pt>
                <pt idx="359">
                  <v>4.595588235294117</v>
                </pt>
                <pt idx="360">
                  <v>4.562043795620437</v>
                </pt>
                <pt idx="361">
                  <v>4.578754578754578</v>
                </pt>
                <pt idx="362">
                  <v>4.564125969876769</v>
                </pt>
                <pt idx="363">
                  <v>4.553734061930783</v>
                </pt>
                <pt idx="364">
                  <v>4.576659038901601</v>
                </pt>
                <pt idx="365">
                  <v>4.601932811780948</v>
                </pt>
                <pt idx="366">
                  <v>4.595588235294117</v>
                </pt>
                <pt idx="367">
                  <v>4.566210045662101</v>
                </pt>
                <pt idx="368">
                  <v>4.528985507246378</v>
                </pt>
                <pt idx="369">
                  <v>4.47227191413238</v>
                </pt>
                <pt idx="370">
                  <v>4.44247001332741</v>
                </pt>
                <pt idx="371">
                  <v>4.426737494466578</v>
                </pt>
                <pt idx="372">
                  <v>4.424778761061947</v>
                </pt>
                <pt idx="373">
                  <v>4.401408450704226</v>
                </pt>
                <pt idx="374">
                  <v>4.440497335701599</v>
                </pt>
                <pt idx="375">
                  <v>4.434589800443459</v>
                </pt>
                <pt idx="376">
                  <v>4.415011037527594</v>
                </pt>
                <pt idx="377">
                  <v>4.428697962798938</v>
                </pt>
                <pt idx="378">
                  <v>4.199916001679966</v>
                </pt>
                <pt idx="379">
                  <v>4.173622704507513</v>
                </pt>
                <pt idx="380">
                  <v>4.142502071251036</v>
                </pt>
                <pt idx="381">
                  <v>4.135649296939619</v>
                </pt>
                <pt idx="382">
                  <v>4.151100041511</v>
                </pt>
                <pt idx="383">
                  <v>4.125412541254125</v>
                </pt>
                <pt idx="384">
                  <v>4.175365344467641</v>
                </pt>
                <pt idx="385">
                  <v>4.196391103650861</v>
                </pt>
                <pt idx="386">
                  <v>4.246284501061571</v>
                </pt>
                <pt idx="387">
                  <v>4.171881518564873</v>
                </pt>
                <pt idx="388">
                  <v>4.196391103650861</v>
                </pt>
                <pt idx="389">
                  <v>4.364906154517677</v>
                </pt>
                <pt idx="390">
                  <v>4.345936549326379</v>
                </pt>
                <pt idx="391">
                  <v>4.355400696864111</v>
                </pt>
                <pt idx="392">
                  <v>4.401408450704226</v>
                </pt>
                <pt idx="393">
                  <v>4.434589800443459</v>
                </pt>
                <pt idx="394">
                  <v>4.403346543372963</v>
                </pt>
                <pt idx="395">
                  <v>4.380201489268506</v>
                </pt>
                <pt idx="396">
                  <v>4.399472063352397</v>
                </pt>
                <pt idx="397">
                  <v>4.384042086804033</v>
                </pt>
                <pt idx="398">
                  <v>4.391743522178306</v>
                </pt>
                <pt idx="399">
                  <v>4.418912947414936</v>
                </pt>
                <pt idx="400">
                  <v>4.416961130742049</v>
                </pt>
                <pt idx="401">
                  <v>4.440497335701599</v>
                </pt>
                <pt idx="402">
                  <v>4.466279589102277</v>
                </pt>
                <pt idx="403">
                  <v>4.480286738351254</v>
                </pt>
                <pt idx="404">
                  <v>4.460303300624442</v>
                </pt>
                <pt idx="405">
                  <v>4.518752824220516</v>
                </pt>
                <pt idx="406">
                  <v>4.506534474988733</v>
                </pt>
                <pt idx="407">
                  <v>4.520795660036167</v>
                </pt>
                <pt idx="408">
                  <v>4.549590536851683</v>
                </pt>
                <pt idx="409">
                  <v>4.539264639128461</v>
                </pt>
                <pt idx="410">
                  <v>4.531037607612143</v>
                </pt>
                <pt idx="411">
                  <v>4.531037607612143</v>
                </pt>
                <pt idx="412">
                  <v>4.551661356395085</v>
                </pt>
                <pt idx="413">
                  <v>4.510599909788001</v>
                </pt>
                <pt idx="414">
                  <v>4.488330341113106</v>
                </pt>
                <pt idx="415">
                  <v>4.478280340349306</v>
                </pt>
                <pt idx="416">
                  <v>4.470272686633884</v>
                </pt>
                <pt idx="417">
                  <v>4.488330341113106</v>
                </pt>
                <pt idx="418">
                  <v>4.466279589102277</v>
                </pt>
                <pt idx="419">
                  <v>4.426737494466578</v>
                </pt>
                <pt idx="420">
                  <v>4.428697962798937</v>
                </pt>
                <pt idx="421">
                  <v>4.411116012351124</v>
                </pt>
                <pt idx="422">
                  <v>4.403346543372963</v>
                </pt>
                <pt idx="423">
                  <v>4.384042086804033</v>
                </pt>
                <pt idx="424">
                  <v>4.397537379067722</v>
                </pt>
                <pt idx="425">
                  <v>4.448398576512455</v>
                </pt>
                <pt idx="426">
                  <v>4.484304932735426</v>
                </pt>
                <pt idx="427">
                  <v>4.5004500450045</v>
                </pt>
                <pt idx="428">
                  <v>4.500450045004501</v>
                </pt>
                <pt idx="429">
                  <v>4.5024763619991</v>
                </pt>
                <pt idx="430">
                  <v>4.490345756623261</v>
                </pt>
                <pt idx="431">
                  <v>4.535147392290249</v>
                </pt>
                <pt idx="432">
                  <v>4.502476361999099</v>
                </pt>
                <pt idx="433">
                  <v>4.526935264825713</v>
                </pt>
                <pt idx="434">
                  <v>4.549590536851683</v>
                </pt>
                <pt idx="435">
                  <v>4.522840343735866</v>
                </pt>
                <pt idx="436">
                  <v>4.49842555105713</v>
                </pt>
                <pt idx="437">
                  <v>4.531037607612143</v>
                </pt>
                <pt idx="438">
                  <v>4.49034575662326</v>
                </pt>
                <pt idx="439">
                  <v>4.462293618920125</v>
                </pt>
                <pt idx="440">
                  <v>4.466279589102277</v>
                </pt>
                <pt idx="441">
                  <v>4.478280340349306</v>
                </pt>
                <pt idx="442">
                  <v>4.486316733961418</v>
                </pt>
                <pt idx="443">
                  <v>4.468275245755138</v>
                </pt>
                <pt idx="444">
                  <v>4.572473708276177</v>
                </pt>
                <pt idx="445">
                  <v>4.593477262287552</v>
                </pt>
                <pt idx="446">
                  <v>4.612546125461255</v>
                </pt>
                <pt idx="447">
                  <v>4.681647940074907</v>
                </pt>
                <pt idx="448">
                  <v>4.780114722753346</v>
                </pt>
                <pt idx="449">
                  <v>4.847309743092584</v>
                </pt>
                <pt idx="450">
                  <v>4.798464491362764</v>
                </pt>
                <pt idx="451">
                  <v>4.784688995215311</v>
                </pt>
                <pt idx="452">
                  <v>4.88997555012225</v>
                </pt>
                <pt idx="453">
                  <v>4.901960784313726</v>
                </pt>
                <pt idx="454">
                  <v>4.814636494944632</v>
                </pt>
                <pt idx="455">
                  <v>4.789272030651341</v>
                </pt>
                <pt idx="456">
                  <v>4.770992366412213</v>
                </pt>
                <pt idx="457">
                  <v>4.780114722753345</v>
                </pt>
                <pt idx="458">
                  <v>4.768717215069147</v>
                </pt>
                <pt idx="459">
                  <v>4.782400765184122</v>
                </pt>
                <pt idx="460">
                  <v>4.77326968973747</v>
                </pt>
                <pt idx="461">
                  <v>4.750593824228028</v>
                </pt>
                <pt idx="462">
                  <v>4.770992366412213</v>
                </pt>
                <pt idx="463">
                  <v>4.750593824228028</v>
                </pt>
                <pt idx="464">
                  <v>4.73260766682442</v>
                </pt>
                <pt idx="465">
                  <v>4.739336492890995</v>
                </pt>
                <pt idx="466">
                  <v>4.748338081671415</v>
                </pt>
                <pt idx="467">
                  <v>4.730368968779565</v>
                </pt>
                <pt idx="468">
                  <v>4.723665564478035</v>
                </pt>
                <pt idx="469">
                  <v>4.725897920604915</v>
                </pt>
                <pt idx="470">
                  <v>4.728132387706856</v>
                </pt>
                <pt idx="471">
                  <v>4.703668861712136</v>
                </pt>
                <pt idx="472">
                  <v>4.655493482309125</v>
                </pt>
                <pt idx="473">
                  <v>4.646840148698884</v>
                </pt>
                <pt idx="474">
                  <v>4.616805170821791</v>
                </pt>
                <pt idx="475">
                  <v>4.522840343735866</v>
                </pt>
                <pt idx="476">
                  <v>4.486316733961418</v>
                </pt>
                <pt idx="477">
                  <v>4.468275245755139</v>
                </pt>
                <pt idx="478">
                  <v>4.476275738585497</v>
                </pt>
                <pt idx="479">
                  <v>4.462293618920125</v>
                </pt>
                <pt idx="480">
                  <v>4.45632798573975</v>
                </pt>
                <pt idx="481">
                  <v>4.476275738585497</v>
                </pt>
                <pt idx="482">
                  <v>4.47227191413238</v>
                </pt>
                <pt idx="483">
                  <v>4.418912947414936</v>
                </pt>
                <pt idx="484">
                  <v>4.363001745200697</v>
                </pt>
                <pt idx="485">
                  <v>4.370629370629371</v>
                </pt>
                <pt idx="486">
                  <v>4.363001745200697</v>
                </pt>
                <pt idx="487">
                  <v>4.424778761061947</v>
                </pt>
                <pt idx="488">
                  <v>4.403346543372963</v>
                </pt>
                <pt idx="489">
                  <v>4.384042086804033</v>
                </pt>
                <pt idx="490">
                  <v>4.364906154517677</v>
                </pt>
                <pt idx="491">
                  <v>4.32152117545376</v>
                </pt>
                <pt idx="492">
                  <v>4.297378599054577</v>
                </pt>
                <pt idx="493">
                  <v>4.315925766076823</v>
                </pt>
                <pt idx="494">
                  <v>4.314063848144952</v>
                </pt>
                <pt idx="495">
                  <v>4.329004329004329</v>
                </pt>
                <pt idx="496">
                  <v>4.359197907585004</v>
                </pt>
                <pt idx="497">
                  <v>4.330879168471199</v>
                </pt>
                <pt idx="498">
                  <v>4.319654427645789</v>
                </pt>
                <pt idx="499">
                  <v>4.359197907585004</v>
                </pt>
                <pt idx="500">
                  <v>4.3535045711798</v>
                </pt>
                <pt idx="501">
                  <v>4.338394793926247</v>
                </pt>
                <pt idx="502">
                  <v>4.332755632582322</v>
                </pt>
                <pt idx="503">
                  <v>4.284490145672665</v>
                </pt>
                <pt idx="504">
                  <v>4.23908435777872</v>
                </pt>
                <pt idx="505">
                  <v>4.251700680272108</v>
                </pt>
                <pt idx="506">
                  <v>4.342162396873643</v>
                </pt>
                <pt idx="507">
                  <v>4.41696113074205</v>
                </pt>
                <pt idx="508">
                  <v>4.387889425186486</v>
                </pt>
                <pt idx="509">
                  <v>4.399472063352397</v>
                </pt>
                <pt idx="510">
                  <v>4.482294935006724</v>
                </pt>
                <pt idx="511">
                  <v>4.466279589102277</v>
                </pt>
                <pt idx="512">
                  <v>4.490345756623261</v>
                </pt>
                <pt idx="513">
                  <v>4.428697962798937</v>
                </pt>
                <pt idx="514">
                  <v>4.482294935006724</v>
                </pt>
                <pt idx="515">
                  <v>4.452359750667854</v>
                </pt>
                <pt idx="516">
                  <v>4.468275245755138</v>
                </pt>
                <pt idx="517">
                  <v>4.44247001332741</v>
                </pt>
                <pt idx="518">
                  <v>4.466279589102277</v>
                </pt>
                <pt idx="519">
                  <v>4.41306266548985</v>
                </pt>
                <pt idx="520">
                  <v>4.41306266548985</v>
                </pt>
                <pt idx="521">
                  <v>4.454342984409799</v>
                </pt>
                <pt idx="522">
                  <v>4.44247001332741</v>
                </pt>
                <pt idx="523">
                  <v>4.468275245755138</v>
                </pt>
                <pt idx="524">
                  <v>4.444444444444445</v>
                </pt>
                <pt idx="525">
                  <v>4.426737494466578</v>
                </pt>
                <pt idx="526">
                  <v>4.420866489832007</v>
                </pt>
                <pt idx="527">
                  <v>4.393673110720562</v>
                </pt>
                <pt idx="528">
                  <v>4.378283712784588</v>
                </pt>
                <pt idx="529">
                  <v>4.363001745200697</v>
                </pt>
                <pt idx="530">
                  <v>4.391743522178305</v>
                </pt>
                <pt idx="531">
                  <v>4.359197907585004</v>
                </pt>
                <pt idx="532">
                  <v>4.361098996947231</v>
                </pt>
                <pt idx="533">
                  <v>4.378283712784588</v>
                </pt>
                <pt idx="534">
                  <v>4.363001745200697</v>
                </pt>
                <pt idx="535">
                  <v>4.41306266548985</v>
                </pt>
                <pt idx="536">
                  <v>4.405286343612335</v>
                </pt>
                <pt idx="537">
                  <v>4.336513443191675</v>
                </pt>
                <pt idx="538">
                  <v>4.329004329004329</v>
                </pt>
                <pt idx="539">
                  <v>4.32338953739732</v>
                </pt>
                <pt idx="540">
                  <v>4.332755632582322</v>
                </pt>
                <pt idx="541">
                  <v>4.310344827586207</v>
                </pt>
                <pt idx="542">
                  <v>4.306632213608959</v>
                </pt>
                <pt idx="543">
                  <v>4.336513443191675</v>
                </pt>
                <pt idx="544">
                  <v>4.336513443191675</v>
                </pt>
                <pt idx="545">
                  <v>4.403346543372963</v>
                </pt>
                <pt idx="546">
                  <v>4.374453193350831</v>
                </pt>
                <pt idx="547">
                  <v>4.397537379067722</v>
                </pt>
                <pt idx="548">
                  <v>4.391743522178305</v>
                </pt>
                <pt idx="549">
                  <v>4.440497335701599</v>
                </pt>
                <pt idx="550">
                  <v>4.434589800443459</v>
                </pt>
                <pt idx="551">
                  <v>4.399472063352397</v>
                </pt>
                <pt idx="552">
                  <v>4.384042086804034</v>
                </pt>
                <pt idx="553">
                  <v>4.401408450704226</v>
                </pt>
                <pt idx="554">
                  <v>4.378283712784588</v>
                </pt>
                <pt idx="555">
                  <v>4.370629370629371</v>
                </pt>
                <pt idx="556">
                  <v>4.344048653344919</v>
                </pt>
                <pt idx="557">
                  <v>4.34593654932638</v>
                </pt>
                <pt idx="558">
                  <v>4.349717268377556</v>
                </pt>
                <pt idx="559">
                  <v>4.334633723450368</v>
                </pt>
                <pt idx="560">
                  <v>4.334633723450368</v>
                </pt>
                <pt idx="561">
                  <v>4.304778303917348</v>
                </pt>
                <pt idx="562">
                  <v>4.310344827586207</v>
                </pt>
                <pt idx="563">
                  <v>4.288164665523156</v>
                </pt>
                <pt idx="564">
                  <v>4.332755632582322</v>
                </pt>
                <pt idx="565">
                  <v>4.382120946538124</v>
                </pt>
                <pt idx="566">
                  <v>4.409171075837742</v>
                </pt>
                <pt idx="567">
                  <v>4.438526409232135</v>
                </pt>
                <pt idx="568">
                  <v>4.409171075837742</v>
                </pt>
                <pt idx="569">
                  <v>4.389815627743634</v>
                </pt>
                <pt idx="570">
                  <v>4.436557231588288</v>
                </pt>
                <pt idx="571">
                  <v>4.428697962798937</v>
                </pt>
                <pt idx="572">
                  <v>4.395604395604396</v>
                </pt>
                <pt idx="573">
                  <v>4.545454545454546</v>
                </pt>
                <pt idx="574">
                  <v>4.504504504504505</v>
                </pt>
                <pt idx="575">
                  <v>4.545454545454546</v>
                </pt>
                <pt idx="576">
                  <v>4.539264639128461</v>
                </pt>
                <pt idx="577">
                  <v>4.572473708276178</v>
                </pt>
                <pt idx="578">
                  <v>4.593477262287552</v>
                </pt>
                <pt idx="579">
                  <v>4.627487274409996</v>
                </pt>
                <pt idx="580">
                  <v>4.627487274409996</v>
                </pt>
                <pt idx="581">
                  <v>4.703668861712136</v>
                </pt>
                <pt idx="582">
                  <v>4.688232536333803</v>
                </pt>
                <pt idx="583">
                  <v>4.683840749414521</v>
                </pt>
                <pt idx="584">
                  <v>4.719207173194903</v>
                </pt>
                <pt idx="585">
                  <v>4.723665564478035</v>
                </pt>
                <pt idx="586">
                  <v>4.670714619336758</v>
                </pt>
                <pt idx="587">
                  <v>4.657661853749417</v>
                </pt>
                <pt idx="588">
                  <v>4.651162790697675</v>
                </pt>
                <pt idx="589">
                  <v>4.646840148698885</v>
                </pt>
                <pt idx="590">
                  <v>4.640371229698376</v>
                </pt>
                <pt idx="591">
                  <v>4.566210045662101</v>
                </pt>
                <pt idx="592">
                  <v>4.570383912248629</v>
                </pt>
                <pt idx="593">
                  <v>4.576659038901601</v>
                </pt>
                <pt idx="594">
                  <v>4.599816007359706</v>
                </pt>
                <pt idx="595">
                  <v>4.636068613815484</v>
                </pt>
                <pt idx="596">
                  <v>4.681647940074907</v>
                </pt>
                <pt idx="597">
                  <v>4.672897196261683</v>
                </pt>
                <pt idx="598">
                  <v>4.518752824220515</v>
                </pt>
                <pt idx="599">
                  <v>4.805382027871216</v>
                </pt>
                <pt idx="600">
                  <v>4.649000464900046</v>
                </pt>
                <pt idx="601">
                  <v>4.606172270842929</v>
                </pt>
                <pt idx="602">
                  <v>4.514672686230249</v>
                </pt>
                <pt idx="603">
                  <v>4.520795660036167</v>
                </pt>
                <pt idx="604">
                  <v>4.518752824220516</v>
                </pt>
                <pt idx="605">
                  <v>4.508566275924256</v>
                </pt>
                <pt idx="606">
                  <v>4.49438202247191</v>
                </pt>
                <pt idx="607">
                  <v>4.480286738351255</v>
                </pt>
                <pt idx="608">
                  <v>4.464285714285714</v>
                </pt>
                <pt idx="609">
                  <v>4.47227191413238</v>
                </pt>
                <pt idx="610">
                  <v>4.462293618920126</v>
                </pt>
                <pt idx="611">
                  <v>4.476275738585497</v>
                </pt>
                <pt idx="612">
                  <v>4.468275245755138</v>
                </pt>
                <pt idx="613">
                  <v>4.434589800443459</v>
                </pt>
                <pt idx="614">
                  <v>4.407227853680035</v>
                </pt>
                <pt idx="615">
                  <v>4.374453193350831</v>
                </pt>
                <pt idx="616">
                  <v>4.37636761487965</v>
                </pt>
                <pt idx="617">
                  <v>4.353504571179799</v>
                </pt>
                <pt idx="618">
                  <v>4.355400696864111</v>
                </pt>
                <pt idx="619">
                  <v>4.327131112072697</v>
                </pt>
                <pt idx="620">
                  <v>4.32338953739732</v>
                </pt>
                <pt idx="621">
                  <v>4.319654427645789</v>
                </pt>
                <pt idx="622">
                  <v>4.32152117545376</v>
                </pt>
                <pt idx="623">
                  <v>4.301075268817205</v>
                </pt>
                <pt idx="624">
                  <v>4.319654427645789</v>
                </pt>
                <pt idx="625">
                  <v>4.321521175453759</v>
                </pt>
                <pt idx="626">
                  <v>4.288164665523157</v>
                </pt>
                <pt idx="627">
                  <v>4.277159965782721</v>
                </pt>
                <pt idx="628">
                  <v>4.275331338178709</v>
                </pt>
                <pt idx="629">
                  <v>4.242681374628765</v>
                </pt>
                <pt idx="630">
                  <v>4.290004290004291</v>
                </pt>
                <pt idx="631">
                  <v>4.295532646048109</v>
                </pt>
                <pt idx="632">
                  <v>4.327131112072696</v>
                </pt>
                <pt idx="633">
                  <v>4.338394793926247</v>
                </pt>
                <pt idx="634">
                  <v>4.342162396873643</v>
                </pt>
                <pt idx="635">
                  <v>4.273504273504273</v>
                </pt>
                <pt idx="636">
                  <v>4.273504273504274</v>
                </pt>
                <pt idx="637">
                  <v>4.290004290004291</v>
                </pt>
                <pt idx="638">
                  <v>4.273504273504273</v>
                </pt>
                <pt idx="639">
                  <v>4.264392324093817</v>
                </pt>
                <pt idx="640">
                  <v>4.3308791684712</v>
                </pt>
                <pt idx="641">
                  <v>4.468275245755139</v>
                </pt>
                <pt idx="642">
                  <v>4.484304932735425</v>
                </pt>
                <pt idx="643">
                  <v>4.42282176028306</v>
                </pt>
                <pt idx="644">
                  <v>4.45632798573975</v>
                </pt>
                <pt idx="645">
                  <v>4.411116012351124</v>
                </pt>
                <pt idx="646">
                  <v>4.415011037527594</v>
                </pt>
                <pt idx="647">
                  <v>4.452359750667854</v>
                </pt>
                <pt idx="648">
                  <v>4.450378282153983</v>
                </pt>
                <pt idx="649">
                  <v>4.385964912280702</v>
                </pt>
                <pt idx="650">
                  <v>4.380201489268506</v>
                </pt>
                <pt idx="651">
                  <v>4.357298474945534</v>
                </pt>
                <pt idx="652">
                  <v>4.34593654932638</v>
                </pt>
                <pt idx="653">
                  <v>4.338394793926247</v>
                </pt>
                <pt idx="654">
                  <v>4.336513443191674</v>
                </pt>
                <pt idx="655">
                  <v>4.302925989672978</v>
                </pt>
                <pt idx="656">
                  <v>4.302925989672977</v>
                </pt>
                <pt idx="657">
                  <v>4.295532646048109</v>
                </pt>
                <pt idx="658">
                  <v>4.278990158322636</v>
                </pt>
                <pt idx="659">
                  <v>4.26075841499787</v>
                </pt>
                <pt idx="660">
                  <v>4.253509145044662</v>
                </pt>
                <pt idx="661">
                  <v>4.253509145044662</v>
                </pt>
                <pt idx="662">
                  <v>4.268032437046521</v>
                </pt>
                <pt idx="663">
                  <v>4.277159965782721</v>
                </pt>
                <pt idx="664">
                  <v>4.327131112072697</v>
                </pt>
                <pt idx="665">
                  <v>4.3122035360069</v>
                </pt>
                <pt idx="666">
                  <v>4.293688278231</v>
                </pt>
                <pt idx="667">
                  <v>4.315925766076823</v>
                </pt>
                <pt idx="668">
                  <v>4.235493434985176</v>
                </pt>
                <pt idx="669">
                  <v>4.240882103477523</v>
                </pt>
                <pt idx="670">
                  <v>4.235493434985176</v>
                </pt>
                <pt idx="671">
                  <v>4.230118443316412</v>
                </pt>
                <pt idx="672">
                  <v>4.23728813559322</v>
                </pt>
                <pt idx="673">
                  <v>4.230118443316413</v>
                </pt>
                <pt idx="674">
                  <v>4.170141784820684</v>
                </pt>
                <pt idx="675">
                  <v>4.145936981757878</v>
                </pt>
                <pt idx="676">
                  <v>4.145936981757878</v>
                </pt>
                <pt idx="677">
                  <v>4.135649296939619</v>
                </pt>
                <pt idx="678">
                  <v>4.101722723543888</v>
                </pt>
                <pt idx="679">
                  <v>4.108463434675432</v>
                </pt>
                <pt idx="680">
                  <v>4.122011541632316</v>
                </pt>
                <pt idx="681">
                  <v>4.123711340206185</v>
                </pt>
                <pt idx="682">
                  <v>4.212299915754001</v>
                </pt>
                <pt idx="683">
                  <v>4.251700680272109</v>
                </pt>
                <pt idx="684">
                  <v>4.290004290004291</v>
                </pt>
                <pt idx="685">
                  <v>4.253509145044662</v>
                </pt>
                <pt idx="686">
                  <v>4.258943781942079</v>
                </pt>
                <pt idx="687">
                  <v>4.25531914893617</v>
                </pt>
                <pt idx="688">
                  <v>4.26075841499787</v>
                </pt>
                <pt idx="689">
                  <v>4.233700254022015</v>
                </pt>
                <pt idx="690">
                  <v>4.246284501061571</v>
                </pt>
                <pt idx="691">
                  <v>4.26075841499787</v>
                </pt>
                <pt idx="692">
                  <v>4.299226139294927</v>
                </pt>
                <pt idx="693">
                  <v>4.277159965782721</v>
                </pt>
                <pt idx="694">
                  <v>4.304778303917348</v>
                </pt>
                <pt idx="695">
                  <v>4.380201489268506</v>
                </pt>
                <pt idx="696">
                  <v>4.384042086804034</v>
                </pt>
                <pt idx="697">
                  <v>4.393673110720562</v>
                </pt>
                <pt idx="698">
                  <v>4.432624113475177</v>
                </pt>
                <pt idx="699">
                  <v>4.397537379067722</v>
                </pt>
                <pt idx="700">
                  <v>4.344048653344918</v>
                </pt>
                <pt idx="701">
                  <v>4.366812227074235</v>
                </pt>
                <pt idx="702">
                  <v>4.428697962798938</v>
                </pt>
                <pt idx="703">
                  <v>4.409171075837742</v>
                </pt>
                <pt idx="704">
                  <v>4.47227191413238</v>
                </pt>
                <pt idx="705">
                  <v>4.434589800443459</v>
                </pt>
                <pt idx="706">
                  <v>4.385964912280701</v>
                </pt>
                <pt idx="707">
                  <v>4.434589800443459</v>
                </pt>
                <pt idx="708">
                  <v>4.490345756623261</v>
                </pt>
                <pt idx="709">
                  <v>4.49842555105713</v>
                </pt>
                <pt idx="710">
                  <v>4.559963520291838</v>
                </pt>
                <pt idx="711">
                  <v>4.612546125461256</v>
                </pt>
                <pt idx="712">
                  <v>4.618937644341801</v>
                </pt>
                <pt idx="713">
                  <v>4.636068613815485</v>
                </pt>
                <pt idx="714">
                  <v>4.618937644341802</v>
                </pt>
                <pt idx="715">
                  <v>4.653327128897162</v>
                </pt>
                <pt idx="716">
                  <v>4.543389368468877</v>
                </pt>
                <pt idx="717">
                  <v>4.486316733961418</v>
                </pt>
                <pt idx="718">
                  <v>4.49034575662326</v>
                </pt>
                <pt idx="719">
                  <v>4.476275738585497</v>
                </pt>
                <pt idx="720">
                  <v>4.543389368468878</v>
                </pt>
                <pt idx="721">
                  <v>4.5024763619991</v>
                </pt>
                <pt idx="722">
                  <v>4.474272930648769</v>
                </pt>
                <pt idx="723">
                  <v>4.44247001332741</v>
                </pt>
                <pt idx="724">
                  <v>4.4404973357016</v>
                </pt>
                <pt idx="725">
                  <v>4.397537379067722</v>
                </pt>
                <pt idx="726">
                  <v>4.401408450704226</v>
                </pt>
                <pt idx="727">
                  <v>4.41306266548985</v>
                </pt>
                <pt idx="728">
                  <v>4.415011037527593</v>
                </pt>
                <pt idx="729">
                  <v>4.409171075837743</v>
                </pt>
                <pt idx="730">
                  <v>4.424778761061947</v>
                </pt>
                <pt idx="731">
                  <v>4.385964912280701</v>
                </pt>
                <pt idx="732">
                  <v>4.403346543372963</v>
                </pt>
                <pt idx="733">
                  <v>4.464285714285715</v>
                </pt>
                <pt idx="734">
                  <v>4.490345756623261</v>
                </pt>
                <pt idx="735">
                  <v>4.535147392290249</v>
                </pt>
                <pt idx="736">
                  <v>4.606172270842929</v>
                </pt>
                <pt idx="737">
                  <v>4.574565416285452</v>
                </pt>
                <pt idx="738">
                  <v>4.578754578754579</v>
                </pt>
                <pt idx="739">
                  <v>4.574565416285453</v>
                </pt>
                <pt idx="740">
                  <v>4.562043795620437</v>
                </pt>
                <pt idx="741">
                  <v>4.595588235294117</v>
                </pt>
                <pt idx="742">
                  <v>4.589261128958237</v>
                </pt>
                <pt idx="743">
                  <v>4.570383912248629</v>
                </pt>
                <pt idx="744">
                  <v>4.486316733961418</v>
                </pt>
                <pt idx="745">
                  <v>4.520795660036166</v>
                </pt>
                <pt idx="746">
                  <v>4.595588235294117</v>
                </pt>
                <pt idx="747">
                  <v>4.578754578754578</v>
                </pt>
                <pt idx="748">
                  <v>4.580852038479158</v>
                </pt>
                <pt idx="749">
                  <v>4.612546125461256</v>
                </pt>
                <pt idx="750">
                  <v>4.631773969430292</v>
                </pt>
                <pt idx="751">
                  <v>4.705882352941177</v>
                </pt>
                <pt idx="752">
                  <v>4.686035613870666</v>
                </pt>
                <pt idx="753">
                  <v>4.679457182966775</v>
                </pt>
                <pt idx="754">
                  <v>4.659832246039143</v>
                </pt>
                <pt idx="755">
                  <v>4.681647940074907</v>
                </pt>
                <pt idx="756">
                  <v>4.672897196261683</v>
                </pt>
                <pt idx="757">
                  <v>4.746084480303749</v>
                </pt>
                <pt idx="758">
                  <v>4.719207173194903</v>
                </pt>
                <pt idx="759">
                  <v>4.708097928436912</v>
                </pt>
                <pt idx="760">
                  <v>4.74158368895211</v>
                </pt>
                <pt idx="761">
                  <v>4.796163069544365</v>
                </pt>
                <pt idx="762">
                  <v>4.796163069544364</v>
                </pt>
                <pt idx="763">
                  <v>4.748338081671416</v>
                </pt>
                <pt idx="764">
                  <v>4.734848484848484</v>
                </pt>
                <pt idx="765">
                  <v>4.688232536333803</v>
                </pt>
                <pt idx="766">
                  <v>4.69704086425552</v>
                </pt>
                <pt idx="767">
                  <v>4.71253534401508</v>
                </pt>
                <pt idx="768">
                  <v>4.63821892393321</v>
                </pt>
                <pt idx="769">
                  <v>4.646840148698884</v>
                </pt>
                <pt idx="770">
                  <v>4.662004662004662</v>
                </pt>
                <pt idx="771">
                  <v>4.670714619336758</v>
                </pt>
                <pt idx="772">
                  <v>4.803073967339097</v>
                </pt>
                <pt idx="773">
                  <v>4.870920603994155</v>
                </pt>
                <pt idx="774">
                  <v>4.873294346978557</v>
                </pt>
                <pt idx="775">
                  <v>4.875670404680643</v>
                </pt>
                <pt idx="776">
                  <v>4.897159647404504</v>
                </pt>
                <pt idx="777">
                  <v>4.892367906066537</v>
                </pt>
                <pt idx="778">
                  <v>4.901960784313726</v>
                </pt>
                <pt idx="779">
                  <v>4.906771344455349</v>
                </pt>
                <pt idx="780">
                  <v>4.909180166912126</v>
                </pt>
                <pt idx="781">
                  <v>4.935834155972358</v>
                </pt>
                <pt idx="782">
                  <v>4.987531172069826</v>
                </pt>
                <pt idx="783">
                  <v>4.990019960079841</v>
                </pt>
                <pt idx="784">
                  <v>4.990019960079841</v>
                </pt>
                <pt idx="785">
                  <v>5.083884087442806</v>
                </pt>
                <pt idx="786">
                  <v>5.08646998982706</v>
                </pt>
                <pt idx="787">
                  <v>5.094243504839532</v>
                </pt>
                <pt idx="788">
                  <v>5.035246727089628</v>
                </pt>
                <pt idx="789">
                  <v>4.990019960079841</v>
                </pt>
                <pt idx="790">
                  <v>4.987531172069826</v>
                </pt>
                <pt idx="791">
                  <v>5.01002004008016</v>
                </pt>
                <pt idx="792">
                  <v>5</v>
                </pt>
                <pt idx="793">
                  <v>5.007511266900351</v>
                </pt>
                <pt idx="794">
                  <v>5.02260170768458</v>
                </pt>
                <pt idx="795">
                  <v>4.997501249375311</v>
                </pt>
                <pt idx="796">
                  <v>4.926108374384237</v>
                </pt>
                <pt idx="797">
                  <v>4.911591355599215</v>
                </pt>
                <pt idx="798">
                  <v>4.852013585638041</v>
                </pt>
                <pt idx="799">
                  <v>4.816955684007707</v>
                </pt>
                <pt idx="800">
                  <v>4.75511174512601</v>
                </pt>
                <pt idx="801">
                  <v>4.752851711026616</v>
                </pt>
                <pt idx="802">
                  <v>4.789272030651341</v>
                </pt>
                <pt idx="803">
                  <v>4.768717215069147</v>
                </pt>
                <pt idx="804">
                  <v>4.679457182966775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86138752"/>
        <axId val="286140288"/>
      </barChart>
      <dateAx>
        <axId val="286138752"/>
        <scaling>
          <orientation val="minMax"/>
        </scaling>
        <delete val="0"/>
        <axPos val="b"/>
        <numFmt formatCode="m/d/yyyy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86140288"/>
        <crosses val="autoZero"/>
        <lblOffset val="100"/>
        <baseTimeUnit val="days"/>
      </dateAx>
      <valAx>
        <axId val="286140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86138752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2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view3D>
      <rotX val="15"/>
      <rotY val="20"/>
      <rAngAx val="1"/>
    </view3D>
    <floor>
      <thickness val="0"/>
      <spPr>
        <a:noFill xmlns:a="http://schemas.openxmlformats.org/drawingml/2006/main"/>
        <a:ln xmlns:a="http://schemas.openxmlformats.org/drawingml/2006/main">
          <a:noFill/>
          <a:prstDash val="solid"/>
        </a:ln>
        <a:sp3d xmlns:a="http://schemas.openxmlformats.org/drawingml/2006/main"/>
      </spPr>
    </floor>
    <sideWall>
      <thickness val="0"/>
      <spPr>
        <a:noFill xmlns:a="http://schemas.openxmlformats.org/drawingml/2006/main"/>
        <a:ln xmlns:a="http://schemas.openxmlformats.org/drawingml/2006/main">
          <a:noFill/>
          <a:prstDash val="solid"/>
        </a:ln>
        <a:sp3d xmlns:a="http://schemas.openxmlformats.org/drawingml/2006/main"/>
      </spPr>
    </sideWall>
    <backWall>
      <thickness val="0"/>
      <spPr>
        <a:noFill xmlns:a="http://schemas.openxmlformats.org/drawingml/2006/main"/>
        <a:ln xmlns:a="http://schemas.openxmlformats.org/drawingml/2006/main">
          <a:noFill/>
          <a:prstDash val="solid"/>
        </a:ln>
        <a:sp3d xmlns:a="http://schemas.openxmlformats.org/drawingml/2006/main"/>
      </spPr>
    </backWall>
    <plotArea>
      <layout/>
      <bar3DChart>
        <barDir val="col"/>
        <grouping val="clustered"/>
        <varyColors val="0"/>
        <ser>
          <idx val="0"/>
          <order val="0"/>
          <tx>
            <strRef>
              <f>'EVI 2025 Workings'!$G$1</f>
              <strCache>
                <ptCount val="1"/>
                <pt idx="0">
                  <v>Market Cap to GDP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  <a:sp3d xmlns:a="http://schemas.openxmlformats.org/drawingml/2006/main"/>
          </spPr>
          <invertIfNegative val="0"/>
          <cat>
            <numRef>
              <f>'EVI 2025 Workings'!$B$2:$B$806</f>
              <numCache>
                <formatCode>m/d/yyyy</formatCode>
                <ptCount val="805"/>
                <pt idx="0">
                  <v>44564</v>
                </pt>
                <pt idx="1">
                  <v>44565</v>
                </pt>
                <pt idx="2">
                  <v>44566</v>
                </pt>
                <pt idx="3">
                  <v>44567</v>
                </pt>
                <pt idx="4">
                  <v>44568</v>
                </pt>
                <pt idx="5">
                  <v>44571</v>
                </pt>
                <pt idx="6">
                  <v>44572</v>
                </pt>
                <pt idx="7">
                  <v>44573</v>
                </pt>
                <pt idx="8">
                  <v>44574</v>
                </pt>
                <pt idx="9">
                  <v>44575</v>
                </pt>
                <pt idx="10">
                  <v>44578</v>
                </pt>
                <pt idx="11">
                  <v>44579</v>
                </pt>
                <pt idx="12">
                  <v>44580</v>
                </pt>
                <pt idx="13">
                  <v>44581</v>
                </pt>
                <pt idx="14">
                  <v>44582</v>
                </pt>
                <pt idx="15">
                  <v>44585</v>
                </pt>
                <pt idx="16">
                  <v>44586</v>
                </pt>
                <pt idx="17">
                  <v>44588</v>
                </pt>
                <pt idx="18">
                  <v>44589</v>
                </pt>
                <pt idx="19">
                  <v>44592</v>
                </pt>
                <pt idx="20">
                  <v>44593</v>
                </pt>
                <pt idx="21">
                  <v>44594</v>
                </pt>
                <pt idx="22">
                  <v>44595</v>
                </pt>
                <pt idx="23">
                  <v>44596</v>
                </pt>
                <pt idx="24">
                  <v>44599</v>
                </pt>
                <pt idx="25">
                  <v>44600</v>
                </pt>
                <pt idx="26">
                  <v>44601</v>
                </pt>
                <pt idx="27">
                  <v>44602</v>
                </pt>
                <pt idx="28">
                  <v>44603</v>
                </pt>
                <pt idx="29">
                  <v>44606</v>
                </pt>
                <pt idx="30">
                  <v>44607</v>
                </pt>
                <pt idx="31">
                  <v>44608</v>
                </pt>
                <pt idx="32">
                  <v>44609</v>
                </pt>
                <pt idx="33">
                  <v>44610</v>
                </pt>
                <pt idx="34">
                  <v>44613</v>
                </pt>
                <pt idx="35">
                  <v>44614</v>
                </pt>
                <pt idx="36">
                  <v>44615</v>
                </pt>
                <pt idx="37">
                  <v>44616</v>
                </pt>
                <pt idx="38">
                  <v>44617</v>
                </pt>
                <pt idx="39">
                  <v>44620</v>
                </pt>
                <pt idx="40">
                  <v>44622</v>
                </pt>
                <pt idx="41">
                  <v>44623</v>
                </pt>
                <pt idx="42">
                  <v>44624</v>
                </pt>
                <pt idx="43">
                  <v>44627</v>
                </pt>
                <pt idx="44">
                  <v>44628</v>
                </pt>
                <pt idx="45">
                  <v>44629</v>
                </pt>
                <pt idx="46">
                  <v>44630</v>
                </pt>
                <pt idx="47">
                  <v>44631</v>
                </pt>
                <pt idx="48">
                  <v>44634</v>
                </pt>
                <pt idx="49">
                  <v>44635</v>
                </pt>
                <pt idx="50">
                  <v>44636</v>
                </pt>
                <pt idx="51">
                  <v>44637</v>
                </pt>
                <pt idx="52">
                  <v>44641</v>
                </pt>
                <pt idx="53">
                  <v>44642</v>
                </pt>
                <pt idx="54">
                  <v>44643</v>
                </pt>
                <pt idx="55">
                  <v>44644</v>
                </pt>
                <pt idx="56">
                  <v>44645</v>
                </pt>
                <pt idx="57">
                  <v>44648</v>
                </pt>
                <pt idx="58">
                  <v>44649</v>
                </pt>
                <pt idx="59">
                  <v>44650</v>
                </pt>
                <pt idx="60">
                  <v>44651</v>
                </pt>
                <pt idx="61">
                  <v>44652</v>
                </pt>
                <pt idx="62">
                  <v>44655</v>
                </pt>
                <pt idx="63">
                  <v>44656</v>
                </pt>
                <pt idx="64">
                  <v>44657</v>
                </pt>
                <pt idx="65">
                  <v>44658</v>
                </pt>
                <pt idx="66">
                  <v>44659</v>
                </pt>
                <pt idx="67">
                  <v>44662</v>
                </pt>
                <pt idx="68">
                  <v>44663</v>
                </pt>
                <pt idx="69">
                  <v>44664</v>
                </pt>
                <pt idx="70">
                  <v>44669</v>
                </pt>
                <pt idx="71">
                  <v>44670</v>
                </pt>
                <pt idx="72">
                  <v>44671</v>
                </pt>
                <pt idx="73">
                  <v>44672</v>
                </pt>
                <pt idx="74">
                  <v>44673</v>
                </pt>
                <pt idx="75">
                  <v>44676</v>
                </pt>
                <pt idx="76">
                  <v>44677</v>
                </pt>
                <pt idx="77">
                  <v>44678</v>
                </pt>
                <pt idx="78">
                  <v>44679</v>
                </pt>
                <pt idx="79">
                  <v>44680</v>
                </pt>
                <pt idx="80">
                  <v>44683</v>
                </pt>
                <pt idx="81">
                  <v>44685</v>
                </pt>
                <pt idx="82">
                  <v>44686</v>
                </pt>
                <pt idx="83">
                  <v>44687</v>
                </pt>
                <pt idx="84">
                  <v>44690</v>
                </pt>
                <pt idx="85">
                  <v>44691</v>
                </pt>
                <pt idx="86">
                  <v>44692</v>
                </pt>
                <pt idx="87">
                  <v>44693</v>
                </pt>
                <pt idx="88">
                  <v>44694</v>
                </pt>
                <pt idx="89">
                  <v>44697</v>
                </pt>
                <pt idx="90">
                  <v>44698</v>
                </pt>
                <pt idx="91">
                  <v>44699</v>
                </pt>
                <pt idx="92">
                  <v>44700</v>
                </pt>
                <pt idx="93">
                  <v>44701</v>
                </pt>
                <pt idx="94">
                  <v>44704</v>
                </pt>
                <pt idx="95">
                  <v>44705</v>
                </pt>
                <pt idx="96">
                  <v>44706</v>
                </pt>
                <pt idx="97">
                  <v>44707</v>
                </pt>
                <pt idx="98">
                  <v>44708</v>
                </pt>
                <pt idx="99">
                  <v>44711</v>
                </pt>
                <pt idx="100">
                  <v>44712</v>
                </pt>
                <pt idx="101">
                  <v>44713</v>
                </pt>
                <pt idx="102">
                  <v>44714</v>
                </pt>
                <pt idx="103">
                  <v>44715</v>
                </pt>
                <pt idx="104">
                  <v>44718</v>
                </pt>
                <pt idx="105">
                  <v>44719</v>
                </pt>
                <pt idx="106">
                  <v>44720</v>
                </pt>
                <pt idx="107">
                  <v>44721</v>
                </pt>
                <pt idx="108">
                  <v>44722</v>
                </pt>
                <pt idx="109">
                  <v>44725</v>
                </pt>
                <pt idx="110">
                  <v>44726</v>
                </pt>
                <pt idx="111">
                  <v>44727</v>
                </pt>
                <pt idx="112">
                  <v>44728</v>
                </pt>
                <pt idx="113">
                  <v>44729</v>
                </pt>
                <pt idx="114">
                  <v>44732</v>
                </pt>
                <pt idx="115">
                  <v>44733</v>
                </pt>
                <pt idx="116">
                  <v>44734</v>
                </pt>
                <pt idx="117">
                  <v>44735</v>
                </pt>
                <pt idx="118">
                  <v>44736</v>
                </pt>
                <pt idx="119">
                  <v>44739</v>
                </pt>
                <pt idx="120">
                  <v>44740</v>
                </pt>
                <pt idx="121">
                  <v>44741</v>
                </pt>
                <pt idx="122">
                  <v>44742</v>
                </pt>
                <pt idx="123">
                  <v>44743</v>
                </pt>
                <pt idx="124">
                  <v>44746</v>
                </pt>
                <pt idx="125">
                  <v>44747</v>
                </pt>
                <pt idx="126">
                  <v>44748</v>
                </pt>
                <pt idx="127">
                  <v>44749</v>
                </pt>
                <pt idx="128">
                  <v>44750</v>
                </pt>
                <pt idx="129">
                  <v>44753</v>
                </pt>
                <pt idx="130">
                  <v>44754</v>
                </pt>
                <pt idx="131">
                  <v>44755</v>
                </pt>
                <pt idx="132">
                  <v>44756</v>
                </pt>
                <pt idx="133">
                  <v>44757</v>
                </pt>
                <pt idx="134">
                  <v>44760</v>
                </pt>
                <pt idx="135">
                  <v>44761</v>
                </pt>
                <pt idx="136">
                  <v>44762</v>
                </pt>
                <pt idx="137">
                  <v>44763</v>
                </pt>
                <pt idx="138">
                  <v>44764</v>
                </pt>
                <pt idx="139">
                  <v>44767</v>
                </pt>
                <pt idx="140">
                  <v>44768</v>
                </pt>
                <pt idx="141">
                  <v>44769</v>
                </pt>
                <pt idx="142">
                  <v>44770</v>
                </pt>
                <pt idx="143">
                  <v>44771</v>
                </pt>
                <pt idx="144">
                  <v>44774</v>
                </pt>
                <pt idx="145">
                  <v>44775</v>
                </pt>
                <pt idx="146">
                  <v>44776</v>
                </pt>
                <pt idx="147">
                  <v>44777</v>
                </pt>
                <pt idx="148">
                  <v>44778</v>
                </pt>
                <pt idx="149">
                  <v>44781</v>
                </pt>
                <pt idx="150">
                  <v>44783</v>
                </pt>
                <pt idx="151">
                  <v>44784</v>
                </pt>
                <pt idx="152">
                  <v>44785</v>
                </pt>
                <pt idx="153">
                  <v>44789</v>
                </pt>
                <pt idx="154">
                  <v>44790</v>
                </pt>
                <pt idx="155">
                  <v>44791</v>
                </pt>
                <pt idx="156">
                  <v>44792</v>
                </pt>
                <pt idx="157">
                  <v>44795</v>
                </pt>
                <pt idx="158">
                  <v>44796</v>
                </pt>
                <pt idx="159">
                  <v>44797</v>
                </pt>
                <pt idx="160">
                  <v>44798</v>
                </pt>
                <pt idx="161">
                  <v>44799</v>
                </pt>
                <pt idx="162">
                  <v>44802</v>
                </pt>
                <pt idx="163">
                  <v>44803</v>
                </pt>
                <pt idx="164">
                  <v>44805</v>
                </pt>
                <pt idx="165">
                  <v>44806</v>
                </pt>
                <pt idx="166">
                  <v>44809</v>
                </pt>
                <pt idx="167">
                  <v>44810</v>
                </pt>
                <pt idx="168">
                  <v>44811</v>
                </pt>
                <pt idx="169">
                  <v>44812</v>
                </pt>
                <pt idx="170">
                  <v>44813</v>
                </pt>
                <pt idx="171">
                  <v>44816</v>
                </pt>
                <pt idx="172">
                  <v>44817</v>
                </pt>
                <pt idx="173">
                  <v>44818</v>
                </pt>
                <pt idx="174">
                  <v>44819</v>
                </pt>
                <pt idx="175">
                  <v>44820</v>
                </pt>
                <pt idx="176">
                  <v>44823</v>
                </pt>
                <pt idx="177">
                  <v>44824</v>
                </pt>
                <pt idx="178">
                  <v>44825</v>
                </pt>
                <pt idx="179">
                  <v>44826</v>
                </pt>
                <pt idx="180">
                  <v>44827</v>
                </pt>
                <pt idx="181">
                  <v>44830</v>
                </pt>
                <pt idx="182">
                  <v>44831</v>
                </pt>
                <pt idx="183">
                  <v>44832</v>
                </pt>
                <pt idx="184">
                  <v>44833</v>
                </pt>
                <pt idx="185">
                  <v>44834</v>
                </pt>
                <pt idx="186">
                  <v>44837</v>
                </pt>
                <pt idx="187">
                  <v>44838</v>
                </pt>
                <pt idx="188">
                  <v>44840</v>
                </pt>
                <pt idx="189">
                  <v>44841</v>
                </pt>
                <pt idx="190">
                  <v>44844</v>
                </pt>
                <pt idx="191">
                  <v>44845</v>
                </pt>
                <pt idx="192">
                  <v>44846</v>
                </pt>
                <pt idx="193">
                  <v>44847</v>
                </pt>
                <pt idx="194">
                  <v>44848</v>
                </pt>
                <pt idx="195">
                  <v>44851</v>
                </pt>
                <pt idx="196">
                  <v>44852</v>
                </pt>
                <pt idx="197">
                  <v>44853</v>
                </pt>
                <pt idx="198">
                  <v>44854</v>
                </pt>
                <pt idx="199">
                  <v>44855</v>
                </pt>
                <pt idx="200">
                  <v>44858</v>
                </pt>
                <pt idx="201">
                  <v>44859</v>
                </pt>
                <pt idx="202">
                  <v>44861</v>
                </pt>
                <pt idx="203">
                  <v>44862</v>
                </pt>
                <pt idx="204">
                  <v>44865</v>
                </pt>
                <pt idx="205">
                  <v>44866</v>
                </pt>
                <pt idx="206">
                  <v>44867</v>
                </pt>
                <pt idx="207">
                  <v>44868</v>
                </pt>
                <pt idx="208">
                  <v>44869</v>
                </pt>
                <pt idx="209">
                  <v>44872</v>
                </pt>
                <pt idx="210">
                  <v>44874</v>
                </pt>
                <pt idx="211">
                  <v>44875</v>
                </pt>
                <pt idx="212">
                  <v>44876</v>
                </pt>
                <pt idx="213">
                  <v>44879</v>
                </pt>
                <pt idx="214">
                  <v>44880</v>
                </pt>
                <pt idx="215">
                  <v>44881</v>
                </pt>
                <pt idx="216">
                  <v>44882</v>
                </pt>
                <pt idx="217">
                  <v>44883</v>
                </pt>
                <pt idx="218">
                  <v>44886</v>
                </pt>
                <pt idx="219">
                  <v>44887</v>
                </pt>
                <pt idx="220">
                  <v>44888</v>
                </pt>
                <pt idx="221">
                  <v>44889</v>
                </pt>
                <pt idx="222">
                  <v>44890</v>
                </pt>
                <pt idx="223">
                  <v>44893</v>
                </pt>
                <pt idx="224">
                  <v>44894</v>
                </pt>
                <pt idx="225">
                  <v>44895</v>
                </pt>
                <pt idx="226">
                  <v>44896</v>
                </pt>
                <pt idx="227">
                  <v>44897</v>
                </pt>
                <pt idx="228">
                  <v>44900</v>
                </pt>
                <pt idx="229">
                  <v>44901</v>
                </pt>
                <pt idx="230">
                  <v>44902</v>
                </pt>
                <pt idx="231">
                  <v>44903</v>
                </pt>
                <pt idx="232">
                  <v>44904</v>
                </pt>
                <pt idx="233">
                  <v>44907</v>
                </pt>
                <pt idx="234">
                  <v>44908</v>
                </pt>
                <pt idx="235">
                  <v>44909</v>
                </pt>
                <pt idx="236">
                  <v>44910</v>
                </pt>
                <pt idx="237">
                  <v>44911</v>
                </pt>
                <pt idx="238">
                  <v>44914</v>
                </pt>
                <pt idx="239">
                  <v>44915</v>
                </pt>
                <pt idx="240">
                  <v>44916</v>
                </pt>
                <pt idx="241">
                  <v>44917</v>
                </pt>
                <pt idx="242">
                  <v>44918</v>
                </pt>
                <pt idx="243">
                  <v>44921</v>
                </pt>
                <pt idx="244">
                  <v>44922</v>
                </pt>
                <pt idx="245">
                  <v>44923</v>
                </pt>
                <pt idx="246">
                  <v>44924</v>
                </pt>
                <pt idx="247">
                  <v>44925</v>
                </pt>
                <pt idx="248">
                  <v>44928</v>
                </pt>
                <pt idx="249">
                  <v>44929</v>
                </pt>
                <pt idx="250">
                  <v>44930</v>
                </pt>
                <pt idx="251">
                  <v>44931</v>
                </pt>
                <pt idx="252">
                  <v>44932</v>
                </pt>
                <pt idx="253">
                  <v>44935</v>
                </pt>
                <pt idx="254">
                  <v>44936</v>
                </pt>
                <pt idx="255">
                  <v>44937</v>
                </pt>
                <pt idx="256">
                  <v>44938</v>
                </pt>
                <pt idx="257">
                  <v>44939</v>
                </pt>
                <pt idx="258">
                  <v>44942</v>
                </pt>
                <pt idx="259">
                  <v>44943</v>
                </pt>
                <pt idx="260">
                  <v>44944</v>
                </pt>
                <pt idx="261">
                  <v>44945</v>
                </pt>
                <pt idx="262">
                  <v>44946</v>
                </pt>
                <pt idx="263">
                  <v>44949</v>
                </pt>
                <pt idx="264">
                  <v>44950</v>
                </pt>
                <pt idx="265">
                  <v>44951</v>
                </pt>
                <pt idx="266">
                  <v>44953</v>
                </pt>
                <pt idx="267">
                  <v>44956</v>
                </pt>
                <pt idx="268">
                  <v>44957</v>
                </pt>
                <pt idx="269">
                  <v>44958</v>
                </pt>
                <pt idx="270">
                  <v>44959</v>
                </pt>
                <pt idx="271">
                  <v>44960</v>
                </pt>
                <pt idx="272">
                  <v>44963</v>
                </pt>
                <pt idx="273">
                  <v>44964</v>
                </pt>
                <pt idx="274">
                  <v>44965</v>
                </pt>
                <pt idx="275">
                  <v>44966</v>
                </pt>
                <pt idx="276">
                  <v>44967</v>
                </pt>
                <pt idx="277">
                  <v>44970</v>
                </pt>
                <pt idx="278">
                  <v>44971</v>
                </pt>
                <pt idx="279">
                  <v>44972</v>
                </pt>
                <pt idx="280">
                  <v>44973</v>
                </pt>
                <pt idx="281">
                  <v>44974</v>
                </pt>
                <pt idx="282">
                  <v>44977</v>
                </pt>
                <pt idx="283">
                  <v>44978</v>
                </pt>
                <pt idx="284">
                  <v>44979</v>
                </pt>
                <pt idx="285">
                  <v>44980</v>
                </pt>
                <pt idx="286">
                  <v>44981</v>
                </pt>
                <pt idx="287">
                  <v>44984</v>
                </pt>
                <pt idx="288">
                  <v>44985</v>
                </pt>
                <pt idx="289">
                  <v>44986</v>
                </pt>
                <pt idx="290">
                  <v>44987</v>
                </pt>
                <pt idx="291">
                  <v>44988</v>
                </pt>
                <pt idx="292">
                  <v>44991</v>
                </pt>
                <pt idx="293">
                  <v>44993</v>
                </pt>
                <pt idx="294">
                  <v>44994</v>
                </pt>
                <pt idx="295">
                  <v>44995</v>
                </pt>
                <pt idx="296">
                  <v>44998</v>
                </pt>
                <pt idx="297">
                  <v>44999</v>
                </pt>
                <pt idx="298">
                  <v>45000</v>
                </pt>
                <pt idx="299">
                  <v>45001</v>
                </pt>
                <pt idx="300">
                  <v>45002</v>
                </pt>
                <pt idx="301">
                  <v>45005</v>
                </pt>
                <pt idx="302">
                  <v>45006</v>
                </pt>
                <pt idx="303">
                  <v>45007</v>
                </pt>
                <pt idx="304">
                  <v>45008</v>
                </pt>
                <pt idx="305">
                  <v>45009</v>
                </pt>
                <pt idx="306">
                  <v>45012</v>
                </pt>
                <pt idx="307">
                  <v>45013</v>
                </pt>
                <pt idx="308">
                  <v>45014</v>
                </pt>
                <pt idx="309">
                  <v>45016</v>
                </pt>
                <pt idx="310">
                  <v>45019</v>
                </pt>
                <pt idx="311">
                  <v>45021</v>
                </pt>
                <pt idx="312">
                  <v>45022</v>
                </pt>
                <pt idx="313">
                  <v>45026</v>
                </pt>
                <pt idx="314">
                  <v>45027</v>
                </pt>
                <pt idx="315">
                  <v>45028</v>
                </pt>
                <pt idx="316">
                  <v>45029</v>
                </pt>
                <pt idx="317">
                  <v>45033</v>
                </pt>
                <pt idx="318">
                  <v>45034</v>
                </pt>
                <pt idx="319">
                  <v>45035</v>
                </pt>
                <pt idx="320">
                  <v>45036</v>
                </pt>
                <pt idx="321">
                  <v>45037</v>
                </pt>
                <pt idx="322">
                  <v>45040</v>
                </pt>
                <pt idx="323">
                  <v>45041</v>
                </pt>
                <pt idx="324">
                  <v>45042</v>
                </pt>
                <pt idx="325">
                  <v>45043</v>
                </pt>
                <pt idx="326">
                  <v>45044</v>
                </pt>
                <pt idx="327">
                  <v>45048</v>
                </pt>
                <pt idx="328">
                  <v>45049</v>
                </pt>
                <pt idx="329">
                  <v>45050</v>
                </pt>
                <pt idx="330">
                  <v>45051</v>
                </pt>
                <pt idx="331">
                  <v>45054</v>
                </pt>
                <pt idx="332">
                  <v>45055</v>
                </pt>
                <pt idx="333">
                  <v>45056</v>
                </pt>
                <pt idx="334">
                  <v>45057</v>
                </pt>
                <pt idx="335">
                  <v>45058</v>
                </pt>
                <pt idx="336">
                  <v>45061</v>
                </pt>
                <pt idx="337">
                  <v>45062</v>
                </pt>
                <pt idx="338">
                  <v>45063</v>
                </pt>
                <pt idx="339">
                  <v>45064</v>
                </pt>
                <pt idx="340">
                  <v>45065</v>
                </pt>
                <pt idx="341">
                  <v>45068</v>
                </pt>
                <pt idx="342">
                  <v>45069</v>
                </pt>
                <pt idx="343">
                  <v>45070</v>
                </pt>
                <pt idx="344">
                  <v>45071</v>
                </pt>
                <pt idx="345">
                  <v>45072</v>
                </pt>
                <pt idx="346">
                  <v>45075</v>
                </pt>
                <pt idx="347">
                  <v>45076</v>
                </pt>
                <pt idx="348">
                  <v>45077</v>
                </pt>
                <pt idx="349">
                  <v>45078</v>
                </pt>
                <pt idx="350">
                  <v>45079</v>
                </pt>
                <pt idx="351">
                  <v>45082</v>
                </pt>
                <pt idx="352">
                  <v>45083</v>
                </pt>
                <pt idx="353">
                  <v>45084</v>
                </pt>
                <pt idx="354">
                  <v>45085</v>
                </pt>
                <pt idx="355">
                  <v>45086</v>
                </pt>
                <pt idx="356">
                  <v>45089</v>
                </pt>
                <pt idx="357">
                  <v>45090</v>
                </pt>
                <pt idx="358">
                  <v>45091</v>
                </pt>
                <pt idx="359">
                  <v>45092</v>
                </pt>
                <pt idx="360">
                  <v>45093</v>
                </pt>
                <pt idx="361">
                  <v>45096</v>
                </pt>
                <pt idx="362">
                  <v>45097</v>
                </pt>
                <pt idx="363">
                  <v>45098</v>
                </pt>
                <pt idx="364">
                  <v>45099</v>
                </pt>
                <pt idx="365">
                  <v>45100</v>
                </pt>
                <pt idx="366">
                  <v>45103</v>
                </pt>
                <pt idx="367">
                  <v>45104</v>
                </pt>
                <pt idx="368">
                  <v>45105</v>
                </pt>
                <pt idx="369">
                  <v>45107</v>
                </pt>
                <pt idx="370">
                  <v>45110</v>
                </pt>
                <pt idx="371">
                  <v>45111</v>
                </pt>
                <pt idx="372">
                  <v>45112</v>
                </pt>
                <pt idx="373">
                  <v>45113</v>
                </pt>
                <pt idx="374">
                  <v>45114</v>
                </pt>
                <pt idx="375">
                  <v>45117</v>
                </pt>
                <pt idx="376">
                  <v>45118</v>
                </pt>
                <pt idx="377">
                  <v>45119</v>
                </pt>
                <pt idx="378">
                  <v>45120</v>
                </pt>
                <pt idx="379">
                  <v>45121</v>
                </pt>
                <pt idx="380">
                  <v>45124</v>
                </pt>
                <pt idx="381">
                  <v>45125</v>
                </pt>
                <pt idx="382">
                  <v>45126</v>
                </pt>
                <pt idx="383">
                  <v>45127</v>
                </pt>
                <pt idx="384">
                  <v>45128</v>
                </pt>
                <pt idx="385">
                  <v>45131</v>
                </pt>
                <pt idx="386">
                  <v>45132</v>
                </pt>
                <pt idx="387">
                  <v>45133</v>
                </pt>
                <pt idx="388">
                  <v>45134</v>
                </pt>
                <pt idx="389">
                  <v>45135</v>
                </pt>
                <pt idx="390">
                  <v>45138</v>
                </pt>
                <pt idx="391">
                  <v>45139</v>
                </pt>
                <pt idx="392">
                  <v>45140</v>
                </pt>
                <pt idx="393">
                  <v>45141</v>
                </pt>
                <pt idx="394">
                  <v>45142</v>
                </pt>
                <pt idx="395">
                  <v>45145</v>
                </pt>
                <pt idx="396">
                  <v>45146</v>
                </pt>
                <pt idx="397">
                  <v>45147</v>
                </pt>
                <pt idx="398">
                  <v>45148</v>
                </pt>
                <pt idx="399">
                  <v>45149</v>
                </pt>
                <pt idx="400">
                  <v>45152</v>
                </pt>
                <pt idx="401">
                  <v>45154</v>
                </pt>
                <pt idx="402">
                  <v>45155</v>
                </pt>
                <pt idx="403">
                  <v>45156</v>
                </pt>
                <pt idx="404">
                  <v>45159</v>
                </pt>
                <pt idx="405">
                  <v>45160</v>
                </pt>
                <pt idx="406">
                  <v>45161</v>
                </pt>
                <pt idx="407">
                  <v>45162</v>
                </pt>
                <pt idx="408">
                  <v>45163</v>
                </pt>
                <pt idx="409">
                  <v>45166</v>
                </pt>
                <pt idx="410">
                  <v>45167</v>
                </pt>
                <pt idx="411">
                  <v>45168</v>
                </pt>
                <pt idx="412">
                  <v>45169</v>
                </pt>
                <pt idx="413">
                  <v>45170</v>
                </pt>
                <pt idx="414">
                  <v>45173</v>
                </pt>
                <pt idx="415">
                  <v>45174</v>
                </pt>
                <pt idx="416">
                  <v>45175</v>
                </pt>
                <pt idx="417">
                  <v>45176</v>
                </pt>
                <pt idx="418">
                  <v>45177</v>
                </pt>
                <pt idx="419">
                  <v>45180</v>
                </pt>
                <pt idx="420">
                  <v>45181</v>
                </pt>
                <pt idx="421">
                  <v>45182</v>
                </pt>
                <pt idx="422">
                  <v>45183</v>
                </pt>
                <pt idx="423">
                  <v>45184</v>
                </pt>
                <pt idx="424">
                  <v>45187</v>
                </pt>
                <pt idx="425">
                  <v>45189</v>
                </pt>
                <pt idx="426">
                  <v>45190</v>
                </pt>
                <pt idx="427">
                  <v>45191</v>
                </pt>
                <pt idx="428">
                  <v>45194</v>
                </pt>
                <pt idx="429">
                  <v>45195</v>
                </pt>
                <pt idx="430">
                  <v>45196</v>
                </pt>
                <pt idx="431">
                  <v>45197</v>
                </pt>
                <pt idx="432">
                  <v>45198</v>
                </pt>
                <pt idx="433">
                  <v>45202</v>
                </pt>
                <pt idx="434">
                  <v>45203</v>
                </pt>
                <pt idx="435">
                  <v>45204</v>
                </pt>
                <pt idx="436">
                  <v>45205</v>
                </pt>
                <pt idx="437">
                  <v>45208</v>
                </pt>
                <pt idx="438">
                  <v>45209</v>
                </pt>
                <pt idx="439">
                  <v>45210</v>
                </pt>
                <pt idx="440">
                  <v>45211</v>
                </pt>
                <pt idx="441">
                  <v>45212</v>
                </pt>
                <pt idx="442">
                  <v>45215</v>
                </pt>
                <pt idx="443">
                  <v>45216</v>
                </pt>
                <pt idx="444">
                  <v>45217</v>
                </pt>
                <pt idx="445">
                  <v>45218</v>
                </pt>
                <pt idx="446">
                  <v>45219</v>
                </pt>
                <pt idx="447">
                  <v>45222</v>
                </pt>
                <pt idx="448">
                  <v>45224</v>
                </pt>
                <pt idx="449">
                  <v>45225</v>
                </pt>
                <pt idx="450">
                  <v>45226</v>
                </pt>
                <pt idx="451">
                  <v>45229</v>
                </pt>
                <pt idx="452">
                  <v>45230</v>
                </pt>
                <pt idx="453">
                  <v>45231</v>
                </pt>
                <pt idx="454">
                  <v>45232</v>
                </pt>
                <pt idx="455">
                  <v>45233</v>
                </pt>
                <pt idx="456">
                  <v>45236</v>
                </pt>
                <pt idx="457">
                  <v>45237</v>
                </pt>
                <pt idx="458">
                  <v>45238</v>
                </pt>
                <pt idx="459">
                  <v>45239</v>
                </pt>
                <pt idx="460">
                  <v>45240</v>
                </pt>
                <pt idx="461">
                  <v>45242</v>
                </pt>
                <pt idx="462">
                  <v>45243</v>
                </pt>
                <pt idx="463">
                  <v>45245</v>
                </pt>
                <pt idx="464">
                  <v>45246</v>
                </pt>
                <pt idx="465">
                  <v>45247</v>
                </pt>
                <pt idx="466">
                  <v>45250</v>
                </pt>
                <pt idx="467">
                  <v>45251</v>
                </pt>
                <pt idx="468">
                  <v>45252</v>
                </pt>
                <pt idx="469">
                  <v>45253</v>
                </pt>
                <pt idx="470">
                  <v>45254</v>
                </pt>
                <pt idx="471">
                  <v>45258</v>
                </pt>
                <pt idx="472">
                  <v>45259</v>
                </pt>
                <pt idx="473">
                  <v>45260</v>
                </pt>
                <pt idx="474">
                  <v>45261</v>
                </pt>
                <pt idx="475">
                  <v>45264</v>
                </pt>
                <pt idx="476">
                  <v>45265</v>
                </pt>
                <pt idx="477">
                  <v>45266</v>
                </pt>
                <pt idx="478">
                  <v>45267</v>
                </pt>
                <pt idx="479">
                  <v>45268</v>
                </pt>
                <pt idx="480">
                  <v>45271</v>
                </pt>
                <pt idx="481">
                  <v>45272</v>
                </pt>
                <pt idx="482">
                  <v>45273</v>
                </pt>
                <pt idx="483">
                  <v>45274</v>
                </pt>
                <pt idx="484">
                  <v>45275</v>
                </pt>
                <pt idx="485">
                  <v>45278</v>
                </pt>
                <pt idx="486">
                  <v>45279</v>
                </pt>
                <pt idx="487">
                  <v>45280</v>
                </pt>
                <pt idx="488">
                  <v>45281</v>
                </pt>
                <pt idx="489">
                  <v>45282</v>
                </pt>
                <pt idx="490">
                  <v>45286</v>
                </pt>
                <pt idx="491">
                  <v>45287</v>
                </pt>
                <pt idx="492">
                  <v>45288</v>
                </pt>
                <pt idx="493">
                  <v>45289</v>
                </pt>
                <pt idx="494">
                  <v>45292</v>
                </pt>
                <pt idx="495">
                  <v>45293</v>
                </pt>
                <pt idx="496">
                  <v>45294</v>
                </pt>
                <pt idx="497">
                  <v>45295</v>
                </pt>
                <pt idx="498">
                  <v>45296</v>
                </pt>
                <pt idx="499">
                  <v>45299</v>
                </pt>
                <pt idx="500">
                  <v>45300</v>
                </pt>
                <pt idx="501">
                  <v>45301</v>
                </pt>
                <pt idx="502">
                  <v>45302</v>
                </pt>
                <pt idx="503">
                  <v>45303</v>
                </pt>
                <pt idx="504">
                  <v>45306</v>
                </pt>
                <pt idx="505">
                  <v>45307</v>
                </pt>
                <pt idx="506">
                  <v>45308</v>
                </pt>
                <pt idx="507">
                  <v>45309</v>
                </pt>
                <pt idx="508">
                  <v>45310</v>
                </pt>
                <pt idx="509">
                  <v>45311</v>
                </pt>
                <pt idx="510">
                  <v>45314</v>
                </pt>
                <pt idx="511">
                  <v>45315</v>
                </pt>
                <pt idx="512">
                  <v>45316</v>
                </pt>
                <pt idx="513">
                  <v>45320</v>
                </pt>
                <pt idx="514">
                  <v>45321</v>
                </pt>
                <pt idx="515">
                  <v>45322</v>
                </pt>
                <pt idx="516">
                  <v>45323</v>
                </pt>
                <pt idx="517">
                  <v>45324</v>
                </pt>
                <pt idx="518">
                  <v>45327</v>
                </pt>
                <pt idx="519">
                  <v>45328</v>
                </pt>
                <pt idx="520">
                  <v>45329</v>
                </pt>
                <pt idx="521">
                  <v>45330</v>
                </pt>
                <pt idx="522">
                  <v>45331</v>
                </pt>
                <pt idx="523">
                  <v>45334</v>
                </pt>
                <pt idx="524">
                  <v>45335</v>
                </pt>
                <pt idx="525">
                  <v>45336</v>
                </pt>
                <pt idx="526">
                  <v>45337</v>
                </pt>
                <pt idx="527">
                  <v>45338</v>
                </pt>
                <pt idx="528">
                  <v>45341</v>
                </pt>
                <pt idx="529">
                  <v>45342</v>
                </pt>
                <pt idx="530">
                  <v>45343</v>
                </pt>
                <pt idx="531">
                  <v>45344</v>
                </pt>
                <pt idx="532">
                  <v>45345</v>
                </pt>
                <pt idx="533">
                  <v>45348</v>
                </pt>
                <pt idx="534">
                  <v>45349</v>
                </pt>
                <pt idx="535">
                  <v>45350</v>
                </pt>
                <pt idx="536">
                  <v>45351</v>
                </pt>
                <pt idx="537">
                  <v>45352</v>
                </pt>
                <pt idx="538">
                  <v>45353</v>
                </pt>
                <pt idx="539">
                  <v>45355</v>
                </pt>
                <pt idx="540">
                  <v>45356</v>
                </pt>
                <pt idx="541">
                  <v>45357</v>
                </pt>
                <pt idx="542">
                  <v>45358</v>
                </pt>
                <pt idx="543">
                  <v>45362</v>
                </pt>
                <pt idx="544">
                  <v>45363</v>
                </pt>
                <pt idx="545">
                  <v>45364</v>
                </pt>
                <pt idx="546">
                  <v>45365</v>
                </pt>
                <pt idx="547">
                  <v>45366</v>
                </pt>
                <pt idx="548">
                  <v>45369</v>
                </pt>
                <pt idx="549">
                  <v>45370</v>
                </pt>
                <pt idx="550">
                  <v>45371</v>
                </pt>
                <pt idx="551">
                  <v>45372</v>
                </pt>
                <pt idx="552">
                  <v>45373</v>
                </pt>
                <pt idx="553">
                  <v>45377</v>
                </pt>
                <pt idx="554">
                  <v>45378</v>
                </pt>
                <pt idx="555">
                  <v>45379</v>
                </pt>
                <pt idx="556">
                  <v>45383</v>
                </pt>
                <pt idx="557">
                  <v>45384</v>
                </pt>
                <pt idx="558">
                  <v>45385</v>
                </pt>
                <pt idx="559">
                  <v>45386</v>
                </pt>
                <pt idx="560">
                  <v>45387</v>
                </pt>
                <pt idx="561">
                  <v>45390</v>
                </pt>
                <pt idx="562">
                  <v>45391</v>
                </pt>
                <pt idx="563">
                  <v>45392</v>
                </pt>
                <pt idx="564">
                  <v>45394</v>
                </pt>
                <pt idx="565">
                  <v>45397</v>
                </pt>
                <pt idx="566">
                  <v>45398</v>
                </pt>
                <pt idx="567">
                  <v>45400</v>
                </pt>
                <pt idx="568">
                  <v>45401</v>
                </pt>
                <pt idx="569">
                  <v>45404</v>
                </pt>
                <pt idx="570">
                  <v>45405</v>
                </pt>
                <pt idx="571">
                  <v>45406</v>
                </pt>
                <pt idx="572">
                  <v>45407</v>
                </pt>
                <pt idx="573">
                  <v>45408</v>
                </pt>
                <pt idx="574">
                  <v>45411</v>
                </pt>
                <pt idx="575">
                  <v>45412</v>
                </pt>
                <pt idx="576">
                  <v>45414</v>
                </pt>
                <pt idx="577">
                  <v>45415</v>
                </pt>
                <pt idx="578">
                  <v>45418</v>
                </pt>
                <pt idx="579">
                  <v>45419</v>
                </pt>
                <pt idx="580">
                  <v>45420</v>
                </pt>
                <pt idx="581">
                  <v>45421</v>
                </pt>
                <pt idx="582">
                  <v>45422</v>
                </pt>
                <pt idx="583">
                  <v>45425</v>
                </pt>
                <pt idx="584">
                  <v>45426</v>
                </pt>
                <pt idx="585">
                  <v>45427</v>
                </pt>
                <pt idx="586">
                  <v>45428</v>
                </pt>
                <pt idx="587">
                  <v>45429</v>
                </pt>
                <pt idx="588">
                  <v>45430</v>
                </pt>
                <pt idx="589">
                  <v>45433</v>
                </pt>
                <pt idx="590">
                  <v>45434</v>
                </pt>
                <pt idx="591">
                  <v>45435</v>
                </pt>
                <pt idx="592">
                  <v>45436</v>
                </pt>
                <pt idx="593">
                  <v>45439</v>
                </pt>
                <pt idx="594">
                  <v>45440</v>
                </pt>
                <pt idx="595">
                  <v>45441</v>
                </pt>
                <pt idx="596">
                  <v>45442</v>
                </pt>
                <pt idx="597">
                  <v>45443</v>
                </pt>
                <pt idx="598">
                  <v>45446</v>
                </pt>
                <pt idx="599">
                  <v>45447</v>
                </pt>
                <pt idx="600">
                  <v>45448</v>
                </pt>
                <pt idx="601">
                  <v>45449</v>
                </pt>
                <pt idx="602">
                  <v>45450</v>
                </pt>
                <pt idx="603">
                  <v>45453</v>
                </pt>
                <pt idx="604">
                  <v>45454</v>
                </pt>
                <pt idx="605">
                  <v>45455</v>
                </pt>
                <pt idx="606">
                  <v>45456</v>
                </pt>
                <pt idx="607">
                  <v>45457</v>
                </pt>
                <pt idx="608">
                  <v>45461</v>
                </pt>
                <pt idx="609">
                  <v>45462</v>
                </pt>
                <pt idx="610">
                  <v>45463</v>
                </pt>
                <pt idx="611">
                  <v>45464</v>
                </pt>
                <pt idx="612">
                  <v>45467</v>
                </pt>
                <pt idx="613">
                  <v>45468</v>
                </pt>
                <pt idx="614">
                  <v>45469</v>
                </pt>
                <pt idx="615">
                  <v>45470</v>
                </pt>
                <pt idx="616">
                  <v>45471</v>
                </pt>
                <pt idx="617">
                  <v>45474</v>
                </pt>
                <pt idx="618">
                  <v>45475</v>
                </pt>
                <pt idx="619">
                  <v>45476</v>
                </pt>
                <pt idx="620">
                  <v>45477</v>
                </pt>
                <pt idx="621">
                  <v>45478</v>
                </pt>
                <pt idx="622">
                  <v>45481</v>
                </pt>
                <pt idx="623">
                  <v>45482</v>
                </pt>
                <pt idx="624">
                  <v>45483</v>
                </pt>
                <pt idx="625">
                  <v>45484</v>
                </pt>
                <pt idx="626">
                  <v>45485</v>
                </pt>
                <pt idx="627">
                  <v>45488</v>
                </pt>
                <pt idx="628">
                  <v>45489</v>
                </pt>
                <pt idx="629">
                  <v>45491</v>
                </pt>
                <pt idx="630">
                  <v>45492</v>
                </pt>
                <pt idx="631">
                  <v>45495</v>
                </pt>
                <pt idx="632">
                  <v>45496</v>
                </pt>
                <pt idx="633">
                  <v>45497</v>
                </pt>
                <pt idx="634">
                  <v>45498</v>
                </pt>
                <pt idx="635">
                  <v>45499</v>
                </pt>
                <pt idx="636">
                  <v>45502</v>
                </pt>
                <pt idx="637">
                  <v>45503</v>
                </pt>
                <pt idx="638">
                  <v>45504</v>
                </pt>
                <pt idx="639">
                  <v>45505</v>
                </pt>
                <pt idx="640">
                  <v>45506</v>
                </pt>
                <pt idx="641">
                  <v>45509</v>
                </pt>
                <pt idx="642">
                  <v>45510</v>
                </pt>
                <pt idx="643">
                  <v>45511</v>
                </pt>
                <pt idx="644">
                  <v>45512</v>
                </pt>
                <pt idx="645">
                  <v>45513</v>
                </pt>
                <pt idx="646">
                  <v>45516</v>
                </pt>
                <pt idx="647">
                  <v>45517</v>
                </pt>
                <pt idx="648">
                  <v>45518</v>
                </pt>
                <pt idx="649">
                  <v>45520</v>
                </pt>
                <pt idx="650">
                  <v>45523</v>
                </pt>
                <pt idx="651">
                  <v>45524</v>
                </pt>
                <pt idx="652">
                  <v>45525</v>
                </pt>
                <pt idx="653">
                  <v>45526</v>
                </pt>
                <pt idx="654">
                  <v>45527</v>
                </pt>
                <pt idx="655">
                  <v>45530</v>
                </pt>
                <pt idx="656">
                  <v>45531</v>
                </pt>
                <pt idx="657">
                  <v>45532</v>
                </pt>
                <pt idx="658">
                  <v>45533</v>
                </pt>
                <pt idx="659">
                  <v>45534</v>
                </pt>
                <pt idx="660">
                  <v>45537</v>
                </pt>
                <pt idx="661">
                  <v>45538</v>
                </pt>
                <pt idx="662">
                  <v>45539</v>
                </pt>
                <pt idx="663">
                  <v>45540</v>
                </pt>
                <pt idx="664">
                  <v>45541</v>
                </pt>
                <pt idx="665">
                  <v>45544</v>
                </pt>
                <pt idx="666">
                  <v>45545</v>
                </pt>
                <pt idx="667">
                  <v>45546</v>
                </pt>
                <pt idx="668">
                  <v>45547</v>
                </pt>
                <pt idx="669">
                  <v>45548</v>
                </pt>
                <pt idx="670">
                  <v>45551</v>
                </pt>
                <pt idx="671">
                  <v>45552</v>
                </pt>
                <pt idx="672">
                  <v>45553</v>
                </pt>
                <pt idx="673">
                  <v>45554</v>
                </pt>
                <pt idx="674">
                  <v>45555</v>
                </pt>
                <pt idx="675">
                  <v>45558</v>
                </pt>
                <pt idx="676">
                  <v>45559</v>
                </pt>
                <pt idx="677">
                  <v>45560</v>
                </pt>
                <pt idx="678">
                  <v>45561</v>
                </pt>
                <pt idx="679">
                  <v>45562</v>
                </pt>
                <pt idx="680">
                  <v>45565</v>
                </pt>
                <pt idx="681">
                  <v>45566</v>
                </pt>
                <pt idx="682">
                  <v>45568</v>
                </pt>
                <pt idx="683">
                  <v>45569</v>
                </pt>
                <pt idx="684">
                  <v>45572</v>
                </pt>
                <pt idx="685">
                  <v>45573</v>
                </pt>
                <pt idx="686">
                  <v>45574</v>
                </pt>
                <pt idx="687">
                  <v>45575</v>
                </pt>
                <pt idx="688">
                  <v>45576</v>
                </pt>
                <pt idx="689">
                  <v>45579</v>
                </pt>
                <pt idx="690">
                  <v>45580</v>
                </pt>
                <pt idx="691">
                  <v>45581</v>
                </pt>
                <pt idx="692">
                  <v>45582</v>
                </pt>
                <pt idx="693">
                  <v>45583</v>
                </pt>
                <pt idx="694">
                  <v>45586</v>
                </pt>
                <pt idx="695">
                  <v>45587</v>
                </pt>
                <pt idx="696">
                  <v>45588</v>
                </pt>
                <pt idx="697">
                  <v>45589</v>
                </pt>
                <pt idx="698">
                  <v>45590</v>
                </pt>
                <pt idx="699">
                  <v>45593</v>
                </pt>
                <pt idx="700">
                  <v>45594</v>
                </pt>
                <pt idx="701">
                  <v>45595</v>
                </pt>
                <pt idx="702">
                  <v>45596</v>
                </pt>
                <pt idx="703">
                  <v>45597</v>
                </pt>
                <pt idx="704">
                  <v>45600</v>
                </pt>
                <pt idx="705">
                  <v>45601</v>
                </pt>
                <pt idx="706">
                  <v>45602</v>
                </pt>
                <pt idx="707">
                  <v>45603</v>
                </pt>
                <pt idx="708">
                  <v>45604</v>
                </pt>
                <pt idx="709">
                  <v>45607</v>
                </pt>
                <pt idx="710">
                  <v>45608</v>
                </pt>
                <pt idx="711">
                  <v>45609</v>
                </pt>
                <pt idx="712">
                  <v>45610</v>
                </pt>
                <pt idx="713">
                  <v>45614</v>
                </pt>
                <pt idx="714">
                  <v>45615</v>
                </pt>
                <pt idx="715">
                  <v>45617</v>
                </pt>
                <pt idx="716">
                  <v>45618</v>
                </pt>
                <pt idx="717">
                  <v>45621</v>
                </pt>
                <pt idx="718">
                  <v>45622</v>
                </pt>
                <pt idx="719">
                  <v>45623</v>
                </pt>
                <pt idx="720">
                  <v>45624</v>
                </pt>
                <pt idx="721">
                  <v>45625</v>
                </pt>
                <pt idx="722">
                  <v>45628</v>
                </pt>
                <pt idx="723">
                  <v>45629</v>
                </pt>
                <pt idx="724">
                  <v>45630</v>
                </pt>
                <pt idx="725">
                  <v>45631</v>
                </pt>
                <pt idx="726">
                  <v>45632</v>
                </pt>
                <pt idx="727">
                  <v>45635</v>
                </pt>
                <pt idx="728">
                  <v>45636</v>
                </pt>
                <pt idx="729">
                  <v>45637</v>
                </pt>
                <pt idx="730">
                  <v>45638</v>
                </pt>
                <pt idx="731">
                  <v>45639</v>
                </pt>
                <pt idx="732">
                  <v>45642</v>
                </pt>
                <pt idx="733">
                  <v>45643</v>
                </pt>
                <pt idx="734">
                  <v>45644</v>
                </pt>
                <pt idx="735">
                  <v>45645</v>
                </pt>
                <pt idx="736">
                  <v>45646</v>
                </pt>
                <pt idx="737">
                  <v>45649</v>
                </pt>
                <pt idx="738">
                  <v>45650</v>
                </pt>
                <pt idx="739">
                  <v>45652</v>
                </pt>
                <pt idx="740">
                  <v>45653</v>
                </pt>
                <pt idx="741">
                  <v>45656</v>
                </pt>
                <pt idx="742">
                  <v>45657</v>
                </pt>
                <pt idx="743">
                  <v>45658</v>
                </pt>
                <pt idx="744">
                  <v>45659</v>
                </pt>
                <pt idx="745">
                  <v>45660</v>
                </pt>
                <pt idx="746">
                  <v>45663</v>
                </pt>
                <pt idx="747">
                  <v>45664</v>
                </pt>
                <pt idx="748">
                  <v>45665</v>
                </pt>
                <pt idx="749">
                  <v>45666</v>
                </pt>
                <pt idx="750">
                  <v>45667</v>
                </pt>
                <pt idx="751">
                  <v>45670</v>
                </pt>
                <pt idx="752">
                  <v>45671</v>
                </pt>
                <pt idx="753">
                  <v>45672</v>
                </pt>
                <pt idx="754">
                  <v>45673</v>
                </pt>
                <pt idx="755">
                  <v>45674</v>
                </pt>
                <pt idx="756">
                  <v>45677</v>
                </pt>
                <pt idx="757">
                  <v>45678</v>
                </pt>
                <pt idx="758">
                  <v>45679</v>
                </pt>
                <pt idx="759">
                  <v>45680</v>
                </pt>
                <pt idx="760">
                  <v>45681</v>
                </pt>
                <pt idx="761">
                  <v>45684</v>
                </pt>
                <pt idx="762">
                  <v>45685</v>
                </pt>
                <pt idx="763">
                  <v>45686</v>
                </pt>
                <pt idx="764">
                  <v>45687</v>
                </pt>
                <pt idx="765">
                  <v>45688</v>
                </pt>
                <pt idx="766">
                  <v>45689</v>
                </pt>
                <pt idx="767">
                  <v>45691</v>
                </pt>
                <pt idx="768">
                  <v>45692</v>
                </pt>
                <pt idx="769">
                  <v>45693</v>
                </pt>
                <pt idx="770">
                  <v>45694</v>
                </pt>
                <pt idx="771">
                  <v>45695</v>
                </pt>
                <pt idx="772">
                  <v>45698</v>
                </pt>
                <pt idx="773">
                  <v>45699</v>
                </pt>
                <pt idx="774">
                  <v>45700</v>
                </pt>
                <pt idx="775">
                  <v>45701</v>
                </pt>
                <pt idx="776">
                  <v>45702</v>
                </pt>
                <pt idx="777">
                  <v>45705</v>
                </pt>
                <pt idx="778">
                  <v>45706</v>
                </pt>
                <pt idx="779">
                  <v>45707</v>
                </pt>
                <pt idx="780">
                  <v>45708</v>
                </pt>
                <pt idx="781">
                  <v>45709</v>
                </pt>
                <pt idx="782">
                  <v>45712</v>
                </pt>
                <pt idx="783">
                  <v>45713</v>
                </pt>
                <pt idx="784">
                  <v>45715</v>
                </pt>
                <pt idx="785">
                  <v>45716</v>
                </pt>
                <pt idx="786">
                  <v>45719</v>
                </pt>
                <pt idx="787">
                  <v>45720</v>
                </pt>
                <pt idx="788">
                  <v>45721</v>
                </pt>
                <pt idx="789">
                  <v>45722</v>
                </pt>
                <pt idx="790">
                  <v>45723</v>
                </pt>
                <pt idx="791">
                  <v>45726</v>
                </pt>
                <pt idx="792">
                  <v>45727</v>
                </pt>
                <pt idx="793">
                  <v>45728</v>
                </pt>
                <pt idx="794">
                  <v>45729</v>
                </pt>
                <pt idx="795">
                  <v>45733</v>
                </pt>
                <pt idx="796">
                  <v>45734</v>
                </pt>
                <pt idx="797">
                  <v>45735</v>
                </pt>
                <pt idx="798">
                  <v>45736</v>
                </pt>
                <pt idx="799">
                  <v>45737</v>
                </pt>
                <pt idx="800">
                  <v>45740</v>
                </pt>
                <pt idx="801">
                  <v>45741</v>
                </pt>
                <pt idx="802">
                  <v>45742</v>
                </pt>
                <pt idx="803">
                  <v>45743</v>
                </pt>
                <pt idx="804">
                  <v>45744</v>
                </pt>
              </numCache>
            </numRef>
          </cat>
          <val>
            <numRef>
              <f>'EVI 2025 Workings'!$G$2:$G$806</f>
              <numCache>
                <formatCode>0.00</formatCode>
                <ptCount val="805"/>
                <pt idx="0">
                  <v>114.2341885875649</v>
                </pt>
                <pt idx="1">
                  <v>114.8598790485571</v>
                </pt>
                <pt idx="2">
                  <v>114.6945148799204</v>
                </pt>
                <pt idx="3">
                  <v>114.9997859630887</v>
                </pt>
                <pt idx="4">
                  <v>115.6752890050788</v>
                </pt>
                <pt idx="5">
                  <v>117.0384869550209</v>
                </pt>
                <pt idx="6">
                  <v>117.6205922148083</v>
                </pt>
                <pt idx="7">
                  <v>118.5230066502237</v>
                </pt>
                <pt idx="8">
                  <v>118.6350296497217</v>
                </pt>
                <pt idx="9">
                  <v>118.5032304224209</v>
                </pt>
                <pt idx="10">
                  <v>118.9973147354149</v>
                </pt>
                <pt idx="11">
                  <v>116.9119405697102</v>
                </pt>
                <pt idx="12">
                  <v>116.4802112172852</v>
                </pt>
                <pt idx="13">
                  <v>115.7939426144383</v>
                </pt>
                <pt idx="14">
                  <v>114.3749133497936</v>
                </pt>
                <pt idx="15">
                  <v>110.1270825696107</v>
                </pt>
                <pt idx="16">
                  <v>110.8785568469764</v>
                </pt>
                <pt idx="17">
                  <v>109.083607854</v>
                </pt>
                <pt idx="18">
                  <v>109.7897601563575</v>
                </pt>
                <pt idx="19">
                  <v>111.8779143084368</v>
                </pt>
                <pt idx="20">
                  <v>112.8776811780622</v>
                </pt>
                <pt idx="21">
                  <v>114.1559455709797</v>
                </pt>
                <pt idx="22">
                  <v>113.5136029070564</v>
                </pt>
                <pt idx="23">
                  <v>113.1830156748251</v>
                </pt>
                <pt idx="24">
                  <v>111.9133898160772</v>
                </pt>
                <pt idx="25">
                  <v>111.6753396099447</v>
                </pt>
                <pt idx="26">
                  <v>112.467314390033</v>
                </pt>
                <pt idx="27">
                  <v>112.5667495150864</v>
                </pt>
                <pt idx="28">
                  <v>110.5316412393288</v>
                </pt>
                <pt idx="29">
                  <v>106.4652094061876</v>
                </pt>
                <pt idx="30">
                  <v>109.8919485870339</v>
                </pt>
                <pt idx="31">
                  <v>110.2300693754111</v>
                </pt>
                <pt idx="32">
                  <v>110.0310954358955</v>
                </pt>
                <pt idx="33">
                  <v>110.0442798101807</v>
                </pt>
                <pt idx="34">
                  <v>108.96403521352</v>
                </pt>
                <pt idx="35">
                  <v>107.7181263951583</v>
                </pt>
                <pt idx="36">
                  <v>108.0795947572533</v>
                </pt>
                <pt idx="37">
                  <v>101.0823149229942</v>
                </pt>
                <pt idx="38">
                  <v>105.0536528875961</v>
                </pt>
                <pt idx="39">
                  <v>105.426308905991</v>
                </pt>
                <pt idx="40">
                  <v>104.7324076358161</v>
                </pt>
                <pt idx="41">
                  <v>104.2809248107997</v>
                </pt>
                <pt idx="42">
                  <v>101.8859392674825</v>
                </pt>
                <pt idx="43">
                  <v>98.81602425302984</v>
                </pt>
                <pt idx="44">
                  <v>99.97170510464279</v>
                </pt>
                <pt idx="45">
                  <v>102.5872399454609</v>
                </pt>
                <pt idx="46">
                  <v>104.1999248044772</v>
                </pt>
                <pt idx="47">
                  <v>104.2943886710255</v>
                </pt>
                <pt idx="48">
                  <v>104.9623586476388</v>
                </pt>
                <pt idx="49">
                  <v>103.9512571650773</v>
                </pt>
                <pt idx="50">
                  <v>106.1435032332315</v>
                </pt>
                <pt idx="51">
                  <v>108.2285752896027</v>
                </pt>
                <pt idx="52">
                  <v>106.842749079959</v>
                </pt>
                <pt idx="53">
                  <v>107.8568215434064</v>
                </pt>
                <pt idx="54">
                  <v>107.2642587946171</v>
                </pt>
                <pt idx="55">
                  <v>107.7658375393288</v>
                </pt>
                <pt idx="56">
                  <v>107.5072520055437</v>
                </pt>
                <pt idx="57">
                  <v>107.9321264084993</v>
                </pt>
                <pt idx="58">
                  <v>109.1189589546822</v>
                </pt>
                <pt idx="59">
                  <v>109.8409374963466</v>
                </pt>
                <pt idx="60">
                  <v>109.7128175056762</v>
                </pt>
                <pt idx="61">
                  <v>111.2021634745603</v>
                </pt>
                <pt idx="62">
                  <v>113.9011551023547</v>
                </pt>
                <pt idx="63">
                  <v>114.4210510189089</v>
                </pt>
                <pt idx="64">
                  <v>113.6330322337107</v>
                </pt>
                <pt idx="65">
                  <v>112.7485366882503</v>
                </pt>
                <pt idx="66">
                  <v>113.8628005275897</v>
                </pt>
                <pt idx="67">
                  <v>114.4917487977959</v>
                </pt>
                <pt idx="68">
                  <v>112.809124838492</v>
                </pt>
                <pt idx="69">
                  <v>112.7700292996375</v>
                </pt>
                <pt idx="70">
                  <v>111.4409810045708</v>
                </pt>
                <pt idx="71">
                  <v>109.9581204853781</v>
                </pt>
                <pt idx="72">
                  <v>110.9785323183471</v>
                </pt>
                <pt idx="73">
                  <v>112.4571436324403</v>
                </pt>
                <pt idx="74">
                  <v>111.2509828679503</v>
                </pt>
                <pt idx="75">
                  <v>109.0508498952449</v>
                </pt>
                <pt idx="76">
                  <v>110.8997555493024</v>
                </pt>
                <pt idx="77">
                  <v>109.9240759557826</v>
                </pt>
                <pt idx="78">
                  <v>110.9019863489682</v>
                </pt>
                <pt idx="79">
                  <v>110.0535837400633</v>
                </pt>
                <pt idx="80">
                  <v>109.6709684524027</v>
                </pt>
                <pt idx="81">
                  <v>107.3791444777749</v>
                </pt>
                <pt idx="82">
                  <v>107.0657405102417</v>
                </pt>
                <pt idx="83">
                  <v>104.5797879326588</v>
                </pt>
                <pt idx="84">
                  <v>102.7118612435909</v>
                </pt>
                <pt idx="85">
                  <v>101.4520712449692</v>
                </pt>
                <pt idx="86">
                  <v>100.3213214375569</v>
                </pt>
                <pt idx="87">
                  <v>98.10128674115404</v>
                </pt>
                <pt idx="88">
                  <v>98.22169535152248</v>
                </pt>
                <pt idx="89">
                  <v>98.6386030496986</v>
                </pt>
                <pt idx="90">
                  <v>104.0124061620467</v>
                </pt>
                <pt idx="91">
                  <v>103.6639184991995</v>
                </pt>
                <pt idx="92">
                  <v>101.4483925485793</v>
                </pt>
                <pt idx="93">
                  <v>103.1874490367033</v>
                </pt>
                <pt idx="94">
                  <v>103.1509130040093</v>
                </pt>
                <pt idx="95">
                  <v>102.5827018179264</v>
                </pt>
                <pt idx="96">
                  <v>100.9470396434893</v>
                </pt>
                <pt idx="97">
                  <v>101.716633702567</v>
                </pt>
                <pt idx="98">
                  <v>102.8052075669465</v>
                </pt>
                <pt idx="99">
                  <v>105.0427444103463</v>
                </pt>
                <pt idx="100">
                  <v>104.9940069596597</v>
                </pt>
                <pt idx="101">
                  <v>104.4636356426204</v>
                </pt>
                <pt idx="102">
                  <v>105.4847244702703</v>
                </pt>
                <pt idx="103">
                  <v>104.4053033343623</v>
                </pt>
                <pt idx="104">
                  <v>103.8681547010225</v>
                </pt>
                <pt idx="105">
                  <v>102.9972657433006</v>
                </pt>
                <pt idx="106">
                  <v>102.858460219196</v>
                </pt>
                <pt idx="107">
                  <v>103.2964630378896</v>
                </pt>
                <pt idx="108">
                  <v>101.6026103309719</v>
                </pt>
                <pt idx="109">
                  <v>98.92680207834189</v>
                </pt>
                <pt idx="110">
                  <v>98.8593553286394</v>
                </pt>
                <pt idx="111">
                  <v>98.72028494354385</v>
                </pt>
                <pt idx="112">
                  <v>96.72437662500901</v>
                </pt>
                <pt idx="113">
                  <v>95.75717917327108</v>
                </pt>
                <pt idx="114">
                  <v>94.99341703727491</v>
                </pt>
                <pt idx="115">
                  <v>97.09891711378975</v>
                </pt>
                <pt idx="116">
                  <v>95.65457913590976</v>
                </pt>
                <pt idx="117">
                  <v>96.66499201819477</v>
                </pt>
                <pt idx="118">
                  <v>98.74386450347254</v>
                </pt>
                <pt idx="119">
                  <v>98.31442381164571</v>
                </pt>
                <pt idx="120">
                  <v>97.86197197722252</v>
                </pt>
                <pt idx="121">
                  <v>97.68594415350863</v>
                </pt>
                <pt idx="122">
                  <v>97.37916223315804</v>
                </pt>
                <pt idx="123">
                  <v>97.41772716761307</v>
                </pt>
                <pt idx="124">
                  <v>97.96091543432313</v>
                </pt>
                <pt idx="125">
                  <v>97.57551174808154</v>
                </pt>
                <pt idx="126">
                  <v>99.09011218378684</v>
                </pt>
                <pt idx="127">
                  <v>99.83994338301432</v>
                </pt>
                <pt idx="128">
                  <v>100.1197831120833</v>
                </pt>
                <pt idx="129">
                  <v>100.5836519886211</v>
                </pt>
                <pt idx="130">
                  <v>100.0179134546855</v>
                </pt>
                <pt idx="131">
                  <v>99.40645976779325</v>
                </pt>
                <pt idx="132">
                  <v>98.95153292401659</v>
                </pt>
                <pt idx="133">
                  <v>99.6287883366187</v>
                </pt>
                <pt idx="134">
                  <v>100.6682091176224</v>
                </pt>
                <pt idx="135">
                  <v>101.3326047853922</v>
                </pt>
                <pt idx="136">
                  <v>101.8304621896799</v>
                </pt>
                <pt idx="137">
                  <v>102.8868203196451</v>
                </pt>
                <pt idx="138">
                  <v>103.1627830986272</v>
                </pt>
                <pt idx="139">
                  <v>102.9416096011539</v>
                </pt>
                <pt idx="140">
                  <v>101.7562113518442</v>
                </pt>
                <pt idx="141">
                  <v>102.5989239008623</v>
                </pt>
                <pt idx="142">
                  <v>104.2331423458295</v>
                </pt>
                <pt idx="143">
                  <v>106.0065839846117</v>
                </pt>
                <pt idx="144">
                  <v>107.9471764745693</v>
                </pt>
                <pt idx="145">
                  <v>108.8960137369507</v>
                </pt>
                <pt idx="146">
                  <v>108.0944848148336</v>
                </pt>
                <pt idx="147">
                  <v>108.1372449361833</v>
                </pt>
                <pt idx="148">
                  <v>107.8442080015519</v>
                </pt>
                <pt idx="149">
                  <v>108.122652342655</v>
                </pt>
                <pt idx="150">
                  <v>108.6501834550982</v>
                </pt>
                <pt idx="151">
                  <v>108.6784080539552</v>
                </pt>
                <pt idx="152">
                  <v>108.9403262598323</v>
                </pt>
                <pt idx="153">
                  <v>110.63098134292</v>
                </pt>
                <pt idx="154">
                  <v>111.2404730867319</v>
                </pt>
                <pt idx="155">
                  <v>110.9551365366929</v>
                </pt>
                <pt idx="156">
                  <v>109.6352609707499</v>
                </pt>
                <pt idx="157">
                  <v>108.213833475143</v>
                </pt>
                <pt idx="158">
                  <v>108.8352629516835</v>
                </pt>
                <pt idx="159">
                  <v>109.1043061864862</v>
                </pt>
                <pt idx="160">
                  <v>108.9815735195614</v>
                </pt>
                <pt idx="161">
                  <v>109.0945199210533</v>
                </pt>
                <pt idx="162">
                  <v>108.271644930827</v>
                </pt>
                <pt idx="163">
                  <v>111.1742299221195</v>
                </pt>
                <pt idx="164">
                  <v>110.4575459941346</v>
                </pt>
                <pt idx="165">
                  <v>110.0257810573829</v>
                </pt>
                <pt idx="166">
                  <v>110.6301122465399</v>
                </pt>
                <pt idx="167">
                  <v>110.8483790774325</v>
                </pt>
                <pt idx="168">
                  <v>110.9034637145012</v>
                </pt>
                <pt idx="169">
                  <v>111.933569141378</v>
                </pt>
                <pt idx="170">
                  <v>112.2144468075995</v>
                </pt>
                <pt idx="171">
                  <v>112.9387185967846</v>
                </pt>
                <pt idx="172">
                  <v>113.8394045815772</v>
                </pt>
                <pt idx="173">
                  <v>113.535572836119</v>
                </pt>
                <pt idx="174">
                  <v>112.9520594817395</v>
                </pt>
                <pt idx="175">
                  <v>110.6745137951284</v>
                </pt>
                <pt idx="176">
                  <v>111.0081503055277</v>
                </pt>
                <pt idx="177">
                  <v>112.1801946574101</v>
                </pt>
                <pt idx="178">
                  <v>110.9711454936319</v>
                </pt>
                <pt idx="179">
                  <v>109.8122895780484</v>
                </pt>
                <pt idx="180">
                  <v>107.6609023498581</v>
                </pt>
                <pt idx="181">
                  <v>104.4235943588792</v>
                </pt>
                <pt idx="182">
                  <v>104.4802648651136</v>
                </pt>
                <pt idx="183">
                  <v>103.6198004728001</v>
                </pt>
                <pt idx="184">
                  <v>103.4721886184509</v>
                </pt>
                <pt idx="185">
                  <v>105.3471174647779</v>
                </pt>
                <pt idx="186">
                  <v>103.416758834099</v>
                </pt>
                <pt idx="187">
                  <v>105.9385564003427</v>
                </pt>
                <pt idx="188">
                  <v>105.8970383546773</v>
                </pt>
                <pt idx="189">
                  <v>105.7209912666168</v>
                </pt>
                <pt idx="190">
                  <v>104.9396422265286</v>
                </pt>
                <pt idx="191">
                  <v>103.6858960825394</v>
                </pt>
                <pt idx="192">
                  <v>104.1214146904263</v>
                </pt>
                <pt idx="193">
                  <v>103.586648681474</v>
                </pt>
                <pt idx="194">
                  <v>103.6143583916694</v>
                </pt>
                <pt idx="195">
                  <v>104.1679432260972</v>
                </pt>
                <pt idx="196">
                  <v>105.1438941656659</v>
                </pt>
                <pt idx="197">
                  <v>104.3591501653301</v>
                </pt>
                <pt idx="198">
                  <v>104.8264487924773</v>
                </pt>
                <pt idx="199">
                  <v>104.9432954407346</v>
                </pt>
                <pt idx="200">
                  <v>105.5164183984775</v>
                </pt>
                <pt idx="201">
                  <v>105.5071261707264</v>
                </pt>
                <pt idx="202">
                  <v>106.0270352705345</v>
                </pt>
                <pt idx="203">
                  <v>105.9501107391744</v>
                </pt>
                <pt idx="204">
                  <v>106.6024200808217</v>
                </pt>
                <pt idx="205">
                  <v>107.7411139673397</v>
                </pt>
                <pt idx="206">
                  <v>107.4615061861462</v>
                </pt>
                <pt idx="207">
                  <v>107.1606206850096</v>
                </pt>
                <pt idx="208">
                  <v>109.0203475035141</v>
                </pt>
                <pt idx="209">
                  <v>109.6623773905757</v>
                </pt>
                <pt idx="210">
                  <v>110.093985997071</v>
                </pt>
                <pt idx="211">
                  <v>108.7141761256919</v>
                </pt>
                <pt idx="212">
                  <v>111.6493661254326</v>
                </pt>
                <pt idx="213">
                  <v>111.0444983541352</v>
                </pt>
                <pt idx="214">
                  <v>111.0716895846127</v>
                </pt>
                <pt idx="215">
                  <v>110.1793491542117</v>
                </pt>
                <pt idx="216">
                  <v>109.6986116158455</v>
                </pt>
                <pt idx="217">
                  <v>109.2170981319556</v>
                </pt>
                <pt idx="218">
                  <v>108.5350260024613</v>
                </pt>
                <pt idx="219">
                  <v>108.8145233180205</v>
                </pt>
                <pt idx="220">
                  <v>109.0763328104694</v>
                </pt>
                <pt idx="221">
                  <v>109.5817939317999</v>
                </pt>
                <pt idx="222">
                  <v>109.9692464768512</v>
                </pt>
                <pt idx="223">
                  <v>110.7388382790029</v>
                </pt>
                <pt idx="224">
                  <v>110.9685835026827</v>
                </pt>
                <pt idx="225">
                  <v>112.1886563266521</v>
                </pt>
                <pt idx="226">
                  <v>113.0693626764726</v>
                </pt>
                <pt idx="227">
                  <v>112.5386896640714</v>
                </pt>
                <pt idx="228">
                  <v>112.1826966851354</v>
                </pt>
                <pt idx="229">
                  <v>111.2187163239267</v>
                </pt>
                <pt idx="230">
                  <v>111.2289474391152</v>
                </pt>
                <pt idx="231">
                  <v>111.3994058910943</v>
                </pt>
                <pt idx="232">
                  <v>110.6962936337777</v>
                </pt>
                <pt idx="233">
                  <v>110.4001301457487</v>
                </pt>
                <pt idx="234">
                  <v>111.3993744085413</v>
                </pt>
                <pt idx="235">
                  <v>111.7379395011818</v>
                </pt>
                <pt idx="236">
                  <v>110.184707055675</v>
                </pt>
                <pt idx="237">
                  <v>109.2249370420241</v>
                </pt>
                <pt idx="238">
                  <v>110.1803902220417</v>
                </pt>
                <pt idx="239">
                  <v>110.0950912382276</v>
                </pt>
                <pt idx="240">
                  <v>108.0277330380741</v>
                </pt>
                <pt idx="241">
                  <v>107.0142041392758</v>
                </pt>
                <pt idx="242">
                  <v>104.0287196194085</v>
                </pt>
                <pt idx="243">
                  <v>106.3340955456192</v>
                </pt>
                <pt idx="244">
                  <v>107.1283702204851</v>
                </pt>
                <pt idx="245">
                  <v>107.5194365312115</v>
                </pt>
                <pt idx="246">
                  <v>107.9639545588838</v>
                </pt>
                <pt idx="247">
                  <v>108.0258468359099</v>
                </pt>
                <pt idx="248">
                  <v>102.659144956869</v>
                </pt>
                <pt idx="249">
                  <v>102.9604632870443</v>
                </pt>
                <pt idx="250">
                  <v>102.0707182384303</v>
                </pt>
                <pt idx="251">
                  <v>102.2493112923753</v>
                </pt>
                <pt idx="252">
                  <v>101.8042030155531</v>
                </pt>
                <pt idx="253">
                  <v>103.0781770592093</v>
                </pt>
                <pt idx="254">
                  <v>103.0297865086333</v>
                </pt>
                <pt idx="255">
                  <v>102.8187408784815</v>
                </pt>
                <pt idx="256">
                  <v>103.3527612860482</v>
                </pt>
                <pt idx="257">
                  <v>103.6166274312493</v>
                </pt>
                <pt idx="258">
                  <v>102.9426252710961</v>
                </pt>
                <pt idx="259">
                  <v>103.3889890496068</v>
                </pt>
                <pt idx="260">
                  <v>103.9618557384981</v>
                </pt>
                <pt idx="261">
                  <v>103.8731660750899</v>
                </pt>
                <pt idx="262">
                  <v>103.6468783905593</v>
                </pt>
                <pt idx="263">
                  <v>103.2070749602912</v>
                </pt>
                <pt idx="264">
                  <v>102.9128521749629</v>
                </pt>
                <pt idx="265">
                  <v>101.5922817010786</v>
                </pt>
                <pt idx="266">
                  <v>99.06617318266963</v>
                </pt>
                <pt idx="267">
                  <v>98.60679437698653</v>
                </pt>
                <pt idx="268">
                  <v>99.01969079111964</v>
                </pt>
                <pt idx="269">
                  <v>97.68750954635848</v>
                </pt>
                <pt idx="270">
                  <v>97.02243922409166</v>
                </pt>
                <pt idx="271">
                  <v>97.19835105494425</v>
                </pt>
                <pt idx="272">
                  <v>96.47794623690828</v>
                </pt>
                <pt idx="273">
                  <v>96.18855501637358</v>
                </pt>
                <pt idx="274">
                  <v>97.36097541331455</v>
                </pt>
                <pt idx="275">
                  <v>97.43163726875258</v>
                </pt>
                <pt idx="276">
                  <v>97.37500482076345</v>
                </pt>
                <pt idx="277">
                  <v>96.37372295803944</v>
                </pt>
                <pt idx="278">
                  <v>96.10855385357617</v>
                </pt>
                <pt idx="279">
                  <v>96.74389141903775</v>
                </pt>
                <pt idx="280">
                  <v>97.16500388878966</v>
                </pt>
                <pt idx="281">
                  <v>96.62383034675564</v>
                </pt>
                <pt idx="282">
                  <v>96.32985226245121</v>
                </pt>
                <pt idx="283">
                  <v>95.89107010206031</v>
                </pt>
                <pt idx="284">
                  <v>94.98997313324719</v>
                </pt>
                <pt idx="285">
                  <v>94.43408147803405</v>
                </pt>
                <pt idx="286">
                  <v>93.97452725514664</v>
                </pt>
                <pt idx="287">
                  <v>93.46154050076298</v>
                </pt>
                <pt idx="288">
                  <v>93.44020863735534</v>
                </pt>
                <pt idx="289">
                  <v>94.83915575585617</v>
                </pt>
                <pt idx="290">
                  <v>94.58501438164369</v>
                </pt>
                <pt idx="291">
                  <v>96.61927065212623</v>
                </pt>
                <pt idx="292">
                  <v>97.18140095269891</v>
                </pt>
                <pt idx="293">
                  <v>97.3327574330908</v>
                </pt>
                <pt idx="294">
                  <v>96.57844104277441</v>
                </pt>
                <pt idx="295">
                  <v>96.16219619326499</v>
                </pt>
                <pt idx="296">
                  <v>94.23548575981819</v>
                </pt>
                <pt idx="297">
                  <v>93.43992493756896</v>
                </pt>
                <pt idx="298">
                  <v>92.55595134847002</v>
                </pt>
                <pt idx="299">
                  <v>92.88564989142883</v>
                </pt>
                <pt idx="300">
                  <v>93.54161513084121</v>
                </pt>
                <pt idx="301">
                  <v>92.77912220499729</v>
                </pt>
                <pt idx="302">
                  <v>93.14345289399138</v>
                </pt>
                <pt idx="303">
                  <v>93.73075057440073</v>
                </pt>
                <pt idx="304">
                  <v>93.73111654423977</v>
                </pt>
                <pt idx="305">
                  <v>92.69113346180552</v>
                </pt>
                <pt idx="306">
                  <v>91.90094930229272</v>
                </pt>
                <pt idx="307">
                  <v>91.91495392696976</v>
                </pt>
                <pt idx="308">
                  <v>92.74584573488245</v>
                </pt>
                <pt idx="309">
                  <v>93.84260609077302</v>
                </pt>
                <pt idx="310">
                  <v>94.36422562936625</v>
                </pt>
                <pt idx="311">
                  <v>95.13309647401923</v>
                </pt>
                <pt idx="312">
                  <v>95.70891801976447</v>
                </pt>
                <pt idx="313">
                  <v>95.91520487341289</v>
                </pt>
                <pt idx="314">
                  <v>96.3419894918387</v>
                </pt>
                <pt idx="315">
                  <v>96.89642483299357</v>
                </pt>
                <pt idx="316">
                  <v>97.36522225370391</v>
                </pt>
                <pt idx="317">
                  <v>96.89416199490353</v>
                </pt>
                <pt idx="318">
                  <v>96.82987107590702</v>
                </pt>
                <pt idx="319">
                  <v>96.35985774990836</v>
                </pt>
                <pt idx="320">
                  <v>96.56746890244345</v>
                </pt>
                <pt idx="321">
                  <v>96.5393082982018</v>
                </pt>
                <pt idx="322">
                  <v>97.09941999581105</v>
                </pt>
                <pt idx="323">
                  <v>97.3714671153748</v>
                </pt>
                <pt idx="324">
                  <v>97.8940415003524</v>
                </pt>
                <pt idx="325">
                  <v>98.43271121440172</v>
                </pt>
                <pt idx="326">
                  <v>99.42738418772511</v>
                </pt>
                <pt idx="327">
                  <v>99.94558933771508</v>
                </pt>
                <pt idx="328">
                  <v>99.77498668127254</v>
                </pt>
                <pt idx="329">
                  <v>100.6679386691558</v>
                </pt>
                <pt idx="330">
                  <v>100.1554561464404</v>
                </pt>
                <pt idx="331">
                  <v>100.8738967508063</v>
                </pt>
                <pt idx="332">
                  <v>100.574780191612</v>
                </pt>
                <pt idx="333">
                  <v>101.116509357972</v>
                </pt>
                <pt idx="334">
                  <v>101.2060824031869</v>
                </pt>
                <pt idx="335">
                  <v>101.0474540041668</v>
                </pt>
                <pt idx="336">
                  <v>101.2749958707012</v>
                </pt>
                <pt idx="337">
                  <v>101.0525385109463</v>
                </pt>
                <pt idx="338">
                  <v>100.5308874438487</v>
                </pt>
                <pt idx="339">
                  <v>99.65788587286006</v>
                </pt>
                <pt idx="340">
                  <v>99.7030209517154</v>
                </pt>
                <pt idx="341">
                  <v>100.4952739681602</v>
                </pt>
                <pt idx="342">
                  <v>100.8941106131782</v>
                </pt>
                <pt idx="343">
                  <v>100.9789210834662</v>
                </pt>
                <pt idx="344">
                  <v>101.2065425561663</v>
                </pt>
                <pt idx="345">
                  <v>102.3442728177295</v>
                </pt>
                <pt idx="346">
                  <v>102.6323493816941</v>
                </pt>
                <pt idx="347">
                  <v>102.5854687607209</v>
                </pt>
                <pt idx="348">
                  <v>102.4994035988418</v>
                </pt>
                <pt idx="349">
                  <v>103.1664675528267</v>
                </pt>
                <pt idx="350">
                  <v>103.3830130483779</v>
                </pt>
                <pt idx="351">
                  <v>103.498403317875</v>
                </pt>
                <pt idx="352">
                  <v>103.7305711655032</v>
                </pt>
                <pt idx="353">
                  <v>104.5099654011747</v>
                </pt>
                <pt idx="354">
                  <v>104.0923558492697</v>
                </pt>
                <pt idx="355">
                  <v>103.8764523090515</v>
                </pt>
                <pt idx="356">
                  <v>104.3578847237293</v>
                </pt>
                <pt idx="357">
                  <v>105.3478554079517</v>
                </pt>
                <pt idx="358">
                  <v>105.892514645204</v>
                </pt>
                <pt idx="359">
                  <v>105.5695698023377</v>
                </pt>
                <pt idx="360">
                  <v>106.7773628135722</v>
                </pt>
                <pt idx="361">
                  <v>106.6518148240606</v>
                </pt>
                <pt idx="362">
                  <v>106.95396912996</v>
                </pt>
                <pt idx="363">
                  <v>107.3138126285453</v>
                </pt>
                <pt idx="364">
                  <v>106.5242895832005</v>
                </pt>
                <pt idx="365">
                  <v>105.4736566982118</v>
                </pt>
                <pt idx="366">
                  <v>105.8795038228402</v>
                </pt>
                <pt idx="367">
                  <v>106.4435453131998</v>
                </pt>
                <pt idx="368">
                  <v>107.1093988361048</v>
                </pt>
                <pt idx="369">
                  <v>107.9991108412136</v>
                </pt>
                <pt idx="370">
                  <v>108.6825774592986</v>
                </pt>
                <pt idx="371">
                  <v>108.8609106772702</v>
                </pt>
                <pt idx="372">
                  <v>108.7393566455862</v>
                </pt>
                <pt idx="373">
                  <v>108.9311061730622</v>
                </pt>
                <pt idx="374">
                  <v>108.4118087326351</v>
                </pt>
                <pt idx="375">
                  <v>108.4023412867799</v>
                </pt>
                <pt idx="376">
                  <v>109.2594559186106</v>
                </pt>
                <pt idx="377">
                  <v>109.9460250588968</v>
                </pt>
                <pt idx="378">
                  <v>109.5533905193681</v>
                </pt>
                <pt idx="379">
                  <v>110.5686740359635</v>
                </pt>
                <pt idx="380">
                  <v>112.318599022921</v>
                </pt>
                <pt idx="381">
                  <v>112.1987046973274</v>
                </pt>
                <pt idx="382">
                  <v>112.7503342155766</v>
                </pt>
                <pt idx="383">
                  <v>112.5488839341734</v>
                </pt>
                <pt idx="384">
                  <v>111.9652522093121</v>
                </pt>
                <pt idx="385">
                  <v>112.0911477336389</v>
                </pt>
                <pt idx="386">
                  <v>112.2675289891411</v>
                </pt>
                <pt idx="387">
                  <v>112.6017500295958</v>
                </pt>
                <pt idx="388">
                  <v>112.1529665609869</v>
                </pt>
                <pt idx="389">
                  <v>112.326083823161</v>
                </pt>
                <pt idx="390">
                  <v>113.1878447862826</v>
                </pt>
                <pt idx="391">
                  <v>113.128735893039</v>
                </pt>
                <pt idx="392">
                  <v>111.3395104015761</v>
                </pt>
                <pt idx="393">
                  <v>110.9364291653515</v>
                </pt>
                <pt idx="394">
                  <v>111.6968992262054</v>
                </pt>
                <pt idx="395">
                  <v>112.0201340163986</v>
                </pt>
                <pt idx="396">
                  <v>111.8754857949634</v>
                </pt>
                <pt idx="397">
                  <v>112.2353920634549</v>
                </pt>
                <pt idx="398">
                  <v>112.2525680527662</v>
                </pt>
                <pt idx="399">
                  <v>111.6652452540051</v>
                </pt>
                <pt idx="400">
                  <v>110.9231679902962</v>
                </pt>
                <pt idx="401">
                  <v>111.0585932266868</v>
                </pt>
                <pt idx="402">
                  <v>111.0733656231711</v>
                </pt>
                <pt idx="403">
                  <v>110.8770012099713</v>
                </pt>
                <pt idx="404">
                  <v>112.1900715103026</v>
                </pt>
                <pt idx="405">
                  <v>112.7841291016018</v>
                </pt>
                <pt idx="406">
                  <v>113.7601202713704</v>
                </pt>
                <pt idx="407">
                  <v>113.5311853905575</v>
                </pt>
                <pt idx="408">
                  <v>112.794562128243</v>
                </pt>
                <pt idx="409">
                  <v>113.2166824111886</v>
                </pt>
                <pt idx="410">
                  <v>113.6538617798738</v>
                </pt>
                <pt idx="411">
                  <v>113.9884819847494</v>
                </pt>
                <pt idx="412">
                  <v>113.5827222696531</v>
                </pt>
                <pt idx="413">
                  <v>114.6087100058488</v>
                </pt>
                <pt idx="414">
                  <v>115.5278653522377</v>
                </pt>
                <pt idx="415">
                  <v>115.6757638400794</v>
                </pt>
                <pt idx="416">
                  <v>115.7045355982439</v>
                </pt>
                <pt idx="417">
                  <v>116.3775775123181</v>
                </pt>
                <pt idx="418">
                  <v>117.2366737637116</v>
                </pt>
                <pt idx="419">
                  <v>118.5833809480943</v>
                </pt>
                <pt idx="420">
                  <v>116.6288872355182</v>
                </pt>
                <pt idx="421">
                  <v>117.0885159395354</v>
                </pt>
                <pt idx="422">
                  <v>117.6666723843737</v>
                </pt>
                <pt idx="423">
                  <v>118.0361928259018</v>
                </pt>
                <pt idx="424">
                  <v>117.5810489165796</v>
                </pt>
                <pt idx="425">
                  <v>117.1939279362954</v>
                </pt>
                <pt idx="426">
                  <v>115.9999620669217</v>
                </pt>
                <pt idx="427">
                  <v>116.1414330301008</v>
                </pt>
                <pt idx="428">
                  <v>115.972816789384</v>
                </pt>
                <pt idx="429">
                  <v>115.9280029624795</v>
                </pt>
                <pt idx="430">
                  <v>116.5107274997936</v>
                </pt>
                <pt idx="431">
                  <v>115.4822967304189</v>
                </pt>
                <pt idx="432">
                  <v>116.5262915579875</v>
                </pt>
                <pt idx="433">
                  <v>116.3188177368176</v>
                </pt>
                <pt idx="434">
                  <v>115.3604862892743</v>
                </pt>
                <pt idx="435">
                  <v>115.7984970271181</v>
                </pt>
                <pt idx="436">
                  <v>116.7258716285017</v>
                </pt>
                <pt idx="437">
                  <v>115.1952284702613</v>
                </pt>
                <pt idx="438">
                  <v>116.601970163612</v>
                </pt>
                <pt idx="439">
                  <v>117.300196169226</v>
                </pt>
                <pt idx="440">
                  <v>117.2764007074723</v>
                </pt>
                <pt idx="441">
                  <v>117.3000580520819</v>
                </pt>
                <pt idx="442">
                  <v>117.4716569693903</v>
                </pt>
                <pt idx="443">
                  <v>117.9783734140446</v>
                </pt>
                <pt idx="444">
                  <v>117.0386287795027</v>
                </pt>
                <pt idx="445">
                  <v>117.1794511256451</v>
                </pt>
                <pt idx="446">
                  <v>116.3579549636065</v>
                </pt>
                <pt idx="447">
                  <v>113.743182318814</v>
                </pt>
                <pt idx="448">
                  <v>112.8626724260147</v>
                </pt>
                <pt idx="449">
                  <v>111.6139301569997</v>
                </pt>
                <pt idx="450">
                  <v>113.187114989549</v>
                </pt>
                <pt idx="451">
                  <v>113.562928743669</v>
                </pt>
                <pt idx="452">
                  <v>113.5479901393931</v>
                </pt>
                <pt idx="453">
                  <v>113.1365503971193</v>
                </pt>
                <pt idx="454">
                  <v>113.9731450879688</v>
                </pt>
                <pt idx="455">
                  <v>115.063143017173</v>
                </pt>
                <pt idx="456">
                  <v>116.0071760533949</v>
                </pt>
                <pt idx="457">
                  <v>116.2926595784743</v>
                </pt>
                <pt idx="458">
                  <v>116.8812428543498</v>
                </pt>
                <pt idx="459">
                  <v>116.4376068164758</v>
                </pt>
                <pt idx="460">
                  <v>116.6797034634749</v>
                </pt>
                <pt idx="461">
                  <v>117.2395210763328</v>
                </pt>
                <pt idx="462">
                  <v>117.495820608427</v>
                </pt>
                <pt idx="463">
                  <v>118.698110912138</v>
                </pt>
                <pt idx="464">
                  <v>119.334432216548</v>
                </pt>
                <pt idx="465">
                  <v>119.3882869171681</v>
                </pt>
                <pt idx="466">
                  <v>119.196695206001</v>
                </pt>
                <pt idx="467">
                  <v>119.5103321925785</v>
                </pt>
                <pt idx="468">
                  <v>119.4550934448793</v>
                </pt>
                <pt idx="469">
                  <v>119.5584517747398</v>
                </pt>
                <pt idx="470">
                  <v>119.6446601406216</v>
                </pt>
                <pt idx="471">
                  <v>120.4642113765227</v>
                </pt>
                <pt idx="472">
                  <v>121.2924838077161</v>
                </pt>
                <pt idx="473">
                  <v>122.1008495733689</v>
                </pt>
                <pt idx="474">
                  <v>122.9929098920482</v>
                </pt>
                <pt idx="475">
                  <v>124.8282729364446</v>
                </pt>
                <pt idx="476">
                  <v>126.0579027092096</v>
                </pt>
                <pt idx="477">
                  <v>126.8998692126789</v>
                </pt>
                <pt idx="478">
                  <v>127.3282359978366</v>
                </pt>
                <pt idx="479">
                  <v>126.8896404813621</v>
                </pt>
                <pt idx="480">
                  <v>127.63822234956</v>
                </pt>
                <pt idx="481">
                  <v>127.1153290866688</v>
                </pt>
                <pt idx="482">
                  <v>127.6869545613265</v>
                </pt>
                <pt idx="483">
                  <v>129.13348888212</v>
                </pt>
                <pt idx="484">
                  <v>130.5749762387485</v>
                </pt>
                <pt idx="485">
                  <v>130.7253669588071</v>
                </pt>
                <pt idx="486">
                  <v>130.9280909890978</v>
                </pt>
                <pt idx="487">
                  <v>127.6889927482759</v>
                </pt>
                <pt idx="488">
                  <v>128.9429534337686</v>
                </pt>
                <pt idx="489">
                  <v>129.99833311796</v>
                </pt>
                <pt idx="490">
                  <v>130.740097600023</v>
                </pt>
                <pt idx="491">
                  <v>131.6478855511977</v>
                </pt>
                <pt idx="492">
                  <v>132.062988624019</v>
                </pt>
                <pt idx="493">
                  <v>132.5422142802038</v>
                </pt>
                <pt idx="494">
                  <v>124.8435460306915</v>
                </pt>
                <pt idx="495">
                  <v>124.5643281162591</v>
                </pt>
                <pt idx="496">
                  <v>124.5150806768433</v>
                </pt>
                <pt idx="497">
                  <v>125.6758802800313</v>
                </pt>
                <pt idx="498">
                  <v>126.2297193149221</v>
                </pt>
                <pt idx="499">
                  <v>125.3179883947799</v>
                </pt>
                <pt idx="500">
                  <v>125.6129021428066</v>
                </pt>
                <pt idx="501">
                  <v>126.1640479125883</v>
                </pt>
                <pt idx="502">
                  <v>126.6851711259992</v>
                </pt>
                <pt idx="503">
                  <v>127.9574283110951</v>
                </pt>
                <pt idx="504">
                  <v>128.9605795904452</v>
                </pt>
                <pt idx="505">
                  <v>128.1939011907122</v>
                </pt>
                <pt idx="506">
                  <v>126.4772231999316</v>
                </pt>
                <pt idx="507">
                  <v>126.2137239407548</v>
                </pt>
                <pt idx="508">
                  <v>127.741204421104</v>
                </pt>
                <pt idx="509">
                  <v>127.9992616974588</v>
                </pt>
                <pt idx="510">
                  <v>125.0366457298494</v>
                </pt>
                <pt idx="511">
                  <v>126.7900178620708</v>
                </pt>
                <pt idx="512">
                  <v>126.8047301335738</v>
                </pt>
                <pt idx="513">
                  <v>128.8543838899689</v>
                </pt>
                <pt idx="514">
                  <v>128.2394409351806</v>
                </pt>
                <pt idx="515">
                  <v>129.8309480489753</v>
                </pt>
                <pt idx="516">
                  <v>129.9420857033433</v>
                </pt>
                <pt idx="517">
                  <v>130.9929745847007</v>
                </pt>
                <pt idx="518">
                  <v>130.8554045296307</v>
                </pt>
                <pt idx="519">
                  <v>132.2866311509553</v>
                </pt>
                <pt idx="520">
                  <v>133.2414838274709</v>
                </pt>
                <pt idx="521">
                  <v>132.8697228825241</v>
                </pt>
                <pt idx="522">
                  <v>132.2166247511053</v>
                </pt>
                <pt idx="523">
                  <v>129.7050264193902</v>
                </pt>
                <pt idx="524">
                  <v>130.1683554297878</v>
                </pt>
                <pt idx="525">
                  <v>131.6162097935645</v>
                </pt>
                <pt idx="526">
                  <v>132.4142373993411</v>
                </pt>
                <pt idx="527">
                  <v>133.2756806999393</v>
                </pt>
                <pt idx="528">
                  <v>133.9721188981495</v>
                </pt>
                <pt idx="529">
                  <v>134.2559561859035</v>
                </pt>
                <pt idx="530">
                  <v>133.1921324758048</v>
                </pt>
                <pt idx="531">
                  <v>134.4668753219023</v>
                </pt>
                <pt idx="532">
                  <v>134.7377211355272</v>
                </pt>
                <pt idx="533">
                  <v>134.3806371703679</v>
                </pt>
                <pt idx="534">
                  <v>134.3484224050426</v>
                </pt>
                <pt idx="535">
                  <v>132.2782824637696</v>
                </pt>
                <pt idx="536">
                  <v>132.891403702615</v>
                </pt>
                <pt idx="537">
                  <v>134.45605010232</v>
                </pt>
                <pt idx="538">
                  <v>134.9920248881784</v>
                </pt>
                <pt idx="539">
                  <v>134.7678749560372</v>
                </pt>
                <pt idx="540">
                  <v>134.5318502838462</v>
                </pt>
                <pt idx="541">
                  <v>134.1347198845714</v>
                </pt>
                <pt idx="542">
                  <v>134.7722031303452</v>
                </pt>
                <pt idx="543">
                  <v>133.6336128020651</v>
                </pt>
                <pt idx="544">
                  <v>132.2032505584983</v>
                </pt>
                <pt idx="545">
                  <v>127.5602959609345</v>
                </pt>
                <pt idx="546">
                  <v>130.0506481159585</v>
                </pt>
                <pt idx="547">
                  <v>129.6058223289316</v>
                </pt>
                <pt idx="548">
                  <v>129.6950337046761</v>
                </pt>
                <pt idx="549">
                  <v>127.8918693260437</v>
                </pt>
                <pt idx="550">
                  <v>127.7251847907613</v>
                </pt>
                <pt idx="551">
                  <v>129.644798999316</v>
                </pt>
                <pt idx="552">
                  <v>129.8430158327988</v>
                </pt>
                <pt idx="553">
                  <v>130.3396570729132</v>
                </pt>
                <pt idx="554">
                  <v>130.7267746286893</v>
                </pt>
                <pt idx="555">
                  <v>130.0501497011523</v>
                </pt>
                <pt idx="556">
                  <v>132.1260885256214</v>
                </pt>
                <pt idx="557">
                  <v>133.035093883929</v>
                </pt>
                <pt idx="558">
                  <v>133.3456508495614</v>
                </pt>
                <pt idx="559">
                  <v>133.9038991166421</v>
                </pt>
                <pt idx="560">
                  <v>134.3446633257697</v>
                </pt>
                <pt idx="561">
                  <v>134.8897947986688</v>
                </pt>
                <pt idx="562">
                  <v>134.7405049829501</v>
                </pt>
                <pt idx="563">
                  <v>135.1855373091909</v>
                </pt>
                <pt idx="564">
                  <v>134.0843245557739</v>
                </pt>
                <pt idx="565">
                  <v>132.3940390962326</v>
                </pt>
                <pt idx="566">
                  <v>132.1151262513854</v>
                </pt>
                <pt idx="567">
                  <v>131.8171704692891</v>
                </pt>
                <pt idx="568">
                  <v>132.2821432688252</v>
                </pt>
                <pt idx="569">
                  <v>133.7284448472287</v>
                </pt>
                <pt idx="570">
                  <v>134.5376221495084</v>
                </pt>
                <pt idx="571">
                  <v>135.0257935751422</v>
                </pt>
                <pt idx="572">
                  <v>135.5964174170448</v>
                </pt>
                <pt idx="573">
                  <v>135.7924770435752</v>
                </pt>
                <pt idx="574">
                  <v>136.5710435139168</v>
                </pt>
                <pt idx="575">
                  <v>136.5555802716533</v>
                </pt>
                <pt idx="576">
                  <v>137.2318822434883</v>
                </pt>
                <pt idx="577">
                  <v>136.6193827657007</v>
                </pt>
                <pt idx="578">
                  <v>135.4629145344492</v>
                </pt>
                <pt idx="579">
                  <v>133.8615535561139</v>
                </pt>
                <pt idx="580">
                  <v>134.5782788648649</v>
                </pt>
                <pt idx="581">
                  <v>132.1437987275447</v>
                </pt>
                <pt idx="582">
                  <v>133.0012892396604</v>
                </pt>
                <pt idx="583">
                  <v>133.3885233268961</v>
                </pt>
                <pt idx="584">
                  <v>134.887927298375</v>
                </pt>
                <pt idx="585">
                  <v>135.7965692403325</v>
                </pt>
                <pt idx="586">
                  <v>136.780343351241</v>
                </pt>
                <pt idx="587">
                  <v>138.0360935536559</v>
                </pt>
                <pt idx="588">
                  <v>138.7622089565894</v>
                </pt>
                <pt idx="589">
                  <v>139.5428789798202</v>
                </pt>
                <pt idx="590">
                  <v>140.0650525050202</v>
                </pt>
                <pt idx="591">
                  <v>141.4515229494008</v>
                </pt>
                <pt idx="592">
                  <v>141.6845179246753</v>
                </pt>
                <pt idx="593">
                  <v>141.5652746682308</v>
                </pt>
                <pt idx="594">
                  <v>140.4759897561718</v>
                </pt>
                <pt idx="595">
                  <v>139.5542871864369</v>
                </pt>
                <pt idx="596">
                  <v>138.0521196086504</v>
                </pt>
                <pt idx="597">
                  <v>138.4125289195036</v>
                </pt>
                <pt idx="598">
                  <v>143.586125485341</v>
                </pt>
                <pt idx="599">
                  <v>132.413493841023</v>
                </pt>
                <pt idx="600">
                  <v>137.1105535413158</v>
                </pt>
                <pt idx="601">
                  <v>139.5988766990142</v>
                </pt>
                <pt idx="602">
                  <v>142.0759633882289</v>
                </pt>
                <pt idx="603">
                  <v>142.6806993743605</v>
                </pt>
                <pt idx="604">
                  <v>143.0954475091472</v>
                </pt>
                <pt idx="605">
                  <v>144.2078973600707</v>
                </pt>
                <pt idx="606">
                  <v>144.8177124428896</v>
                </pt>
                <pt idx="607">
                  <v>145.9022305354989</v>
                </pt>
                <pt idx="608">
                  <v>147.0384233184454</v>
                </pt>
                <pt idx="609">
                  <v>145.738965612605</v>
                </pt>
                <pt idx="610">
                  <v>146.0597112320173</v>
                </pt>
                <pt idx="611">
                  <v>145.7735918209295</v>
                </pt>
                <pt idx="612">
                  <v>146.2838611825797</v>
                </pt>
                <pt idx="613">
                  <v>146.4601410972063</v>
                </pt>
                <pt idx="614">
                  <v>146.6039534147791</v>
                </pt>
                <pt idx="615">
                  <v>147.2969735610893</v>
                </pt>
                <pt idx="616">
                  <v>147.7613353295727</v>
                </pt>
                <pt idx="617">
                  <v>148.8727764868383</v>
                </pt>
                <pt idx="618">
                  <v>148.514981264362</v>
                </pt>
                <pt idx="619">
                  <v>149.5877567693744</v>
                </pt>
                <pt idx="620">
                  <v>150.2980915668053</v>
                </pt>
                <pt idx="621">
                  <v>151.1060442140928</v>
                </pt>
                <pt idx="622">
                  <v>151.0219812811352</v>
                </pt>
                <pt idx="623">
                  <v>151.6323915715339</v>
                </pt>
                <pt idx="624">
                  <v>151.1265685150842</v>
                </pt>
                <pt idx="625">
                  <v>151.5298044247639</v>
                </pt>
                <pt idx="626">
                  <v>151.9143029550462</v>
                </pt>
                <pt idx="627">
                  <v>152.7145226109594</v>
                </pt>
                <pt idx="628">
                  <v>152.8596626581667</v>
                </pt>
                <pt idx="629">
                  <v>152.4367172999854</v>
                </pt>
                <pt idx="630">
                  <v>148.8619535105012</v>
                </pt>
                <pt idx="631">
                  <v>150.2483981709838</v>
                </pt>
                <pt idx="632">
                  <v>149.5988722200964</v>
                </pt>
                <pt idx="633">
                  <v>150.5705845544526</v>
                </pt>
                <pt idx="634">
                  <v>150.6669511282774</v>
                </pt>
                <pt idx="635">
                  <v>153.0374366468996</v>
                </pt>
                <pt idx="636">
                  <v>153.948600409832</v>
                </pt>
                <pt idx="637">
                  <v>154.3701759299038</v>
                </pt>
                <pt idx="638">
                  <v>154.9240984050449</v>
                </pt>
                <pt idx="639">
                  <v>154.6158883192508</v>
                </pt>
                <pt idx="640">
                  <v>152.9910949174992</v>
                </pt>
                <pt idx="641">
                  <v>147.4522949948935</v>
                </pt>
                <pt idx="642">
                  <v>146.8849485415518</v>
                </pt>
                <pt idx="643">
                  <v>149.9584432342322</v>
                </pt>
                <pt idx="644">
                  <v>148.8688524010628</v>
                </pt>
                <pt idx="645">
                  <v>150.4597597056454</v>
                </pt>
                <pt idx="646">
                  <v>150.2855224491798</v>
                </pt>
                <pt idx="647">
                  <v>148.8786175130283</v>
                </pt>
                <pt idx="648">
                  <v>148.4388225085175</v>
                </pt>
                <pt idx="649">
                  <v>151.0180123933217</v>
                </pt>
                <pt idx="650">
                  <v>151.9841860131053</v>
                </pt>
                <pt idx="651">
                  <v>153.0430316652034</v>
                </pt>
                <pt idx="652">
                  <v>153.6442685241498</v>
                </pt>
                <pt idx="653">
                  <v>153.9731068407346</v>
                </pt>
                <pt idx="654">
                  <v>153.9990497266811</v>
                </pt>
                <pt idx="655">
                  <v>154.67615278936</v>
                </pt>
                <pt idx="656">
                  <v>154.9009811432617</v>
                </pt>
                <pt idx="657">
                  <v>154.8699824053579</v>
                </pt>
                <pt idx="658">
                  <v>154.7233602692388</v>
                </pt>
                <pt idx="659">
                  <v>155.4989643633098</v>
                </pt>
                <pt idx="660">
                  <v>155.5748881622273</v>
                </pt>
                <pt idx="661">
                  <v>155.7497578757531</v>
                </pt>
                <pt idx="662">
                  <v>155.5928342227792</v>
                </pt>
                <pt idx="663">
                  <v>155.7797055101981</v>
                </pt>
                <pt idx="664">
                  <v>153.8882894421089</v>
                </pt>
                <pt idx="665">
                  <v>153.8989150564429</v>
                </pt>
                <pt idx="666">
                  <v>155.0373290866573</v>
                </pt>
                <pt idx="667">
                  <v>154.0967033121014</v>
                </pt>
                <pt idx="668">
                  <v>156.395456089967</v>
                </pt>
                <pt idx="669">
                  <v>156.9252735667467</v>
                </pt>
                <pt idx="670">
                  <v>157.5199254081404</v>
                </pt>
                <pt idx="671">
                  <v>157.6909724999055</v>
                </pt>
                <pt idx="672">
                  <v>157.031690333037</v>
                </pt>
                <pt idx="673">
                  <v>156.278547611343</v>
                </pt>
                <pt idx="674">
                  <v>158.6294063459965</v>
                </pt>
                <pt idx="675">
                  <v>159.9621865506648</v>
                </pt>
                <pt idx="676">
                  <v>159.9084614276333</v>
                </pt>
                <pt idx="677">
                  <v>159.6480184753327</v>
                </pt>
                <pt idx="678">
                  <v>160.2726164567812</v>
                </pt>
                <pt idx="679">
                  <v>160.3187274862161</v>
                </pt>
                <pt idx="680">
                  <v>158.966558993008</v>
                </pt>
                <pt idx="681">
                  <v>158.9069409694748</v>
                </pt>
                <pt idx="682">
                  <v>155.4439979682789</v>
                </pt>
                <pt idx="683">
                  <v>153.9938111850194</v>
                </pt>
                <pt idx="684">
                  <v>151.0443746110018</v>
                </pt>
                <pt idx="685">
                  <v>153.6390938911749</v>
                </pt>
                <pt idx="686">
                  <v>154.5599067739067</v>
                </pt>
                <pt idx="687">
                  <v>154.5912193183206</v>
                </pt>
                <pt idx="688">
                  <v>154.4007666918565</v>
                </pt>
                <pt idx="689">
                  <v>154.8945273915385</v>
                </pt>
                <pt idx="690">
                  <v>154.9942329716274</v>
                </pt>
                <pt idx="691">
                  <v>154.8599491444799</v>
                </pt>
                <pt idx="692">
                  <v>152.821976104061</v>
                </pt>
                <pt idx="693">
                  <v>153.0825178129302</v>
                </pt>
                <pt idx="694">
                  <v>151.4856341537448</v>
                </pt>
                <pt idx="695">
                  <v>148.455233650496</v>
                </pt>
                <pt idx="696">
                  <v>148.7618033222616</v>
                </pt>
                <pt idx="697">
                  <v>148.2637773300873</v>
                </pt>
                <pt idx="698">
                  <v>145.9237777470225</v>
                </pt>
                <pt idx="699">
                  <v>147.3137391525728</v>
                </pt>
                <pt idx="700">
                  <v>145.2843021277518</v>
                </pt>
                <pt idx="701">
                  <v>145.6550768975526</v>
                </pt>
                <pt idx="702">
                  <v>148.5868448805867</v>
                </pt>
                <pt idx="703">
                  <v>149.6912628895516</v>
                </pt>
                <pt idx="704">
                  <v>147.5442779132335</v>
                </pt>
                <pt idx="705">
                  <v>148.5673190247696</v>
                </pt>
                <pt idx="706">
                  <v>150.7897172865113</v>
                </pt>
                <pt idx="707">
                  <v>149.4582469624344</v>
                </pt>
                <pt idx="708">
                  <v>147.9080305147712</v>
                </pt>
                <pt idx="709">
                  <v>147.2847182462029</v>
                </pt>
                <pt idx="710">
                  <v>145.5777380968979</v>
                </pt>
                <pt idx="711">
                  <v>142.8840065831109</v>
                </pt>
                <pt idx="712">
                  <v>143.2010037815342</v>
                </pt>
                <pt idx="713">
                  <v>142.7530244354431</v>
                </pt>
                <pt idx="714">
                  <v>143.3599661502236</v>
                </pt>
                <pt idx="715">
                  <v>141.4076183050296</v>
                </pt>
                <pt idx="716">
                  <v>143.9366544855452</v>
                </pt>
                <pt idx="717">
                  <v>146.4358316694824</v>
                </pt>
                <pt idx="718">
                  <v>146.7151625032893</v>
                </pt>
                <pt idx="719">
                  <v>147.9094893306215</v>
                </pt>
                <pt idx="720">
                  <v>147.332742791</v>
                </pt>
                <pt idx="721">
                  <v>147.4308963926634</v>
                </pt>
                <pt idx="722">
                  <v>148.0584846116875</v>
                </pt>
                <pt idx="723">
                  <v>149.4889827204915</v>
                </pt>
                <pt idx="724">
                  <v>151.1166200507809</v>
                </pt>
                <pt idx="725">
                  <v>152.0016118251183</v>
                </pt>
                <pt idx="726">
                  <v>152.3811655053669</v>
                </pt>
                <pt idx="727">
                  <v>152.0844289383226</v>
                </pt>
                <pt idx="728">
                  <v>152.1001854323256</v>
                </pt>
                <pt idx="729">
                  <v>152.5797992290849</v>
                </pt>
                <pt idx="730">
                  <v>151.7722328966954</v>
                </pt>
                <pt idx="731">
                  <v>152.2539383756144</v>
                </pt>
                <pt idx="732">
                  <v>152.2283931454547</v>
                </pt>
                <pt idx="733">
                  <v>150.6430989441312</v>
                </pt>
                <pt idx="734">
                  <v>149.8464768352815</v>
                </pt>
                <pt idx="735">
                  <v>148.5185386254916</v>
                </pt>
                <pt idx="736">
                  <v>145.8780564740994</v>
                </pt>
                <pt idx="737">
                  <v>145.8835864282842</v>
                </pt>
                <pt idx="738">
                  <v>145.7409604209863</v>
                </pt>
                <pt idx="739">
                  <v>145.6429850519512</v>
                </pt>
                <pt idx="740">
                  <v>145.5802766977405</v>
                </pt>
                <pt idx="741">
                  <v>145.0061044002504</v>
                </pt>
                <pt idx="742">
                  <v>145.1985502432032</v>
                </pt>
                <pt idx="743">
                  <v>141.4917810374981</v>
                </pt>
                <pt idx="744">
                  <v>143.2217350429408</v>
                </pt>
                <pt idx="745">
                  <v>143.0094430464744</v>
                </pt>
                <pt idx="746">
                  <v>139.5787080817817</v>
                </pt>
                <pt idx="747">
                  <v>140.3829027400481</v>
                </pt>
                <pt idx="748">
                  <v>139.5275947881449</v>
                </pt>
                <pt idx="749">
                  <v>138.2592980088283</v>
                </pt>
                <pt idx="750">
                  <v>135.9772931546905</v>
                </pt>
                <pt idx="751">
                  <v>131.1859261297092</v>
                </pt>
                <pt idx="752">
                  <v>133.3542712900268</v>
                </pt>
                <pt idx="753">
                  <v>133.930889421867</v>
                </pt>
                <pt idx="754">
                  <v>134.9147887359312</v>
                </pt>
                <pt idx="755">
                  <v>135.0193434152817</v>
                </pt>
                <pt idx="756">
                  <v>136.4548384562895</v>
                </pt>
                <pt idx="757">
                  <v>133.7473765600514</v>
                </pt>
                <pt idx="758">
                  <v>133.0438823019086</v>
                </pt>
                <pt idx="759">
                  <v>133.9343322253746</v>
                </pt>
                <pt idx="760">
                  <v>132.6751281776455</v>
                </pt>
                <pt idx="761">
                  <v>129.456183567886</v>
                </pt>
                <pt idx="762">
                  <v>128.6502124790101</v>
                </pt>
                <pt idx="763">
                  <v>131.0105508685112</v>
                </pt>
                <pt idx="764">
                  <v>131.4813656567204</v>
                </pt>
                <pt idx="765">
                  <v>133.4575482345121</v>
                </pt>
                <pt idx="766">
                  <v>133.3962945429095</v>
                </pt>
                <pt idx="767">
                  <v>131.3425575476981</v>
                </pt>
                <pt idx="768">
                  <v>133.0255312754356</v>
                </pt>
                <pt idx="769">
                  <v>133.18008853115</v>
                </pt>
                <pt idx="770">
                  <v>132.1182957258953</v>
                </pt>
                <pt idx="771">
                  <v>131.728211345173</v>
                </pt>
                <pt idx="772">
                  <v>130.0364604018716</v>
                </pt>
                <pt idx="773">
                  <v>128.1419784590013</v>
                </pt>
                <pt idx="774">
                  <v>127.6563520976134</v>
                </pt>
                <pt idx="775">
                  <v>127.9073775183437</v>
                </pt>
                <pt idx="776">
                  <v>125.7970882000843</v>
                </pt>
                <pt idx="777">
                  <v>125.4777371373034</v>
                </pt>
                <pt idx="778">
                  <v>124.8177965465447</v>
                </pt>
                <pt idx="779">
                  <v>125.8807329794793</v>
                </pt>
                <pt idx="780">
                  <v>127.3172375173476</v>
                </pt>
                <pt idx="781">
                  <v>126.4813108252191</v>
                </pt>
                <pt idx="782">
                  <v>124.9679552586821</v>
                </pt>
                <pt idx="783">
                  <v>123.8816852878508</v>
                </pt>
                <pt idx="784">
                  <v>122.5342014174122</v>
                </pt>
                <pt idx="785">
                  <v>119.4875731526486</v>
                </pt>
                <pt idx="786">
                  <v>119.7209793134461</v>
                </pt>
                <pt idx="787">
                  <v>120.0857899011642</v>
                </pt>
                <pt idx="788">
                  <v>123.1155543440728</v>
                </pt>
                <pt idx="789">
                  <v>124.3823681338641</v>
                </pt>
                <pt idx="790">
                  <v>124.4790501921829</v>
                </pt>
                <pt idx="791">
                  <v>122.7829245779934</v>
                </pt>
                <pt idx="792">
                  <v>123.0770426693027</v>
                </pt>
                <pt idx="793">
                  <v>122.6756448464666</v>
                </pt>
                <pt idx="794">
                  <v>122.5133441966026</v>
                </pt>
                <pt idx="795">
                  <v>123.2440938351046</v>
                </pt>
                <pt idx="796">
                  <v>125.7507046810371</v>
                </pt>
                <pt idx="797">
                  <v>127.6925883002624</v>
                </pt>
                <pt idx="798">
                  <v>128.8332877916348</v>
                </pt>
                <pt idx="799">
                  <v>130.8058255952411</v>
                </pt>
                <pt idx="800">
                  <v>133.1188898078135</v>
                </pt>
                <pt idx="801">
                  <v>132.037212096165</v>
                </pt>
                <pt idx="802">
                  <v>130.9064521421771</v>
                </pt>
                <pt idx="803">
                  <v>131.8570577607477</v>
                </pt>
                <pt idx="804">
                  <v>131.4490824142141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gapDepth val="150"/>
        <shape val="box"/>
        <axId val="286174208"/>
        <axId val="286180096"/>
        <axId val="1000"/>
      </bar3DChart>
      <dateAx>
        <axId val="286174208"/>
        <scaling>
          <orientation val="minMax"/>
        </scaling>
        <delete val="0"/>
        <axPos val="b"/>
        <numFmt formatCode="m/d/yyyy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86180096"/>
        <crosses val="autoZero"/>
        <lblOffset val="100"/>
        <baseTimeUnit val="days"/>
      </dateAx>
      <valAx>
        <axId val="2861800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86174208"/>
        <crosses val="autoZero"/>
        <crossBetween val="between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twoCellAnchor>
    <from>
      <col>0</col>
      <colOff>0</colOff>
      <row>0</row>
      <rowOff>0</rowOff>
    </from>
    <to>
      <col>24</col>
      <colOff>609600</colOff>
      <row>56</row>
      <rowOff>101600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0</colOff>
      <row>0</row>
      <rowOff>0</rowOff>
    </from>
    <to>
      <col>24</col>
      <colOff>762000</colOff>
      <row>52</row>
      <rowOff>165100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0</colOff>
      <row>0</row>
      <rowOff>0</rowOff>
    </from>
    <to>
      <col>24</col>
      <colOff>635000</colOff>
      <row>52</row>
      <rowOff>114300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0</colOff>
      <row>0</row>
      <rowOff>0</rowOff>
    </from>
    <to>
      <col>24</col>
      <colOff>533400</colOff>
      <row>52</row>
      <rowOff>114300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0</col>
      <colOff>368300</colOff>
      <row>5</row>
      <rowOff>152400</rowOff>
    </from>
    <to>
      <col>24</col>
      <colOff>495300</colOff>
      <row>49</row>
      <rowOff>63500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0</col>
      <colOff>0</colOff>
      <row>0</row>
      <rowOff>0</rowOff>
    </from>
    <to>
      <col>40</col>
      <colOff>737419</colOff>
      <row>89</row>
      <rowOff>143387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7.xml><?xml version="1.0" encoding="utf-8"?>
<wsDr xmlns="http://schemas.openxmlformats.org/drawingml/2006/spreadsheetDrawing">
  <twoCellAnchor>
    <from>
      <col>0</col>
      <colOff>0</colOff>
      <row>0</row>
      <rowOff>0</rowOff>
    </from>
    <to>
      <col>25</col>
      <colOff>266700</colOff>
      <row>52</row>
      <rowOff>152400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8.xml><?xml version="1.0" encoding="utf-8"?>
<wsDr xmlns="http://schemas.openxmlformats.org/drawingml/2006/spreadsheetDrawing">
  <twoCellAnchor>
    <from>
      <col>0</col>
      <colOff>127000</colOff>
      <row>1</row>
      <rowOff>0</rowOff>
    </from>
    <to>
      <col>30</col>
      <colOff>774390</colOff>
      <row>66</row>
      <rowOff>92927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https://d.docs.live.net/Users/balajis/Downloads/Research%20Analyst/EVI%202025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4.xml.rels><Relationships xmlns="http://schemas.openxmlformats.org/package/2006/relationships"><Relationship Type="http://schemas.openxmlformats.org/officeDocument/2006/relationships/hyperlink" Target="https://www.bseindia.com/markets/equity/eqreports/topmarketcapitalization.aspx" TargetMode="External" Id="rId1"/><Relationship Type="http://schemas.openxmlformats.org/officeDocument/2006/relationships/hyperlink" Target="https://in.investing.com/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9"/>
  <sheetViews>
    <sheetView showGridLines="0" zoomScaleNormal="100" zoomScaleSheetLayoutView="100" workbookViewId="0">
      <selection activeCell="W27" sqref="W27"/>
    </sheetView>
  </sheetViews>
  <sheetFormatPr baseColWidth="8" defaultColWidth="8.85546875" defaultRowHeight="15"/>
  <cols>
    <col width="7.42578125" bestFit="1" customWidth="1" min="1" max="1"/>
    <col width="9.42578125" bestFit="1" customWidth="1" min="15" max="15"/>
  </cols>
  <sheetData>
    <row r="1" ht="20.1" customHeight="1" thickBot="1">
      <c r="A1" s="113" t="inlineStr">
        <is>
          <t>Year</t>
        </is>
      </c>
      <c r="B1" s="114" t="inlineStr">
        <is>
          <t>Jan</t>
        </is>
      </c>
      <c r="C1" s="115" t="inlineStr">
        <is>
          <t>Feb</t>
        </is>
      </c>
      <c r="D1" s="115" t="inlineStr">
        <is>
          <t>Mar</t>
        </is>
      </c>
      <c r="E1" s="115" t="inlineStr">
        <is>
          <t>Apr</t>
        </is>
      </c>
      <c r="F1" s="115" t="inlineStr">
        <is>
          <t>May</t>
        </is>
      </c>
      <c r="G1" s="115" t="inlineStr">
        <is>
          <t>Jun</t>
        </is>
      </c>
      <c r="H1" s="115" t="inlineStr">
        <is>
          <t>Jul</t>
        </is>
      </c>
      <c r="I1" s="115" t="inlineStr">
        <is>
          <t>Aug</t>
        </is>
      </c>
      <c r="J1" s="115" t="inlineStr">
        <is>
          <t>Sep</t>
        </is>
      </c>
      <c r="K1" s="115" t="inlineStr">
        <is>
          <t>Oct</t>
        </is>
      </c>
      <c r="L1" s="115" t="inlineStr">
        <is>
          <t>Nov</t>
        </is>
      </c>
      <c r="M1" s="116" t="inlineStr">
        <is>
          <t>Dec</t>
        </is>
      </c>
      <c r="N1" s="117" t="n"/>
      <c r="O1" s="117" t="n"/>
      <c r="P1" s="117" t="n"/>
    </row>
    <row r="2" ht="18.95" customFormat="1" customHeight="1" s="123">
      <c r="A2" s="118" t="n">
        <v>2000</v>
      </c>
      <c r="B2" s="119" t="n">
        <v>26.16</v>
      </c>
      <c r="C2" s="120" t="n">
        <v>27.12</v>
      </c>
      <c r="D2" s="120" t="n">
        <v>25.69</v>
      </c>
      <c r="E2" s="120" t="n">
        <v>22.81</v>
      </c>
      <c r="F2" s="120" t="n">
        <v>20.33</v>
      </c>
      <c r="G2" s="120" t="n">
        <v>23.68</v>
      </c>
      <c r="H2" s="120" t="n">
        <v>22.33</v>
      </c>
      <c r="I2" s="120" t="n">
        <v>20.53</v>
      </c>
      <c r="J2" s="120" t="n">
        <v>20.84</v>
      </c>
      <c r="K2" s="120" t="n">
        <v>18.22</v>
      </c>
      <c r="L2" s="120" t="n">
        <v>18.77</v>
      </c>
      <c r="M2" s="121" t="n">
        <v>19.59</v>
      </c>
      <c r="N2" s="122" t="n"/>
      <c r="O2" s="141">
        <f t="array" ref="O2">SUM(B2:M2/12)</f>
        <v/>
      </c>
      <c r="P2" s="122" t="n"/>
    </row>
    <row r="3" ht="20.1" customFormat="1" customHeight="1" s="123" thickBot="1">
      <c r="A3" s="124" t="n">
        <v>2001</v>
      </c>
      <c r="B3" s="125" t="n">
        <v>20.75</v>
      </c>
      <c r="C3" s="126" t="n">
        <v>21.32</v>
      </c>
      <c r="D3" s="126" t="n">
        <v>18.2</v>
      </c>
      <c r="E3" s="126" t="n">
        <v>16.08</v>
      </c>
      <c r="F3" s="126" t="n">
        <v>15.74</v>
      </c>
      <c r="G3" s="126" t="n">
        <v>15.37</v>
      </c>
      <c r="H3" s="126" t="n">
        <v>15.32</v>
      </c>
      <c r="I3" s="126" t="n">
        <v>15.23</v>
      </c>
      <c r="J3" s="126" t="n">
        <v>13.65</v>
      </c>
      <c r="K3" s="126" t="n">
        <v>13.76</v>
      </c>
      <c r="L3" s="126" t="n">
        <v>14.86</v>
      </c>
      <c r="M3" s="127" t="n">
        <v>15.59</v>
      </c>
      <c r="N3" s="122" t="n"/>
      <c r="O3" s="142">
        <f t="array" ref="O3">SUM(B3:M3/12)</f>
        <v/>
      </c>
      <c r="P3" s="122" t="n"/>
    </row>
    <row r="4" ht="20.1" customFormat="1" customHeight="1" s="123" thickBot="1">
      <c r="A4" s="124" t="n">
        <v>2002</v>
      </c>
      <c r="B4" s="125" t="n">
        <v>16.42</v>
      </c>
      <c r="C4" s="126" t="n">
        <v>18.32</v>
      </c>
      <c r="D4" s="126" t="n">
        <v>18.59</v>
      </c>
      <c r="E4" s="126" t="n">
        <v>18.02</v>
      </c>
      <c r="F4" s="126" t="n">
        <v>17.44</v>
      </c>
      <c r="G4" s="126" t="n">
        <v>16.28</v>
      </c>
      <c r="H4" s="126" t="n">
        <v>15.39</v>
      </c>
      <c r="I4" s="126" t="n">
        <v>14.54</v>
      </c>
      <c r="J4" s="126" t="n">
        <v>14.69</v>
      </c>
      <c r="K4" s="126" t="n">
        <v>14.25</v>
      </c>
      <c r="L4" s="126" t="n">
        <v>14.55</v>
      </c>
      <c r="M4" s="127" t="n">
        <v>14.57</v>
      </c>
      <c r="N4" s="122" t="n"/>
      <c r="O4" s="142">
        <f t="array" ref="O4">SUM(B4:M4/12)</f>
        <v/>
      </c>
      <c r="P4" s="143" t="n">
        <v>17.09</v>
      </c>
    </row>
    <row r="5" ht="18.95" customFormat="1" customHeight="1" s="123">
      <c r="A5" s="124" t="n">
        <v>2003</v>
      </c>
      <c r="B5" s="125" t="n">
        <v>14.56</v>
      </c>
      <c r="C5" s="126" t="n">
        <v>14.32</v>
      </c>
      <c r="D5" s="126" t="n">
        <v>13.85</v>
      </c>
      <c r="E5" s="126" t="n">
        <v>13.2</v>
      </c>
      <c r="F5" s="126" t="n">
        <v>11.15</v>
      </c>
      <c r="G5" s="126" t="n">
        <v>12.2</v>
      </c>
      <c r="H5" s="126" t="n">
        <v>12.5</v>
      </c>
      <c r="I5" s="126" t="n">
        <v>13.89</v>
      </c>
      <c r="J5" s="126" t="n">
        <v>15.09</v>
      </c>
      <c r="K5" s="126" t="n">
        <v>16.6</v>
      </c>
      <c r="L5" s="126" t="n">
        <v>17.42</v>
      </c>
      <c r="M5" s="127" t="n">
        <v>19.19</v>
      </c>
      <c r="N5" s="122" t="n"/>
      <c r="O5" s="142">
        <f t="array" ref="O5">SUM(B5:M5/12)</f>
        <v/>
      </c>
      <c r="P5" s="122" t="n"/>
    </row>
    <row r="6" ht="18.95" customFormat="1" customHeight="1" s="123">
      <c r="A6" s="124" t="n">
        <v>2004</v>
      </c>
      <c r="B6" s="125" t="n">
        <v>21.02</v>
      </c>
      <c r="C6" s="126" t="n">
        <v>20.32</v>
      </c>
      <c r="D6" s="126" t="n">
        <v>20.78</v>
      </c>
      <c r="E6" s="126" t="n">
        <v>19.91</v>
      </c>
      <c r="F6" s="126" t="n">
        <v>14.86</v>
      </c>
      <c r="G6" s="126" t="n">
        <v>12.18</v>
      </c>
      <c r="H6" s="126" t="n">
        <v>13.08</v>
      </c>
      <c r="I6" s="126" t="n">
        <v>13.5</v>
      </c>
      <c r="J6" s="126" t="n">
        <v>14.14</v>
      </c>
      <c r="K6" s="126" t="n">
        <v>15</v>
      </c>
      <c r="L6" s="126" t="n">
        <v>15.67</v>
      </c>
      <c r="M6" s="127" t="n">
        <v>16.04</v>
      </c>
      <c r="N6" s="122" t="n"/>
      <c r="O6" s="142">
        <f t="array" ref="O6">SUM(B6:M6/12)</f>
        <v/>
      </c>
      <c r="P6" s="122" t="n"/>
    </row>
    <row r="7" ht="18.95" customFormat="1" customHeight="1" s="123">
      <c r="A7" s="124" t="n">
        <v>2005</v>
      </c>
      <c r="B7" s="125" t="n">
        <v>14.41</v>
      </c>
      <c r="C7" s="126" t="n">
        <v>14.4</v>
      </c>
      <c r="D7" s="126" t="n">
        <v>14.98</v>
      </c>
      <c r="E7" s="126" t="n">
        <v>14.16</v>
      </c>
      <c r="F7" s="126" t="n">
        <v>13.77</v>
      </c>
      <c r="G7" s="126" t="n">
        <v>14.01</v>
      </c>
      <c r="H7" s="126" t="n">
        <v>14.31</v>
      </c>
      <c r="I7" s="126" t="n">
        <v>14.61</v>
      </c>
      <c r="J7" s="126" t="n">
        <v>15.58</v>
      </c>
      <c r="K7" s="126" t="n">
        <v>15.26</v>
      </c>
      <c r="L7" s="126" t="n">
        <v>15.47</v>
      </c>
      <c r="M7" s="127" t="n">
        <v>16.72</v>
      </c>
      <c r="N7" s="122" t="n"/>
      <c r="O7" s="144">
        <f t="array" ref="O7">SUM(B7:M7/12)</f>
        <v/>
      </c>
      <c r="P7" s="122" t="n"/>
    </row>
    <row r="8" ht="20.1" customFormat="1" customHeight="1" s="123" thickBot="1">
      <c r="A8" s="124" t="n">
        <v>2006</v>
      </c>
      <c r="B8" s="125" t="n">
        <v>17.27</v>
      </c>
      <c r="C8" s="126" t="n">
        <v>17.97</v>
      </c>
      <c r="D8" s="126" t="n">
        <v>19.25</v>
      </c>
      <c r="E8" s="126" t="n">
        <v>20.59</v>
      </c>
      <c r="F8" s="126" t="n">
        <v>19.53</v>
      </c>
      <c r="G8" s="126" t="n">
        <v>16.65</v>
      </c>
      <c r="H8" s="126" t="n">
        <v>17.95</v>
      </c>
      <c r="I8" s="126" t="n">
        <v>18.55</v>
      </c>
      <c r="J8" s="126" t="n">
        <v>20.09</v>
      </c>
      <c r="K8" s="126" t="n">
        <v>20.92</v>
      </c>
      <c r="L8" s="126" t="n">
        <v>20.72</v>
      </c>
      <c r="M8" s="127" t="n">
        <v>20.95</v>
      </c>
      <c r="N8" s="122" t="n"/>
      <c r="O8" s="144">
        <f t="array" ref="O8">SUM(B8:M8/12)</f>
        <v/>
      </c>
      <c r="P8" s="122" t="n"/>
    </row>
    <row r="9" ht="20.1" customFormat="1" customHeight="1" s="123" thickBot="1">
      <c r="A9" s="124" t="n">
        <v>2007</v>
      </c>
      <c r="B9" s="125" t="n">
        <v>21.24</v>
      </c>
      <c r="C9" s="126" t="n">
        <v>19.64</v>
      </c>
      <c r="D9" s="126" t="n">
        <v>17.95</v>
      </c>
      <c r="E9" s="126" t="n">
        <v>19.28</v>
      </c>
      <c r="F9" s="126" t="n">
        <v>19.74</v>
      </c>
      <c r="G9" s="126" t="n">
        <v>20.08</v>
      </c>
      <c r="H9" s="126" t="n">
        <v>21.3</v>
      </c>
      <c r="I9" s="126" t="n">
        <v>19.47</v>
      </c>
      <c r="J9" s="126" t="n">
        <v>21.05</v>
      </c>
      <c r="K9" s="126" t="n">
        <v>24.59</v>
      </c>
      <c r="L9" s="126" t="n">
        <v>25.15</v>
      </c>
      <c r="M9" s="127" t="n">
        <v>26.55</v>
      </c>
      <c r="N9" s="122" t="n"/>
      <c r="O9" s="144">
        <f t="array" ref="O9">SUM(B9:M9/12)</f>
        <v/>
      </c>
      <c r="P9" s="143" t="n">
        <v>18.51</v>
      </c>
    </row>
    <row r="10" ht="18.95" customFormat="1" customHeight="1" s="123">
      <c r="A10" s="124" t="n">
        <v>2008</v>
      </c>
      <c r="B10" s="125" t="n">
        <v>25.33</v>
      </c>
      <c r="C10" s="126" t="n">
        <v>22.19</v>
      </c>
      <c r="D10" s="126" t="n">
        <v>20.58</v>
      </c>
      <c r="E10" s="126" t="n">
        <v>21.26</v>
      </c>
      <c r="F10" s="126" t="n">
        <v>21.46</v>
      </c>
      <c r="G10" s="126" t="n">
        <v>19.04</v>
      </c>
      <c r="H10" s="126" t="n">
        <v>17.56</v>
      </c>
      <c r="I10" s="126" t="n">
        <v>18.63</v>
      </c>
      <c r="J10" s="126" t="n">
        <v>17.98</v>
      </c>
      <c r="K10" s="126" t="n">
        <v>13.77</v>
      </c>
      <c r="L10" s="126" t="n">
        <v>12.42</v>
      </c>
      <c r="M10" s="127" t="n">
        <v>12.69</v>
      </c>
      <c r="N10" s="122" t="n"/>
      <c r="O10" s="144">
        <f t="array" ref="O10">SUM(B10:M10/12)</f>
        <v/>
      </c>
      <c r="P10" s="122" t="n"/>
    </row>
    <row r="11" ht="18.95" customFormat="1" customHeight="1" s="123">
      <c r="A11" s="124" t="n">
        <v>2009</v>
      </c>
      <c r="B11" s="125" t="n">
        <v>12.73</v>
      </c>
      <c r="C11" s="126" t="n">
        <v>13.38</v>
      </c>
      <c r="D11" s="126" t="n">
        <v>13.3</v>
      </c>
      <c r="E11" s="126" t="n">
        <v>15.89</v>
      </c>
      <c r="F11" s="126" t="n">
        <v>18.67</v>
      </c>
      <c r="G11" s="126" t="n">
        <v>20.16</v>
      </c>
      <c r="H11" s="126" t="n">
        <v>19.83</v>
      </c>
      <c r="I11" s="126" t="n">
        <v>20.5</v>
      </c>
      <c r="J11" s="126" t="n">
        <v>21.86</v>
      </c>
      <c r="K11" s="126" t="n">
        <v>22.34</v>
      </c>
      <c r="L11" s="126" t="n">
        <v>21.91</v>
      </c>
      <c r="M11" s="127" t="n">
        <v>22.7</v>
      </c>
      <c r="N11" s="122" t="n"/>
      <c r="O11" s="144">
        <f t="array" ref="O11">SUM(B11:M11/12)</f>
        <v/>
      </c>
      <c r="P11" s="122" t="n"/>
    </row>
    <row r="12" ht="18.95" customFormat="1" customHeight="1" s="123">
      <c r="A12" s="124" t="n">
        <v>2010</v>
      </c>
      <c r="B12" s="125" t="n">
        <v>22.84</v>
      </c>
      <c r="C12" s="126" t="n">
        <v>20.72</v>
      </c>
      <c r="D12" s="126" t="n">
        <v>22.03</v>
      </c>
      <c r="E12" s="126" t="n">
        <v>22.76</v>
      </c>
      <c r="F12" s="126" t="n">
        <v>21.2</v>
      </c>
      <c r="G12" s="126" t="n">
        <v>21.73</v>
      </c>
      <c r="H12" s="126" t="n">
        <v>22.42</v>
      </c>
      <c r="I12" s="126" t="n">
        <v>22.95</v>
      </c>
      <c r="J12" s="126" t="n">
        <v>24.51</v>
      </c>
      <c r="K12" s="126" t="n">
        <v>25.23</v>
      </c>
      <c r="L12" s="126" t="n">
        <v>24.39</v>
      </c>
      <c r="M12" s="127" t="n">
        <v>23.82</v>
      </c>
      <c r="N12" s="122" t="n"/>
      <c r="O12" s="145">
        <f t="array" ref="O12">SUM(B12:M12/12)</f>
        <v/>
      </c>
      <c r="P12" s="122" t="n"/>
    </row>
    <row r="13" ht="20.1" customFormat="1" customHeight="1" s="123" thickBot="1">
      <c r="A13" s="124" t="n">
        <v>2011</v>
      </c>
      <c r="B13" s="125" t="n">
        <v>22.84</v>
      </c>
      <c r="C13" s="126" t="n">
        <v>20.67</v>
      </c>
      <c r="D13" s="126" t="n">
        <v>21.16</v>
      </c>
      <c r="E13" s="126" t="n">
        <v>22.02</v>
      </c>
      <c r="F13" s="126" t="n">
        <v>20.37</v>
      </c>
      <c r="G13" s="126" t="n">
        <v>20.2</v>
      </c>
      <c r="H13" s="126" t="n">
        <v>20.49</v>
      </c>
      <c r="I13" s="126" t="n">
        <v>18.29</v>
      </c>
      <c r="J13" s="126" t="n">
        <v>18.11</v>
      </c>
      <c r="K13" s="126" t="n">
        <v>18.15</v>
      </c>
      <c r="L13" s="126" t="n">
        <v>18.11</v>
      </c>
      <c r="M13" s="127" t="n">
        <v>17.32</v>
      </c>
      <c r="N13" s="122" t="n"/>
      <c r="O13" s="145">
        <f t="array" ref="O13">SUM(B13:M13/12)</f>
        <v/>
      </c>
      <c r="P13" s="122" t="n"/>
    </row>
    <row r="14" ht="20.1" customFormat="1" customHeight="1" s="123" thickBot="1">
      <c r="A14" s="124" t="n">
        <v>2012</v>
      </c>
      <c r="B14" s="125" t="n">
        <v>17.71</v>
      </c>
      <c r="C14" s="126" t="n">
        <v>19.09</v>
      </c>
      <c r="D14" s="126" t="n">
        <v>18.74</v>
      </c>
      <c r="E14" s="126" t="n">
        <v>18.46</v>
      </c>
      <c r="F14" s="126" t="n">
        <v>16.97</v>
      </c>
      <c r="G14" s="126" t="n">
        <v>16.89</v>
      </c>
      <c r="H14" s="126" t="n">
        <v>17.22</v>
      </c>
      <c r="I14" s="126" t="n">
        <v>17.67</v>
      </c>
      <c r="J14" s="126" t="n">
        <v>18.42</v>
      </c>
      <c r="K14" s="126" t="n">
        <v>18.95</v>
      </c>
      <c r="L14" s="126" t="n">
        <v>18.14</v>
      </c>
      <c r="M14" s="127" t="n">
        <v>18.63</v>
      </c>
      <c r="N14" s="122" t="n"/>
      <c r="O14" s="145">
        <f t="array" ref="O14">SUM(B14:M14/12)</f>
        <v/>
      </c>
      <c r="P14" s="143" t="n">
        <v>19.68</v>
      </c>
    </row>
    <row r="15" ht="18.95" customFormat="1" customHeight="1" s="123">
      <c r="A15" s="124" t="n">
        <v>2013</v>
      </c>
      <c r="B15" s="125" t="n">
        <v>18.87</v>
      </c>
      <c r="C15" s="126" t="n">
        <v>18.26</v>
      </c>
      <c r="D15" s="126" t="n">
        <v>17.89</v>
      </c>
      <c r="E15" s="126" t="n">
        <v>17.4</v>
      </c>
      <c r="F15" s="126" t="n">
        <v>18.13</v>
      </c>
      <c r="G15" s="126" t="n">
        <v>17.49</v>
      </c>
      <c r="H15" s="126" t="n">
        <v>17.88</v>
      </c>
      <c r="I15" s="126" t="n">
        <v>16.12</v>
      </c>
      <c r="J15" s="126" t="n">
        <v>16.83</v>
      </c>
      <c r="K15" s="126" t="n">
        <v>17.72</v>
      </c>
      <c r="L15" s="126" t="n">
        <v>17.8</v>
      </c>
      <c r="M15" s="127" t="n">
        <v>18.56</v>
      </c>
      <c r="N15" s="122" t="n"/>
      <c r="O15" s="145">
        <f t="array" ref="O15">SUM(B15:M15/12)</f>
        <v/>
      </c>
      <c r="P15" s="122" t="n"/>
    </row>
    <row r="16" ht="18.95" customFormat="1" customHeight="1" s="123">
      <c r="A16" s="124" t="n">
        <v>2014</v>
      </c>
      <c r="B16" s="125" t="n">
        <v>18.29</v>
      </c>
      <c r="C16" s="126" t="n">
        <v>17.37</v>
      </c>
      <c r="D16" s="126" t="n">
        <v>18.33</v>
      </c>
      <c r="E16" s="126" t="n">
        <v>18.99</v>
      </c>
      <c r="F16" s="126" t="n">
        <v>19.62</v>
      </c>
      <c r="G16" s="126" t="n">
        <v>20.57</v>
      </c>
      <c r="H16" s="126" t="n">
        <v>20.66</v>
      </c>
      <c r="I16" s="126" t="n">
        <v>20.42</v>
      </c>
      <c r="J16" s="126" t="n">
        <v>21.2</v>
      </c>
      <c r="K16" s="126" t="n">
        <v>20.65</v>
      </c>
      <c r="L16" s="126" t="n">
        <v>21.5</v>
      </c>
      <c r="M16" s="127" t="n">
        <v>21.23</v>
      </c>
      <c r="N16" s="122" t="n"/>
      <c r="O16" s="145">
        <f t="array" ref="O16">SUM(B16:M16/12)</f>
        <v/>
      </c>
      <c r="P16" s="122" t="n"/>
    </row>
    <row r="17" ht="18.95" customFormat="1" customHeight="1" s="123">
      <c r="A17" s="124" t="n">
        <v>2015</v>
      </c>
      <c r="B17" s="125" t="n">
        <v>21.73</v>
      </c>
      <c r="C17" s="126" t="n">
        <v>23.09</v>
      </c>
      <c r="D17" s="126" t="n">
        <v>23.21</v>
      </c>
      <c r="E17" s="126" t="n">
        <v>22.88</v>
      </c>
      <c r="F17" s="126" t="n">
        <v>22.4</v>
      </c>
      <c r="G17" s="126" t="n">
        <v>22.7</v>
      </c>
      <c r="H17" s="126" t="n">
        <v>23.49</v>
      </c>
      <c r="I17" s="126" t="n">
        <v>22.99</v>
      </c>
      <c r="J17" s="126" t="n">
        <v>21.69</v>
      </c>
      <c r="K17" s="126" t="n">
        <v>22.48</v>
      </c>
      <c r="L17" s="126" t="n">
        <v>21.36</v>
      </c>
      <c r="M17" s="127" t="n">
        <v>21.1</v>
      </c>
      <c r="N17" s="122" t="n"/>
      <c r="O17" s="146">
        <f t="array" ref="O17">SUM(B17:M17/12)</f>
        <v/>
      </c>
      <c r="P17" s="122" t="n"/>
    </row>
    <row r="18" ht="20.1" customFormat="1" customHeight="1" s="123" thickBot="1">
      <c r="A18" s="124" t="n">
        <v>2016</v>
      </c>
      <c r="B18" s="125" t="n">
        <v>20.34</v>
      </c>
      <c r="C18" s="126" t="n">
        <v>19.34</v>
      </c>
      <c r="D18" s="126" t="n">
        <v>20.39</v>
      </c>
      <c r="E18" s="126" t="n">
        <v>21.29</v>
      </c>
      <c r="F18" s="126" t="n">
        <v>21.51</v>
      </c>
      <c r="G18" s="126" t="n">
        <v>22.52</v>
      </c>
      <c r="H18" s="126" t="n">
        <v>23.33</v>
      </c>
      <c r="I18" s="126" t="n">
        <v>23.65</v>
      </c>
      <c r="J18" s="126" t="n">
        <v>24.08</v>
      </c>
      <c r="K18" s="126" t="n">
        <v>23.35</v>
      </c>
      <c r="L18" s="126" t="n">
        <v>21.99</v>
      </c>
      <c r="M18" s="127" t="n">
        <v>21.49</v>
      </c>
      <c r="N18" s="122" t="n"/>
      <c r="O18" s="146">
        <f t="array" ref="O18">SUM(B18:M18/12)</f>
        <v/>
      </c>
      <c r="P18" s="122" t="n"/>
    </row>
    <row r="19" ht="20.1" customFormat="1" customHeight="1" s="123" thickBot="1">
      <c r="A19" s="124" t="n">
        <v>2017</v>
      </c>
      <c r="B19" s="125" t="n">
        <v>22.44</v>
      </c>
      <c r="C19" s="126" t="n">
        <v>23.23</v>
      </c>
      <c r="D19" s="126" t="n">
        <v>23.47</v>
      </c>
      <c r="E19" s="126" t="n">
        <v>23.37</v>
      </c>
      <c r="F19" s="126" t="n">
        <v>24.25</v>
      </c>
      <c r="G19" s="126" t="n">
        <v>24.31</v>
      </c>
      <c r="H19" s="126" t="n">
        <v>25.1</v>
      </c>
      <c r="I19" s="126" t="n">
        <v>25.37</v>
      </c>
      <c r="J19" s="126" t="n">
        <v>25.99</v>
      </c>
      <c r="K19" s="126" t="n">
        <v>26.26</v>
      </c>
      <c r="L19" s="126" t="n">
        <v>26.35</v>
      </c>
      <c r="M19" s="127" t="n">
        <v>26.42</v>
      </c>
      <c r="N19" s="122" t="n"/>
      <c r="O19" s="146">
        <f t="array" ref="O19">SUM(B19:M19/12)</f>
        <v/>
      </c>
      <c r="P19" s="143" t="n">
        <v>24.64</v>
      </c>
    </row>
    <row r="20" ht="18.95" customFormat="1" customHeight="1" s="123">
      <c r="A20" s="124" t="n">
        <v>2018</v>
      </c>
      <c r="B20" s="125" t="n">
        <v>27.24</v>
      </c>
      <c r="C20" s="126" t="n">
        <v>25.61</v>
      </c>
      <c r="D20" s="126" t="n">
        <v>24.97</v>
      </c>
      <c r="E20" s="126" t="n">
        <v>26</v>
      </c>
      <c r="F20" s="126" t="n">
        <v>26.58</v>
      </c>
      <c r="G20" s="126" t="n">
        <v>26.77</v>
      </c>
      <c r="H20" s="126" t="n">
        <v>27.19</v>
      </c>
      <c r="I20" s="126" t="n">
        <v>28.22</v>
      </c>
      <c r="J20" s="126" t="n">
        <v>27.46</v>
      </c>
      <c r="K20" s="126" t="n">
        <v>25.05</v>
      </c>
      <c r="L20" s="126" t="n">
        <v>25.59</v>
      </c>
      <c r="M20" s="127" t="n">
        <v>26.07</v>
      </c>
      <c r="N20" s="122" t="n"/>
      <c r="O20" s="146">
        <f t="array" ref="O20">SUM(B20:M20/12)</f>
        <v/>
      </c>
      <c r="P20" s="122" t="n"/>
    </row>
    <row r="21" ht="20.1" customFormat="1" customHeight="1" s="123" thickBot="1">
      <c r="A21" s="124" t="n">
        <v>2019</v>
      </c>
      <c r="B21" s="125" t="n">
        <v>26.08</v>
      </c>
      <c r="C21" s="126" t="n">
        <v>26.66</v>
      </c>
      <c r="D21" s="126" t="n">
        <v>27.76</v>
      </c>
      <c r="E21" s="126" t="n">
        <v>29.12</v>
      </c>
      <c r="F21" s="126" t="n">
        <v>28.88</v>
      </c>
      <c r="G21" s="126" t="n">
        <v>29.25</v>
      </c>
      <c r="H21" s="126" t="n">
        <v>28.28</v>
      </c>
      <c r="I21" s="126" t="n">
        <v>27.12</v>
      </c>
      <c r="J21" s="126" t="n">
        <v>26.93</v>
      </c>
      <c r="K21" s="126" t="n">
        <v>26.51</v>
      </c>
      <c r="L21" s="126" t="n">
        <v>27.67</v>
      </c>
      <c r="M21" s="127" t="n">
        <v>28.18</v>
      </c>
      <c r="N21" s="122" t="n"/>
      <c r="O21" s="146">
        <f t="array" ref="O21">SUM(B21:M21/12)</f>
        <v/>
      </c>
      <c r="P21" s="122" t="n"/>
    </row>
    <row r="22" ht="20.1" customFormat="1" customHeight="1" s="123" thickBot="1">
      <c r="A22" s="124" t="n">
        <v>2020</v>
      </c>
      <c r="B22" s="125" t="n">
        <v>27.96</v>
      </c>
      <c r="C22" s="126" t="n">
        <v>26.92</v>
      </c>
      <c r="D22" s="126" t="n">
        <v>21.38</v>
      </c>
      <c r="E22" s="126" t="n">
        <v>20.38</v>
      </c>
      <c r="F22" s="126" t="n">
        <v>21.24</v>
      </c>
      <c r="G22" s="126" t="n">
        <v>24.7</v>
      </c>
      <c r="H22" s="126" t="n">
        <v>28.6</v>
      </c>
      <c r="I22" s="126" t="n">
        <v>31.59</v>
      </c>
      <c r="J22" s="126" t="n">
        <v>32.55</v>
      </c>
      <c r="K22" s="126" t="n">
        <v>33.99</v>
      </c>
      <c r="L22" s="126" t="n">
        <v>34.34</v>
      </c>
      <c r="M22" s="127" t="n">
        <v>37.26</v>
      </c>
      <c r="N22" s="122" t="n"/>
      <c r="O22" s="147">
        <f t="array" ref="O22">SUM(B22:M22/12)</f>
        <v/>
      </c>
      <c r="P22" s="122" t="n"/>
      <c r="Q22" s="148" t="n">
        <v>24.44</v>
      </c>
    </row>
    <row r="23" ht="20.1" customFormat="1" customHeight="1" s="123" thickBot="1">
      <c r="A23" s="124" t="n">
        <v>2021</v>
      </c>
      <c r="B23" s="125" t="n">
        <v>38.9</v>
      </c>
      <c r="C23" s="126" t="n">
        <v>40.8</v>
      </c>
      <c r="D23" s="126" t="n">
        <v>40.43</v>
      </c>
      <c r="E23" s="126" t="n">
        <v>32.73</v>
      </c>
      <c r="F23" s="126" t="n">
        <v>29.27</v>
      </c>
      <c r="G23" s="126" t="n">
        <v>29.08</v>
      </c>
      <c r="H23" s="126" t="n">
        <v>28.11</v>
      </c>
      <c r="I23" s="126" t="n">
        <v>26.11</v>
      </c>
      <c r="J23" s="126" t="n">
        <v>26.98</v>
      </c>
      <c r="K23" s="126" t="n">
        <v>27.31</v>
      </c>
      <c r="L23" s="126" t="n">
        <v>23.43</v>
      </c>
      <c r="M23" s="127" t="n">
        <v>23.69</v>
      </c>
      <c r="N23" s="122" t="n"/>
      <c r="O23" s="147">
        <f t="array" ref="O23">SUM(B23:M23/12)</f>
        <v/>
      </c>
      <c r="P23" s="122" t="n"/>
    </row>
    <row r="24" ht="20.1" customFormat="1" customHeight="1" s="123" thickBot="1">
      <c r="A24" s="124" t="n">
        <v>2022</v>
      </c>
      <c r="B24" s="125" t="n">
        <v>23.42</v>
      </c>
      <c r="C24" s="126" t="n">
        <v>22.54</v>
      </c>
      <c r="D24" s="126" t="n">
        <v>21.7</v>
      </c>
      <c r="E24" s="126" t="n">
        <v>22.7</v>
      </c>
      <c r="F24" s="126" t="n">
        <v>20.32</v>
      </c>
      <c r="G24" s="126" t="n">
        <v>19.5</v>
      </c>
      <c r="H24" s="126" t="n">
        <v>20.73</v>
      </c>
      <c r="I24" s="126" t="n">
        <v>21.2</v>
      </c>
      <c r="J24" s="126" t="n">
        <v>20.64</v>
      </c>
      <c r="K24" s="126" t="n">
        <v>21</v>
      </c>
      <c r="L24" s="126" t="n">
        <v>21.9</v>
      </c>
      <c r="M24" s="128" t="n">
        <v>22</v>
      </c>
      <c r="N24" s="122" t="n"/>
      <c r="O24" s="147">
        <f t="array" ref="O24">SUM(B24:M24/12)</f>
        <v/>
      </c>
      <c r="P24" s="143" t="n">
        <v>25.26</v>
      </c>
    </row>
    <row r="25" ht="18.95" customFormat="1" customHeight="1" s="123">
      <c r="A25" s="129" t="n">
        <v>2023</v>
      </c>
      <c r="B25" s="130" t="n">
        <v>21.49</v>
      </c>
      <c r="C25" s="131" t="n">
        <v>20.89</v>
      </c>
      <c r="D25" s="131" t="n">
        <v>20.29</v>
      </c>
      <c r="E25" s="131" t="n">
        <v>20.7</v>
      </c>
      <c r="F25" s="131" t="inlineStr">
        <is>
          <t>21..56</t>
        </is>
      </c>
      <c r="G25" s="131" t="n">
        <v>21.8</v>
      </c>
      <c r="H25" s="131" t="n">
        <v>23.35</v>
      </c>
      <c r="I25" s="131" t="n">
        <v>22.43</v>
      </c>
      <c r="J25" s="131" t="n">
        <v>22.39</v>
      </c>
      <c r="K25" s="131" t="n">
        <v>21.74</v>
      </c>
      <c r="L25" s="131" t="n">
        <v>21</v>
      </c>
      <c r="M25" s="128" t="n">
        <v>22.61</v>
      </c>
      <c r="N25" s="122" t="n"/>
      <c r="O25" s="147">
        <f>SUM(B26:M26)/12</f>
        <v/>
      </c>
      <c r="P25" s="122" t="n"/>
    </row>
    <row r="26" ht="18.95" customFormat="1" customHeight="1" s="123">
      <c r="A26" s="129" t="n">
        <v>2024</v>
      </c>
      <c r="B26" s="130" t="n">
        <v>22.86</v>
      </c>
      <c r="C26" s="131" t="n">
        <v>22.66</v>
      </c>
      <c r="D26" s="131" t="n">
        <v>22.52</v>
      </c>
      <c r="E26" s="131" t="n">
        <v>23</v>
      </c>
      <c r="F26" s="131" t="n">
        <v>21.56</v>
      </c>
      <c r="G26" s="131" t="n">
        <v>22.18</v>
      </c>
      <c r="H26" s="131" t="n">
        <v>23.22</v>
      </c>
      <c r="I26" s="131" t="n">
        <v>22.86</v>
      </c>
      <c r="J26" s="131" t="n">
        <v>24.26</v>
      </c>
      <c r="K26" s="131" t="n">
        <v>23.24</v>
      </c>
      <c r="L26" s="131" t="n">
        <v>21.49</v>
      </c>
      <c r="M26" s="128" t="n">
        <v>22.3</v>
      </c>
      <c r="N26" s="122" t="n"/>
      <c r="O26" s="147">
        <f t="array" ref="O26">SUM(B26:M26/12)</f>
        <v/>
      </c>
      <c r="P26" s="122" t="n"/>
    </row>
    <row r="27" ht="20.1" customFormat="1" customHeight="1" s="123" thickBot="1">
      <c r="A27" s="132" t="n">
        <v>2025</v>
      </c>
      <c r="B27" s="133" t="n">
        <v>21.43</v>
      </c>
      <c r="C27" s="134" t="n">
        <v>20.69</v>
      </c>
      <c r="D27" s="134" t="n">
        <v>20.33</v>
      </c>
      <c r="E27" s="134" t="n">
        <v>21.34</v>
      </c>
      <c r="F27" s="134" t="n">
        <v>22.18</v>
      </c>
      <c r="G27" s="134" t="n">
        <v>22.57</v>
      </c>
      <c r="H27" s="134" t="n"/>
      <c r="I27" s="134" t="n"/>
      <c r="J27" s="134" t="n"/>
      <c r="K27" s="134" t="n"/>
      <c r="L27" s="134" t="n"/>
      <c r="M27" s="135" t="n"/>
      <c r="N27" s="122" t="n"/>
      <c r="O27" s="149" t="n"/>
      <c r="P27" s="122" t="n"/>
    </row>
    <row r="28" ht="20.1" customFormat="1" customHeight="1" s="123" thickBot="1">
      <c r="A28" s="136" t="n"/>
      <c r="B28" s="122" t="n"/>
      <c r="C28" s="122" t="n"/>
      <c r="D28" s="122" t="n"/>
      <c r="E28" s="122" t="n"/>
      <c r="F28" s="122" t="n"/>
      <c r="G28" s="122" t="n"/>
      <c r="H28" s="122" t="n"/>
      <c r="I28" s="122" t="n"/>
      <c r="J28" s="122" t="n"/>
      <c r="K28" s="122" t="n"/>
      <c r="L28" s="122" t="n"/>
      <c r="M28" s="122" t="n"/>
      <c r="N28" s="122" t="n"/>
      <c r="O28" s="122" t="n"/>
      <c r="P28" s="122" t="n"/>
    </row>
    <row r="29" ht="19.5" customFormat="1" customHeight="1" s="123" thickBot="1">
      <c r="A29" s="117" t="n"/>
      <c r="B29" s="137">
        <f>SUM(B2:B27)/26</f>
        <v/>
      </c>
      <c r="C29" s="138">
        <f>SUM(C2:C27)/26</f>
        <v/>
      </c>
      <c r="D29" s="138">
        <f>SUM(D2:D27)/26</f>
        <v/>
      </c>
      <c r="E29" s="138">
        <f>SUM(E2:E27)/26</f>
        <v/>
      </c>
      <c r="F29" s="138">
        <f>SUM(F2:F27)/26</f>
        <v/>
      </c>
      <c r="G29" s="138">
        <f>SUM(G2:G27)/26</f>
        <v/>
      </c>
      <c r="H29" s="138">
        <f>SUM(H2:H27)/25</f>
        <v/>
      </c>
      <c r="I29" s="138">
        <f>SUM(I2:I27)/25</f>
        <v/>
      </c>
      <c r="J29" s="138">
        <f>SUM(J2:J27)/25</f>
        <v/>
      </c>
      <c r="K29" s="138">
        <f>SUM(K2:K27)/25</f>
        <v/>
      </c>
      <c r="L29" s="138">
        <f>SUM(L2:L27)/25</f>
        <v/>
      </c>
      <c r="M29" s="139">
        <f>SUM(M2:M27)/25</f>
        <v/>
      </c>
      <c r="N29" s="140">
        <f>SUM(B29:M29)/12</f>
        <v/>
      </c>
      <c r="O29" s="140" t="n">
        <v>21.02</v>
      </c>
      <c r="P29" s="122" t="n"/>
    </row>
  </sheetData>
  <conditionalFormatting sqref="B2:M2">
    <cfRule type="top10" rank="3" priority="29" dxfId="0"/>
  </conditionalFormatting>
  <conditionalFormatting sqref="B2:M27">
    <cfRule type="top10" rank="3" priority="1" dxfId="168" percent="1" bottom="1"/>
    <cfRule type="top10" rank="3" priority="2" dxfId="1" percent="1"/>
  </conditionalFormatting>
  <conditionalFormatting sqref="B3:M3">
    <cfRule type="top10" rank="3" priority="28" dxfId="0"/>
  </conditionalFormatting>
  <conditionalFormatting sqref="B4:M4">
    <cfRule type="top10" rank="3" priority="27" dxfId="0"/>
  </conditionalFormatting>
  <conditionalFormatting sqref="B5:M5">
    <cfRule type="top10" rank="3" priority="26" dxfId="0"/>
  </conditionalFormatting>
  <conditionalFormatting sqref="B6:M6">
    <cfRule type="top10" rank="3" priority="25" dxfId="0"/>
  </conditionalFormatting>
  <conditionalFormatting sqref="B7:M7">
    <cfRule type="top10" rank="3" priority="24" dxfId="0"/>
  </conditionalFormatting>
  <conditionalFormatting sqref="B8:M8">
    <cfRule type="top10" rank="3" priority="23" dxfId="0"/>
  </conditionalFormatting>
  <conditionalFormatting sqref="B9:M9">
    <cfRule type="top10" rank="3" priority="22" dxfId="0"/>
  </conditionalFormatting>
  <conditionalFormatting sqref="B10:M10">
    <cfRule type="top10" rank="3" priority="21" dxfId="0"/>
  </conditionalFormatting>
  <conditionalFormatting sqref="B11:M11">
    <cfRule type="top10" rank="3" priority="20" dxfId="0"/>
  </conditionalFormatting>
  <conditionalFormatting sqref="B12:M12">
    <cfRule type="top10" rank="3" priority="19" dxfId="0"/>
  </conditionalFormatting>
  <conditionalFormatting sqref="B13:M13">
    <cfRule type="top10" rank="3" priority="18" dxfId="0"/>
  </conditionalFormatting>
  <conditionalFormatting sqref="B14:M14">
    <cfRule type="top10" rank="3" priority="17" dxfId="0"/>
  </conditionalFormatting>
  <conditionalFormatting sqref="B15:M15">
    <cfRule type="top10" rank="3" priority="16" dxfId="0"/>
  </conditionalFormatting>
  <conditionalFormatting sqref="B16:M16">
    <cfRule type="top10" rank="3" priority="15" dxfId="0"/>
  </conditionalFormatting>
  <conditionalFormatting sqref="B17:M17">
    <cfRule type="top10" rank="3" priority="14" dxfId="0"/>
  </conditionalFormatting>
  <conditionalFormatting sqref="B18:M18">
    <cfRule type="top10" rank="3" priority="13" dxfId="0"/>
  </conditionalFormatting>
  <conditionalFormatting sqref="B19:M19">
    <cfRule type="top10" rank="3" priority="12" dxfId="0"/>
  </conditionalFormatting>
  <conditionalFormatting sqref="B20:M20">
    <cfRule type="top10" rank="3" priority="11" dxfId="0"/>
  </conditionalFormatting>
  <conditionalFormatting sqref="B21:M21">
    <cfRule type="top10" rank="3" priority="10" dxfId="0"/>
  </conditionalFormatting>
  <conditionalFormatting sqref="B22:M22">
    <cfRule type="top10" rank="3" priority="9" dxfId="0"/>
  </conditionalFormatting>
  <conditionalFormatting sqref="B23:M23">
    <cfRule type="top10" rank="3" priority="8" dxfId="0"/>
  </conditionalFormatting>
  <conditionalFormatting sqref="B24:M24">
    <cfRule type="top10" rank="3" priority="7" dxfId="0"/>
  </conditionalFormatting>
  <conditionalFormatting sqref="B25:M25">
    <cfRule type="top10" rank="3" priority="6" dxfId="0"/>
  </conditionalFormatting>
  <conditionalFormatting sqref="B26:M26">
    <cfRule type="top10" rank="3" priority="5" dxfId="0"/>
  </conditionalFormatting>
  <conditionalFormatting sqref="B27:M27">
    <cfRule type="top10" rank="10" priority="4" dxfId="0" percent="1"/>
  </conditionalFormatting>
  <conditionalFormatting sqref="B29:M29">
    <cfRule type="top10" rank="3" priority="3" dxfId="0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052"/>
  <sheetViews>
    <sheetView tabSelected="1" workbookViewId="0">
      <pane ySplit="1" topLeftCell="A956" activePane="bottomLeft" state="frozen"/>
      <selection pane="bottomLeft" activeCell="F964" sqref="F964"/>
    </sheetView>
  </sheetViews>
  <sheetFormatPr baseColWidth="8" defaultColWidth="10.85546875" defaultRowHeight="15"/>
  <cols>
    <col width="10.85546875" customWidth="1" style="85" min="1" max="1"/>
    <col width="21.42578125" bestFit="1" customWidth="1" style="92" min="2" max="2"/>
    <col width="15" bestFit="1" customWidth="1" style="85" min="3" max="3"/>
    <col width="10.85546875" customWidth="1" style="85" min="4" max="6"/>
    <col width="18" bestFit="1" customWidth="1" style="85" min="7" max="7"/>
    <col width="4.85546875" bestFit="1" customWidth="1" style="85" min="8" max="8"/>
    <col width="17.7109375" bestFit="1" customWidth="1" style="85" min="9" max="9"/>
    <col width="12.140625" bestFit="1" customWidth="1" style="85" min="10" max="10"/>
    <col width="14.85546875" bestFit="1" customWidth="1" style="85" min="11" max="11"/>
    <col width="10.85546875" customWidth="1" style="85" min="12" max="12"/>
    <col width="12.5703125" bestFit="1" customWidth="1" style="85" min="13" max="13"/>
    <col width="44" bestFit="1" customWidth="1" style="85" min="14" max="14"/>
    <col width="10.85546875" customWidth="1" style="85" min="15" max="15"/>
    <col width="12.5703125" bestFit="1" customWidth="1" style="85" min="16" max="16"/>
    <col width="15.85546875" bestFit="1" customWidth="1" style="85" min="17" max="17"/>
    <col width="10.85546875" customWidth="1" style="85" min="18" max="19"/>
    <col width="11.28515625" bestFit="1" customWidth="1" style="85" min="20" max="20"/>
    <col width="16" bestFit="1" customWidth="1" style="85" min="21" max="21"/>
    <col width="13.7109375" bestFit="1" customWidth="1" style="112" min="22" max="22"/>
    <col width="10.85546875" customWidth="1" style="85" min="23" max="23"/>
    <col width="19.85546875" bestFit="1" customWidth="1" style="85" min="24" max="24"/>
    <col width="17.42578125" bestFit="1" customWidth="1" style="85" min="25" max="25"/>
    <col width="15" bestFit="1" customWidth="1" style="85" min="26" max="26"/>
    <col width="12.42578125" bestFit="1" customWidth="1" style="85" min="27" max="27"/>
    <col width="18.42578125" bestFit="1" customWidth="1" style="85" min="28" max="28"/>
    <col width="10.85546875" customWidth="1" style="85" min="29" max="16384"/>
  </cols>
  <sheetData>
    <row r="1">
      <c r="A1" s="81" t="inlineStr">
        <is>
          <t>S.no</t>
        </is>
      </c>
      <c r="B1" s="81" t="inlineStr">
        <is>
          <t xml:space="preserve">Date </t>
        </is>
      </c>
      <c r="C1" s="81" t="inlineStr">
        <is>
          <t xml:space="preserve">Market Cap </t>
        </is>
      </c>
      <c r="D1" s="81" t="inlineStr">
        <is>
          <t>US $</t>
        </is>
      </c>
      <c r="E1" s="81" t="inlineStr">
        <is>
          <t>USD/INR</t>
        </is>
      </c>
      <c r="F1" s="81" t="inlineStr">
        <is>
          <t>Trillion</t>
        </is>
      </c>
      <c r="G1" s="82" t="inlineStr">
        <is>
          <t>Market Cap to GDP</t>
        </is>
      </c>
      <c r="H1" s="82" t="inlineStr">
        <is>
          <t>BEER</t>
        </is>
      </c>
      <c r="I1" s="82" t="inlineStr">
        <is>
          <t>Nifty 50 Earning Yield</t>
        </is>
      </c>
      <c r="J1" s="82" t="inlineStr">
        <is>
          <t>NIFTY 50 EPS</t>
        </is>
      </c>
      <c r="K1" s="82" t="inlineStr">
        <is>
          <t>India 10Yr Yield</t>
        </is>
      </c>
      <c r="L1" s="82" t="inlineStr">
        <is>
          <t>Nifty 50</t>
        </is>
      </c>
      <c r="M1" s="83" t="inlineStr">
        <is>
          <t>Price to Book</t>
        </is>
      </c>
      <c r="N1" s="82" t="inlineStr">
        <is>
          <t>Equity Earnings Yield vs 10 Year G Sec Yield Gap</t>
        </is>
      </c>
      <c r="O1" s="82" t="inlineStr">
        <is>
          <t>Nifty 50 pe</t>
        </is>
      </c>
      <c r="P1" s="82" t="inlineStr">
        <is>
          <t>US 10yr Bond</t>
        </is>
      </c>
      <c r="Q1" s="82" t="inlineStr">
        <is>
          <t xml:space="preserve">India yr- US 10yr </t>
        </is>
      </c>
      <c r="R1" s="82" t="inlineStr">
        <is>
          <t>Dollar index</t>
        </is>
      </c>
      <c r="S1" s="82" t="inlineStr">
        <is>
          <t>PREITY Ratio</t>
        </is>
      </c>
      <c r="T1" s="82" t="inlineStr">
        <is>
          <t>91 day T Bill</t>
        </is>
      </c>
      <c r="U1" s="82" t="inlineStr">
        <is>
          <t>Nifty Midcap 150</t>
        </is>
      </c>
      <c r="V1" s="84" t="inlineStr">
        <is>
          <t>Midcap 150 PE</t>
        </is>
      </c>
      <c r="W1" s="82" t="inlineStr">
        <is>
          <t>Midcap EPS</t>
        </is>
      </c>
      <c r="X1" s="82" t="inlineStr">
        <is>
          <t>Midcap Earning Yield</t>
        </is>
      </c>
      <c r="Y1" s="82" t="inlineStr">
        <is>
          <t>Nifty Smallcap 250</t>
        </is>
      </c>
      <c r="Z1" s="82" t="inlineStr">
        <is>
          <t>Smallcap 250 PE</t>
        </is>
      </c>
      <c r="AA1" s="82" t="inlineStr">
        <is>
          <t>Smallcap EPS</t>
        </is>
      </c>
      <c r="AB1" s="82" t="inlineStr">
        <is>
          <t>Smallcap Earning Yield</t>
        </is>
      </c>
      <c r="AC1" s="188" t="inlineStr">
        <is>
          <t>Updated:</t>
        </is>
      </c>
      <c r="AD1" s="194" t="n">
        <v>46108</v>
      </c>
    </row>
    <row r="2" customFormat="1" s="91">
      <c r="A2" s="86" t="n">
        <v>1</v>
      </c>
      <c r="B2" s="87" t="n">
        <v>44564</v>
      </c>
      <c r="C2" s="88" t="n">
        <v>26941904.91</v>
      </c>
      <c r="D2" s="89">
        <f>C2/E2</f>
        <v/>
      </c>
      <c r="E2" s="90" t="n">
        <v>74.40000000000001</v>
      </c>
      <c r="F2" s="89">
        <f>D2/100000</f>
        <v/>
      </c>
      <c r="G2" s="89">
        <f>(F2/DataSheet!$C$9*100)</f>
        <v/>
      </c>
      <c r="H2" s="89">
        <f>K2/I2</f>
        <v/>
      </c>
      <c r="I2" s="90">
        <f>(J2/L2)*100</f>
        <v/>
      </c>
      <c r="J2" s="89">
        <f>L2/O2</f>
        <v/>
      </c>
      <c r="K2" s="89" t="n">
        <v>6.46</v>
      </c>
      <c r="L2" s="89" t="n">
        <v>17625.7</v>
      </c>
      <c r="M2" s="89" t="n">
        <v>4.44</v>
      </c>
      <c r="N2" s="89">
        <f>K2-I2</f>
        <v/>
      </c>
      <c r="O2" s="89" t="n">
        <v>24.49</v>
      </c>
      <c r="P2" s="89" t="n">
        <v>1.637</v>
      </c>
      <c r="Q2" s="89">
        <f>K2-P2</f>
        <v/>
      </c>
      <c r="R2" s="89" t="n">
        <v>96.211</v>
      </c>
      <c r="S2" s="90">
        <f>(O2*T2)</f>
        <v/>
      </c>
      <c r="T2" s="89" t="n">
        <v>3.59</v>
      </c>
      <c r="U2" s="90" t="n">
        <v>30788</v>
      </c>
      <c r="V2" s="90" t="n">
        <v>30.88</v>
      </c>
      <c r="W2" s="89">
        <f>U2/V2</f>
        <v/>
      </c>
      <c r="X2" s="89">
        <f>(W2/U2)*100</f>
        <v/>
      </c>
      <c r="Y2" s="90" t="n">
        <v>9966.35</v>
      </c>
      <c r="Z2" s="89" t="n">
        <v>31.44</v>
      </c>
      <c r="AA2" s="89">
        <f>Y2/Z2</f>
        <v/>
      </c>
      <c r="AB2" s="89">
        <f>(AA2/Y2)*100</f>
        <v/>
      </c>
    </row>
    <row r="3">
      <c r="A3" s="92" t="n">
        <v>2</v>
      </c>
      <c r="B3" s="93" t="n">
        <v>44565</v>
      </c>
      <c r="C3" s="94" t="n">
        <v>27136806.51</v>
      </c>
      <c r="D3" s="95">
        <f>C3/E3</f>
        <v/>
      </c>
      <c r="E3" s="80" t="n">
        <v>74.53</v>
      </c>
      <c r="F3" s="95">
        <f>D3/100000</f>
        <v/>
      </c>
      <c r="G3" s="95">
        <f>(F3/DataSheet!$C$9*100)</f>
        <v/>
      </c>
      <c r="H3" s="95">
        <f>K3/I3</f>
        <v/>
      </c>
      <c r="I3" s="96">
        <f>(J3/L3)*100</f>
        <v/>
      </c>
      <c r="J3" s="97">
        <f>L3/O3</f>
        <v/>
      </c>
      <c r="K3" s="79" t="n">
        <v>6.518</v>
      </c>
      <c r="L3" s="79" t="n">
        <v>17805.25</v>
      </c>
      <c r="M3" s="79" t="n">
        <v>4.49</v>
      </c>
      <c r="N3" s="97">
        <f>K3-I3</f>
        <v/>
      </c>
      <c r="O3" s="79" t="n">
        <v>24.74</v>
      </c>
      <c r="P3" s="79" t="n">
        <v>1.649</v>
      </c>
      <c r="Q3" s="97">
        <f>K3-P3</f>
        <v/>
      </c>
      <c r="R3" s="79" t="n">
        <v>96.274</v>
      </c>
      <c r="S3" s="98">
        <f>(O3*T3)</f>
        <v/>
      </c>
      <c r="T3" s="79" t="n">
        <v>3.6</v>
      </c>
      <c r="U3" s="80" t="n">
        <v>30870.35</v>
      </c>
      <c r="V3" s="80" t="n">
        <v>30.96</v>
      </c>
      <c r="W3" s="97">
        <f>U3/V3</f>
        <v/>
      </c>
      <c r="X3" s="97">
        <f>(W3/U3)*100</f>
        <v/>
      </c>
      <c r="Y3" s="80" t="n">
        <v>10018.45</v>
      </c>
      <c r="Z3" s="79" t="n">
        <v>31.61</v>
      </c>
      <c r="AA3" s="97">
        <f>Y3/Z3</f>
        <v/>
      </c>
      <c r="AB3" s="97">
        <f>(AA3/Y3)*100</f>
        <v/>
      </c>
    </row>
    <row r="4">
      <c r="A4" s="92" t="n">
        <v>3</v>
      </c>
      <c r="B4" s="93" t="n">
        <v>44566</v>
      </c>
      <c r="C4" s="94" t="n">
        <v>27008660.06</v>
      </c>
      <c r="D4" s="95">
        <f>C4/E4</f>
        <v/>
      </c>
      <c r="E4" s="80" t="n">
        <v>74.285</v>
      </c>
      <c r="F4" s="95">
        <f>D4/100000</f>
        <v/>
      </c>
      <c r="G4" s="95">
        <f>(F4/DataSheet!$C$9*100)</f>
        <v/>
      </c>
      <c r="H4" s="95">
        <f>K4/I4</f>
        <v/>
      </c>
      <c r="I4" s="96">
        <f>(J4/L4)*100</f>
        <v/>
      </c>
      <c r="J4" s="97">
        <f>L4/O4</f>
        <v/>
      </c>
      <c r="K4" s="79" t="n">
        <v>6.508</v>
      </c>
      <c r="L4" s="79" t="n">
        <v>17925.25</v>
      </c>
      <c r="M4" s="79" t="n">
        <v>4.52</v>
      </c>
      <c r="N4" s="97">
        <f>K4-I4</f>
        <v/>
      </c>
      <c r="O4" s="79" t="n">
        <v>24.91</v>
      </c>
      <c r="P4" s="79" t="n">
        <v>1.7</v>
      </c>
      <c r="Q4" s="97">
        <f>K4-P4</f>
        <v/>
      </c>
      <c r="R4" s="79" t="n">
        <v>96.182</v>
      </c>
      <c r="S4" s="98">
        <f>(O4*T4)</f>
        <v/>
      </c>
      <c r="T4" s="79" t="n">
        <v>3.58</v>
      </c>
      <c r="U4" s="80" t="n">
        <v>30917.55</v>
      </c>
      <c r="V4" s="80" t="n">
        <v>30.97</v>
      </c>
      <c r="W4" s="97">
        <f>U4/V4</f>
        <v/>
      </c>
      <c r="X4" s="97">
        <f>(W4/U4)*100</f>
        <v/>
      </c>
      <c r="Y4" s="80" t="n">
        <v>10024.3</v>
      </c>
      <c r="Z4" s="79" t="n">
        <v>31.62</v>
      </c>
      <c r="AA4" s="97">
        <f>Y4/Z4</f>
        <v/>
      </c>
      <c r="AB4" s="97">
        <f>(AA4/Y4)*100</f>
        <v/>
      </c>
    </row>
    <row r="5">
      <c r="A5" s="92" t="n">
        <v>4</v>
      </c>
      <c r="B5" s="93" t="n">
        <v>44567</v>
      </c>
      <c r="C5" s="94" t="n">
        <v>27117001.28</v>
      </c>
      <c r="D5" s="95">
        <f>C5/E5</f>
        <v/>
      </c>
      <c r="E5" s="80" t="n">
        <v>74.38500000000001</v>
      </c>
      <c r="F5" s="95">
        <f>D5/100000</f>
        <v/>
      </c>
      <c r="G5" s="95">
        <f>(F5/DataSheet!$C$9*100)</f>
        <v/>
      </c>
      <c r="H5" s="95">
        <f>K5/I5</f>
        <v/>
      </c>
      <c r="I5" s="96">
        <f>(J5/L5)*100</f>
        <v/>
      </c>
      <c r="J5" s="97">
        <f>L5/O5</f>
        <v/>
      </c>
      <c r="K5" s="79" t="n">
        <v>6.525</v>
      </c>
      <c r="L5" s="79" t="n">
        <v>17745.9</v>
      </c>
      <c r="M5" s="79" t="n">
        <v>4.47</v>
      </c>
      <c r="N5" s="97">
        <f>K5-I5</f>
        <v/>
      </c>
      <c r="O5" s="79" t="n">
        <v>24.66</v>
      </c>
      <c r="P5" s="79" t="n">
        <v>1.728</v>
      </c>
      <c r="Q5" s="97">
        <f>K5-P5</f>
        <v/>
      </c>
      <c r="R5" s="79" t="n">
        <v>96.32599999999999</v>
      </c>
      <c r="S5" s="98">
        <f>(O5*T5)</f>
        <v/>
      </c>
      <c r="T5" s="79" t="n">
        <v>3.57</v>
      </c>
      <c r="U5" s="80" t="n">
        <v>30956.85</v>
      </c>
      <c r="V5" s="80" t="n">
        <v>30.95</v>
      </c>
      <c r="W5" s="97">
        <f>U5/V5</f>
        <v/>
      </c>
      <c r="X5" s="97">
        <f>(W5/U5)*100</f>
        <v/>
      </c>
      <c r="Y5" s="80" t="n">
        <v>10034.95</v>
      </c>
      <c r="Z5" s="79" t="n">
        <v>31.66</v>
      </c>
      <c r="AA5" s="97">
        <f>Y5/Z5</f>
        <v/>
      </c>
      <c r="AB5" s="97">
        <f>(AA5/Y5)*100</f>
        <v/>
      </c>
    </row>
    <row r="6">
      <c r="A6" s="92" t="n">
        <v>5</v>
      </c>
      <c r="B6" s="93" t="n">
        <v>44568</v>
      </c>
      <c r="C6" s="94" t="n">
        <v>27237049.3</v>
      </c>
      <c r="D6" s="95">
        <f>C6/E6</f>
        <v/>
      </c>
      <c r="E6" s="80" t="n">
        <v>74.27800000000001</v>
      </c>
      <c r="F6" s="95">
        <f>D6/100000</f>
        <v/>
      </c>
      <c r="G6" s="95">
        <f>(F6/DataSheet!$C$9*100)</f>
        <v/>
      </c>
      <c r="H6" s="95">
        <f>K6/I6</f>
        <v/>
      </c>
      <c r="I6" s="96">
        <f>(J6/L6)*100</f>
        <v/>
      </c>
      <c r="J6" s="97">
        <f>L6/O6</f>
        <v/>
      </c>
      <c r="K6" s="79" t="n">
        <v>6.542</v>
      </c>
      <c r="L6" s="79" t="n">
        <v>17812.7</v>
      </c>
      <c r="M6" s="79" t="n">
        <v>4.49</v>
      </c>
      <c r="N6" s="97">
        <f>K6-I6</f>
        <v/>
      </c>
      <c r="O6" s="79" t="n">
        <v>24.75</v>
      </c>
      <c r="P6" s="79" t="n">
        <v>1.765</v>
      </c>
      <c r="Q6" s="97">
        <f>K6-P6</f>
        <v/>
      </c>
      <c r="R6" s="79" t="n">
        <v>95.72199999999999</v>
      </c>
      <c r="S6" s="98">
        <f>(O6*T6)</f>
        <v/>
      </c>
      <c r="T6" s="79" t="n">
        <v>3.6</v>
      </c>
      <c r="U6" s="80" t="n">
        <v>31111.55</v>
      </c>
      <c r="V6" s="80" t="n">
        <v>31.06</v>
      </c>
      <c r="W6" s="97">
        <f>U6/V6</f>
        <v/>
      </c>
      <c r="X6" s="97">
        <f>(W6/U6)*100</f>
        <v/>
      </c>
      <c r="Y6" s="80" t="n">
        <v>10076.6</v>
      </c>
      <c r="Z6" s="79" t="n">
        <v>31.79</v>
      </c>
      <c r="AA6" s="97">
        <f>Y6/Z6</f>
        <v/>
      </c>
      <c r="AB6" s="97">
        <f>(AA6/Y6)*100</f>
        <v/>
      </c>
    </row>
    <row r="7">
      <c r="A7" s="92" t="n">
        <v>6</v>
      </c>
      <c r="B7" s="93" t="n">
        <v>44571</v>
      </c>
      <c r="C7" s="94" t="n">
        <v>27464163.57</v>
      </c>
      <c r="D7" s="95">
        <f>C7/E7</f>
        <v/>
      </c>
      <c r="E7" s="80" t="n">
        <v>74.02500000000001</v>
      </c>
      <c r="F7" s="95">
        <f>D7/100000</f>
        <v/>
      </c>
      <c r="G7" s="95">
        <f>(F7/DataSheet!$C$9*100)</f>
        <v/>
      </c>
      <c r="H7" s="95">
        <f>K7/I7</f>
        <v/>
      </c>
      <c r="I7" s="96">
        <f>(J7/L7)*100</f>
        <v/>
      </c>
      <c r="J7" s="97">
        <f>L7/O7</f>
        <v/>
      </c>
      <c r="K7" s="79" t="n">
        <v>6.59</v>
      </c>
      <c r="L7" s="79" t="n">
        <v>18003.3</v>
      </c>
      <c r="M7" s="79" t="n">
        <v>4.54</v>
      </c>
      <c r="N7" s="97">
        <f>K7-I7</f>
        <v/>
      </c>
      <c r="O7" s="79" t="n">
        <v>25.01</v>
      </c>
      <c r="P7" s="79" t="n">
        <v>1.755</v>
      </c>
      <c r="Q7" s="97">
        <f>K7-P7</f>
        <v/>
      </c>
      <c r="R7" s="79" t="n">
        <v>95.98999999999999</v>
      </c>
      <c r="S7" s="98">
        <f>(O7*T7)</f>
        <v/>
      </c>
      <c r="T7" s="79" t="n">
        <v>3.59</v>
      </c>
      <c r="U7" s="80" t="n">
        <v>31371.65</v>
      </c>
      <c r="V7" s="80" t="n">
        <v>31.27</v>
      </c>
      <c r="W7" s="97">
        <f>U7/V7</f>
        <v/>
      </c>
      <c r="X7" s="97">
        <f>(W7/U7)*100</f>
        <v/>
      </c>
      <c r="Y7" s="80" t="n">
        <v>10218.3</v>
      </c>
      <c r="Z7" s="79" t="n">
        <v>32.28</v>
      </c>
      <c r="AA7" s="97">
        <f>Y7/Z7</f>
        <v/>
      </c>
      <c r="AB7" s="97">
        <f>(AA7/Y7)*100</f>
        <v/>
      </c>
    </row>
    <row r="8">
      <c r="A8" s="92" t="n">
        <v>7</v>
      </c>
      <c r="B8" s="93" t="n">
        <v>44572</v>
      </c>
      <c r="C8" s="94" t="n">
        <v>27523205.64</v>
      </c>
      <c r="D8" s="95">
        <f>C8/E8</f>
        <v/>
      </c>
      <c r="E8" s="80" t="n">
        <v>73.81699999999999</v>
      </c>
      <c r="F8" s="95">
        <f>D8/100000</f>
        <v/>
      </c>
      <c r="G8" s="95">
        <f>(F8/DataSheet!$C$9*100)</f>
        <v/>
      </c>
      <c r="H8" s="95">
        <f>K8/I8</f>
        <v/>
      </c>
      <c r="I8" s="96">
        <f>(J8/L8)*100</f>
        <v/>
      </c>
      <c r="J8" s="97">
        <f>L8/O8</f>
        <v/>
      </c>
      <c r="K8" s="79" t="n">
        <v>6.57</v>
      </c>
      <c r="L8" s="79" t="n">
        <v>18055.75</v>
      </c>
      <c r="M8" s="79" t="n">
        <v>4.55</v>
      </c>
      <c r="N8" s="97">
        <f>K8-I8</f>
        <v/>
      </c>
      <c r="O8" s="79" t="n">
        <v>25.09</v>
      </c>
      <c r="P8" s="79" t="n">
        <v>1.746</v>
      </c>
      <c r="Q8" s="97">
        <f>K8-P8</f>
        <v/>
      </c>
      <c r="R8" s="79" t="n">
        <v>95.625</v>
      </c>
      <c r="S8" s="98">
        <f>(O8*T8)</f>
        <v/>
      </c>
      <c r="T8" s="79" t="n">
        <v>3.58</v>
      </c>
      <c r="U8" s="80" t="n">
        <v>31400.4</v>
      </c>
      <c r="V8" s="80" t="n">
        <v>31.32</v>
      </c>
      <c r="W8" s="97">
        <f>U8/V8</f>
        <v/>
      </c>
      <c r="X8" s="97">
        <f>(W8/U8)*100</f>
        <v/>
      </c>
      <c r="Y8" s="80" t="n">
        <v>10228.8</v>
      </c>
      <c r="Z8" s="79" t="n">
        <v>32.31</v>
      </c>
      <c r="AA8" s="97">
        <f>Y8/Z8</f>
        <v/>
      </c>
      <c r="AB8" s="97">
        <f>(AA8/Y8)*100</f>
        <v/>
      </c>
    </row>
    <row r="9">
      <c r="A9" s="92" t="n">
        <v>8</v>
      </c>
      <c r="B9" s="93" t="n">
        <v>44573</v>
      </c>
      <c r="C9" s="94" t="n">
        <v>27726856.16</v>
      </c>
      <c r="D9" s="95">
        <f>C9/E9</f>
        <v/>
      </c>
      <c r="E9" s="80" t="n">
        <v>73.797</v>
      </c>
      <c r="F9" s="95">
        <f>D9/100000</f>
        <v/>
      </c>
      <c r="G9" s="95">
        <f>(F9/DataSheet!$C$9*100)</f>
        <v/>
      </c>
      <c r="H9" s="95">
        <f>K9/I9</f>
        <v/>
      </c>
      <c r="I9" s="96">
        <f>(J9/L9)*100</f>
        <v/>
      </c>
      <c r="J9" s="97">
        <f>L9/O9</f>
        <v/>
      </c>
      <c r="K9" s="79" t="n">
        <v>6.593</v>
      </c>
      <c r="L9" s="79" t="n">
        <v>18212.35</v>
      </c>
      <c r="M9" s="79" t="n">
        <v>4.59</v>
      </c>
      <c r="N9" s="97">
        <f>K9-I9</f>
        <v/>
      </c>
      <c r="O9" s="79" t="n">
        <v>25.3</v>
      </c>
      <c r="P9" s="79" t="n">
        <v>1.752</v>
      </c>
      <c r="Q9" s="97">
        <f>K9-P9</f>
        <v/>
      </c>
      <c r="R9" s="79" t="n">
        <v>94.901</v>
      </c>
      <c r="S9" s="98">
        <f>(O9*T9)</f>
        <v/>
      </c>
      <c r="T9" s="79" t="n">
        <v>3.57</v>
      </c>
      <c r="U9" s="80" t="n">
        <v>31791.55</v>
      </c>
      <c r="V9" s="80" t="n">
        <v>31.69</v>
      </c>
      <c r="W9" s="97">
        <f>U9/V9</f>
        <v/>
      </c>
      <c r="X9" s="97">
        <f>(W9/U9)*100</f>
        <v/>
      </c>
      <c r="Y9" s="80" t="n">
        <v>10292.35</v>
      </c>
      <c r="Z9" s="79" t="n">
        <v>32.51</v>
      </c>
      <c r="AA9" s="97">
        <f>Y9/Z9</f>
        <v/>
      </c>
      <c r="AB9" s="97">
        <f>(AA9/Y9)*100</f>
        <v/>
      </c>
    </row>
    <row r="10">
      <c r="A10" s="92" t="n">
        <v>9</v>
      </c>
      <c r="B10" s="93" t="n">
        <v>44574</v>
      </c>
      <c r="C10" s="94" t="n">
        <v>27818875.21</v>
      </c>
      <c r="D10" s="95">
        <f>C10/E10</f>
        <v/>
      </c>
      <c r="E10" s="80" t="n">
        <v>73.97199999999999</v>
      </c>
      <c r="F10" s="95">
        <f>D10/100000</f>
        <v/>
      </c>
      <c r="G10" s="95">
        <f>(F10/DataSheet!$C$9*100)</f>
        <v/>
      </c>
      <c r="H10" s="95">
        <f>K10/I10</f>
        <v/>
      </c>
      <c r="I10" s="96">
        <f>(J10/L10)*100</f>
        <v/>
      </c>
      <c r="J10" s="97">
        <f>L10/O10</f>
        <v/>
      </c>
      <c r="K10" s="79" t="n">
        <v>6.561</v>
      </c>
      <c r="L10" s="79" t="n">
        <v>18257.8</v>
      </c>
      <c r="M10" s="79" t="n">
        <v>4.6</v>
      </c>
      <c r="N10" s="97">
        <f>K10-I10</f>
        <v/>
      </c>
      <c r="O10" s="79" t="n">
        <v>25.37</v>
      </c>
      <c r="P10" s="79" t="n">
        <v>1.701</v>
      </c>
      <c r="Q10" s="97">
        <f>K10-P10</f>
        <v/>
      </c>
      <c r="R10" s="79" t="n">
        <v>94.77500000000001</v>
      </c>
      <c r="S10" s="98">
        <f>(O10*T10)</f>
        <v/>
      </c>
      <c r="T10" s="79" t="n">
        <v>3.58</v>
      </c>
      <c r="U10" s="80" t="n">
        <v>31997.2</v>
      </c>
      <c r="V10" s="80" t="n">
        <v>31.85</v>
      </c>
      <c r="W10" s="97">
        <f>U10/V10</f>
        <v/>
      </c>
      <c r="X10" s="97">
        <f>(W10/U10)*100</f>
        <v/>
      </c>
      <c r="Y10" s="80" t="n">
        <v>10352.6</v>
      </c>
      <c r="Z10" s="79" t="n">
        <v>32.64</v>
      </c>
      <c r="AA10" s="97">
        <f>Y10/Z10</f>
        <v/>
      </c>
      <c r="AB10" s="97">
        <f>(AA10/Y10)*100</f>
        <v/>
      </c>
    </row>
    <row r="11">
      <c r="A11" s="92" t="n">
        <v>10</v>
      </c>
      <c r="B11" s="93" t="n">
        <v>44575</v>
      </c>
      <c r="C11" s="94" t="n">
        <v>27857090.01</v>
      </c>
      <c r="D11" s="95">
        <f>C11/E11</f>
        <v/>
      </c>
      <c r="E11" s="80" t="n">
        <v>74.15600000000001</v>
      </c>
      <c r="F11" s="95">
        <f>D11/100000</f>
        <v/>
      </c>
      <c r="G11" s="95">
        <f>(F11/DataSheet!$C$9*100)</f>
        <v/>
      </c>
      <c r="H11" s="95">
        <f>K11/I11</f>
        <v/>
      </c>
      <c r="I11" s="96">
        <f>(J11/L11)*100</f>
        <v/>
      </c>
      <c r="J11" s="97">
        <f>L11/O11</f>
        <v/>
      </c>
      <c r="K11" s="79" t="n">
        <v>6.582</v>
      </c>
      <c r="L11" s="79" t="n">
        <v>18255.75</v>
      </c>
      <c r="M11" s="79" t="n">
        <v>4.6</v>
      </c>
      <c r="N11" s="97">
        <f>K11-I11</f>
        <v/>
      </c>
      <c r="O11" s="79" t="n">
        <v>25.3</v>
      </c>
      <c r="P11" s="79" t="n">
        <v>1.793</v>
      </c>
      <c r="Q11" s="97">
        <f>K11-P11</f>
        <v/>
      </c>
      <c r="R11" s="79" t="n">
        <v>95.161</v>
      </c>
      <c r="S11" s="98">
        <f>(O11*T11)</f>
        <v/>
      </c>
      <c r="T11" s="79" t="n">
        <v>3.59</v>
      </c>
      <c r="U11" s="80" t="n">
        <v>31989.65</v>
      </c>
      <c r="V11" s="80" t="n">
        <v>31.84</v>
      </c>
      <c r="W11" s="97">
        <f>U11/V11</f>
        <v/>
      </c>
      <c r="X11" s="97">
        <f>(W11/U11)*100</f>
        <v/>
      </c>
      <c r="Y11" s="80" t="n">
        <v>10424</v>
      </c>
      <c r="Z11" s="79" t="n">
        <v>32.87</v>
      </c>
      <c r="AA11" s="97">
        <f>Y11/Z11</f>
        <v/>
      </c>
      <c r="AB11" s="97">
        <f>(AA11/Y11)*100</f>
        <v/>
      </c>
    </row>
    <row r="12">
      <c r="A12" s="92" t="n">
        <v>11</v>
      </c>
      <c r="B12" s="93" t="n">
        <v>44578</v>
      </c>
      <c r="C12" s="94" t="n">
        <v>28010581.57</v>
      </c>
      <c r="D12" s="95">
        <f>C12/E12</f>
        <v/>
      </c>
      <c r="E12" s="80" t="n">
        <v>74.255</v>
      </c>
      <c r="F12" s="95">
        <f>D12/100000</f>
        <v/>
      </c>
      <c r="G12" s="95">
        <f>(F12/DataSheet!$C$9*100)</f>
        <v/>
      </c>
      <c r="H12" s="95">
        <f>K12/I12</f>
        <v/>
      </c>
      <c r="I12" s="96">
        <f>(J12/L12)*100</f>
        <v/>
      </c>
      <c r="J12" s="97">
        <f>L12/O12</f>
        <v/>
      </c>
      <c r="K12" s="79" t="n">
        <v>6.636</v>
      </c>
      <c r="L12" s="79" t="n">
        <v>18308.1</v>
      </c>
      <c r="M12" s="79" t="n">
        <v>4.61</v>
      </c>
      <c r="N12" s="97">
        <f>K12-I12</f>
        <v/>
      </c>
      <c r="O12" s="79" t="n">
        <v>25.37</v>
      </c>
      <c r="P12" s="79" t="n">
        <v>1.809</v>
      </c>
      <c r="Q12" s="97">
        <f>K12-P12</f>
        <v/>
      </c>
      <c r="R12" s="79" t="n">
        <v>95.161</v>
      </c>
      <c r="S12" s="98">
        <f>(O12*T12)</f>
        <v/>
      </c>
      <c r="T12" s="79" t="n">
        <v>3.6</v>
      </c>
      <c r="U12" s="80" t="n">
        <v>32040.6</v>
      </c>
      <c r="V12" s="80" t="n">
        <v>31.92</v>
      </c>
      <c r="W12" s="97">
        <f>U12/V12</f>
        <v/>
      </c>
      <c r="X12" s="97">
        <f>(W12/U12)*100</f>
        <v/>
      </c>
      <c r="Y12" s="80" t="n">
        <v>10471.85</v>
      </c>
      <c r="Z12" s="79" t="n">
        <v>33.01</v>
      </c>
      <c r="AA12" s="97">
        <f>Y12/Z12</f>
        <v/>
      </c>
      <c r="AB12" s="97">
        <f>(AA12/Y12)*100</f>
        <v/>
      </c>
    </row>
    <row r="13">
      <c r="A13" s="92" t="n">
        <v>12</v>
      </c>
      <c r="B13" s="93" t="n">
        <v>44579</v>
      </c>
      <c r="C13" s="94" t="n">
        <v>27634598.15</v>
      </c>
      <c r="D13" s="95">
        <f>C13/E13</f>
        <v/>
      </c>
      <c r="E13" s="80" t="n">
        <v>74.565</v>
      </c>
      <c r="F13" s="95">
        <f>D13/100000</f>
        <v/>
      </c>
      <c r="G13" s="95">
        <f>(F13/DataSheet!$C$9*100)</f>
        <v/>
      </c>
      <c r="H13" s="95">
        <f>K13/I13</f>
        <v/>
      </c>
      <c r="I13" s="96">
        <f>(J13/L13)*100</f>
        <v/>
      </c>
      <c r="J13" s="97">
        <f>L13/O13</f>
        <v/>
      </c>
      <c r="K13" s="79" t="n">
        <v>6.627</v>
      </c>
      <c r="L13" s="79" t="n">
        <v>18113.05</v>
      </c>
      <c r="M13" s="79" t="n">
        <v>4.56</v>
      </c>
      <c r="N13" s="97">
        <f>K13-I13</f>
        <v/>
      </c>
      <c r="O13" s="79" t="n">
        <v>25</v>
      </c>
      <c r="P13" s="79" t="n">
        <v>1.875</v>
      </c>
      <c r="Q13" s="97">
        <f>K13-P13</f>
        <v/>
      </c>
      <c r="R13" s="79" t="n">
        <v>95.723</v>
      </c>
      <c r="S13" s="98">
        <f>(O13*T13)</f>
        <v/>
      </c>
      <c r="T13" s="79" t="n">
        <v>3.6</v>
      </c>
      <c r="U13" s="80" t="n">
        <v>31381.45</v>
      </c>
      <c r="V13" s="80" t="n">
        <v>31.32</v>
      </c>
      <c r="W13" s="97">
        <f>U13/V13</f>
        <v/>
      </c>
      <c r="X13" s="97">
        <f>(W13/U13)*100</f>
        <v/>
      </c>
      <c r="Y13" s="80" t="n">
        <v>10257.8</v>
      </c>
      <c r="Z13" s="79" t="n">
        <v>32.34</v>
      </c>
      <c r="AA13" s="97">
        <f>Y13/Z13</f>
        <v/>
      </c>
      <c r="AB13" s="97">
        <f>(AA13/Y13)*100</f>
        <v/>
      </c>
    </row>
    <row r="14">
      <c r="A14" s="92" t="n">
        <v>13</v>
      </c>
      <c r="B14" s="93" t="n">
        <v>44580</v>
      </c>
      <c r="C14" s="94" t="n">
        <v>27491933.18</v>
      </c>
      <c r="D14" s="95">
        <f>C14/E14</f>
        <v/>
      </c>
      <c r="E14" s="80" t="n">
        <v>74.455</v>
      </c>
      <c r="F14" s="95">
        <f>D14/100000</f>
        <v/>
      </c>
      <c r="G14" s="95">
        <f>(F14/DataSheet!$C$9*100)</f>
        <v/>
      </c>
      <c r="H14" s="95">
        <f>K14/I14</f>
        <v/>
      </c>
      <c r="I14" s="96">
        <f>(J14/L14)*100</f>
        <v/>
      </c>
      <c r="J14" s="97">
        <f>L14/O14</f>
        <v/>
      </c>
      <c r="K14" s="79" t="n">
        <v>6.598</v>
      </c>
      <c r="L14" s="79" t="n">
        <v>17938.4</v>
      </c>
      <c r="M14" s="79" t="n">
        <v>4.52</v>
      </c>
      <c r="N14" s="97">
        <f>K14-I14</f>
        <v/>
      </c>
      <c r="O14" s="79" t="n">
        <v>24.76</v>
      </c>
      <c r="P14" s="79" t="n">
        <v>1.854</v>
      </c>
      <c r="Q14" s="97">
        <f>K14-P14</f>
        <v/>
      </c>
      <c r="R14" s="79" t="n">
        <v>95.5</v>
      </c>
      <c r="S14" s="98">
        <f>(O14*T14)</f>
        <v/>
      </c>
      <c r="T14" s="79" t="n">
        <v>3.68</v>
      </c>
      <c r="U14" s="80" t="n">
        <v>31363.3</v>
      </c>
      <c r="V14" s="80" t="n">
        <v>31.27</v>
      </c>
      <c r="W14" s="97">
        <f>U14/V14</f>
        <v/>
      </c>
      <c r="X14" s="97">
        <f>(W14/U14)*100</f>
        <v/>
      </c>
      <c r="Y14" s="80" t="n">
        <v>10281.15</v>
      </c>
      <c r="Z14" s="79" t="n">
        <v>32.34</v>
      </c>
      <c r="AA14" s="97">
        <f>Y14/Z14</f>
        <v/>
      </c>
      <c r="AB14" s="97">
        <f>(AA14/Y14)*100</f>
        <v/>
      </c>
    </row>
    <row r="15">
      <c r="A15" s="92" t="n">
        <v>14</v>
      </c>
      <c r="B15" s="93" t="n">
        <v>44581</v>
      </c>
      <c r="C15" s="94" t="n">
        <v>27334730.32</v>
      </c>
      <c r="D15" s="95">
        <f>C15/E15</f>
        <v/>
      </c>
      <c r="E15" s="80" t="n">
        <v>74.468</v>
      </c>
      <c r="F15" s="95">
        <f>D15/100000</f>
        <v/>
      </c>
      <c r="G15" s="95">
        <f>(F15/DataSheet!$C$9*100)</f>
        <v/>
      </c>
      <c r="H15" s="95">
        <f>K15/I15</f>
        <v/>
      </c>
      <c r="I15" s="96">
        <f>(J15/L15)*100</f>
        <v/>
      </c>
      <c r="J15" s="97">
        <f>L15/O15</f>
        <v/>
      </c>
      <c r="K15" s="79" t="n">
        <v>6.608</v>
      </c>
      <c r="L15" s="79" t="n">
        <v>17757</v>
      </c>
      <c r="M15" s="79" t="n">
        <v>4.47</v>
      </c>
      <c r="N15" s="97">
        <f>K15-I15</f>
        <v/>
      </c>
      <c r="O15" s="79" t="n">
        <v>24.47</v>
      </c>
      <c r="P15" s="79" t="n">
        <v>1.811</v>
      </c>
      <c r="Q15" s="97">
        <f>K15-P15</f>
        <v/>
      </c>
      <c r="R15" s="79" t="n">
        <v>95.72499999999999</v>
      </c>
      <c r="S15" s="98">
        <f>(O15*T15)</f>
        <v/>
      </c>
      <c r="T15" s="79" t="n">
        <v>3.73</v>
      </c>
      <c r="U15" s="80" t="n">
        <v>31312.05</v>
      </c>
      <c r="V15" s="80" t="n">
        <v>31.16</v>
      </c>
      <c r="W15" s="97">
        <f>U15/V15</f>
        <v/>
      </c>
      <c r="X15" s="97">
        <f>(W15/U15)*100</f>
        <v/>
      </c>
      <c r="Y15" s="80" t="n">
        <v>10269.25</v>
      </c>
      <c r="Z15" s="79" t="n">
        <v>32.28</v>
      </c>
      <c r="AA15" s="97">
        <f>Y15/Z15</f>
        <v/>
      </c>
      <c r="AB15" s="97">
        <f>(AA15/Y15)*100</f>
        <v/>
      </c>
    </row>
    <row r="16">
      <c r="A16" s="92" t="n">
        <v>15</v>
      </c>
      <c r="B16" s="93" t="n">
        <v>44582</v>
      </c>
      <c r="C16" s="94" t="n">
        <v>26978357.68</v>
      </c>
      <c r="D16" s="95">
        <f>C16/E16</f>
        <v/>
      </c>
      <c r="E16" s="80" t="n">
        <v>74.40900000000001</v>
      </c>
      <c r="F16" s="95">
        <f>D16/100000</f>
        <v/>
      </c>
      <c r="G16" s="95">
        <f>(F16/DataSheet!$C$9*100)</f>
        <v/>
      </c>
      <c r="H16" s="95">
        <f>K16/I16</f>
        <v/>
      </c>
      <c r="I16" s="96">
        <f>(J16/L16)*100</f>
        <v/>
      </c>
      <c r="J16" s="97">
        <f>L16/O16</f>
        <v/>
      </c>
      <c r="K16" s="79" t="n">
        <v>6.62</v>
      </c>
      <c r="L16" s="79" t="n">
        <v>17617.15</v>
      </c>
      <c r="M16" s="79" t="n">
        <v>4.44</v>
      </c>
      <c r="N16" s="97">
        <f>K16-I16</f>
        <v/>
      </c>
      <c r="O16" s="79" t="n">
        <v>24.29</v>
      </c>
      <c r="P16" s="79" t="n">
        <v>1.77</v>
      </c>
      <c r="Q16" s="97">
        <f>K16-P16</f>
        <v/>
      </c>
      <c r="R16" s="79" t="n">
        <v>95.636</v>
      </c>
      <c r="S16" s="98">
        <f>(O16*T16)</f>
        <v/>
      </c>
      <c r="T16" s="79" t="n">
        <v>3.73</v>
      </c>
      <c r="U16" s="80" t="n">
        <v>30563.6</v>
      </c>
      <c r="V16" s="80" t="n">
        <v>30.46</v>
      </c>
      <c r="W16" s="97">
        <f>U16/V16</f>
        <v/>
      </c>
      <c r="X16" s="97">
        <f>(W16/U16)*100</f>
        <v/>
      </c>
      <c r="Y16" s="80" t="n">
        <v>10076.85</v>
      </c>
      <c r="Z16" s="79" t="n">
        <v>31.89</v>
      </c>
      <c r="AA16" s="97">
        <f>Y16/Z16</f>
        <v/>
      </c>
      <c r="AB16" s="97">
        <f>(AA16/Y16)*100</f>
        <v/>
      </c>
    </row>
    <row r="17">
      <c r="A17" s="92" t="n">
        <v>16</v>
      </c>
      <c r="B17" s="93" t="n">
        <v>44585</v>
      </c>
      <c r="C17" s="94" t="n">
        <v>26057735.06</v>
      </c>
      <c r="D17" s="95">
        <f>C17/E17</f>
        <v/>
      </c>
      <c r="E17" s="80" t="n">
        <v>74.642</v>
      </c>
      <c r="F17" s="95">
        <f>D17/100000</f>
        <v/>
      </c>
      <c r="G17" s="95">
        <f>(F17/DataSheet!$C$9*100)</f>
        <v/>
      </c>
      <c r="H17" s="95">
        <f>K17/I17</f>
        <v/>
      </c>
      <c r="I17" s="96">
        <f>(J17/L17)*100</f>
        <v/>
      </c>
      <c r="J17" s="97">
        <f>L17/O17</f>
        <v/>
      </c>
      <c r="K17" s="79" t="n">
        <v>6.652</v>
      </c>
      <c r="L17" s="79" t="n">
        <v>17149.1</v>
      </c>
      <c r="M17" s="79" t="n">
        <v>4.32</v>
      </c>
      <c r="N17" s="97">
        <f>K17-I17</f>
        <v/>
      </c>
      <c r="O17" s="79" t="n">
        <v>23.63</v>
      </c>
      <c r="P17" s="79" t="n">
        <v>1.776</v>
      </c>
      <c r="Q17" s="97">
        <f>K17-P17</f>
        <v/>
      </c>
      <c r="R17" s="79" t="n">
        <v>95.901</v>
      </c>
      <c r="S17" s="98">
        <f>(O17*T17)</f>
        <v/>
      </c>
      <c r="T17" s="79" t="n">
        <v>3.73</v>
      </c>
      <c r="U17" s="80" t="n">
        <v>29383</v>
      </c>
      <c r="V17" s="80" t="n">
        <v>29.31</v>
      </c>
      <c r="W17" s="97">
        <f>U17/V17</f>
        <v/>
      </c>
      <c r="X17" s="97">
        <f>(W17/U17)*100</f>
        <v/>
      </c>
      <c r="Y17" s="80" t="n">
        <v>9611.5</v>
      </c>
      <c r="Z17" s="79" t="n">
        <v>30.41</v>
      </c>
      <c r="AA17" s="97">
        <f>Y17/Z17</f>
        <v/>
      </c>
      <c r="AB17" s="97">
        <f>(AA17/Y17)*100</f>
        <v/>
      </c>
    </row>
    <row r="18">
      <c r="A18" s="92" t="n">
        <v>17</v>
      </c>
      <c r="B18" s="93" t="n">
        <v>44586</v>
      </c>
      <c r="C18" s="94" t="n">
        <v>26286510.58</v>
      </c>
      <c r="D18" s="95">
        <f>C18/E18</f>
        <v/>
      </c>
      <c r="E18" s="80" t="n">
        <v>74.78700000000001</v>
      </c>
      <c r="F18" s="95">
        <f>D18/100000</f>
        <v/>
      </c>
      <c r="G18" s="95">
        <f>(F18/DataSheet!$C$9*100)</f>
        <v/>
      </c>
      <c r="H18" s="95">
        <f>K18/I18</f>
        <v/>
      </c>
      <c r="I18" s="96">
        <f>(J18/L18)*100</f>
        <v/>
      </c>
      <c r="J18" s="97">
        <f>L18/O18</f>
        <v/>
      </c>
      <c r="K18" s="79" t="n">
        <v>6.662</v>
      </c>
      <c r="L18" s="79" t="n">
        <v>17277.95</v>
      </c>
      <c r="M18" s="79" t="n">
        <v>4.35</v>
      </c>
      <c r="N18" s="97">
        <f>K18-I18</f>
        <v/>
      </c>
      <c r="O18" s="79" t="n">
        <v>23.47</v>
      </c>
      <c r="P18" s="79" t="n">
        <v>1.776</v>
      </c>
      <c r="Q18" s="97">
        <f>K18-P18</f>
        <v/>
      </c>
      <c r="R18" s="79" t="n">
        <v>95.928</v>
      </c>
      <c r="S18" s="98">
        <f>(O18*T18)</f>
        <v/>
      </c>
      <c r="T18" s="79" t="n">
        <v>3.71</v>
      </c>
      <c r="U18" s="80" t="n">
        <v>29676.9</v>
      </c>
      <c r="V18" s="80" t="n">
        <v>29.92</v>
      </c>
      <c r="W18" s="97">
        <f>U18/V18</f>
        <v/>
      </c>
      <c r="X18" s="97">
        <f>(W18/U18)*100</f>
        <v/>
      </c>
      <c r="Y18" s="80" t="n">
        <v>9713.450000000001</v>
      </c>
      <c r="Z18" s="79" t="n">
        <v>30.41</v>
      </c>
      <c r="AA18" s="97">
        <f>Y18/Z18</f>
        <v/>
      </c>
      <c r="AB18" s="97">
        <f>(AA18/Y18)*100</f>
        <v/>
      </c>
    </row>
    <row r="19">
      <c r="A19" s="92" t="n">
        <v>18</v>
      </c>
      <c r="B19" s="93" t="n">
        <v>44588</v>
      </c>
      <c r="C19" s="94" t="n">
        <v>26006898.93</v>
      </c>
      <c r="D19" s="95">
        <f>C19/E19</f>
        <v/>
      </c>
      <c r="E19" s="80" t="n">
        <v>75.209</v>
      </c>
      <c r="F19" s="95">
        <f>D19/100000</f>
        <v/>
      </c>
      <c r="G19" s="95">
        <f>(F19/DataSheet!$C$9*100)</f>
        <v/>
      </c>
      <c r="H19" s="95">
        <f>K19/I19</f>
        <v/>
      </c>
      <c r="I19" s="96">
        <f>(J19/L19)*100</f>
        <v/>
      </c>
      <c r="J19" s="97">
        <f>L19/O19</f>
        <v/>
      </c>
      <c r="K19" s="79" t="n">
        <v>6.746</v>
      </c>
      <c r="L19" s="79" t="n">
        <v>17110.15</v>
      </c>
      <c r="M19" s="79" t="n">
        <v>4.31</v>
      </c>
      <c r="N19" s="97">
        <f>K19-I19</f>
        <v/>
      </c>
      <c r="O19" s="79" t="n">
        <v>23.09</v>
      </c>
      <c r="P19" s="79" t="n">
        <v>1.803</v>
      </c>
      <c r="Q19" s="97">
        <f>K19-P19</f>
        <v/>
      </c>
      <c r="R19" s="79" t="n">
        <v>97.242</v>
      </c>
      <c r="S19" s="98">
        <f>(O19*T19)</f>
        <v/>
      </c>
      <c r="T19" s="79" t="n">
        <v>3.76</v>
      </c>
      <c r="U19" s="80" t="n">
        <v>29364.7</v>
      </c>
      <c r="V19" s="80" t="n">
        <v>29.65</v>
      </c>
      <c r="W19" s="97">
        <f>U19/V19</f>
        <v/>
      </c>
      <c r="X19" s="97">
        <f>(W19/U19)*100</f>
        <v/>
      </c>
      <c r="Y19" s="80" t="n">
        <v>9668.549999999999</v>
      </c>
      <c r="Z19" s="79" t="n">
        <v>30.26</v>
      </c>
      <c r="AA19" s="97">
        <f>Y19/Z19</f>
        <v/>
      </c>
      <c r="AB19" s="97">
        <f>(AA19/Y19)*100</f>
        <v/>
      </c>
    </row>
    <row r="20">
      <c r="A20" s="92" t="n">
        <v>19</v>
      </c>
      <c r="B20" s="93" t="n">
        <v>44589</v>
      </c>
      <c r="C20" s="94" t="n">
        <v>26118525.02</v>
      </c>
      <c r="D20" s="95">
        <f>C20/E20</f>
        <v/>
      </c>
      <c r="E20" s="80" t="n">
        <v>75.04600000000001</v>
      </c>
      <c r="F20" s="95">
        <f>D20/100000</f>
        <v/>
      </c>
      <c r="G20" s="95">
        <f>(F20/DataSheet!$C$9*100)</f>
        <v/>
      </c>
      <c r="H20" s="95">
        <f>K20/I20</f>
        <v/>
      </c>
      <c r="I20" s="96">
        <f>(J20/L20)*100</f>
        <v/>
      </c>
      <c r="J20" s="97">
        <f>L20/O20</f>
        <v/>
      </c>
      <c r="K20" s="79" t="n">
        <v>6.768</v>
      </c>
      <c r="L20" s="79" t="n">
        <v>17101.95</v>
      </c>
      <c r="M20" s="79" t="n">
        <v>4.31</v>
      </c>
      <c r="N20" s="97">
        <f>K20-I20</f>
        <v/>
      </c>
      <c r="O20" s="79" t="n">
        <v>23.1</v>
      </c>
      <c r="P20" s="79" t="n">
        <v>1.778</v>
      </c>
      <c r="Q20" s="97">
        <f>K20-P20</f>
        <v/>
      </c>
      <c r="R20" s="79" t="n">
        <v>97.26600000000001</v>
      </c>
      <c r="S20" s="98">
        <f>(O20*T20)</f>
        <v/>
      </c>
      <c r="T20" s="79" t="n">
        <v>3.76</v>
      </c>
      <c r="U20" s="80" t="n">
        <v>29804.9</v>
      </c>
      <c r="V20" s="80" t="n">
        <v>29.94</v>
      </c>
      <c r="W20" s="97">
        <f>U20/V20</f>
        <v/>
      </c>
      <c r="X20" s="97">
        <f>(W20/U20)*100</f>
        <v/>
      </c>
      <c r="Y20" s="80" t="n">
        <v>9719.700000000001</v>
      </c>
      <c r="Z20" s="79" t="n">
        <v>30.61</v>
      </c>
      <c r="AA20" s="97">
        <f>Y20/Z20</f>
        <v/>
      </c>
      <c r="AB20" s="97">
        <f>(AA20/Y20)*100</f>
        <v/>
      </c>
    </row>
    <row r="21">
      <c r="A21" s="92" t="n">
        <v>20</v>
      </c>
      <c r="B21" s="93" t="n">
        <v>44592</v>
      </c>
      <c r="C21" s="94" t="n">
        <v>26441508.2</v>
      </c>
      <c r="D21" s="95">
        <f>C21/E21</f>
        <v/>
      </c>
      <c r="E21" s="80" t="n">
        <v>74.556</v>
      </c>
      <c r="F21" s="95">
        <f>D21/100000</f>
        <v/>
      </c>
      <c r="G21" s="95">
        <f>(F21/DataSheet!$C$9*100)</f>
        <v/>
      </c>
      <c r="H21" s="95">
        <f>K21/I21</f>
        <v/>
      </c>
      <c r="I21" s="96">
        <f>(J21/L21)*100</f>
        <v/>
      </c>
      <c r="J21" s="97">
        <f>L21/O21</f>
        <v/>
      </c>
      <c r="K21" s="79" t="n">
        <v>6.684</v>
      </c>
      <c r="L21" s="79" t="n">
        <v>17339.85</v>
      </c>
      <c r="M21" s="79" t="n">
        <v>4.37</v>
      </c>
      <c r="N21" s="97">
        <f>K21-I21</f>
        <v/>
      </c>
      <c r="O21" s="79" t="n">
        <v>23.42</v>
      </c>
      <c r="P21" s="79" t="n">
        <v>1.784</v>
      </c>
      <c r="Q21" s="97">
        <f>K21-P21</f>
        <v/>
      </c>
      <c r="R21" s="79" t="n">
        <v>96.53700000000001</v>
      </c>
      <c r="S21" s="98">
        <f>(O21*T21)</f>
        <v/>
      </c>
      <c r="T21" s="79" t="n">
        <v>3.76</v>
      </c>
      <c r="U21" s="80" t="n">
        <v>30273.95</v>
      </c>
      <c r="V21" s="80" t="n">
        <v>30.24</v>
      </c>
      <c r="W21" s="97">
        <f>U21/V21</f>
        <v/>
      </c>
      <c r="X21" s="97">
        <f>(W21/U21)*100</f>
        <v/>
      </c>
      <c r="Y21" s="80" t="n">
        <v>9813.1</v>
      </c>
      <c r="Z21" s="79" t="n">
        <v>30.31</v>
      </c>
      <c r="AA21" s="97">
        <f>Y21/Z21</f>
        <v/>
      </c>
      <c r="AB21" s="97">
        <f>(AA21/Y21)*100</f>
        <v/>
      </c>
    </row>
    <row r="22">
      <c r="A22" s="92" t="n">
        <v>21</v>
      </c>
      <c r="B22" s="93" t="n">
        <v>44593</v>
      </c>
      <c r="C22" s="94" t="n">
        <v>26747570.96</v>
      </c>
      <c r="D22" s="95">
        <f>C22/E22</f>
        <v/>
      </c>
      <c r="E22" s="80" t="n">
        <v>74.751</v>
      </c>
      <c r="F22" s="95">
        <f>D22/100000</f>
        <v/>
      </c>
      <c r="G22" s="95">
        <f>(F22/DataSheet!$C$9*100)</f>
        <v/>
      </c>
      <c r="H22" s="95">
        <f>K22/I22</f>
        <v/>
      </c>
      <c r="I22" s="96">
        <f>(J22/L22)*100</f>
        <v/>
      </c>
      <c r="J22" s="97">
        <f>L22/O22</f>
        <v/>
      </c>
      <c r="K22" s="79" t="n">
        <v>6.828</v>
      </c>
      <c r="L22" s="79" t="n">
        <v>17576.85</v>
      </c>
      <c r="M22" s="79" t="n">
        <v>4.43</v>
      </c>
      <c r="N22" s="97">
        <f>K22-I22</f>
        <v/>
      </c>
      <c r="O22" s="79" t="n">
        <v>23.62</v>
      </c>
      <c r="P22" s="79" t="n">
        <v>1.795</v>
      </c>
      <c r="Q22" s="97">
        <f>K22-P22</f>
        <v/>
      </c>
      <c r="R22" s="79" t="n">
        <v>96.375</v>
      </c>
      <c r="S22" s="98">
        <f>(O22*T22)</f>
        <v/>
      </c>
      <c r="T22" s="79" t="n">
        <v>3.77</v>
      </c>
      <c r="U22" s="80" t="n">
        <v>30611.6</v>
      </c>
      <c r="V22" s="80" t="n">
        <v>30.55</v>
      </c>
      <c r="W22" s="97">
        <f>U22/V22</f>
        <v/>
      </c>
      <c r="X22" s="97">
        <f>(W22/U22)*100</f>
        <v/>
      </c>
      <c r="Y22" s="80" t="n">
        <v>9886.6</v>
      </c>
      <c r="Z22" s="79" t="n">
        <v>29.96</v>
      </c>
      <c r="AA22" s="97">
        <f>Y22/Z22</f>
        <v/>
      </c>
      <c r="AB22" s="97">
        <f>(AA22/Y22)*100</f>
        <v/>
      </c>
    </row>
    <row r="23">
      <c r="A23" s="92" t="n">
        <v>22</v>
      </c>
      <c r="B23" s="93" t="n">
        <v>44594</v>
      </c>
      <c r="C23" s="94" t="n">
        <v>27076524.3</v>
      </c>
      <c r="D23" s="95">
        <f>C23/E23</f>
        <v/>
      </c>
      <c r="E23" s="80" t="n">
        <v>74.82299999999999</v>
      </c>
      <c r="F23" s="95">
        <f>D23/100000</f>
        <v/>
      </c>
      <c r="G23" s="95">
        <f>(F23/DataSheet!$C$9*100)</f>
        <v/>
      </c>
      <c r="H23" s="95">
        <f>K23/I23</f>
        <v/>
      </c>
      <c r="I23" s="96">
        <f>(J23/L23)*100</f>
        <v/>
      </c>
      <c r="J23" s="97">
        <f>L23/O23</f>
        <v/>
      </c>
      <c r="K23" s="79" t="n">
        <v>6.88</v>
      </c>
      <c r="L23" s="79" t="n">
        <v>17780</v>
      </c>
      <c r="M23" s="79" t="n">
        <v>4.48</v>
      </c>
      <c r="N23" s="97">
        <f>K23-I23</f>
        <v/>
      </c>
      <c r="O23" s="79" t="n">
        <v>23.95</v>
      </c>
      <c r="P23" s="79" t="n">
        <v>1.771</v>
      </c>
      <c r="Q23" s="97">
        <f>K23-P23</f>
        <v/>
      </c>
      <c r="R23" s="79" t="n">
        <v>95.935</v>
      </c>
      <c r="S23" s="98">
        <f>(O23*T23)</f>
        <v/>
      </c>
      <c r="T23" s="79" t="n">
        <v>3.84</v>
      </c>
      <c r="U23" s="80" t="n">
        <v>30971.55</v>
      </c>
      <c r="V23" s="80" t="n">
        <v>30.9</v>
      </c>
      <c r="W23" s="97">
        <f>U23/V23</f>
        <v/>
      </c>
      <c r="X23" s="97">
        <f>(W23/U23)*100</f>
        <v/>
      </c>
      <c r="Y23" s="80" t="n">
        <v>10051.3</v>
      </c>
      <c r="Z23" s="79" t="n">
        <v>30.19</v>
      </c>
      <c r="AA23" s="97">
        <f>Y23/Z23</f>
        <v/>
      </c>
      <c r="AB23" s="97">
        <f>(AA23/Y23)*100</f>
        <v/>
      </c>
    </row>
    <row r="24">
      <c r="A24" s="92" t="n">
        <v>23</v>
      </c>
      <c r="B24" s="93" t="n">
        <v>44595</v>
      </c>
      <c r="C24" s="94" t="n">
        <v>26859756.72</v>
      </c>
      <c r="D24" s="95">
        <f>C24/E24</f>
        <v/>
      </c>
      <c r="E24" s="80" t="n">
        <v>74.64400000000001</v>
      </c>
      <c r="F24" s="95">
        <f>D24/100000</f>
        <v/>
      </c>
      <c r="G24" s="95">
        <f>(F24/DataSheet!$C$9*100)</f>
        <v/>
      </c>
      <c r="H24" s="95">
        <f>K24/I24</f>
        <v/>
      </c>
      <c r="I24" s="96">
        <f>(J24/L24)*100</f>
        <v/>
      </c>
      <c r="J24" s="97">
        <f>L24/O24</f>
        <v/>
      </c>
      <c r="K24" s="79" t="n">
        <v>6.889</v>
      </c>
      <c r="L24" s="79" t="n">
        <v>17560.2</v>
      </c>
      <c r="M24" s="79" t="n">
        <v>4.42</v>
      </c>
      <c r="N24" s="97">
        <f>K24-I24</f>
        <v/>
      </c>
      <c r="O24" s="79" t="n">
        <v>23.65</v>
      </c>
      <c r="P24" s="79" t="n">
        <v>1.836</v>
      </c>
      <c r="Q24" s="97">
        <f>K24-P24</f>
        <v/>
      </c>
      <c r="R24" s="79" t="n">
        <v>95.379</v>
      </c>
      <c r="S24" s="98">
        <f>(O24*T24)</f>
        <v/>
      </c>
      <c r="T24" s="79" t="n">
        <v>3.83</v>
      </c>
      <c r="U24" s="80" t="n">
        <v>30673.9</v>
      </c>
      <c r="V24" s="80" t="n">
        <v>30.54</v>
      </c>
      <c r="W24" s="97">
        <f>U24/V24</f>
        <v/>
      </c>
      <c r="X24" s="97">
        <f>(W24/U24)*100</f>
        <v/>
      </c>
      <c r="Y24" s="80" t="n">
        <v>10050.15</v>
      </c>
      <c r="Z24" s="79" t="n">
        <v>30.11</v>
      </c>
      <c r="AA24" s="97">
        <f>Y24/Z24</f>
        <v/>
      </c>
      <c r="AB24" s="97">
        <f>(AA24/Y24)*100</f>
        <v/>
      </c>
    </row>
    <row r="25">
      <c r="A25" s="92" t="n">
        <v>24</v>
      </c>
      <c r="B25" s="93" t="n">
        <v>44596</v>
      </c>
      <c r="C25" s="94" t="n">
        <v>26781891.47</v>
      </c>
      <c r="D25" s="95">
        <f>C25/E25</f>
        <v/>
      </c>
      <c r="E25" s="80" t="n">
        <v>74.645</v>
      </c>
      <c r="F25" s="95">
        <f>D25/100000</f>
        <v/>
      </c>
      <c r="G25" s="95">
        <f>(F25/DataSheet!$C$9*100)</f>
        <v/>
      </c>
      <c r="H25" s="95">
        <f>K25/I25</f>
        <v/>
      </c>
      <c r="I25" s="96">
        <f>(J25/L25)*100</f>
        <v/>
      </c>
      <c r="J25" s="97">
        <f>L25/O25</f>
        <v/>
      </c>
      <c r="K25" s="79" t="n">
        <v>6.879</v>
      </c>
      <c r="L25" s="79" t="n">
        <v>17516.3</v>
      </c>
      <c r="M25" s="79" t="n">
        <v>4.41</v>
      </c>
      <c r="N25" s="97">
        <f>K25-I25</f>
        <v/>
      </c>
      <c r="O25" s="79" t="n">
        <v>23.56</v>
      </c>
      <c r="P25" s="79" t="n">
        <v>1.916</v>
      </c>
      <c r="Q25" s="97">
        <f>K25-P25</f>
        <v/>
      </c>
      <c r="R25" s="79" t="n">
        <v>95.48</v>
      </c>
      <c r="S25" s="98">
        <f>(O25*T25)</f>
        <v/>
      </c>
      <c r="T25" s="79" t="n">
        <v>3.86</v>
      </c>
      <c r="U25" s="80" t="n">
        <v>30441.55</v>
      </c>
      <c r="V25" s="80" t="n">
        <v>30.12</v>
      </c>
      <c r="W25" s="97">
        <f>U25/V25</f>
        <v/>
      </c>
      <c r="X25" s="97">
        <f>(W25/U25)*100</f>
        <v/>
      </c>
      <c r="Y25" s="80" t="n">
        <v>9991.299999999999</v>
      </c>
      <c r="Z25" s="79" t="n">
        <v>29.87</v>
      </c>
      <c r="AA25" s="97">
        <f>Y25/Z25</f>
        <v/>
      </c>
      <c r="AB25" s="97">
        <f>(AA25/Y25)*100</f>
        <v/>
      </c>
    </row>
    <row r="26">
      <c r="A26" s="92" t="n">
        <v>25</v>
      </c>
      <c r="B26" s="93" t="n">
        <v>44599</v>
      </c>
      <c r="C26" s="94" t="n">
        <v>26485014.35</v>
      </c>
      <c r="D26" s="95">
        <f>C26/E26</f>
        <v/>
      </c>
      <c r="E26" s="80" t="n">
        <v>74.655</v>
      </c>
      <c r="F26" s="95">
        <f>D26/100000</f>
        <v/>
      </c>
      <c r="G26" s="95">
        <f>(F26/DataSheet!$C$9*100)</f>
        <v/>
      </c>
      <c r="H26" s="95">
        <f>K26/I26</f>
        <v/>
      </c>
      <c r="I26" s="96">
        <f>(J26/L26)*100</f>
        <v/>
      </c>
      <c r="J26" s="97">
        <f>L26/O26</f>
        <v/>
      </c>
      <c r="K26" s="79" t="n">
        <v>6.879</v>
      </c>
      <c r="L26" s="79" t="n">
        <v>17213.6</v>
      </c>
      <c r="M26" s="79" t="n">
        <v>4.34</v>
      </c>
      <c r="N26" s="97">
        <f>K26-I26</f>
        <v/>
      </c>
      <c r="O26" s="79" t="n">
        <v>23.11</v>
      </c>
      <c r="P26" s="79" t="n">
        <v>1.919</v>
      </c>
      <c r="Q26" s="97">
        <f>K26-P26</f>
        <v/>
      </c>
      <c r="R26" s="79" t="n">
        <v>95.392</v>
      </c>
      <c r="S26" s="98">
        <f>(O26*T26)</f>
        <v/>
      </c>
      <c r="T26" s="79" t="n">
        <v>3.86</v>
      </c>
      <c r="U26" s="80" t="n">
        <v>30129.25</v>
      </c>
      <c r="V26" s="80" t="n">
        <v>29.77</v>
      </c>
      <c r="W26" s="97">
        <f>U26/V26</f>
        <v/>
      </c>
      <c r="X26" s="97">
        <f>(W26/U26)*100</f>
        <v/>
      </c>
      <c r="Y26" s="80" t="n">
        <v>9882.299999999999</v>
      </c>
      <c r="Z26" s="79" t="n">
        <v>29.53</v>
      </c>
      <c r="AA26" s="97">
        <f>Y26/Z26</f>
        <v/>
      </c>
      <c r="AB26" s="97">
        <f>(AA26/Y26)*100</f>
        <v/>
      </c>
    </row>
    <row r="27">
      <c r="A27" s="92" t="n">
        <v>26</v>
      </c>
      <c r="B27" s="93" t="n">
        <v>44600</v>
      </c>
      <c r="C27" s="94" t="n">
        <v>26451334.95</v>
      </c>
      <c r="D27" s="95">
        <f>C27/E27</f>
        <v/>
      </c>
      <c r="E27" s="80" t="n">
        <v>74.71899999999999</v>
      </c>
      <c r="F27" s="95">
        <f>D27/100000</f>
        <v/>
      </c>
      <c r="G27" s="95">
        <f>(F27/DataSheet!$C$9*100)</f>
        <v/>
      </c>
      <c r="H27" s="95">
        <f>K27/I27</f>
        <v/>
      </c>
      <c r="I27" s="96">
        <f>(J27/L27)*100</f>
        <v/>
      </c>
      <c r="J27" s="97">
        <f>L27/O27</f>
        <v/>
      </c>
      <c r="K27" s="79" t="n">
        <v>6.81</v>
      </c>
      <c r="L27" s="79" t="n">
        <v>17266.75</v>
      </c>
      <c r="M27" s="79" t="n">
        <v>4.35</v>
      </c>
      <c r="N27" s="97">
        <f>K27-I27</f>
        <v/>
      </c>
      <c r="O27" s="79" t="n">
        <v>22.83</v>
      </c>
      <c r="P27" s="79" t="n">
        <v>1.965</v>
      </c>
      <c r="Q27" s="97">
        <f>K27-P27</f>
        <v/>
      </c>
      <c r="R27" s="79" t="n">
        <v>95.64100000000001</v>
      </c>
      <c r="S27" s="98">
        <f>(O27*T27)</f>
        <v/>
      </c>
      <c r="T27" s="79" t="n">
        <v>3.9</v>
      </c>
      <c r="U27" s="80" t="n">
        <v>29916.85</v>
      </c>
      <c r="V27" s="80" t="n">
        <v>29.16</v>
      </c>
      <c r="W27" s="97">
        <f>U27/V27</f>
        <v/>
      </c>
      <c r="X27" s="97">
        <f>(W27/U27)*100</f>
        <v/>
      </c>
      <c r="Y27" s="80" t="n">
        <v>9732.9</v>
      </c>
      <c r="Z27" s="79" t="n">
        <v>28.9</v>
      </c>
      <c r="AA27" s="97">
        <f>Y27/Z27</f>
        <v/>
      </c>
      <c r="AB27" s="97">
        <f>(AA27/Y27)*100</f>
        <v/>
      </c>
    </row>
    <row r="28">
      <c r="A28" s="92" t="n">
        <v>27</v>
      </c>
      <c r="B28" s="93" t="n">
        <v>44601</v>
      </c>
      <c r="C28" s="94" t="n">
        <v>26670651.89</v>
      </c>
      <c r="D28" s="95">
        <f>C28/E28</f>
        <v/>
      </c>
      <c r="E28" s="80" t="n">
        <v>74.80800000000001</v>
      </c>
      <c r="F28" s="95">
        <f>D28/100000</f>
        <v/>
      </c>
      <c r="G28" s="95">
        <f>(F28/DataSheet!$C$9*100)</f>
        <v/>
      </c>
      <c r="H28" s="95">
        <f>K28/I28</f>
        <v/>
      </c>
      <c r="I28" s="96">
        <f>(J28/L28)*100</f>
        <v/>
      </c>
      <c r="J28" s="97">
        <f>L28/O28</f>
        <v/>
      </c>
      <c r="K28" s="79" t="n">
        <v>6.798</v>
      </c>
      <c r="L28" s="79" t="n">
        <v>17463.8</v>
      </c>
      <c r="M28" s="79" t="n">
        <v>4.4</v>
      </c>
      <c r="N28" s="97">
        <f>K28-I28</f>
        <v/>
      </c>
      <c r="O28" s="79" t="n">
        <v>23.09</v>
      </c>
      <c r="P28" s="79" t="n">
        <v>1.945</v>
      </c>
      <c r="Q28" s="97">
        <f>K28-P28</f>
        <v/>
      </c>
      <c r="R28" s="79" t="n">
        <v>95.494</v>
      </c>
      <c r="S28" s="98">
        <f>(O28*T28)</f>
        <v/>
      </c>
      <c r="T28" s="79" t="n">
        <v>3.88</v>
      </c>
      <c r="U28" s="80" t="n">
        <v>30257.1</v>
      </c>
      <c r="V28" s="80" t="n">
        <v>29.11</v>
      </c>
      <c r="W28" s="97">
        <f>U28/V28</f>
        <v/>
      </c>
      <c r="X28" s="97">
        <f>(W28/U28)*100</f>
        <v/>
      </c>
      <c r="Y28" s="80" t="n">
        <v>9766.049999999999</v>
      </c>
      <c r="Z28" s="79" t="n">
        <v>28.9</v>
      </c>
      <c r="AA28" s="97">
        <f>Y28/Z28</f>
        <v/>
      </c>
      <c r="AB28" s="97">
        <f>(AA28/Y28)*100</f>
        <v/>
      </c>
    </row>
    <row r="29">
      <c r="A29" s="92" t="n">
        <v>28</v>
      </c>
      <c r="B29" s="93" t="n">
        <v>44602</v>
      </c>
      <c r="C29" s="94" t="n">
        <v>26799142.03</v>
      </c>
      <c r="D29" s="95">
        <f>C29/E29</f>
        <v/>
      </c>
      <c r="E29" s="80" t="n">
        <v>75.102</v>
      </c>
      <c r="F29" s="95">
        <f>D29/100000</f>
        <v/>
      </c>
      <c r="G29" s="95">
        <f>(F29/DataSheet!$C$9*100)</f>
        <v/>
      </c>
      <c r="H29" s="95">
        <f>K29/I29</f>
        <v/>
      </c>
      <c r="I29" s="96">
        <f>(J29/L29)*100</f>
        <v/>
      </c>
      <c r="J29" s="97">
        <f>L29/O29</f>
        <v/>
      </c>
      <c r="K29" s="79" t="n">
        <v>6.725</v>
      </c>
      <c r="L29" s="79" t="n">
        <v>17605.85</v>
      </c>
      <c r="M29" s="79" t="n">
        <v>4.44</v>
      </c>
      <c r="N29" s="97">
        <f>K29-I29</f>
        <v/>
      </c>
      <c r="O29" s="79" t="n">
        <v>22.98</v>
      </c>
      <c r="P29" s="79" t="n">
        <v>2.043</v>
      </c>
      <c r="Q29" s="97">
        <f>K29-P29</f>
        <v/>
      </c>
      <c r="R29" s="79" t="n">
        <v>95.548</v>
      </c>
      <c r="S29" s="98">
        <f>(O29*T29)</f>
        <v/>
      </c>
      <c r="T29" s="79" t="n">
        <v>3.76</v>
      </c>
      <c r="U29" s="80" t="n">
        <v>30343.45</v>
      </c>
      <c r="V29" s="80" t="n">
        <v>29.24</v>
      </c>
      <c r="W29" s="97">
        <f>U29/V29</f>
        <v/>
      </c>
      <c r="X29" s="97">
        <f>(W29/U29)*100</f>
        <v/>
      </c>
      <c r="Y29" s="80" t="n">
        <v>9781.049999999999</v>
      </c>
      <c r="Z29" s="79" t="n">
        <v>28.66</v>
      </c>
      <c r="AA29" s="97">
        <f>Y29/Z29</f>
        <v/>
      </c>
      <c r="AB29" s="97">
        <f>(AA29/Y29)*100</f>
        <v/>
      </c>
    </row>
    <row r="30">
      <c r="A30" s="92" t="n">
        <v>29</v>
      </c>
      <c r="B30" s="93" t="n">
        <v>44603</v>
      </c>
      <c r="C30" s="94" t="n">
        <v>26400831.79</v>
      </c>
      <c r="D30" s="95">
        <f>C30/E30</f>
        <v/>
      </c>
      <c r="E30" s="80" t="n">
        <v>75.348</v>
      </c>
      <c r="F30" s="95">
        <f>D30/100000</f>
        <v/>
      </c>
      <c r="G30" s="95">
        <f>(F30/DataSheet!$C$9*100)</f>
        <v/>
      </c>
      <c r="H30" s="95">
        <f>K30/I30</f>
        <v/>
      </c>
      <c r="I30" s="96">
        <f>(J30/L30)*100</f>
        <v/>
      </c>
      <c r="J30" s="97">
        <f>L30/O30</f>
        <v/>
      </c>
      <c r="K30" s="79" t="n">
        <v>6.698</v>
      </c>
      <c r="L30" s="79" t="n">
        <v>17374.75</v>
      </c>
      <c r="M30" s="79" t="n">
        <v>4.38</v>
      </c>
      <c r="N30" s="97">
        <f>K30-I30</f>
        <v/>
      </c>
      <c r="O30" s="79" t="n">
        <v>22.68</v>
      </c>
      <c r="P30" s="79" t="n">
        <v>1.918</v>
      </c>
      <c r="Q30" s="97">
        <f>K30-P30</f>
        <v/>
      </c>
      <c r="R30" s="79" t="n">
        <v>96.07299999999999</v>
      </c>
      <c r="S30" s="98">
        <f>(O30*T30)</f>
        <v/>
      </c>
      <c r="T30" s="79" t="n">
        <v>3.75</v>
      </c>
      <c r="U30" s="80" t="n">
        <v>29729.4</v>
      </c>
      <c r="V30" s="80" t="n">
        <v>28.53</v>
      </c>
      <c r="W30" s="97">
        <f>U30/V30</f>
        <v/>
      </c>
      <c r="X30" s="97">
        <f>(W30/U30)*100</f>
        <v/>
      </c>
      <c r="Y30" s="80" t="n">
        <v>9596.15</v>
      </c>
      <c r="Z30" s="79" t="n">
        <v>28.15</v>
      </c>
      <c r="AA30" s="97">
        <f>Y30/Z30</f>
        <v/>
      </c>
      <c r="AB30" s="97">
        <f>(AA30/Y30)*100</f>
        <v/>
      </c>
    </row>
    <row r="31">
      <c r="A31" s="92" t="n">
        <v>30</v>
      </c>
      <c r="B31" s="93" t="n">
        <v>44606</v>
      </c>
      <c r="C31" s="94" t="n">
        <v>25543624.91</v>
      </c>
      <c r="D31" s="95">
        <f>C31/E31</f>
        <v/>
      </c>
      <c r="E31" s="80" t="n">
        <v>75.68600000000001</v>
      </c>
      <c r="F31" s="95">
        <f>D31/100000</f>
        <v/>
      </c>
      <c r="G31" s="95">
        <f>(F31/DataSheet!$C$9*100)</f>
        <v/>
      </c>
      <c r="H31" s="95">
        <f>K31/I31</f>
        <v/>
      </c>
      <c r="I31" s="96">
        <f>(J31/L31)*100</f>
        <v/>
      </c>
      <c r="J31" s="97">
        <f>L31/O31</f>
        <v/>
      </c>
      <c r="K31" s="79" t="n">
        <v>6.667</v>
      </c>
      <c r="L31" s="79" t="n">
        <v>16842.8</v>
      </c>
      <c r="M31" s="79" t="n">
        <v>4.24</v>
      </c>
      <c r="N31" s="97">
        <f>K31-I31</f>
        <v/>
      </c>
      <c r="O31" s="79" t="n">
        <v>21.85</v>
      </c>
      <c r="P31" s="79" t="n">
        <v>1.986</v>
      </c>
      <c r="Q31" s="97">
        <f>K31-P31</f>
        <v/>
      </c>
      <c r="R31" s="79" t="n">
        <v>96.35599999999999</v>
      </c>
      <c r="S31" s="98">
        <f>(O31*T31)</f>
        <v/>
      </c>
      <c r="T31" s="79" t="n">
        <v>3.76</v>
      </c>
      <c r="U31" s="80" t="n">
        <v>28558.75</v>
      </c>
      <c r="V31" s="80" t="n">
        <v>27.37</v>
      </c>
      <c r="W31" s="97">
        <f>U31/V31</f>
        <v/>
      </c>
      <c r="X31" s="97">
        <f>(W31/U31)*100</f>
        <v/>
      </c>
      <c r="Y31" s="80" t="n">
        <v>9187.6</v>
      </c>
      <c r="Z31" s="79" t="n">
        <v>27.02</v>
      </c>
      <c r="AA31" s="97">
        <f>Y31/Z31</f>
        <v/>
      </c>
      <c r="AB31" s="97">
        <f>(AA31/Y31)*100</f>
        <v/>
      </c>
    </row>
    <row r="32">
      <c r="A32" s="92" t="n">
        <v>31</v>
      </c>
      <c r="B32" s="93" t="n">
        <v>44607</v>
      </c>
      <c r="C32" s="94" t="n">
        <v>26188470.05</v>
      </c>
      <c r="D32" s="95">
        <f>C32/E32</f>
        <v/>
      </c>
      <c r="E32" s="80" t="n">
        <v>75.17700000000001</v>
      </c>
      <c r="F32" s="95">
        <f>D32/100000</f>
        <v/>
      </c>
      <c r="G32" s="95">
        <f>(F32/DataSheet!$C$9*100)</f>
        <v/>
      </c>
      <c r="H32" s="95">
        <f>K32/I32</f>
        <v/>
      </c>
      <c r="I32" s="96">
        <f>(J32/L32)*100</f>
        <v/>
      </c>
      <c r="J32" s="97">
        <f>L32/O32</f>
        <v/>
      </c>
      <c r="K32" s="79" t="n">
        <v>6.673</v>
      </c>
      <c r="L32" s="79" t="n">
        <v>17352.45</v>
      </c>
      <c r="M32" s="79" t="n">
        <v>4.37</v>
      </c>
      <c r="N32" s="97">
        <f>K32-I32</f>
        <v/>
      </c>
      <c r="O32" s="79" t="n">
        <v>22.36</v>
      </c>
      <c r="P32" s="79" t="n">
        <v>2.043</v>
      </c>
      <c r="Q32" s="97">
        <f>K32-P32</f>
        <v/>
      </c>
      <c r="R32" s="79" t="n">
        <v>95.99299999999999</v>
      </c>
      <c r="S32" s="98">
        <f>(O32*T32)</f>
        <v/>
      </c>
      <c r="T32" s="79" t="n">
        <v>3.77</v>
      </c>
      <c r="U32" s="80" t="n">
        <v>29375.3</v>
      </c>
      <c r="V32" s="80" t="n">
        <v>27.82</v>
      </c>
      <c r="W32" s="97">
        <f>U32/V32</f>
        <v/>
      </c>
      <c r="X32" s="97">
        <f>(W32/U32)*100</f>
        <v/>
      </c>
      <c r="Y32" s="80" t="n">
        <v>9370.049999999999</v>
      </c>
      <c r="Z32" s="79" t="n">
        <v>27.13</v>
      </c>
      <c r="AA32" s="97">
        <f>Y32/Z32</f>
        <v/>
      </c>
      <c r="AB32" s="97">
        <f>(AA32/Y32)*100</f>
        <v/>
      </c>
    </row>
    <row r="33">
      <c r="A33" s="92" t="n">
        <v>32</v>
      </c>
      <c r="B33" s="93" t="n">
        <v>44608</v>
      </c>
      <c r="C33" s="94" t="n">
        <v>26224670.46</v>
      </c>
      <c r="D33" s="95">
        <f>C33/E33</f>
        <v/>
      </c>
      <c r="E33" s="80" t="n">
        <v>75.05</v>
      </c>
      <c r="F33" s="95">
        <f>D33/100000</f>
        <v/>
      </c>
      <c r="G33" s="95">
        <f>(F33/DataSheet!$C$9*100)</f>
        <v/>
      </c>
      <c r="H33" s="95">
        <f>K33/I33</f>
        <v/>
      </c>
      <c r="I33" s="96">
        <f>(J33/L33)*100</f>
        <v/>
      </c>
      <c r="J33" s="97">
        <f>L33/O33</f>
        <v/>
      </c>
      <c r="K33" s="79" t="n">
        <v>6.686</v>
      </c>
      <c r="L33" s="79" t="n">
        <v>17322.2</v>
      </c>
      <c r="M33" s="79" t="n">
        <v>4.36</v>
      </c>
      <c r="N33" s="97">
        <f>K33-I33</f>
        <v/>
      </c>
      <c r="O33" s="79" t="n">
        <v>22.27</v>
      </c>
      <c r="P33" s="79" t="n">
        <v>2.04</v>
      </c>
      <c r="Q33" s="97">
        <f>K33-P33</f>
        <v/>
      </c>
      <c r="R33" s="79" t="n">
        <v>95.697</v>
      </c>
      <c r="S33" s="98">
        <f>(O33*T33)</f>
        <v/>
      </c>
      <c r="T33" s="79" t="n">
        <v>3.73</v>
      </c>
      <c r="U33" s="80" t="n">
        <v>29289.95</v>
      </c>
      <c r="V33" s="80" t="n">
        <v>27.84</v>
      </c>
      <c r="W33" s="97">
        <f>U33/V33</f>
        <v/>
      </c>
      <c r="X33" s="97">
        <f>(W33/U33)*100</f>
        <v/>
      </c>
      <c r="Y33" s="80" t="n">
        <v>9440.799999999999</v>
      </c>
      <c r="Z33" s="79" t="n">
        <v>27.56</v>
      </c>
      <c r="AA33" s="97">
        <f>Y33/Z33</f>
        <v/>
      </c>
      <c r="AB33" s="97">
        <f>(AA33/Y33)*100</f>
        <v/>
      </c>
    </row>
    <row r="34">
      <c r="A34" s="92" t="n">
        <v>33</v>
      </c>
      <c r="B34" s="93" t="n">
        <v>44609</v>
      </c>
      <c r="C34" s="94" t="n">
        <v>26196516.79</v>
      </c>
      <c r="D34" s="95">
        <f>C34/E34</f>
        <v/>
      </c>
      <c r="E34" s="80" t="n">
        <v>75.105</v>
      </c>
      <c r="F34" s="95">
        <f>D34/100000</f>
        <v/>
      </c>
      <c r="G34" s="95">
        <f>(F34/DataSheet!$C$9*100)</f>
        <v/>
      </c>
      <c r="H34" s="95">
        <f>K34/I34</f>
        <v/>
      </c>
      <c r="I34" s="96">
        <f>(J34/L34)*100</f>
        <v/>
      </c>
      <c r="J34" s="97">
        <f>L34/O34</f>
        <v/>
      </c>
      <c r="K34" s="79" t="n">
        <v>6.674</v>
      </c>
      <c r="L34" s="79" t="n">
        <v>17304.6</v>
      </c>
      <c r="M34" s="79" t="n">
        <v>4.36</v>
      </c>
      <c r="N34" s="97">
        <f>K34-I34</f>
        <v/>
      </c>
      <c r="O34" s="79" t="n">
        <v>22.25</v>
      </c>
      <c r="P34" s="79" t="n">
        <v>1.968</v>
      </c>
      <c r="Q34" s="97">
        <f>K34-P34</f>
        <v/>
      </c>
      <c r="R34" s="79" t="n">
        <v>95.803</v>
      </c>
      <c r="S34" s="98">
        <f>(O34*T34)</f>
        <v/>
      </c>
      <c r="T34" s="79" t="n">
        <v>3.66</v>
      </c>
      <c r="U34" s="80" t="n">
        <v>29201.3</v>
      </c>
      <c r="V34" s="80" t="n">
        <v>27.79</v>
      </c>
      <c r="W34" s="97">
        <f>U34/V34</f>
        <v/>
      </c>
      <c r="X34" s="97">
        <f>(W34/U34)*100</f>
        <v/>
      </c>
      <c r="Y34" s="80" t="n">
        <v>9370.299999999999</v>
      </c>
      <c r="Z34" s="79" t="n">
        <v>27.52</v>
      </c>
      <c r="AA34" s="97">
        <f>Y34/Z34</f>
        <v/>
      </c>
      <c r="AB34" s="97">
        <f>(AA34/Y34)*100</f>
        <v/>
      </c>
    </row>
    <row r="35">
      <c r="A35" s="92" t="n">
        <v>34</v>
      </c>
      <c r="B35" s="93" t="n">
        <v>44610</v>
      </c>
      <c r="C35" s="94" t="n">
        <v>26053840.49</v>
      </c>
      <c r="D35" s="95">
        <f>C35/E35</f>
        <v/>
      </c>
      <c r="E35" s="80" t="n">
        <v>74.687</v>
      </c>
      <c r="F35" s="95">
        <f>D35/100000</f>
        <v/>
      </c>
      <c r="G35" s="95">
        <f>(F35/DataSheet!$C$9*100)</f>
        <v/>
      </c>
      <c r="H35" s="95">
        <f>K35/I35</f>
        <v/>
      </c>
      <c r="I35" s="96">
        <f>(J35/L35)*100</f>
        <v/>
      </c>
      <c r="J35" s="97">
        <f>L35/O35</f>
        <v/>
      </c>
      <c r="K35" s="79" t="n">
        <v>6.663</v>
      </c>
      <c r="L35" s="79" t="n">
        <v>17276.3</v>
      </c>
      <c r="M35" s="79" t="n">
        <v>4.35</v>
      </c>
      <c r="N35" s="97">
        <f>K35-I35</f>
        <v/>
      </c>
      <c r="O35" s="79" t="n">
        <v>22.21</v>
      </c>
      <c r="P35" s="79" t="n">
        <v>1.927</v>
      </c>
      <c r="Q35" s="97">
        <f>K35-P35</f>
        <v/>
      </c>
      <c r="R35" s="79" t="n">
        <v>96.02200000000001</v>
      </c>
      <c r="S35" s="98">
        <f>(O35*T35)</f>
        <v/>
      </c>
      <c r="T35" s="79" t="n">
        <v>3.72</v>
      </c>
      <c r="U35" s="80" t="n">
        <v>28934.35</v>
      </c>
      <c r="V35" s="80" t="n">
        <v>27.55</v>
      </c>
      <c r="W35" s="97">
        <f>U35/V35</f>
        <v/>
      </c>
      <c r="X35" s="97">
        <f>(W35/U35)*100</f>
        <v/>
      </c>
      <c r="Y35" s="80" t="n">
        <v>9293.549999999999</v>
      </c>
      <c r="Z35" s="79" t="n">
        <v>27.29</v>
      </c>
      <c r="AA35" s="97">
        <f>Y35/Z35</f>
        <v/>
      </c>
      <c r="AB35" s="97">
        <f>(AA35/Y35)*100</f>
        <v/>
      </c>
    </row>
    <row r="36">
      <c r="A36" s="92" t="n">
        <v>35</v>
      </c>
      <c r="B36" s="93" t="n">
        <v>44613</v>
      </c>
      <c r="C36" s="94" t="n">
        <v>25741781.36</v>
      </c>
      <c r="D36" s="95">
        <f>C36/E36</f>
        <v/>
      </c>
      <c r="E36" s="80" t="n">
        <v>74.524</v>
      </c>
      <c r="F36" s="95">
        <f>D36/100000</f>
        <v/>
      </c>
      <c r="G36" s="95">
        <f>(F36/DataSheet!$C$9*100)</f>
        <v/>
      </c>
      <c r="H36" s="95">
        <f>K36/I36</f>
        <v/>
      </c>
      <c r="I36" s="96">
        <f>(J36/L36)*100</f>
        <v/>
      </c>
      <c r="J36" s="97">
        <f>L36/O36</f>
        <v/>
      </c>
      <c r="K36" s="79" t="n">
        <v>6.693</v>
      </c>
      <c r="L36" s="79" t="n">
        <v>17206.65</v>
      </c>
      <c r="M36" s="79" t="n">
        <v>4.34</v>
      </c>
      <c r="N36" s="97">
        <f>K36-I36</f>
        <v/>
      </c>
      <c r="O36" s="79" t="n">
        <v>22.12</v>
      </c>
      <c r="P36" s="79" t="n">
        <v>1.873</v>
      </c>
      <c r="Q36" s="97">
        <f>K36-P36</f>
        <v/>
      </c>
      <c r="R36" s="79" t="n">
        <v>96.02</v>
      </c>
      <c r="S36" s="98">
        <f>(O36*T36)</f>
        <v/>
      </c>
      <c r="T36" s="79" t="n">
        <v>3.71</v>
      </c>
      <c r="U36" s="80" t="n">
        <v>28575.75</v>
      </c>
      <c r="V36" s="80" t="n">
        <v>27.23</v>
      </c>
      <c r="W36" s="97">
        <f>U36/V36</f>
        <v/>
      </c>
      <c r="X36" s="97">
        <f>(W36/U36)*100</f>
        <v/>
      </c>
      <c r="Y36" s="80" t="n">
        <v>9052.950000000001</v>
      </c>
      <c r="Z36" s="79" t="n">
        <v>26.59</v>
      </c>
      <c r="AA36" s="97">
        <f>Y36/Z36</f>
        <v/>
      </c>
      <c r="AB36" s="97">
        <f>(AA36/Y36)*100</f>
        <v/>
      </c>
    </row>
    <row r="37">
      <c r="A37" s="92" t="n">
        <v>36</v>
      </c>
      <c r="B37" s="93" t="n">
        <v>44614</v>
      </c>
      <c r="C37" s="94" t="n">
        <v>25483641.96</v>
      </c>
      <c r="D37" s="95">
        <f>C37/E37</f>
        <v/>
      </c>
      <c r="E37" s="80" t="n">
        <v>74.63</v>
      </c>
      <c r="F37" s="95">
        <f>D37/100000</f>
        <v/>
      </c>
      <c r="G37" s="95">
        <f>(F37/DataSheet!$C$9*100)</f>
        <v/>
      </c>
      <c r="H37" s="95">
        <f>K37/I37</f>
        <v/>
      </c>
      <c r="I37" s="96">
        <f>(J37/L37)*100</f>
        <v/>
      </c>
      <c r="J37" s="97">
        <f>L37/O37</f>
        <v/>
      </c>
      <c r="K37" s="79" t="n">
        <v>6.749</v>
      </c>
      <c r="L37" s="79" t="n">
        <v>17092.2</v>
      </c>
      <c r="M37" s="79" t="n">
        <v>4.31</v>
      </c>
      <c r="N37" s="97">
        <f>K37-I37</f>
        <v/>
      </c>
      <c r="O37" s="79" t="n">
        <v>21.97</v>
      </c>
      <c r="P37" s="79" t="n">
        <v>1.944</v>
      </c>
      <c r="Q37" s="97">
        <f>K37-P37</f>
        <v/>
      </c>
      <c r="R37" s="79" t="n">
        <v>96.011</v>
      </c>
      <c r="S37" s="98">
        <f>(O37*T37)</f>
        <v/>
      </c>
      <c r="T37" s="79" t="n">
        <v>3.72</v>
      </c>
      <c r="U37" s="80" t="n">
        <v>28284.9</v>
      </c>
      <c r="V37" s="80" t="n">
        <v>26.97</v>
      </c>
      <c r="W37" s="97">
        <f>U37/V37</f>
        <v/>
      </c>
      <c r="X37" s="97">
        <f>(W37/U37)*100</f>
        <v/>
      </c>
      <c r="Y37" s="80" t="n">
        <v>8877.549999999999</v>
      </c>
      <c r="Z37" s="79" t="n">
        <v>26.07</v>
      </c>
      <c r="AA37" s="97">
        <f>Y37/Z37</f>
        <v/>
      </c>
      <c r="AB37" s="97">
        <f>(AA37/Y37)*100</f>
        <v/>
      </c>
    </row>
    <row r="38">
      <c r="A38" s="92" t="n">
        <v>37</v>
      </c>
      <c r="B38" s="93" t="n">
        <v>44615</v>
      </c>
      <c r="C38" s="94" t="n">
        <v>25572583.22</v>
      </c>
      <c r="D38" s="95">
        <f>C38/E38</f>
        <v/>
      </c>
      <c r="E38" s="80" t="n">
        <v>74.64</v>
      </c>
      <c r="F38" s="95">
        <f>D38/100000</f>
        <v/>
      </c>
      <c r="G38" s="95">
        <f>(F38/DataSheet!$C$9*100)</f>
        <v/>
      </c>
      <c r="H38" s="95">
        <f>K38/I38</f>
        <v/>
      </c>
      <c r="I38" s="96">
        <f>(J38/L38)*100</f>
        <v/>
      </c>
      <c r="J38" s="97">
        <f>L38/O38</f>
        <v/>
      </c>
      <c r="K38" s="79" t="n">
        <v>6.739</v>
      </c>
      <c r="L38" s="79" t="n">
        <v>17063.25</v>
      </c>
      <c r="M38" s="79" t="n">
        <v>4.3</v>
      </c>
      <c r="N38" s="97">
        <f>K38-I38</f>
        <v/>
      </c>
      <c r="O38" s="79" t="n">
        <v>21.94</v>
      </c>
      <c r="P38" s="79" t="n">
        <v>1.998</v>
      </c>
      <c r="Q38" s="97">
        <f>K38-P38</f>
        <v/>
      </c>
      <c r="R38" s="79" t="n">
        <v>96.188</v>
      </c>
      <c r="S38" s="98">
        <f>(O38*T38)</f>
        <v/>
      </c>
      <c r="T38" s="79" t="n">
        <v>3.71</v>
      </c>
      <c r="U38" s="80" t="n">
        <v>28467</v>
      </c>
      <c r="V38" s="80" t="n">
        <v>27.07</v>
      </c>
      <c r="W38" s="97">
        <f>U38/V38</f>
        <v/>
      </c>
      <c r="X38" s="97">
        <f>(W38/U38)*100</f>
        <v/>
      </c>
      <c r="Y38" s="80" t="n">
        <v>8982.9</v>
      </c>
      <c r="Z38" s="79" t="n">
        <v>26.38</v>
      </c>
      <c r="AA38" s="97">
        <f>Y38/Z38</f>
        <v/>
      </c>
      <c r="AB38" s="97">
        <f>(AA38/Y38)*100</f>
        <v/>
      </c>
    </row>
    <row r="39">
      <c r="A39" s="92" t="n">
        <v>38</v>
      </c>
      <c r="B39" s="93" t="n">
        <v>44616</v>
      </c>
      <c r="C39" s="94" t="n">
        <v>24229385.4</v>
      </c>
      <c r="D39" s="95">
        <f>C39/E39</f>
        <v/>
      </c>
      <c r="E39" s="80" t="n">
        <v>75.61499999999999</v>
      </c>
      <c r="F39" s="95">
        <f>D39/100000</f>
        <v/>
      </c>
      <c r="G39" s="95">
        <f>(F39/DataSheet!$C$9*100)</f>
        <v/>
      </c>
      <c r="H39" s="95">
        <f>K39/I39</f>
        <v/>
      </c>
      <c r="I39" s="96">
        <f>(J39/L39)*100</f>
        <v/>
      </c>
      <c r="J39" s="97">
        <f>L39/O39</f>
        <v/>
      </c>
      <c r="K39" s="79" t="n">
        <v>6.759</v>
      </c>
      <c r="L39" s="79" t="n">
        <v>16247.95</v>
      </c>
      <c r="M39" s="79" t="n">
        <v>4.09</v>
      </c>
      <c r="N39" s="97">
        <f>K39-I39</f>
        <v/>
      </c>
      <c r="O39" s="79" t="n">
        <v>20.89</v>
      </c>
      <c r="P39" s="79" t="n">
        <v>1.97</v>
      </c>
      <c r="Q39" s="97">
        <f>K39-P39</f>
        <v/>
      </c>
      <c r="R39" s="79" t="n">
        <v>97.11799999999999</v>
      </c>
      <c r="S39" s="98">
        <f>(O39*T39)</f>
        <v/>
      </c>
      <c r="T39" s="79" t="n">
        <v>3.74</v>
      </c>
      <c r="U39" s="80" t="n">
        <v>26832.65</v>
      </c>
      <c r="V39" s="80" t="n">
        <v>25.61</v>
      </c>
      <c r="W39" s="97">
        <f>U39/V39</f>
        <v/>
      </c>
      <c r="X39" s="97">
        <f>(W39/U39)*100</f>
        <v/>
      </c>
      <c r="Y39" s="80" t="n">
        <v>8454.950000000001</v>
      </c>
      <c r="Z39" s="79" t="n">
        <v>24.84</v>
      </c>
      <c r="AA39" s="97">
        <f>Y39/Z39</f>
        <v/>
      </c>
      <c r="AB39" s="97">
        <f>(AA39/Y39)*100</f>
        <v/>
      </c>
    </row>
    <row r="40">
      <c r="A40" s="92" t="n">
        <v>39</v>
      </c>
      <c r="B40" s="93" t="n">
        <v>44617</v>
      </c>
      <c r="C40" s="94" t="n">
        <v>25001482.48</v>
      </c>
      <c r="D40" s="95">
        <f>C40/E40</f>
        <v/>
      </c>
      <c r="E40" s="80" t="n">
        <v>75.075</v>
      </c>
      <c r="F40" s="95">
        <f>D40/100000</f>
        <v/>
      </c>
      <c r="G40" s="95">
        <f>(F40/DataSheet!$C$9*100)</f>
        <v/>
      </c>
      <c r="H40" s="95">
        <f>K40/I40</f>
        <v/>
      </c>
      <c r="I40" s="96">
        <f>(J40/L40)*100</f>
        <v/>
      </c>
      <c r="J40" s="97">
        <f>L40/O40</f>
        <v/>
      </c>
      <c r="K40" s="79" t="n">
        <v>6.749</v>
      </c>
      <c r="L40" s="79" t="n">
        <v>16658.4</v>
      </c>
      <c r="M40" s="79" t="n">
        <v>4.2</v>
      </c>
      <c r="N40" s="97">
        <f>K40-I40</f>
        <v/>
      </c>
      <c r="O40" s="79" t="n">
        <v>21.42</v>
      </c>
      <c r="P40" s="79" t="n">
        <v>1.97</v>
      </c>
      <c r="Q40" s="97">
        <f>K40-P40</f>
        <v/>
      </c>
      <c r="R40" s="79" t="n">
        <v>96.619</v>
      </c>
      <c r="S40" s="98">
        <f>(O40*T40)</f>
        <v/>
      </c>
      <c r="T40" s="79" t="n">
        <v>3.74</v>
      </c>
      <c r="U40" s="80" t="n">
        <v>27953.3</v>
      </c>
      <c r="V40" s="80" t="n">
        <v>26.61</v>
      </c>
      <c r="W40" s="97">
        <f>U40/V40</f>
        <v/>
      </c>
      <c r="X40" s="97">
        <f>(W40/U40)*100</f>
        <v/>
      </c>
      <c r="Y40" s="80" t="n">
        <v>8815.200000000001</v>
      </c>
      <c r="Z40" s="79" t="n">
        <v>25.89</v>
      </c>
      <c r="AA40" s="97">
        <f>Y40/Z40</f>
        <v/>
      </c>
      <c r="AB40" s="97">
        <f>(AA40/Y40)*100</f>
        <v/>
      </c>
    </row>
    <row r="41">
      <c r="A41" s="92" t="n">
        <v>40</v>
      </c>
      <c r="B41" s="93" t="n">
        <v>44620</v>
      </c>
      <c r="C41" s="94" t="n">
        <v>25238889.67</v>
      </c>
      <c r="D41" s="95">
        <f>C41/E41</f>
        <v/>
      </c>
      <c r="E41" s="80" t="n">
        <v>75.52</v>
      </c>
      <c r="F41" s="95">
        <f>D41/100000</f>
        <v/>
      </c>
      <c r="G41" s="95">
        <f>(F41/DataSheet!$C$9*100)</f>
        <v/>
      </c>
      <c r="H41" s="95">
        <f>K41/I41</f>
        <v/>
      </c>
      <c r="I41" s="96">
        <f>(J41/L41)*100</f>
        <v/>
      </c>
      <c r="J41" s="97">
        <f>L41/O41</f>
        <v/>
      </c>
      <c r="K41" s="79" t="n">
        <v>6.77</v>
      </c>
      <c r="L41" s="79" t="n">
        <v>16793.9</v>
      </c>
      <c r="M41" s="79" t="n">
        <v>4.23</v>
      </c>
      <c r="N41" s="97">
        <f>K41-I41</f>
        <v/>
      </c>
      <c r="O41" s="79" t="n">
        <v>21.59</v>
      </c>
      <c r="P41" s="79" t="n">
        <v>1.822</v>
      </c>
      <c r="Q41" s="97">
        <f>K41-P41</f>
        <v/>
      </c>
      <c r="R41" s="79" t="n">
        <v>96.694</v>
      </c>
      <c r="S41" s="98">
        <f>(O41*T41)</f>
        <v/>
      </c>
      <c r="T41" s="79" t="n">
        <v>3.73</v>
      </c>
      <c r="U41" s="80" t="n">
        <v>28223.45</v>
      </c>
      <c r="V41" s="80" t="n">
        <v>26.83</v>
      </c>
      <c r="W41" s="97">
        <f>U41/V41</f>
        <v/>
      </c>
      <c r="X41" s="97">
        <f>(W41/U41)*100</f>
        <v/>
      </c>
      <c r="Y41" s="80" t="n">
        <v>8887.65</v>
      </c>
      <c r="Z41" s="79" t="n">
        <v>26.16</v>
      </c>
      <c r="AA41" s="97">
        <f>Y41/Z41</f>
        <v/>
      </c>
      <c r="AB41" s="97">
        <f>(AA41/Y41)*100</f>
        <v/>
      </c>
    </row>
    <row r="42">
      <c r="A42" s="92" t="n">
        <v>41</v>
      </c>
      <c r="B42" s="93" t="n">
        <v>44622</v>
      </c>
      <c r="C42" s="94" t="n">
        <v>25159755.27</v>
      </c>
      <c r="D42" s="95">
        <f>C42/E42</f>
        <v/>
      </c>
      <c r="E42" s="80" t="n">
        <v>75.782</v>
      </c>
      <c r="F42" s="95">
        <f>D42/100000</f>
        <v/>
      </c>
      <c r="G42" s="95">
        <f>(F42/DataSheet!$C$9*100)</f>
        <v/>
      </c>
      <c r="H42" s="95">
        <f>K42/I42</f>
        <v/>
      </c>
      <c r="I42" s="96">
        <f>(J42/L42)*100</f>
        <v/>
      </c>
      <c r="J42" s="97">
        <f>L42/O42</f>
        <v/>
      </c>
      <c r="K42" s="79" t="n">
        <v>6.814</v>
      </c>
      <c r="L42" s="79" t="n">
        <v>16605.95</v>
      </c>
      <c r="M42" s="79" t="n">
        <v>4.18</v>
      </c>
      <c r="N42" s="97">
        <f>K42-I42</f>
        <v/>
      </c>
      <c r="O42" s="79" t="n">
        <v>21.35</v>
      </c>
      <c r="P42" s="79" t="n">
        <v>1.878</v>
      </c>
      <c r="Q42" s="97">
        <f>K42-P42</f>
        <v/>
      </c>
      <c r="R42" s="79" t="n">
        <v>97.414</v>
      </c>
      <c r="S42" s="98">
        <f>(O42*T42)</f>
        <v/>
      </c>
      <c r="T42" s="79" t="n">
        <v>3.78</v>
      </c>
      <c r="U42" s="80" t="n">
        <v>28217.1</v>
      </c>
      <c r="V42" s="80" t="n">
        <v>26.77</v>
      </c>
      <c r="W42" s="97">
        <f>U42/V42</f>
        <v/>
      </c>
      <c r="X42" s="97">
        <f>(W42/U42)*100</f>
        <v/>
      </c>
      <c r="Y42" s="80" t="n">
        <v>8911.1</v>
      </c>
      <c r="Z42" s="79" t="n">
        <v>26.43</v>
      </c>
      <c r="AA42" s="97">
        <f>Y42/Z42</f>
        <v/>
      </c>
      <c r="AB42" s="97">
        <f>(AA42/Y42)*100</f>
        <v/>
      </c>
    </row>
    <row r="43">
      <c r="A43" s="92" t="n">
        <v>42</v>
      </c>
      <c r="B43" s="93" t="n">
        <v>44623</v>
      </c>
      <c r="C43" s="94" t="n">
        <v>25113773.86</v>
      </c>
      <c r="D43" s="95">
        <f>C43/E43</f>
        <v/>
      </c>
      <c r="E43" s="80" t="n">
        <v>75.971</v>
      </c>
      <c r="F43" s="95">
        <f>D43/100000</f>
        <v/>
      </c>
      <c r="G43" s="95">
        <f>(F43/DataSheet!$C$9*100)</f>
        <v/>
      </c>
      <c r="H43" s="95">
        <f>K43/I43</f>
        <v/>
      </c>
      <c r="I43" s="96">
        <f>(J43/L43)*100</f>
        <v/>
      </c>
      <c r="J43" s="97">
        <f>L43/O43</f>
        <v/>
      </c>
      <c r="K43" s="79" t="n">
        <v>6.826</v>
      </c>
      <c r="L43" s="79" t="n">
        <v>16498.05</v>
      </c>
      <c r="M43" s="79" t="n">
        <v>4.16</v>
      </c>
      <c r="N43" s="97">
        <f>K43-I43</f>
        <v/>
      </c>
      <c r="O43" s="79" t="n">
        <v>21.21</v>
      </c>
      <c r="P43" s="79" t="n">
        <v>1.84</v>
      </c>
      <c r="Q43" s="97">
        <f>K43-P43</f>
        <v/>
      </c>
      <c r="R43" s="79" t="n">
        <v>97.791</v>
      </c>
      <c r="S43" s="98">
        <f>(O43*T43)</f>
        <v/>
      </c>
      <c r="T43" s="79" t="n">
        <v>3.79</v>
      </c>
      <c r="U43" s="80" t="n">
        <v>28102.9</v>
      </c>
      <c r="V43" s="80" t="n">
        <v>26.7</v>
      </c>
      <c r="W43" s="97">
        <f>U43/V43</f>
        <v/>
      </c>
      <c r="X43" s="97">
        <f>(W43/U43)*100</f>
        <v/>
      </c>
      <c r="Y43" s="80" t="n">
        <v>8945.299999999999</v>
      </c>
      <c r="Z43" s="79" t="n">
        <v>26.53</v>
      </c>
      <c r="AA43" s="97">
        <f>Y43/Z43</f>
        <v/>
      </c>
      <c r="AB43" s="97">
        <f>(AA43/Y43)*100</f>
        <v/>
      </c>
    </row>
    <row r="44">
      <c r="A44" s="92" t="n">
        <v>43</v>
      </c>
      <c r="B44" s="93" t="n">
        <v>44624</v>
      </c>
      <c r="C44" s="94" t="n">
        <v>24683626.32</v>
      </c>
      <c r="D44" s="95">
        <f>C44/E44</f>
        <v/>
      </c>
      <c r="E44" s="80" t="n">
        <v>76.425</v>
      </c>
      <c r="F44" s="95">
        <f>D44/100000</f>
        <v/>
      </c>
      <c r="G44" s="95">
        <f>(F44/DataSheet!$C$9*100)</f>
        <v/>
      </c>
      <c r="H44" s="95">
        <f>K44/I44</f>
        <v/>
      </c>
      <c r="I44" s="96">
        <f>(J44/L44)*100</f>
        <v/>
      </c>
      <c r="J44" s="97">
        <f>L44/O44</f>
        <v/>
      </c>
      <c r="K44" s="79" t="n">
        <v>6.813</v>
      </c>
      <c r="L44" s="79" t="n">
        <v>16245.35</v>
      </c>
      <c r="M44" s="79" t="n">
        <v>4.09</v>
      </c>
      <c r="N44" s="97">
        <f>K44-I44</f>
        <v/>
      </c>
      <c r="O44" s="79" t="n">
        <v>20.89</v>
      </c>
      <c r="P44" s="79" t="n">
        <v>1.737</v>
      </c>
      <c r="Q44" s="97">
        <f>K44-P44</f>
        <v/>
      </c>
      <c r="R44" s="79" t="n">
        <v>98.67100000000001</v>
      </c>
      <c r="S44" s="98">
        <f>(O44*T44)</f>
        <v/>
      </c>
      <c r="T44" s="79" t="n">
        <v>3.8</v>
      </c>
      <c r="U44" s="80" t="n">
        <v>27517.1</v>
      </c>
      <c r="V44" s="80" t="n">
        <v>26.15</v>
      </c>
      <c r="W44" s="97">
        <f>U44/V44</f>
        <v/>
      </c>
      <c r="X44" s="97">
        <f>(W44/U44)*100</f>
        <v/>
      </c>
      <c r="Y44" s="80" t="n">
        <v>8804.1</v>
      </c>
      <c r="Z44" s="79" t="n">
        <v>26.11</v>
      </c>
      <c r="AA44" s="97">
        <f>Y44/Z44</f>
        <v/>
      </c>
      <c r="AB44" s="97">
        <f>(AA44/Y44)*100</f>
        <v/>
      </c>
    </row>
    <row r="45">
      <c r="A45" s="92" t="n">
        <v>44</v>
      </c>
      <c r="B45" s="93" t="n">
        <v>44627</v>
      </c>
      <c r="C45" s="94" t="n">
        <v>24112172.19</v>
      </c>
      <c r="D45" s="95">
        <f>C45/E45</f>
        <v/>
      </c>
      <c r="E45" s="80" t="n">
        <v>76.97499999999999</v>
      </c>
      <c r="F45" s="95">
        <f>D45/100000</f>
        <v/>
      </c>
      <c r="G45" s="95">
        <f>(F45/DataSheet!$C$9*100)</f>
        <v/>
      </c>
      <c r="H45" s="95">
        <f>K45/I45</f>
        <v/>
      </c>
      <c r="I45" s="96">
        <f>(J45/L45)*100</f>
        <v/>
      </c>
      <c r="J45" s="97">
        <f>L45/O45</f>
        <v/>
      </c>
      <c r="K45" s="79" t="n">
        <v>6.888</v>
      </c>
      <c r="L45" s="79" t="n">
        <v>15863.15</v>
      </c>
      <c r="M45" s="79" t="n">
        <v>4</v>
      </c>
      <c r="N45" s="97">
        <f>K45-I45</f>
        <v/>
      </c>
      <c r="O45" s="79" t="n">
        <v>20.39</v>
      </c>
      <c r="P45" s="79" t="n">
        <v>1.777</v>
      </c>
      <c r="Q45" s="97">
        <f>K45-P45</f>
        <v/>
      </c>
      <c r="R45" s="79" t="n">
        <v>99.295</v>
      </c>
      <c r="S45" s="98">
        <f>(O45*T45)</f>
        <v/>
      </c>
      <c r="T45" s="79" t="n">
        <v>3.83</v>
      </c>
      <c r="U45" s="80" t="n">
        <v>26865.9</v>
      </c>
      <c r="V45" s="80" t="n">
        <v>25.58</v>
      </c>
      <c r="W45" s="97">
        <f>U45/V45</f>
        <v/>
      </c>
      <c r="X45" s="97">
        <f>(W45/U45)*100</f>
        <v/>
      </c>
      <c r="Y45" s="80" t="n">
        <v>8599.35</v>
      </c>
      <c r="Z45" s="79" t="n">
        <v>25.51</v>
      </c>
      <c r="AA45" s="97">
        <f>Y45/Z45</f>
        <v/>
      </c>
      <c r="AB45" s="97">
        <f>(AA45/Y45)*100</f>
        <v/>
      </c>
    </row>
    <row r="46">
      <c r="A46" s="92" t="n">
        <v>45</v>
      </c>
      <c r="B46" s="93" t="n">
        <v>44628</v>
      </c>
      <c r="C46" s="94" t="n">
        <v>24371987.02</v>
      </c>
      <c r="D46" s="95">
        <f>C46/E46</f>
        <v/>
      </c>
      <c r="E46" s="80" t="n">
        <v>76.905</v>
      </c>
      <c r="F46" s="95">
        <f>D46/100000</f>
        <v/>
      </c>
      <c r="G46" s="95">
        <f>(F46/DataSheet!$C$9*100)</f>
        <v/>
      </c>
      <c r="H46" s="95">
        <f>K46/I46</f>
        <v/>
      </c>
      <c r="I46" s="96">
        <f>(J46/L46)*100</f>
        <v/>
      </c>
      <c r="J46" s="97">
        <f>L46/O46</f>
        <v/>
      </c>
      <c r="K46" s="79" t="n">
        <v>6.895</v>
      </c>
      <c r="L46" s="79" t="n">
        <v>16013.45</v>
      </c>
      <c r="M46" s="79" t="n">
        <v>4.03</v>
      </c>
      <c r="N46" s="97">
        <f>K46-I46</f>
        <v/>
      </c>
      <c r="O46" s="79" t="n">
        <v>20.59</v>
      </c>
      <c r="P46" s="79" t="n">
        <v>1.84</v>
      </c>
      <c r="Q46" s="97">
        <f>K46-P46</f>
        <v/>
      </c>
      <c r="R46" s="79" t="n">
        <v>99.08</v>
      </c>
      <c r="S46" s="98">
        <f>(O46*T46)</f>
        <v/>
      </c>
      <c r="T46" s="79" t="n">
        <v>3.84</v>
      </c>
      <c r="U46" s="80" t="n">
        <v>27198.55</v>
      </c>
      <c r="V46" s="80" t="n">
        <v>25.85</v>
      </c>
      <c r="W46" s="97">
        <f>U46/V46</f>
        <v/>
      </c>
      <c r="X46" s="97">
        <f>(W46/U46)*100</f>
        <v/>
      </c>
      <c r="Y46" s="80" t="n">
        <v>8717.049999999999</v>
      </c>
      <c r="Z46" s="79" t="n">
        <v>25.86</v>
      </c>
      <c r="AA46" s="97">
        <f>Y46/Z46</f>
        <v/>
      </c>
      <c r="AB46" s="97">
        <f>(AA46/Y46)*100</f>
        <v/>
      </c>
    </row>
    <row r="47">
      <c r="A47" s="92" t="n">
        <v>46</v>
      </c>
      <c r="B47" s="93" t="n">
        <v>44629</v>
      </c>
      <c r="C47" s="94" t="n">
        <v>24839544.84</v>
      </c>
      <c r="D47" s="95">
        <f>C47/E47</f>
        <v/>
      </c>
      <c r="E47" s="80" t="n">
        <v>76.38200000000001</v>
      </c>
      <c r="F47" s="95">
        <f>D47/100000</f>
        <v/>
      </c>
      <c r="G47" s="95">
        <f>(F47/DataSheet!$C$9*100)</f>
        <v/>
      </c>
      <c r="H47" s="95">
        <f>K47/I47</f>
        <v/>
      </c>
      <c r="I47" s="96">
        <f>(J47/L47)*100</f>
        <v/>
      </c>
      <c r="J47" s="97">
        <f>L47/O47</f>
        <v/>
      </c>
      <c r="K47" s="79" t="n">
        <v>6.845</v>
      </c>
      <c r="L47" s="79" t="n">
        <v>16345.35</v>
      </c>
      <c r="M47" s="79" t="n">
        <v>4.12</v>
      </c>
      <c r="N47" s="97">
        <f>K47-I47</f>
        <v/>
      </c>
      <c r="O47" s="79" t="n">
        <v>21.01</v>
      </c>
      <c r="P47" s="79" t="n">
        <v>1.951</v>
      </c>
      <c r="Q47" s="97">
        <f>K47-P47</f>
        <v/>
      </c>
      <c r="R47" s="79" t="n">
        <v>97.953</v>
      </c>
      <c r="S47" s="98">
        <f>(O47*T47)</f>
        <v/>
      </c>
      <c r="T47" s="79" t="n">
        <v>3.78</v>
      </c>
      <c r="U47" s="80" t="n">
        <v>27785.5</v>
      </c>
      <c r="V47" s="80" t="n">
        <v>26.37</v>
      </c>
      <c r="W47" s="97">
        <f>U47/V47</f>
        <v/>
      </c>
      <c r="X47" s="97">
        <f>(W47/U47)*100</f>
        <v/>
      </c>
      <c r="Y47" s="80" t="n">
        <v>8899.85</v>
      </c>
      <c r="Z47" s="79" t="n">
        <v>26.41</v>
      </c>
      <c r="AA47" s="97">
        <f>Y47/Z47</f>
        <v/>
      </c>
      <c r="AB47" s="97">
        <f>(AA47/Y47)*100</f>
        <v/>
      </c>
    </row>
    <row r="48">
      <c r="A48" s="92" t="n">
        <v>47</v>
      </c>
      <c r="B48" s="93" t="n">
        <v>44630</v>
      </c>
      <c r="C48" s="94" t="n">
        <v>25206243.15</v>
      </c>
      <c r="D48" s="95">
        <f>C48/E48</f>
        <v/>
      </c>
      <c r="E48" s="80" t="n">
        <v>76.31</v>
      </c>
      <c r="F48" s="95">
        <f>D48/100000</f>
        <v/>
      </c>
      <c r="G48" s="95">
        <f>(F48/DataSheet!$C$9*100)</f>
        <v/>
      </c>
      <c r="H48" s="95">
        <f>K48/I48</f>
        <v/>
      </c>
      <c r="I48" s="96">
        <f>(J48/L48)*100</f>
        <v/>
      </c>
      <c r="J48" s="97">
        <f>L48/O48</f>
        <v/>
      </c>
      <c r="K48" s="79" t="n">
        <v>6.809</v>
      </c>
      <c r="L48" s="79" t="n">
        <v>16594.9</v>
      </c>
      <c r="M48" s="79" t="n">
        <v>4.18</v>
      </c>
      <c r="N48" s="97">
        <f>K48-I48</f>
        <v/>
      </c>
      <c r="O48" s="79" t="n">
        <v>21.34</v>
      </c>
      <c r="P48" s="79" t="n">
        <v>1.993</v>
      </c>
      <c r="Q48" s="97">
        <f>K48-P48</f>
        <v/>
      </c>
      <c r="R48" s="79" t="n">
        <v>98.504</v>
      </c>
      <c r="S48" s="98">
        <f>(O48*T48)</f>
        <v/>
      </c>
      <c r="T48" s="79" t="n">
        <v>3.84</v>
      </c>
      <c r="U48" s="80" t="n">
        <v>28038.7</v>
      </c>
      <c r="V48" s="80" t="n">
        <v>26.65</v>
      </c>
      <c r="W48" s="97">
        <f>U48/V48</f>
        <v/>
      </c>
      <c r="X48" s="97">
        <f>(W48/U48)*100</f>
        <v/>
      </c>
      <c r="Y48" s="80" t="n">
        <v>9025.4</v>
      </c>
      <c r="Z48" s="79" t="n">
        <v>26.78</v>
      </c>
      <c r="AA48" s="97">
        <f>Y48/Z48</f>
        <v/>
      </c>
      <c r="AB48" s="97">
        <f>(AA48/Y48)*100</f>
        <v/>
      </c>
    </row>
    <row r="49">
      <c r="A49" s="92" t="n">
        <v>48</v>
      </c>
      <c r="B49" s="93" t="n">
        <v>44631</v>
      </c>
      <c r="C49" s="94" t="n">
        <v>25295547.47</v>
      </c>
      <c r="D49" s="95">
        <f>C49/E49</f>
        <v/>
      </c>
      <c r="E49" s="80" t="n">
        <v>76.511</v>
      </c>
      <c r="F49" s="95">
        <f>D49/100000</f>
        <v/>
      </c>
      <c r="G49" s="95">
        <f>(F49/DataSheet!$C$9*100)</f>
        <v/>
      </c>
      <c r="H49" s="95">
        <f>K49/I49</f>
        <v/>
      </c>
      <c r="I49" s="96">
        <f>(J49/L49)*100</f>
        <v/>
      </c>
      <c r="J49" s="97">
        <f>L49/O49</f>
        <v/>
      </c>
      <c r="K49" s="79" t="n">
        <v>6.855</v>
      </c>
      <c r="L49" s="79" t="n">
        <v>16630.45</v>
      </c>
      <c r="M49" s="79" t="n">
        <v>4.19</v>
      </c>
      <c r="N49" s="97">
        <f>K49-I49</f>
        <v/>
      </c>
      <c r="O49" s="79" t="n">
        <v>21.38</v>
      </c>
      <c r="P49" s="79" t="n">
        <v>1.997</v>
      </c>
      <c r="Q49" s="97">
        <f>K49-P49</f>
        <v/>
      </c>
      <c r="R49" s="79" t="n">
        <v>99.13</v>
      </c>
      <c r="S49" s="98">
        <f>(O49*T49)</f>
        <v/>
      </c>
      <c r="T49" s="79" t="n">
        <v>3.83</v>
      </c>
      <c r="U49" s="80" t="n">
        <v>28210.35</v>
      </c>
      <c r="V49" s="80" t="n">
        <v>26.79</v>
      </c>
      <c r="W49" s="97">
        <f>U49/V49</f>
        <v/>
      </c>
      <c r="X49" s="97">
        <f>(W49/U49)*100</f>
        <v/>
      </c>
      <c r="Y49" s="80" t="n">
        <v>9105.9</v>
      </c>
      <c r="Z49" s="79" t="n">
        <v>27.02</v>
      </c>
      <c r="AA49" s="97">
        <f>Y49/Z49</f>
        <v/>
      </c>
      <c r="AB49" s="97">
        <f>(AA49/Y49)*100</f>
        <v/>
      </c>
    </row>
    <row r="50">
      <c r="A50" s="92" t="n">
        <v>49</v>
      </c>
      <c r="B50" s="93" t="n">
        <v>44634</v>
      </c>
      <c r="C50" s="94" t="n">
        <v>25437260.25</v>
      </c>
      <c r="D50" s="95">
        <f>C50/E50</f>
        <v/>
      </c>
      <c r="E50" s="80" t="n">
        <v>76.45</v>
      </c>
      <c r="F50" s="95">
        <f>D50/100000</f>
        <v/>
      </c>
      <c r="G50" s="95">
        <f>(F50/DataSheet!$C$9*100)</f>
        <v/>
      </c>
      <c r="H50" s="95">
        <f>K50/I50</f>
        <v/>
      </c>
      <c r="I50" s="96">
        <f>(J50/L50)*100</f>
        <v/>
      </c>
      <c r="J50" s="97">
        <f>L50/O50</f>
        <v/>
      </c>
      <c r="K50" s="79" t="n">
        <v>6.854</v>
      </c>
      <c r="L50" s="79" t="n">
        <v>16871.3</v>
      </c>
      <c r="M50" s="79" t="n">
        <v>4.25</v>
      </c>
      <c r="N50" s="97">
        <f>K50-I50</f>
        <v/>
      </c>
      <c r="O50" s="79" t="n">
        <v>21.69</v>
      </c>
      <c r="P50" s="79" t="n">
        <v>2.142</v>
      </c>
      <c r="Q50" s="97">
        <f>K50-P50</f>
        <v/>
      </c>
      <c r="R50" s="79" t="n">
        <v>98.879</v>
      </c>
      <c r="S50" s="98">
        <f>(O50*T50)</f>
        <v/>
      </c>
      <c r="T50" s="79" t="n">
        <v>3.83</v>
      </c>
      <c r="U50" s="80" t="n">
        <v>28267.5</v>
      </c>
      <c r="V50" s="80" t="n">
        <v>26.83</v>
      </c>
      <c r="W50" s="97">
        <f>U50/V50</f>
        <v/>
      </c>
      <c r="X50" s="97">
        <f>(W50/U50)*100</f>
        <v/>
      </c>
      <c r="Y50" s="80" t="n">
        <v>9143.549999999999</v>
      </c>
      <c r="Z50" s="79" t="n">
        <v>27.13</v>
      </c>
      <c r="AA50" s="97">
        <f>Y50/Z50</f>
        <v/>
      </c>
      <c r="AB50" s="97">
        <f>(AA50/Y50)*100</f>
        <v/>
      </c>
    </row>
    <row r="51">
      <c r="A51" s="92" t="n">
        <v>50</v>
      </c>
      <c r="B51" s="93" t="n">
        <v>44635</v>
      </c>
      <c r="C51" s="94" t="n">
        <v>25182337.58</v>
      </c>
      <c r="D51" s="95">
        <f>C51/E51</f>
        <v/>
      </c>
      <c r="E51" s="80" t="n">
        <v>76.42</v>
      </c>
      <c r="F51" s="95">
        <f>D51/100000</f>
        <v/>
      </c>
      <c r="G51" s="95">
        <f>(F51/DataSheet!$C$9*100)</f>
        <v/>
      </c>
      <c r="H51" s="95">
        <f>K51/I51</f>
        <v/>
      </c>
      <c r="I51" s="96">
        <f>(J51/L51)*100</f>
        <v/>
      </c>
      <c r="J51" s="97">
        <f>L51/O51</f>
        <v/>
      </c>
      <c r="K51" s="79" t="n">
        <v>6.821</v>
      </c>
      <c r="L51" s="79" t="n">
        <v>16663</v>
      </c>
      <c r="M51" s="79" t="n">
        <v>4.2</v>
      </c>
      <c r="N51" s="97">
        <f>K51-I51</f>
        <v/>
      </c>
      <c r="O51" s="79" t="n">
        <v>21.42</v>
      </c>
      <c r="P51" s="79" t="n">
        <v>2.149</v>
      </c>
      <c r="Q51" s="97">
        <f>K51-P51</f>
        <v/>
      </c>
      <c r="R51" s="79" t="n">
        <v>99.06399999999999</v>
      </c>
      <c r="S51" s="98">
        <f>(O51*T51)</f>
        <v/>
      </c>
      <c r="T51" s="79" t="n">
        <v>3.8</v>
      </c>
      <c r="U51" s="80" t="n">
        <v>28021.35</v>
      </c>
      <c r="V51" s="80" t="n">
        <v>26.61</v>
      </c>
      <c r="W51" s="97">
        <f>U51/V51</f>
        <v/>
      </c>
      <c r="X51" s="97">
        <f>(W51/U51)*100</f>
        <v/>
      </c>
      <c r="Y51" s="80" t="n">
        <v>9067.950000000001</v>
      </c>
      <c r="Z51" s="79" t="n">
        <v>26.91</v>
      </c>
      <c r="AA51" s="97">
        <f>Y51/Z51</f>
        <v/>
      </c>
      <c r="AB51" s="97">
        <f>(AA51/Y51)*100</f>
        <v/>
      </c>
    </row>
    <row r="52">
      <c r="A52" s="92" t="n">
        <v>51</v>
      </c>
      <c r="B52" s="93" t="n">
        <v>44636</v>
      </c>
      <c r="C52" s="94" t="n">
        <v>25639387.78</v>
      </c>
      <c r="D52" s="95">
        <f>C52/E52</f>
        <v/>
      </c>
      <c r="E52" s="80" t="n">
        <v>76.2</v>
      </c>
      <c r="F52" s="95">
        <f>D52/100000</f>
        <v/>
      </c>
      <c r="G52" s="95">
        <f>(F52/DataSheet!$C$9*100)</f>
        <v/>
      </c>
      <c r="H52" s="95">
        <f>K52/I52</f>
        <v/>
      </c>
      <c r="I52" s="96">
        <f>(J52/L52)*100</f>
        <v/>
      </c>
      <c r="J52" s="97">
        <f>L52/O52</f>
        <v/>
      </c>
      <c r="K52" s="79" t="n">
        <v>6.788</v>
      </c>
      <c r="L52" s="79" t="n">
        <v>16975.35</v>
      </c>
      <c r="M52" s="79" t="n">
        <v>4.28</v>
      </c>
      <c r="N52" s="97">
        <f>K52-I52</f>
        <v/>
      </c>
      <c r="O52" s="79" t="n">
        <v>21.82</v>
      </c>
      <c r="P52" s="79" t="n">
        <v>2.192</v>
      </c>
      <c r="Q52" s="97">
        <f>K52-P52</f>
        <v/>
      </c>
      <c r="R52" s="79" t="n">
        <v>98.621</v>
      </c>
      <c r="S52" s="98">
        <f>(O52*T52)</f>
        <v/>
      </c>
      <c r="T52" s="79" t="n">
        <v>3.79</v>
      </c>
      <c r="U52" s="80" t="n">
        <v>28584.55</v>
      </c>
      <c r="V52" s="80" t="n">
        <v>27.13</v>
      </c>
      <c r="W52" s="97">
        <f>U52/V52</f>
        <v/>
      </c>
      <c r="X52" s="97">
        <f>(W52/U52)*100</f>
        <v/>
      </c>
      <c r="Y52" s="80" t="n">
        <v>9168.549999999999</v>
      </c>
      <c r="Z52" s="79" t="n">
        <v>27.2</v>
      </c>
      <c r="AA52" s="97">
        <f>Y52/Z52</f>
        <v/>
      </c>
      <c r="AB52" s="97">
        <f>(AA52/Y52)*100</f>
        <v/>
      </c>
    </row>
    <row r="53">
      <c r="A53" s="92" t="n">
        <v>52</v>
      </c>
      <c r="B53" s="93" t="n">
        <v>44637</v>
      </c>
      <c r="C53" s="94" t="n">
        <v>26052814.03</v>
      </c>
      <c r="D53" s="95">
        <f>C53/E53</f>
        <v/>
      </c>
      <c r="E53" s="80" t="n">
        <v>75.937</v>
      </c>
      <c r="F53" s="95">
        <f>D53/100000</f>
        <v/>
      </c>
      <c r="G53" s="95">
        <f>(F53/DataSheet!$C$9*100)</f>
        <v/>
      </c>
      <c r="H53" s="95">
        <f>K53/I53</f>
        <v/>
      </c>
      <c r="I53" s="96">
        <f>(J53/L53)*100</f>
        <v/>
      </c>
      <c r="J53" s="97">
        <f>L53/O53</f>
        <v/>
      </c>
      <c r="K53" s="79" t="n">
        <v>6.778</v>
      </c>
      <c r="L53" s="79" t="n">
        <v>17287.05</v>
      </c>
      <c r="M53" s="79" t="n">
        <v>4.36</v>
      </c>
      <c r="N53" s="97">
        <f>K53-I53</f>
        <v/>
      </c>
      <c r="O53" s="79" t="n">
        <v>22.23</v>
      </c>
      <c r="P53" s="79" t="n">
        <v>2.167</v>
      </c>
      <c r="Q53" s="97">
        <f>K53-P53</f>
        <v/>
      </c>
      <c r="R53" s="79" t="n">
        <v>97.97499999999999</v>
      </c>
      <c r="S53" s="98">
        <f>(O53*T53)</f>
        <v/>
      </c>
      <c r="T53" s="79" t="n">
        <v>3.77</v>
      </c>
      <c r="U53" s="80" t="n">
        <v>28977.9</v>
      </c>
      <c r="V53" s="80" t="n">
        <v>27.46</v>
      </c>
      <c r="W53" s="97">
        <f>U53/V53</f>
        <v/>
      </c>
      <c r="X53" s="97">
        <f>(W53/U53)*100</f>
        <v/>
      </c>
      <c r="Y53" s="80" t="n">
        <v>9276.950000000001</v>
      </c>
      <c r="Z53" s="79" t="n">
        <v>27.53</v>
      </c>
      <c r="AA53" s="97">
        <f>Y53/Z53</f>
        <v/>
      </c>
      <c r="AB53" s="97">
        <f>(AA53/Y53)*100</f>
        <v/>
      </c>
    </row>
    <row r="54">
      <c r="A54" s="92" t="n">
        <v>53</v>
      </c>
      <c r="B54" s="93" t="n">
        <v>44641</v>
      </c>
      <c r="C54" s="94" t="n">
        <v>25837082.19</v>
      </c>
      <c r="D54" s="95">
        <f>C54/E54</f>
        <v/>
      </c>
      <c r="E54" s="80" t="n">
        <v>76.285</v>
      </c>
      <c r="F54" s="95">
        <f>D54/100000</f>
        <v/>
      </c>
      <c r="G54" s="95">
        <f>(F54/DataSheet!$C$9*100)</f>
        <v/>
      </c>
      <c r="H54" s="95">
        <f>K54/I54</f>
        <v/>
      </c>
      <c r="I54" s="96">
        <f>(J54/L54)*100</f>
        <v/>
      </c>
      <c r="J54" s="97">
        <f>L54/O54</f>
        <v/>
      </c>
      <c r="K54" s="79" t="n">
        <v>6.781</v>
      </c>
      <c r="L54" s="79" t="n">
        <v>17117.6</v>
      </c>
      <c r="M54" s="79" t="n">
        <v>4.31</v>
      </c>
      <c r="N54" s="97">
        <f>K54-I54</f>
        <v/>
      </c>
      <c r="O54" s="79" t="n">
        <v>22.01</v>
      </c>
      <c r="P54" s="79" t="n">
        <v>2.297</v>
      </c>
      <c r="Q54" s="97">
        <f>K54-P54</f>
        <v/>
      </c>
      <c r="R54" s="79" t="n">
        <v>98.499</v>
      </c>
      <c r="S54" s="98">
        <f>(O54*T54)</f>
        <v/>
      </c>
      <c r="T54" s="79" t="n">
        <v>3.78</v>
      </c>
      <c r="U54" s="80" t="n">
        <v>28896.45</v>
      </c>
      <c r="V54" s="80" t="n">
        <v>27.43</v>
      </c>
      <c r="W54" s="97">
        <f>U54/V54</f>
        <v/>
      </c>
      <c r="X54" s="97">
        <f>(W54/U54)*100</f>
        <v/>
      </c>
      <c r="Y54" s="80" t="n">
        <v>9301.5</v>
      </c>
      <c r="Z54" s="79" t="n">
        <v>27.6</v>
      </c>
      <c r="AA54" s="97">
        <f>Y54/Z54</f>
        <v/>
      </c>
      <c r="AB54" s="97">
        <f>(AA54/Y54)*100</f>
        <v/>
      </c>
    </row>
    <row r="55">
      <c r="A55" s="92" t="n">
        <v>54</v>
      </c>
      <c r="B55" s="93" t="n">
        <v>44642</v>
      </c>
      <c r="C55" s="94" t="n">
        <v>26039228.52</v>
      </c>
      <c r="D55" s="95">
        <f>C55/E55</f>
        <v/>
      </c>
      <c r="E55" s="80" t="n">
        <v>76.15900000000001</v>
      </c>
      <c r="F55" s="95">
        <f>D55/100000</f>
        <v/>
      </c>
      <c r="G55" s="95">
        <f>(F55/DataSheet!$C$9*100)</f>
        <v/>
      </c>
      <c r="H55" s="95">
        <f>K55/I55</f>
        <v/>
      </c>
      <c r="I55" s="96">
        <f>(J55/L55)*100</f>
        <v/>
      </c>
      <c r="J55" s="97">
        <f>L55/O55</f>
        <v/>
      </c>
      <c r="K55" s="79" t="n">
        <v>6.831</v>
      </c>
      <c r="L55" s="79" t="n">
        <v>17315.5</v>
      </c>
      <c r="M55" s="79" t="n">
        <v>4.36</v>
      </c>
      <c r="N55" s="97">
        <f>K55-I55</f>
        <v/>
      </c>
      <c r="O55" s="79" t="n">
        <v>22.26</v>
      </c>
      <c r="P55" s="79" t="n">
        <v>2.381</v>
      </c>
      <c r="Q55" s="97">
        <f>K55-P55</f>
        <v/>
      </c>
      <c r="R55" s="79" t="n">
        <v>98.523</v>
      </c>
      <c r="S55" s="98">
        <f>(O55*T55)</f>
        <v/>
      </c>
      <c r="T55" s="79" t="n">
        <v>3.76</v>
      </c>
      <c r="U55" s="80" t="n">
        <v>28977.3</v>
      </c>
      <c r="V55" s="80" t="n">
        <v>27.47</v>
      </c>
      <c r="W55" s="97">
        <f>U55/V55</f>
        <v/>
      </c>
      <c r="X55" s="97">
        <f>(W55/U55)*100</f>
        <v/>
      </c>
      <c r="Y55" s="80" t="n">
        <v>9330.35</v>
      </c>
      <c r="Z55" s="79" t="n">
        <v>27.68</v>
      </c>
      <c r="AA55" s="97">
        <f>Y55/Z55</f>
        <v/>
      </c>
      <c r="AB55" s="97">
        <f>(AA55/Y55)*100</f>
        <v/>
      </c>
    </row>
    <row r="56">
      <c r="A56" s="92" t="n">
        <v>55</v>
      </c>
      <c r="B56" s="93" t="n">
        <v>44643</v>
      </c>
      <c r="C56" s="94" t="n">
        <v>26022319.91</v>
      </c>
      <c r="D56" s="95">
        <f>C56/E56</f>
        <v/>
      </c>
      <c r="E56" s="80" t="n">
        <v>76.53</v>
      </c>
      <c r="F56" s="95">
        <f>D56/100000</f>
        <v/>
      </c>
      <c r="G56" s="95">
        <f>(F56/DataSheet!$C$9*100)</f>
        <v/>
      </c>
      <c r="H56" s="95">
        <f>K56/I56</f>
        <v/>
      </c>
      <c r="I56" s="96">
        <f>(J56/L56)*100</f>
        <v/>
      </c>
      <c r="J56" s="97">
        <f>L56/O56</f>
        <v/>
      </c>
      <c r="K56" s="79" t="n">
        <v>6.831</v>
      </c>
      <c r="L56" s="79" t="n">
        <v>17245.65</v>
      </c>
      <c r="M56" s="79" t="n">
        <v>4.35</v>
      </c>
      <c r="N56" s="97">
        <f>K56-I56</f>
        <v/>
      </c>
      <c r="O56" s="79" t="n">
        <v>22.17</v>
      </c>
      <c r="P56" s="79" t="n">
        <v>2.29</v>
      </c>
      <c r="Q56" s="97">
        <f>K56-P56</f>
        <v/>
      </c>
      <c r="R56" s="79" t="n">
        <v>98.61499999999999</v>
      </c>
      <c r="S56" s="98">
        <f>(O56*T56)</f>
        <v/>
      </c>
      <c r="T56" s="79" t="n">
        <v>3.8</v>
      </c>
      <c r="U56" s="80" t="n">
        <v>29137.3</v>
      </c>
      <c r="V56" s="80" t="n">
        <v>27.56</v>
      </c>
      <c r="W56" s="97">
        <f>U56/V56</f>
        <v/>
      </c>
      <c r="X56" s="97">
        <f>(W56/U56)*100</f>
        <v/>
      </c>
      <c r="Y56" s="80" t="n">
        <v>9316.450000000001</v>
      </c>
      <c r="Z56" s="79" t="n">
        <v>27.64</v>
      </c>
      <c r="AA56" s="97">
        <f>Y56/Z56</f>
        <v/>
      </c>
      <c r="AB56" s="97">
        <f>(AA56/Y56)*100</f>
        <v/>
      </c>
    </row>
    <row r="57">
      <c r="A57" s="92" t="n">
        <v>56</v>
      </c>
      <c r="B57" s="93" t="n">
        <v>44644</v>
      </c>
      <c r="C57" s="94" t="n">
        <v>26067138.98</v>
      </c>
      <c r="D57" s="95">
        <f>C57/E57</f>
        <v/>
      </c>
      <c r="E57" s="80" t="n">
        <v>76.30500000000001</v>
      </c>
      <c r="F57" s="95">
        <f>D57/100000</f>
        <v/>
      </c>
      <c r="G57" s="95">
        <f>(F57/DataSheet!$C$9*100)</f>
        <v/>
      </c>
      <c r="H57" s="95">
        <f>K57/I57</f>
        <v/>
      </c>
      <c r="I57" s="96">
        <f>(J57/L57)*100</f>
        <v/>
      </c>
      <c r="J57" s="97">
        <f>L57/O57</f>
        <v/>
      </c>
      <c r="K57" s="79" t="n">
        <v>6.834</v>
      </c>
      <c r="L57" s="79" t="n">
        <v>17222.75</v>
      </c>
      <c r="M57" s="79" t="n">
        <v>4.34</v>
      </c>
      <c r="N57" s="97">
        <f>K57-I57</f>
        <v/>
      </c>
      <c r="O57" s="79" t="n">
        <v>22.14</v>
      </c>
      <c r="P57" s="79" t="n">
        <v>2.37</v>
      </c>
      <c r="Q57" s="97">
        <f>K57-P57</f>
        <v/>
      </c>
      <c r="R57" s="79" t="n">
        <v>98.8</v>
      </c>
      <c r="S57" s="98">
        <f>(O57*T57)</f>
        <v/>
      </c>
      <c r="T57" s="79" t="n">
        <v>3.8</v>
      </c>
      <c r="U57" s="80" t="n">
        <v>29308.35</v>
      </c>
      <c r="V57" s="80" t="n">
        <v>27.71</v>
      </c>
      <c r="W57" s="97">
        <f>U57/V57</f>
        <v/>
      </c>
      <c r="X57" s="97">
        <f>(W57/U57)*100</f>
        <v/>
      </c>
      <c r="Y57" s="80" t="n">
        <v>9347.700000000001</v>
      </c>
      <c r="Z57" s="79" t="n">
        <v>27.73</v>
      </c>
      <c r="AA57" s="97">
        <f>Y57/Z57</f>
        <v/>
      </c>
      <c r="AB57" s="97">
        <f>(AA57/Y57)*100</f>
        <v/>
      </c>
    </row>
    <row r="58">
      <c r="A58" s="92" t="n">
        <v>57</v>
      </c>
      <c r="B58" s="93" t="n">
        <v>44645</v>
      </c>
      <c r="C58" s="94" t="n">
        <v>25997774.58</v>
      </c>
      <c r="D58" s="95">
        <f>C58/E58</f>
        <v/>
      </c>
      <c r="E58" s="80" t="n">
        <v>76.285</v>
      </c>
      <c r="F58" s="95">
        <f>D58/100000</f>
        <v/>
      </c>
      <c r="G58" s="95">
        <f>(F58/DataSheet!$C$9*100)</f>
        <v/>
      </c>
      <c r="H58" s="95">
        <f>K58/I58</f>
        <v/>
      </c>
      <c r="I58" s="96">
        <f>(J58/L58)*100</f>
        <v/>
      </c>
      <c r="J58" s="97">
        <f>L58/O58</f>
        <v/>
      </c>
      <c r="K58" s="79" t="n">
        <v>6.811</v>
      </c>
      <c r="L58" s="79" t="n">
        <v>17153</v>
      </c>
      <c r="M58" s="79" t="n">
        <v>4.32</v>
      </c>
      <c r="N58" s="97">
        <f>K58-I58</f>
        <v/>
      </c>
      <c r="O58" s="79" t="n">
        <v>22.05</v>
      </c>
      <c r="P58" s="79" t="n">
        <v>2.488</v>
      </c>
      <c r="Q58" s="97">
        <f>K58-P58</f>
        <v/>
      </c>
      <c r="R58" s="79" t="n">
        <v>98.822</v>
      </c>
      <c r="S58" s="98">
        <f>(O58*T58)</f>
        <v/>
      </c>
      <c r="T58" s="79" t="n">
        <v>3.79</v>
      </c>
      <c r="U58" s="80" t="n">
        <v>29274.55</v>
      </c>
      <c r="V58" s="80" t="n">
        <v>27.65</v>
      </c>
      <c r="W58" s="97">
        <f>U58/V58</f>
        <v/>
      </c>
      <c r="X58" s="97">
        <f>(W58/U58)*100</f>
        <v/>
      </c>
      <c r="Y58" s="80" t="n">
        <v>9311.1</v>
      </c>
      <c r="Z58" s="79" t="n">
        <v>27.63</v>
      </c>
      <c r="AA58" s="97">
        <f>Y58/Z58</f>
        <v/>
      </c>
      <c r="AB58" s="97">
        <f>(AA58/Y58)*100</f>
        <v/>
      </c>
    </row>
    <row r="59">
      <c r="A59" s="92" t="n">
        <v>58</v>
      </c>
      <c r="B59" s="93" t="n">
        <v>44648</v>
      </c>
      <c r="C59" s="94" t="n">
        <v>26033800.93</v>
      </c>
      <c r="D59" s="95">
        <f>C59/E59</f>
        <v/>
      </c>
      <c r="E59" s="80" t="n">
        <v>76.09</v>
      </c>
      <c r="F59" s="95">
        <f>D59/100000</f>
        <v/>
      </c>
      <c r="G59" s="95">
        <f>(F59/DataSheet!$C$9*100)</f>
        <v/>
      </c>
      <c r="H59" s="95">
        <f>K59/I59</f>
        <v/>
      </c>
      <c r="I59" s="96">
        <f>(J59/L59)*100</f>
        <v/>
      </c>
      <c r="J59" s="97">
        <f>L59/O59</f>
        <v/>
      </c>
      <c r="K59" s="79" t="n">
        <v>6.836</v>
      </c>
      <c r="L59" s="79" t="n">
        <v>17222</v>
      </c>
      <c r="M59" s="79" t="n">
        <v>4.34</v>
      </c>
      <c r="N59" s="97">
        <f>K59-I59</f>
        <v/>
      </c>
      <c r="O59" s="79" t="n">
        <v>22.14</v>
      </c>
      <c r="P59" s="79" t="n">
        <v>2.466</v>
      </c>
      <c r="Q59" s="97">
        <f>K59-P59</f>
        <v/>
      </c>
      <c r="R59" s="79" t="n">
        <v>99.05500000000001</v>
      </c>
      <c r="S59" s="98">
        <f>(O59*T59)</f>
        <v/>
      </c>
      <c r="T59" s="79" t="n">
        <v>3.78</v>
      </c>
      <c r="U59" s="80" t="n">
        <v>29221.2</v>
      </c>
      <c r="V59" s="80" t="n">
        <v>27.6</v>
      </c>
      <c r="W59" s="97">
        <f>U59/V59</f>
        <v/>
      </c>
      <c r="X59" s="97">
        <f>(W59/U59)*100</f>
        <v/>
      </c>
      <c r="Y59" s="80" t="n">
        <v>9256.450000000001</v>
      </c>
      <c r="Z59" s="79" t="n">
        <v>27.46</v>
      </c>
      <c r="AA59" s="97">
        <f>Y59/Z59</f>
        <v/>
      </c>
      <c r="AB59" s="97">
        <f>(AA59/Y59)*100</f>
        <v/>
      </c>
    </row>
    <row r="60">
      <c r="A60" s="92" t="n">
        <v>59</v>
      </c>
      <c r="B60" s="93" t="n">
        <v>44649</v>
      </c>
      <c r="C60" s="94" t="n">
        <v>26173406.62</v>
      </c>
      <c r="D60" s="95">
        <f>C60/E60</f>
        <v/>
      </c>
      <c r="E60" s="80" t="n">
        <v>75.666</v>
      </c>
      <c r="F60" s="95">
        <f>D60/100000</f>
        <v/>
      </c>
      <c r="G60" s="95">
        <f>(F60/DataSheet!$C$9*100)</f>
        <v/>
      </c>
      <c r="H60" s="95">
        <f>K60/I60</f>
        <v/>
      </c>
      <c r="I60" s="96">
        <f>(J60/L60)*100</f>
        <v/>
      </c>
      <c r="J60" s="97">
        <f>L60/O60</f>
        <v/>
      </c>
      <c r="K60" s="79" t="n">
        <v>6.821</v>
      </c>
      <c r="L60" s="79" t="n">
        <v>17325.3</v>
      </c>
      <c r="M60" s="79" t="n">
        <v>4.37</v>
      </c>
      <c r="N60" s="97">
        <f>K60-I60</f>
        <v/>
      </c>
      <c r="O60" s="79" t="n">
        <v>22.27</v>
      </c>
      <c r="P60" s="79" t="n">
        <v>2.398</v>
      </c>
      <c r="Q60" s="97">
        <f>K60-P60</f>
        <v/>
      </c>
      <c r="R60" s="79" t="n">
        <v>98.441</v>
      </c>
      <c r="S60" s="98">
        <f>(O60*T60)</f>
        <v/>
      </c>
      <c r="T60" s="79" t="n">
        <v>3.78</v>
      </c>
      <c r="U60" s="80" t="n">
        <v>29342.3</v>
      </c>
      <c r="V60" s="80" t="n">
        <v>27.77</v>
      </c>
      <c r="W60" s="97">
        <f>U60/V60</f>
        <v/>
      </c>
      <c r="X60" s="97">
        <f>(W60/U60)*100</f>
        <v/>
      </c>
      <c r="Y60" s="80" t="n">
        <v>9312.049999999999</v>
      </c>
      <c r="Z60" s="79" t="n">
        <v>27.63</v>
      </c>
      <c r="AA60" s="97">
        <f>Y60/Z60</f>
        <v/>
      </c>
      <c r="AB60" s="97">
        <f>(AA60/Y60)*100</f>
        <v/>
      </c>
    </row>
    <row r="61">
      <c r="A61" s="92" t="n">
        <v>60</v>
      </c>
      <c r="B61" s="93" t="n">
        <v>44650</v>
      </c>
      <c r="C61" s="94" t="n">
        <v>26401248.01</v>
      </c>
      <c r="D61" s="95">
        <f>C61/E61</f>
        <v/>
      </c>
      <c r="E61" s="80" t="n">
        <v>75.82299999999999</v>
      </c>
      <c r="F61" s="95">
        <f>D61/100000</f>
        <v/>
      </c>
      <c r="G61" s="95">
        <f>(F61/DataSheet!$C$9*100)</f>
        <v/>
      </c>
      <c r="H61" s="95">
        <f>K61/I61</f>
        <v/>
      </c>
      <c r="I61" s="96">
        <f>(J61/L61)*100</f>
        <v/>
      </c>
      <c r="J61" s="97">
        <f>L61/O61</f>
        <v/>
      </c>
      <c r="K61" s="79" t="n">
        <v>6.784</v>
      </c>
      <c r="L61" s="79" t="n">
        <v>17498.25</v>
      </c>
      <c r="M61" s="79" t="n">
        <v>4.41</v>
      </c>
      <c r="N61" s="97">
        <f>K61-I61</f>
        <v/>
      </c>
      <c r="O61" s="79" t="n">
        <v>22.5</v>
      </c>
      <c r="P61" s="79" t="n">
        <v>2.358</v>
      </c>
      <c r="Q61" s="97">
        <f>K61-P61</f>
        <v/>
      </c>
      <c r="R61" s="79" t="n">
        <v>97.875</v>
      </c>
      <c r="S61" s="98">
        <f>(O61*T61)</f>
        <v/>
      </c>
      <c r="T61" s="79" t="n">
        <v>3.83</v>
      </c>
      <c r="U61" s="80" t="n">
        <v>29590.7</v>
      </c>
      <c r="V61" s="80" t="n">
        <v>28.02</v>
      </c>
      <c r="W61" s="97">
        <f>U61/V61</f>
        <v/>
      </c>
      <c r="X61" s="97">
        <f>(W61/U61)*100</f>
        <v/>
      </c>
      <c r="Y61" s="80" t="n">
        <v>9396.5</v>
      </c>
      <c r="Z61" s="79" t="n">
        <v>27.88</v>
      </c>
      <c r="AA61" s="97">
        <f>Y61/Z61</f>
        <v/>
      </c>
      <c r="AB61" s="97">
        <f>(AA61/Y61)*100</f>
        <v/>
      </c>
    </row>
    <row r="62">
      <c r="A62" s="92" t="n">
        <v>61</v>
      </c>
      <c r="B62" s="93" t="n">
        <v>44651</v>
      </c>
      <c r="C62" s="94" t="n">
        <v>26406971.14</v>
      </c>
      <c r="D62" s="95">
        <f>C62/E62</f>
        <v/>
      </c>
      <c r="E62" s="80" t="n">
        <v>75.928</v>
      </c>
      <c r="F62" s="95">
        <f>D62/100000</f>
        <v/>
      </c>
      <c r="G62" s="95">
        <f>(F62/DataSheet!$C$9*100)</f>
        <v/>
      </c>
      <c r="H62" s="95">
        <f>K62/I62</f>
        <v/>
      </c>
      <c r="I62" s="96">
        <f>(J62/L62)*100</f>
        <v/>
      </c>
      <c r="J62" s="97">
        <f>L62/O62</f>
        <v/>
      </c>
      <c r="K62" s="79" t="n">
        <v>6.843</v>
      </c>
      <c r="L62" s="79" t="n">
        <v>17464.75</v>
      </c>
      <c r="M62" s="79" t="n">
        <v>4.46</v>
      </c>
      <c r="N62" s="97">
        <f>K62-I62</f>
        <v/>
      </c>
      <c r="O62" s="79" t="n">
        <v>22.92</v>
      </c>
      <c r="P62" s="79" t="n">
        <v>2.345</v>
      </c>
      <c r="Q62" s="97">
        <f>K62-P62</f>
        <v/>
      </c>
      <c r="R62" s="79" t="n">
        <v>98.36</v>
      </c>
      <c r="S62" s="98">
        <f>(O62*T62)</f>
        <v/>
      </c>
      <c r="T62" s="79" t="n">
        <v>3.83</v>
      </c>
      <c r="U62" s="80" t="n">
        <v>29692.3</v>
      </c>
      <c r="V62" s="80" t="n">
        <v>27.14</v>
      </c>
      <c r="W62" s="97">
        <f>U62/V62</f>
        <v/>
      </c>
      <c r="X62" s="97">
        <f>(W62/U62)*100</f>
        <v/>
      </c>
      <c r="Y62" s="80" t="n">
        <v>9441.450000000001</v>
      </c>
      <c r="Z62" s="79" t="n">
        <v>24.41</v>
      </c>
      <c r="AA62" s="97">
        <f>Y62/Z62</f>
        <v/>
      </c>
      <c r="AB62" s="97">
        <f>(AA62/Y62)*100</f>
        <v/>
      </c>
    </row>
    <row r="63">
      <c r="A63" s="92" t="n">
        <v>62</v>
      </c>
      <c r="B63" s="93" t="n">
        <v>44652</v>
      </c>
      <c r="C63" s="94" t="n">
        <v>26789062.67</v>
      </c>
      <c r="D63" s="95">
        <f>C63/E63</f>
        <v/>
      </c>
      <c r="E63" s="80" t="n">
        <v>75.995</v>
      </c>
      <c r="F63" s="95">
        <f>D63/100000</f>
        <v/>
      </c>
      <c r="G63" s="95">
        <f>(F63/DataSheet!$C$9*100)</f>
        <v/>
      </c>
      <c r="H63" s="95">
        <f>K63/I63</f>
        <v/>
      </c>
      <c r="I63" s="96">
        <f>(J63/L63)*100</f>
        <v/>
      </c>
      <c r="J63" s="97">
        <f>L63/O63</f>
        <v/>
      </c>
      <c r="K63" s="79" t="n">
        <v>6.843</v>
      </c>
      <c r="L63" s="79" t="n">
        <v>17670.45</v>
      </c>
      <c r="M63" s="79" t="n">
        <v>4.51</v>
      </c>
      <c r="N63" s="97">
        <f>K63-I63</f>
        <v/>
      </c>
      <c r="O63" s="79" t="n">
        <v>23.19</v>
      </c>
      <c r="P63" s="79" t="n">
        <v>2.389</v>
      </c>
      <c r="Q63" s="97">
        <f>K63-P63</f>
        <v/>
      </c>
      <c r="R63" s="79" t="n">
        <v>98.627</v>
      </c>
      <c r="S63" s="98">
        <f>(O63*T63)</f>
        <v/>
      </c>
      <c r="T63" s="79" t="n">
        <v>3.83</v>
      </c>
      <c r="U63" s="80" t="n">
        <v>30134.55</v>
      </c>
      <c r="V63" s="80" t="n">
        <v>27.48</v>
      </c>
      <c r="W63" s="97">
        <f>U63/V63</f>
        <v/>
      </c>
      <c r="X63" s="97">
        <f>(W63/U63)*100</f>
        <v/>
      </c>
      <c r="Y63" s="80" t="n">
        <v>9620.15</v>
      </c>
      <c r="Z63" s="79" t="n">
        <v>24.87</v>
      </c>
      <c r="AA63" s="97">
        <f>Y63/Z63</f>
        <v/>
      </c>
      <c r="AB63" s="97">
        <f>(AA63/Y63)*100</f>
        <v/>
      </c>
    </row>
    <row r="64">
      <c r="A64" s="92" t="n">
        <v>63</v>
      </c>
      <c r="B64" s="93" t="n">
        <v>44655</v>
      </c>
      <c r="C64" s="94" t="n">
        <v>27242840.69</v>
      </c>
      <c r="D64" s="95">
        <f>C64/E64</f>
        <v/>
      </c>
      <c r="E64" s="80" t="n">
        <v>75.45099999999999</v>
      </c>
      <c r="F64" s="95">
        <f>D64/100000</f>
        <v/>
      </c>
      <c r="G64" s="95">
        <f>(F64/DataSheet!$C$9*100)</f>
        <v/>
      </c>
      <c r="H64" s="95">
        <f>K64/I64</f>
        <v/>
      </c>
      <c r="I64" s="96">
        <f>(J64/L64)*100</f>
        <v/>
      </c>
      <c r="J64" s="97">
        <f>L64/O64</f>
        <v/>
      </c>
      <c r="K64" s="79" t="n">
        <v>6.898</v>
      </c>
      <c r="L64" s="79" t="n">
        <v>18053.4</v>
      </c>
      <c r="M64" s="79" t="n">
        <v>4.61</v>
      </c>
      <c r="N64" s="97">
        <f>K64-I64</f>
        <v/>
      </c>
      <c r="O64" s="79" t="n">
        <v>23.69</v>
      </c>
      <c r="P64" s="79" t="n">
        <v>2.393</v>
      </c>
      <c r="Q64" s="97">
        <f>K64-P64</f>
        <v/>
      </c>
      <c r="R64" s="79" t="n">
        <v>98.974</v>
      </c>
      <c r="S64" s="98">
        <f>(O64*T64)</f>
        <v/>
      </c>
      <c r="T64" s="79" t="n">
        <v>3.75</v>
      </c>
      <c r="U64" s="80" t="n">
        <v>30625.2</v>
      </c>
      <c r="V64" s="80" t="n">
        <v>27.89</v>
      </c>
      <c r="W64" s="97">
        <f>U64/V64</f>
        <v/>
      </c>
      <c r="X64" s="97">
        <f>(W64/U64)*100</f>
        <v/>
      </c>
      <c r="Y64" s="80" t="n">
        <v>9766.85</v>
      </c>
      <c r="Z64" s="79" t="n">
        <v>25.25</v>
      </c>
      <c r="AA64" s="97">
        <f>Y64/Z64</f>
        <v/>
      </c>
      <c r="AB64" s="97">
        <f>(AA64/Y64)*100</f>
        <v/>
      </c>
    </row>
    <row r="65">
      <c r="A65" s="92" t="n">
        <v>64</v>
      </c>
      <c r="B65" s="93" t="n">
        <v>44656</v>
      </c>
      <c r="C65" s="94" t="n">
        <v>27372267.23</v>
      </c>
      <c r="D65" s="95">
        <f>C65/E65</f>
        <v/>
      </c>
      <c r="E65" s="80" t="n">
        <v>75.465</v>
      </c>
      <c r="F65" s="95">
        <f>D65/100000</f>
        <v/>
      </c>
      <c r="G65" s="95">
        <f>(F65/DataSheet!$C$9*100)</f>
        <v/>
      </c>
      <c r="H65" s="95">
        <f>K65/I65</f>
        <v/>
      </c>
      <c r="I65" s="96">
        <f>(J65/L65)*100</f>
        <v/>
      </c>
      <c r="J65" s="97">
        <f>L65/O65</f>
        <v/>
      </c>
      <c r="K65" s="79" t="n">
        <v>6.899</v>
      </c>
      <c r="L65" s="79" t="n">
        <v>17957.4</v>
      </c>
      <c r="M65" s="79" t="n">
        <v>4.59</v>
      </c>
      <c r="N65" s="97">
        <f>K65-I65</f>
        <v/>
      </c>
      <c r="O65" s="79" t="n">
        <v>23.57</v>
      </c>
      <c r="P65" s="79" t="n">
        <v>2.554</v>
      </c>
      <c r="Q65" s="97">
        <f>K65-P65</f>
        <v/>
      </c>
      <c r="R65" s="79" t="n">
        <v>99.428</v>
      </c>
      <c r="S65" s="98">
        <f>(O65*T65)</f>
        <v/>
      </c>
      <c r="T65" s="79" t="n">
        <v>3.73</v>
      </c>
      <c r="U65" s="80" t="n">
        <v>31046.7</v>
      </c>
      <c r="V65" s="80" t="n">
        <v>28.3</v>
      </c>
      <c r="W65" s="97">
        <f>U65/V65</f>
        <v/>
      </c>
      <c r="X65" s="97">
        <f>(W65/U65)*100</f>
        <v/>
      </c>
      <c r="Y65" s="80" t="n">
        <v>9860.049999999999</v>
      </c>
      <c r="Z65" s="79" t="n">
        <v>25.49</v>
      </c>
      <c r="AA65" s="97">
        <f>Y65/Z65</f>
        <v/>
      </c>
      <c r="AB65" s="97">
        <f>(AA65/Y65)*100</f>
        <v/>
      </c>
    </row>
    <row r="66">
      <c r="A66" s="92" t="n">
        <v>65</v>
      </c>
      <c r="B66" s="93" t="n">
        <v>44657</v>
      </c>
      <c r="C66" s="94" t="n">
        <v>27357378.64</v>
      </c>
      <c r="D66" s="95">
        <f>C66/E66</f>
        <v/>
      </c>
      <c r="E66" s="80" t="n">
        <v>75.947</v>
      </c>
      <c r="F66" s="95">
        <f>D66/100000</f>
        <v/>
      </c>
      <c r="G66" s="95">
        <f>(F66/DataSheet!$C$9*100)</f>
        <v/>
      </c>
      <c r="H66" s="95">
        <f>K66/I66</f>
        <v/>
      </c>
      <c r="I66" s="96">
        <f>(J66/L66)*100</f>
        <v/>
      </c>
      <c r="J66" s="97">
        <f>L66/O66</f>
        <v/>
      </c>
      <c r="K66" s="79" t="n">
        <v>6.917</v>
      </c>
      <c r="L66" s="79" t="n">
        <v>17807.65</v>
      </c>
      <c r="M66" s="79" t="n">
        <v>4.55</v>
      </c>
      <c r="N66" s="97">
        <f>K66-I66</f>
        <v/>
      </c>
      <c r="O66" s="79" t="n">
        <v>23.37</v>
      </c>
      <c r="P66" s="79" t="n">
        <v>2.598</v>
      </c>
      <c r="Q66" s="97">
        <f>K66-P66</f>
        <v/>
      </c>
      <c r="R66" s="79" t="n">
        <v>99.61499999999999</v>
      </c>
      <c r="S66" s="98">
        <f>(O66*T66)</f>
        <v/>
      </c>
      <c r="T66" s="79" t="n">
        <v>3.78</v>
      </c>
      <c r="U66" s="80" t="n">
        <v>31229.2</v>
      </c>
      <c r="V66" s="80" t="n">
        <v>28.43</v>
      </c>
      <c r="W66" s="97">
        <f>U66/V66</f>
        <v/>
      </c>
      <c r="X66" s="97">
        <f>(W66/U66)*100</f>
        <v/>
      </c>
      <c r="Y66" s="80" t="n">
        <v>9902</v>
      </c>
      <c r="Z66" s="79" t="n">
        <v>25.6</v>
      </c>
      <c r="AA66" s="97">
        <f>Y66/Z66</f>
        <v/>
      </c>
      <c r="AB66" s="97">
        <f>(AA66/Y66)*100</f>
        <v/>
      </c>
    </row>
    <row r="67">
      <c r="A67" s="92" t="n">
        <v>66</v>
      </c>
      <c r="B67" s="93" t="n">
        <v>44658</v>
      </c>
      <c r="C67" s="94" t="n">
        <v>27132282.54</v>
      </c>
      <c r="D67" s="95">
        <f>C67/E67</f>
        <v/>
      </c>
      <c r="E67" s="80" t="n">
        <v>75.913</v>
      </c>
      <c r="F67" s="95">
        <f>D67/100000</f>
        <v/>
      </c>
      <c r="G67" s="95">
        <f>(F67/DataSheet!$C$9*100)</f>
        <v/>
      </c>
      <c r="H67" s="95">
        <f>K67/I67</f>
        <v/>
      </c>
      <c r="I67" s="96">
        <f>(J67/L67)*100</f>
        <v/>
      </c>
      <c r="J67" s="97">
        <f>L67/O67</f>
        <v/>
      </c>
      <c r="K67" s="79" t="n">
        <v>6.914</v>
      </c>
      <c r="L67" s="79" t="n">
        <v>17639.55</v>
      </c>
      <c r="M67" s="79" t="n">
        <v>4.51</v>
      </c>
      <c r="N67" s="97">
        <f>K67-I67</f>
        <v/>
      </c>
      <c r="O67" s="79" t="n">
        <v>23.15</v>
      </c>
      <c r="P67" s="79" t="n">
        <v>2.665</v>
      </c>
      <c r="Q67" s="97">
        <f>K67-P67</f>
        <v/>
      </c>
      <c r="R67" s="79" t="n">
        <v>99.76000000000001</v>
      </c>
      <c r="S67" s="98">
        <f>(O67*T67)</f>
        <v/>
      </c>
      <c r="T67" s="79" t="n">
        <v>3.87</v>
      </c>
      <c r="U67" s="80" t="n">
        <v>30911.3</v>
      </c>
      <c r="V67" s="80" t="n">
        <v>28.18</v>
      </c>
      <c r="W67" s="97">
        <f>U67/V67</f>
        <v/>
      </c>
      <c r="X67" s="97">
        <f>(W67/U67)*100</f>
        <v/>
      </c>
      <c r="Y67" s="80" t="n">
        <v>9859.200000000001</v>
      </c>
      <c r="Z67" s="79" t="n">
        <v>25.61</v>
      </c>
      <c r="AA67" s="97">
        <f>Y67/Z67</f>
        <v/>
      </c>
      <c r="AB67" s="97">
        <f>(AA67/Y67)*100</f>
        <v/>
      </c>
    </row>
    <row r="68">
      <c r="A68" s="92" t="n">
        <v>67</v>
      </c>
      <c r="B68" s="93" t="n">
        <v>44659</v>
      </c>
      <c r="C68" s="94" t="n">
        <v>27417388.1</v>
      </c>
      <c r="D68" s="95">
        <f>C68/E68</f>
        <v/>
      </c>
      <c r="E68" s="80" t="n">
        <v>75.95999999999999</v>
      </c>
      <c r="F68" s="95">
        <f>D68/100000</f>
        <v/>
      </c>
      <c r="G68" s="95">
        <f>(F68/DataSheet!$C$9*100)</f>
        <v/>
      </c>
      <c r="H68" s="95">
        <f>K68/I68</f>
        <v/>
      </c>
      <c r="I68" s="96">
        <f>(J68/L68)*100</f>
        <v/>
      </c>
      <c r="J68" s="97">
        <f>L68/O68</f>
        <v/>
      </c>
      <c r="K68" s="79" t="n">
        <v>7.119</v>
      </c>
      <c r="L68" s="79" t="n">
        <v>17784.35</v>
      </c>
      <c r="M68" s="79" t="n">
        <v>4.54</v>
      </c>
      <c r="N68" s="97">
        <f>K68-I68</f>
        <v/>
      </c>
      <c r="O68" s="79" t="n">
        <v>23.34</v>
      </c>
      <c r="P68" s="79" t="n">
        <v>2.704</v>
      </c>
      <c r="Q68" s="97">
        <f>K68-P68</f>
        <v/>
      </c>
      <c r="R68" s="79" t="n">
        <v>99.753</v>
      </c>
      <c r="S68" s="98">
        <f>(O68*T68)</f>
        <v/>
      </c>
      <c r="T68" s="79" t="n">
        <v>3.98</v>
      </c>
      <c r="U68" s="80" t="n">
        <v>31214.2</v>
      </c>
      <c r="V68" s="80" t="n">
        <v>28.44</v>
      </c>
      <c r="W68" s="97">
        <f>U68/V68</f>
        <v/>
      </c>
      <c r="X68" s="97">
        <f>(W68/U68)*100</f>
        <v/>
      </c>
      <c r="Y68" s="80" t="n">
        <v>9934.75</v>
      </c>
      <c r="Z68" s="79" t="n">
        <v>25.81</v>
      </c>
      <c r="AA68" s="97">
        <f>Y68/Z68</f>
        <v/>
      </c>
      <c r="AB68" s="97">
        <f>(AA68/Y68)*100</f>
        <v/>
      </c>
    </row>
    <row r="69">
      <c r="A69" s="92" t="n">
        <v>68</v>
      </c>
      <c r="B69" s="93" t="n">
        <v>44662</v>
      </c>
      <c r="C69" s="94" t="n">
        <v>27523830.15</v>
      </c>
      <c r="D69" s="95">
        <f>C69/E69</f>
        <v/>
      </c>
      <c r="E69" s="80" t="n">
        <v>75.836</v>
      </c>
      <c r="F69" s="95">
        <f>D69/100000</f>
        <v/>
      </c>
      <c r="G69" s="95">
        <f>(F69/DataSheet!$C$9*100)</f>
        <v/>
      </c>
      <c r="H69" s="95">
        <f>K69/I69</f>
        <v/>
      </c>
      <c r="I69" s="96">
        <f>(J69/L69)*100</f>
        <v/>
      </c>
      <c r="J69" s="97">
        <f>L69/O69</f>
        <v/>
      </c>
      <c r="K69" s="79" t="n">
        <v>7.149</v>
      </c>
      <c r="L69" s="79" t="n">
        <v>17674.95</v>
      </c>
      <c r="M69" s="79" t="n">
        <v>4.52</v>
      </c>
      <c r="N69" s="97">
        <f>K69-I69</f>
        <v/>
      </c>
      <c r="O69" s="79" t="n">
        <v>23.2</v>
      </c>
      <c r="P69" s="79" t="n">
        <v>2.774</v>
      </c>
      <c r="Q69" s="97">
        <f>K69-P69</f>
        <v/>
      </c>
      <c r="R69" s="79" t="n">
        <v>99.92400000000001</v>
      </c>
      <c r="S69" s="98">
        <f>(O69*T69)</f>
        <v/>
      </c>
      <c r="T69" s="79" t="n">
        <v>4</v>
      </c>
      <c r="U69" s="80" t="n">
        <v>31408.15</v>
      </c>
      <c r="V69" s="80" t="n">
        <v>28.64</v>
      </c>
      <c r="W69" s="97">
        <f>U69/V69</f>
        <v/>
      </c>
      <c r="X69" s="97">
        <f>(W69/U69)*100</f>
        <v/>
      </c>
      <c r="Y69" s="80" t="n">
        <v>9966.549999999999</v>
      </c>
      <c r="Z69" s="79" t="n">
        <v>25.85</v>
      </c>
      <c r="AA69" s="97">
        <f>Y69/Z69</f>
        <v/>
      </c>
      <c r="AB69" s="97">
        <f>(AA69/Y69)*100</f>
        <v/>
      </c>
    </row>
    <row r="70">
      <c r="A70" s="92" t="n">
        <v>69</v>
      </c>
      <c r="B70" s="93" t="n">
        <v>44663</v>
      </c>
      <c r="C70" s="94" t="n">
        <v>27207297.96</v>
      </c>
      <c r="D70" s="95">
        <f>C70/E70</f>
        <v/>
      </c>
      <c r="E70" s="80" t="n">
        <v>76.08199999999999</v>
      </c>
      <c r="F70" s="95">
        <f>D70/100000</f>
        <v/>
      </c>
      <c r="G70" s="95">
        <f>(F70/DataSheet!$C$9*100)</f>
        <v/>
      </c>
      <c r="H70" s="95">
        <f>K70/I70</f>
        <v/>
      </c>
      <c r="I70" s="96">
        <f>(J70/L70)*100</f>
        <v/>
      </c>
      <c r="J70" s="97">
        <f>L70/O70</f>
        <v/>
      </c>
      <c r="K70" s="79" t="n">
        <v>7.189</v>
      </c>
      <c r="L70" s="79" t="n">
        <v>17530.3</v>
      </c>
      <c r="M70" s="79" t="n">
        <v>4.48</v>
      </c>
      <c r="N70" s="97">
        <f>K70-I70</f>
        <v/>
      </c>
      <c r="O70" s="79" t="n">
        <v>23.01</v>
      </c>
      <c r="P70" s="79" t="n">
        <v>2.727</v>
      </c>
      <c r="Q70" s="97">
        <f>K70-P70</f>
        <v/>
      </c>
      <c r="R70" s="79" t="n">
        <v>100.292</v>
      </c>
      <c r="S70" s="98">
        <f>(O70*T70)</f>
        <v/>
      </c>
      <c r="T70" s="79" t="n">
        <v>3.98</v>
      </c>
      <c r="U70" s="80" t="n">
        <v>30804.9</v>
      </c>
      <c r="V70" s="80" t="n">
        <v>28.12</v>
      </c>
      <c r="W70" s="97">
        <f>U70/V70</f>
        <v/>
      </c>
      <c r="X70" s="97">
        <f>(W70/U70)*100</f>
        <v/>
      </c>
      <c r="Y70" s="80" t="n">
        <v>9825.200000000001</v>
      </c>
      <c r="Z70" s="79" t="n">
        <v>25.48</v>
      </c>
      <c r="AA70" s="97">
        <f>Y70/Z70</f>
        <v/>
      </c>
      <c r="AB70" s="97">
        <f>(AA70/Y70)*100</f>
        <v/>
      </c>
    </row>
    <row r="71">
      <c r="A71" s="92" t="n">
        <v>70</v>
      </c>
      <c r="B71" s="93" t="n">
        <v>44664</v>
      </c>
      <c r="C71" s="94" t="n">
        <v>27212168.14</v>
      </c>
      <c r="D71" s="95">
        <f>C71/E71</f>
        <v/>
      </c>
      <c r="E71" s="80" t="n">
        <v>76.122</v>
      </c>
      <c r="F71" s="95">
        <f>D71/100000</f>
        <v/>
      </c>
      <c r="G71" s="95">
        <f>(F71/DataSheet!$C$9*100)</f>
        <v/>
      </c>
      <c r="H71" s="95">
        <f>K71/I71</f>
        <v/>
      </c>
      <c r="I71" s="96">
        <f>(J71/L71)*100</f>
        <v/>
      </c>
      <c r="J71" s="97">
        <f>L71/O71</f>
        <v/>
      </c>
      <c r="K71" s="79" t="n">
        <v>7.215</v>
      </c>
      <c r="L71" s="79" t="n">
        <v>17475.65</v>
      </c>
      <c r="M71" s="79" t="n">
        <v>4.46</v>
      </c>
      <c r="N71" s="97">
        <f>K71-I71</f>
        <v/>
      </c>
      <c r="O71" s="79" t="n">
        <v>22.92</v>
      </c>
      <c r="P71" s="79" t="n">
        <v>2.703</v>
      </c>
      <c r="Q71" s="97">
        <f>K71-P71</f>
        <v/>
      </c>
      <c r="R71" s="79" t="n">
        <v>99.913</v>
      </c>
      <c r="S71" s="98">
        <f>(O71*T71)</f>
        <v/>
      </c>
      <c r="T71" s="79" t="n">
        <v>3.99</v>
      </c>
      <c r="U71" s="80" t="n">
        <v>30796.3</v>
      </c>
      <c r="V71" s="80" t="n">
        <v>28.1</v>
      </c>
      <c r="W71" s="97">
        <f>U71/V71</f>
        <v/>
      </c>
      <c r="X71" s="97">
        <f>(W71/U71)*100</f>
        <v/>
      </c>
      <c r="Y71" s="80" t="n">
        <v>9857.950000000001</v>
      </c>
      <c r="Z71" s="79" t="n">
        <v>25.57</v>
      </c>
      <c r="AA71" s="97">
        <f>Y71/Z71</f>
        <v/>
      </c>
      <c r="AB71" s="97">
        <f>(AA71/Y71)*100</f>
        <v/>
      </c>
    </row>
    <row r="72">
      <c r="A72" s="92" t="n">
        <v>71</v>
      </c>
      <c r="B72" s="93" t="n">
        <v>44669</v>
      </c>
      <c r="C72" s="94" t="n">
        <v>26948689.23</v>
      </c>
      <c r="D72" s="95">
        <f>C72/E72</f>
        <v/>
      </c>
      <c r="E72" s="80" t="n">
        <v>76.28400000000001</v>
      </c>
      <c r="F72" s="95">
        <f>D72/100000</f>
        <v/>
      </c>
      <c r="G72" s="95">
        <f>(F72/DataSheet!$C$9*100)</f>
        <v/>
      </c>
      <c r="H72" s="95">
        <f>K72/I72</f>
        <v/>
      </c>
      <c r="I72" s="96">
        <f>(J72/L72)*100</f>
        <v/>
      </c>
      <c r="J72" s="97">
        <f>L72/O72</f>
        <v/>
      </c>
      <c r="K72" s="79" t="n">
        <v>7.153</v>
      </c>
      <c r="L72" s="79" t="n">
        <v>17173.65</v>
      </c>
      <c r="M72" s="79" t="n">
        <v>4.39</v>
      </c>
      <c r="N72" s="97">
        <f>K72-I72</f>
        <v/>
      </c>
      <c r="O72" s="79" t="n">
        <v>22.53</v>
      </c>
      <c r="P72" s="79" t="n">
        <v>2.857</v>
      </c>
      <c r="Q72" s="97">
        <f>K72-P72</f>
        <v/>
      </c>
      <c r="R72" s="79" t="n">
        <v>100.766</v>
      </c>
      <c r="S72" s="98">
        <f>(O72*T72)</f>
        <v/>
      </c>
      <c r="T72" s="79" t="n">
        <v>4.01</v>
      </c>
      <c r="U72" s="80" t="n">
        <v>30473.55</v>
      </c>
      <c r="V72" s="80" t="n">
        <v>27.78</v>
      </c>
      <c r="W72" s="97">
        <f>U72/V72</f>
        <v/>
      </c>
      <c r="X72" s="97">
        <f>(W72/U72)*100</f>
        <v/>
      </c>
      <c r="Y72" s="80" t="n">
        <v>9770.799999999999</v>
      </c>
      <c r="Z72" s="79" t="n">
        <v>25.35</v>
      </c>
      <c r="AA72" s="97">
        <f>Y72/Z72</f>
        <v/>
      </c>
      <c r="AB72" s="97">
        <f>(AA72/Y72)*100</f>
        <v/>
      </c>
    </row>
    <row r="73">
      <c r="A73" s="92" t="n">
        <v>72</v>
      </c>
      <c r="B73" s="93" t="n">
        <v>44670</v>
      </c>
      <c r="C73" s="94" t="n">
        <v>26646222.81</v>
      </c>
      <c r="D73" s="95">
        <f>C73/E73</f>
        <v/>
      </c>
      <c r="E73" s="80" t="n">
        <v>76.44499999999999</v>
      </c>
      <c r="F73" s="95">
        <f>D73/100000</f>
        <v/>
      </c>
      <c r="G73" s="95">
        <f>(F73/DataSheet!$C$9*100)</f>
        <v/>
      </c>
      <c r="H73" s="95">
        <f>K73/I73</f>
        <v/>
      </c>
      <c r="I73" s="96">
        <f>(J73/L73)*100</f>
        <v/>
      </c>
      <c r="J73" s="97">
        <f>L73/O73</f>
        <v/>
      </c>
      <c r="K73" s="79" t="n">
        <v>7.151</v>
      </c>
      <c r="L73" s="79" t="n">
        <v>16958.65</v>
      </c>
      <c r="M73" s="79" t="n">
        <v>4.33</v>
      </c>
      <c r="N73" s="97">
        <f>K73-I73</f>
        <v/>
      </c>
      <c r="O73" s="79" t="n">
        <v>22.1</v>
      </c>
      <c r="P73" s="79" t="n">
        <v>2.94</v>
      </c>
      <c r="Q73" s="97">
        <f>K73-P73</f>
        <v/>
      </c>
      <c r="R73" s="79" t="n">
        <v>100.964</v>
      </c>
      <c r="S73" s="98">
        <f>(O73*T73)</f>
        <v/>
      </c>
      <c r="T73" s="79" t="n">
        <v>3.99</v>
      </c>
      <c r="U73" s="80" t="n">
        <v>30055</v>
      </c>
      <c r="V73" s="80" t="n">
        <v>27.44</v>
      </c>
      <c r="W73" s="97">
        <f>U73/V73</f>
        <v/>
      </c>
      <c r="X73" s="97">
        <f>(W73/U73)*100</f>
        <v/>
      </c>
      <c r="Y73" s="80" t="n">
        <v>9620.700000000001</v>
      </c>
      <c r="Z73" s="79" t="n">
        <v>24.88</v>
      </c>
      <c r="AA73" s="97">
        <f>Y73/Z73</f>
        <v/>
      </c>
      <c r="AB73" s="97">
        <f>(AA73/Y73)*100</f>
        <v/>
      </c>
    </row>
    <row r="74">
      <c r="A74" s="92" t="n">
        <v>73</v>
      </c>
      <c r="B74" s="93" t="n">
        <v>44671</v>
      </c>
      <c r="C74" s="94" t="n">
        <v>26831582.73</v>
      </c>
      <c r="D74" s="95">
        <f>C74/E74</f>
        <v/>
      </c>
      <c r="E74" s="80" t="n">
        <v>76.26900000000001</v>
      </c>
      <c r="F74" s="95">
        <f>D74/100000</f>
        <v/>
      </c>
      <c r="G74" s="95">
        <f>(F74/DataSheet!$C$9*100)</f>
        <v/>
      </c>
      <c r="H74" s="95">
        <f>K74/I74</f>
        <v/>
      </c>
      <c r="I74" s="96">
        <f>(J74/L74)*100</f>
        <v/>
      </c>
      <c r="J74" s="97">
        <f>L74/O74</f>
        <v/>
      </c>
      <c r="K74" s="79" t="n">
        <v>7.105</v>
      </c>
      <c r="L74" s="79" t="n">
        <v>17136.55</v>
      </c>
      <c r="M74" s="79" t="n">
        <v>4.38</v>
      </c>
      <c r="N74" s="97">
        <f>K74-I74</f>
        <v/>
      </c>
      <c r="O74" s="79" t="n">
        <v>22.33</v>
      </c>
      <c r="P74" s="79" t="n">
        <v>2.834</v>
      </c>
      <c r="Q74" s="97">
        <f>K74-P74</f>
        <v/>
      </c>
      <c r="R74" s="79" t="n">
        <v>100.417</v>
      </c>
      <c r="S74" s="98">
        <f>(O74*T74)</f>
        <v/>
      </c>
      <c r="T74" s="79" t="n">
        <v>3.97</v>
      </c>
      <c r="U74" s="80" t="n">
        <v>30279.25</v>
      </c>
      <c r="V74" s="80" t="n">
        <v>27.62</v>
      </c>
      <c r="W74" s="97">
        <f>U74/V74</f>
        <v/>
      </c>
      <c r="X74" s="97">
        <f>(W74/U74)*100</f>
        <v/>
      </c>
      <c r="Y74" s="80" t="n">
        <v>9622.75</v>
      </c>
      <c r="Z74" s="79" t="n">
        <v>24.88</v>
      </c>
      <c r="AA74" s="97">
        <f>Y74/Z74</f>
        <v/>
      </c>
      <c r="AB74" s="97">
        <f>(AA74/Y74)*100</f>
        <v/>
      </c>
    </row>
    <row r="75">
      <c r="A75" s="92" t="n">
        <v>74</v>
      </c>
      <c r="B75" s="93" t="n">
        <v>44672</v>
      </c>
      <c r="C75" s="94" t="n">
        <v>27186575.2</v>
      </c>
      <c r="D75" s="95">
        <f>C75/E75</f>
        <v/>
      </c>
      <c r="E75" s="80" t="n">
        <v>76.262</v>
      </c>
      <c r="F75" s="95">
        <f>D75/100000</f>
        <v/>
      </c>
      <c r="G75" s="95">
        <f>(F75/DataSheet!$C$9*100)</f>
        <v/>
      </c>
      <c r="H75" s="95">
        <f>K75/I75</f>
        <v/>
      </c>
      <c r="I75" s="96">
        <f>(J75/L75)*100</f>
        <v/>
      </c>
      <c r="J75" s="97">
        <f>L75/O75</f>
        <v/>
      </c>
      <c r="K75" s="79" t="n">
        <v>7.144</v>
      </c>
      <c r="L75" s="79" t="n">
        <v>17392.6</v>
      </c>
      <c r="M75" s="79" t="n">
        <v>4.44</v>
      </c>
      <c r="N75" s="97">
        <f>K75-I75</f>
        <v/>
      </c>
      <c r="O75" s="79" t="n">
        <v>22.67</v>
      </c>
      <c r="P75" s="79" t="n">
        <v>2.908</v>
      </c>
      <c r="Q75" s="97">
        <f>K75-P75</f>
        <v/>
      </c>
      <c r="R75" s="79" t="n">
        <v>100.614</v>
      </c>
      <c r="S75" s="98">
        <f>(O75*T75)</f>
        <v/>
      </c>
      <c r="T75" s="79" t="n">
        <v>3.97</v>
      </c>
      <c r="U75" s="80" t="n">
        <v>30603.3</v>
      </c>
      <c r="V75" s="80" t="n">
        <v>27.9</v>
      </c>
      <c r="W75" s="97">
        <f>U75/V75</f>
        <v/>
      </c>
      <c r="X75" s="97">
        <f>(W75/U75)*100</f>
        <v/>
      </c>
      <c r="Y75" s="80" t="n">
        <v>9744.85</v>
      </c>
      <c r="Z75" s="79" t="n">
        <v>25.21</v>
      </c>
      <c r="AA75" s="97">
        <f>Y75/Z75</f>
        <v/>
      </c>
      <c r="AB75" s="97">
        <f>(AA75/Y75)*100</f>
        <v/>
      </c>
    </row>
    <row r="76">
      <c r="A76" s="92" t="n">
        <v>75</v>
      </c>
      <c r="B76" s="93" t="n">
        <v>44673</v>
      </c>
      <c r="C76" s="94" t="n">
        <v>26970102.96</v>
      </c>
      <c r="D76" s="95">
        <f>C76/E76</f>
        <v/>
      </c>
      <c r="E76" s="80" t="n">
        <v>76.47499999999999</v>
      </c>
      <c r="F76" s="95">
        <f>D76/100000</f>
        <v/>
      </c>
      <c r="G76" s="95">
        <f>(F76/DataSheet!$C$9*100)</f>
        <v/>
      </c>
      <c r="H76" s="95">
        <f>K76/I76</f>
        <v/>
      </c>
      <c r="I76" s="96">
        <f>(J76/L76)*100</f>
        <v/>
      </c>
      <c r="J76" s="97">
        <f>L76/O76</f>
        <v/>
      </c>
      <c r="K76" s="79" t="n">
        <v>7.167</v>
      </c>
      <c r="L76" s="79" t="n">
        <v>17171.95</v>
      </c>
      <c r="M76" s="79" t="n">
        <v>4.39</v>
      </c>
      <c r="N76" s="97">
        <f>K76-I76</f>
        <v/>
      </c>
      <c r="O76" s="79" t="n">
        <v>22.38</v>
      </c>
      <c r="P76" s="79" t="n">
        <v>2.905</v>
      </c>
      <c r="Q76" s="97">
        <f>K76-P76</f>
        <v/>
      </c>
      <c r="R76" s="79" t="n">
        <v>101.213</v>
      </c>
      <c r="S76" s="98">
        <f>(O76*T76)</f>
        <v/>
      </c>
      <c r="T76" s="79" t="n">
        <v>3.98</v>
      </c>
      <c r="U76" s="80" t="n">
        <v>30315.85</v>
      </c>
      <c r="V76" s="80" t="n">
        <v>27.66</v>
      </c>
      <c r="W76" s="97">
        <f>U76/V76</f>
        <v/>
      </c>
      <c r="X76" s="97">
        <f>(W76/U76)*100</f>
        <v/>
      </c>
      <c r="Y76" s="80" t="n">
        <v>9720.299999999999</v>
      </c>
      <c r="Z76" s="79" t="n">
        <v>25.11</v>
      </c>
      <c r="AA76" s="97">
        <f>Y76/Z76</f>
        <v/>
      </c>
      <c r="AB76" s="97">
        <f>(AA76/Y76)*100</f>
        <v/>
      </c>
    </row>
    <row r="77">
      <c r="A77" s="92" t="n">
        <v>76</v>
      </c>
      <c r="B77" s="93" t="n">
        <v>44676</v>
      </c>
      <c r="C77" s="94" t="n">
        <v>26531107.77</v>
      </c>
      <c r="D77" s="95">
        <f>C77/E77</f>
        <v/>
      </c>
      <c r="E77" s="80" t="n">
        <v>76.748</v>
      </c>
      <c r="F77" s="95">
        <f>D77/100000</f>
        <v/>
      </c>
      <c r="G77" s="95">
        <f>(F77/DataSheet!$C$9*100)</f>
        <v/>
      </c>
      <c r="H77" s="95">
        <f>K77/I77</f>
        <v/>
      </c>
      <c r="I77" s="96">
        <f>(J77/L77)*100</f>
        <v/>
      </c>
      <c r="J77" s="97">
        <f>L77/O77</f>
        <v/>
      </c>
      <c r="K77" s="79" t="n">
        <v>7.043</v>
      </c>
      <c r="L77" s="79" t="n">
        <v>16953.95</v>
      </c>
      <c r="M77" s="79" t="n">
        <v>4.33</v>
      </c>
      <c r="N77" s="97">
        <f>K77-I77</f>
        <v/>
      </c>
      <c r="O77" s="79" t="n">
        <v>22.03</v>
      </c>
      <c r="P77" s="79" t="n">
        <v>2.818</v>
      </c>
      <c r="Q77" s="97">
        <f>K77-P77</f>
        <v/>
      </c>
      <c r="R77" s="79" t="n">
        <v>101.769</v>
      </c>
      <c r="S77" s="98">
        <f>(O77*T77)</f>
        <v/>
      </c>
      <c r="T77" s="79" t="n">
        <v>3.96</v>
      </c>
      <c r="U77" s="80" t="n">
        <v>29733.1</v>
      </c>
      <c r="V77" s="80" t="n">
        <v>27.13</v>
      </c>
      <c r="W77" s="97">
        <f>U77/V77</f>
        <v/>
      </c>
      <c r="X77" s="97">
        <f>(W77/U77)*100</f>
        <v/>
      </c>
      <c r="Y77" s="80" t="n">
        <v>9526.049999999999</v>
      </c>
      <c r="Z77" s="79" t="n">
        <v>24.59</v>
      </c>
      <c r="AA77" s="97">
        <f>Y77/Z77</f>
        <v/>
      </c>
      <c r="AB77" s="97">
        <f>(AA77/Y77)*100</f>
        <v/>
      </c>
    </row>
    <row r="78">
      <c r="A78" s="92" t="n">
        <v>77</v>
      </c>
      <c r="B78" s="93" t="n">
        <v>44677</v>
      </c>
      <c r="C78" s="94" t="n">
        <v>26957024.62</v>
      </c>
      <c r="D78" s="95">
        <f>C78/E78</f>
        <v/>
      </c>
      <c r="E78" s="80" t="n">
        <v>76.68000000000001</v>
      </c>
      <c r="F78" s="95">
        <f>D78/100000</f>
        <v/>
      </c>
      <c r="G78" s="95">
        <f>(F78/DataSheet!$C$9*100)</f>
        <v/>
      </c>
      <c r="H78" s="95">
        <f>K78/I78</f>
        <v/>
      </c>
      <c r="I78" s="96">
        <f>(J78/L78)*100</f>
        <v/>
      </c>
      <c r="J78" s="97">
        <f>L78/O78</f>
        <v/>
      </c>
      <c r="K78" s="79" t="n">
        <v>7.053</v>
      </c>
      <c r="L78" s="79" t="n">
        <v>17200.8</v>
      </c>
      <c r="M78" s="79" t="n">
        <v>4.39</v>
      </c>
      <c r="N78" s="97">
        <f>K78-I78</f>
        <v/>
      </c>
      <c r="O78" s="79" t="n">
        <v>22.17</v>
      </c>
      <c r="P78" s="79" t="n">
        <v>2.728</v>
      </c>
      <c r="Q78" s="97">
        <f>K78-P78</f>
        <v/>
      </c>
      <c r="R78" s="79" t="n">
        <v>102.318</v>
      </c>
      <c r="S78" s="98">
        <f>(O78*T78)</f>
        <v/>
      </c>
      <c r="T78" s="79" t="n">
        <v>3.98</v>
      </c>
      <c r="U78" s="80" t="n">
        <v>30215.35</v>
      </c>
      <c r="V78" s="80" t="n">
        <v>27.51</v>
      </c>
      <c r="W78" s="97">
        <f>U78/V78</f>
        <v/>
      </c>
      <c r="X78" s="97">
        <f>(W78/U78)*100</f>
        <v/>
      </c>
      <c r="Y78" s="80" t="n">
        <v>9623.75</v>
      </c>
      <c r="Z78" s="79" t="n">
        <v>24.84</v>
      </c>
      <c r="AA78" s="97">
        <f>Y78/Z78</f>
        <v/>
      </c>
      <c r="AB78" s="97">
        <f>(AA78/Y78)*100</f>
        <v/>
      </c>
    </row>
    <row r="79">
      <c r="A79" s="92" t="n">
        <v>78</v>
      </c>
      <c r="B79" s="93" t="n">
        <v>44678</v>
      </c>
      <c r="C79" s="94" t="n">
        <v>26703134.67</v>
      </c>
      <c r="D79" s="95">
        <f>C79/E79</f>
        <v/>
      </c>
      <c r="E79" s="80" t="n">
        <v>76.63200000000001</v>
      </c>
      <c r="F79" s="95">
        <f>D79/100000</f>
        <v/>
      </c>
      <c r="G79" s="95">
        <f>(F79/DataSheet!$C$9*100)</f>
        <v/>
      </c>
      <c r="H79" s="95">
        <f>K79/I79</f>
        <v/>
      </c>
      <c r="I79" s="96">
        <f>(J79/L79)*100</f>
        <v/>
      </c>
      <c r="J79" s="97">
        <f>L79/O79</f>
        <v/>
      </c>
      <c r="K79" s="79" t="n">
        <v>7.083</v>
      </c>
      <c r="L79" s="79" t="n">
        <v>17038.4</v>
      </c>
      <c r="M79" s="79" t="n">
        <v>4.35</v>
      </c>
      <c r="N79" s="97">
        <f>K79-I79</f>
        <v/>
      </c>
      <c r="O79" s="79" t="n">
        <v>21.96</v>
      </c>
      <c r="P79" s="79" t="n">
        <v>2.826</v>
      </c>
      <c r="Q79" s="97">
        <f>K79-P79</f>
        <v/>
      </c>
      <c r="R79" s="79" t="n">
        <v>102.963</v>
      </c>
      <c r="S79" s="98">
        <f>(O79*T79)</f>
        <v/>
      </c>
      <c r="T79" s="79" t="n">
        <v>4</v>
      </c>
      <c r="U79" s="80" t="n">
        <v>29954.3</v>
      </c>
      <c r="V79" s="80" t="n">
        <v>27.28</v>
      </c>
      <c r="W79" s="97">
        <f>U79/V79</f>
        <v/>
      </c>
      <c r="X79" s="97">
        <f>(W79/U79)*100</f>
        <v/>
      </c>
      <c r="Y79" s="80" t="n">
        <v>9568.549999999999</v>
      </c>
      <c r="Z79" s="79" t="n">
        <v>24.64</v>
      </c>
      <c r="AA79" s="97">
        <f>Y79/Z79</f>
        <v/>
      </c>
      <c r="AB79" s="97">
        <f>(AA79/Y79)*100</f>
        <v/>
      </c>
    </row>
    <row r="80">
      <c r="A80" s="92" t="n">
        <v>79</v>
      </c>
      <c r="B80" s="93" t="n">
        <v>44679</v>
      </c>
      <c r="C80" s="94" t="n">
        <v>26954051.28</v>
      </c>
      <c r="D80" s="95">
        <f>C80/E80</f>
        <v/>
      </c>
      <c r="E80" s="80" t="n">
        <v>76.67</v>
      </c>
      <c r="F80" s="95">
        <f>D80/100000</f>
        <v/>
      </c>
      <c r="G80" s="95">
        <f>(F80/DataSheet!$C$9*100)</f>
        <v/>
      </c>
      <c r="H80" s="95">
        <f>K80/I80</f>
        <v/>
      </c>
      <c r="I80" s="96">
        <f>(J80/L80)*100</f>
        <v/>
      </c>
      <c r="J80" s="97">
        <f>L80/O80</f>
        <v/>
      </c>
      <c r="K80" s="79" t="n">
        <v>7.155</v>
      </c>
      <c r="L80" s="79" t="n">
        <v>17245.05</v>
      </c>
      <c r="M80" s="79" t="n">
        <v>4.41</v>
      </c>
      <c r="N80" s="97">
        <f>K80-I80</f>
        <v/>
      </c>
      <c r="O80" s="79" t="n">
        <v>22.2</v>
      </c>
      <c r="P80" s="79" t="n">
        <v>2.832</v>
      </c>
      <c r="Q80" s="97">
        <f>K80-P80</f>
        <v/>
      </c>
      <c r="R80" s="79" t="n">
        <v>103.659</v>
      </c>
      <c r="S80" s="98">
        <f>(O80*T80)</f>
        <v/>
      </c>
      <c r="T80" s="79" t="n">
        <v>4.01</v>
      </c>
      <c r="U80" s="80" t="n">
        <v>30134.6</v>
      </c>
      <c r="V80" s="80" t="n">
        <v>27.4</v>
      </c>
      <c r="W80" s="97">
        <f>U80/V80</f>
        <v/>
      </c>
      <c r="X80" s="97">
        <f>(W80/U80)*100</f>
        <v/>
      </c>
      <c r="Y80" s="80" t="n">
        <v>9593.75</v>
      </c>
      <c r="Z80" s="79" t="n">
        <v>24.7</v>
      </c>
      <c r="AA80" s="97">
        <f>Y80/Z80</f>
        <v/>
      </c>
      <c r="AB80" s="97">
        <f>(AA80/Y80)*100</f>
        <v/>
      </c>
    </row>
    <row r="81">
      <c r="A81" s="92" t="n">
        <v>80</v>
      </c>
      <c r="B81" s="93" t="n">
        <v>44680</v>
      </c>
      <c r="C81" s="94" t="n">
        <v>26700754.77</v>
      </c>
      <c r="D81" s="95">
        <f>C81/E81</f>
        <v/>
      </c>
      <c r="E81" s="80" t="n">
        <v>76.535</v>
      </c>
      <c r="F81" s="95">
        <f>D81/100000</f>
        <v/>
      </c>
      <c r="G81" s="95">
        <f>(F81/DataSheet!$C$9*100)</f>
        <v/>
      </c>
      <c r="H81" s="95">
        <f>K81/I81</f>
        <v/>
      </c>
      <c r="I81" s="96">
        <f>(J81/L81)*100</f>
        <v/>
      </c>
      <c r="J81" s="97">
        <f>L81/O81</f>
        <v/>
      </c>
      <c r="K81" s="79" t="n">
        <v>7.139</v>
      </c>
      <c r="L81" s="79" t="n">
        <v>17102.55</v>
      </c>
      <c r="M81" s="79" t="n">
        <v>4.37</v>
      </c>
      <c r="N81" s="97">
        <f>K81-I81</f>
        <v/>
      </c>
      <c r="O81" s="79" t="n">
        <v>22.01</v>
      </c>
      <c r="P81" s="79" t="n">
        <v>2.938</v>
      </c>
      <c r="Q81" s="97">
        <f>K81-P81</f>
        <v/>
      </c>
      <c r="R81" s="79" t="n">
        <v>102.963</v>
      </c>
      <c r="S81" s="98">
        <f>(O81*T81)</f>
        <v/>
      </c>
      <c r="T81" s="79" t="n">
        <v>4.03</v>
      </c>
      <c r="U81" s="80" t="n">
        <v>29880.35</v>
      </c>
      <c r="V81" s="80" t="n">
        <v>27.11</v>
      </c>
      <c r="W81" s="97">
        <f>U81/V81</f>
        <v/>
      </c>
      <c r="X81" s="97">
        <f>(W81/U81)*100</f>
        <v/>
      </c>
      <c r="Y81" s="80" t="n">
        <v>9493.299999999999</v>
      </c>
      <c r="Z81" s="79" t="n">
        <v>24.46</v>
      </c>
      <c r="AA81" s="97">
        <f>Y81/Z81</f>
        <v/>
      </c>
      <c r="AB81" s="97">
        <f>(AA81/Y81)*100</f>
        <v/>
      </c>
    </row>
    <row r="82">
      <c r="A82" s="92" t="n">
        <v>81</v>
      </c>
      <c r="B82" s="93" t="n">
        <v>44683</v>
      </c>
      <c r="C82" s="94" t="n">
        <v>26590543.35</v>
      </c>
      <c r="D82" s="95">
        <f>C82/E82</f>
        <v/>
      </c>
      <c r="E82" s="80" t="n">
        <v>76.485</v>
      </c>
      <c r="F82" s="95">
        <f>D82/100000</f>
        <v/>
      </c>
      <c r="G82" s="95">
        <f>(F82/DataSheet!$C$9*100)</f>
        <v/>
      </c>
      <c r="H82" s="95">
        <f>K82/I82</f>
        <v/>
      </c>
      <c r="I82" s="96">
        <f>(J82/L82)*100</f>
        <v/>
      </c>
      <c r="J82" s="97">
        <f>L82/O82</f>
        <v/>
      </c>
      <c r="K82" s="79" t="n">
        <v>7.119</v>
      </c>
      <c r="L82" s="79" t="n">
        <v>17069.1</v>
      </c>
      <c r="M82" s="79" t="n">
        <v>4.36</v>
      </c>
      <c r="N82" s="97">
        <f>K82-I82</f>
        <v/>
      </c>
      <c r="O82" s="79" t="n">
        <v>21.87</v>
      </c>
      <c r="P82" s="79" t="n">
        <v>2.977</v>
      </c>
      <c r="Q82" s="97">
        <f>K82-P82</f>
        <v/>
      </c>
      <c r="R82" s="79" t="n">
        <v>103.766</v>
      </c>
      <c r="S82" s="98">
        <f>(O82*T82)</f>
        <v/>
      </c>
      <c r="T82" s="79" t="n">
        <v>4.03</v>
      </c>
      <c r="U82" s="80" t="n">
        <v>29703.4</v>
      </c>
      <c r="V82" s="80" t="n">
        <v>26.85</v>
      </c>
      <c r="W82" s="97">
        <f>U82/V82</f>
        <v/>
      </c>
      <c r="X82" s="97">
        <f>(W82/U82)*100</f>
        <v/>
      </c>
      <c r="Y82" s="80" t="n">
        <v>9397.75</v>
      </c>
      <c r="Z82" s="79" t="n">
        <v>24.25</v>
      </c>
      <c r="AA82" s="97">
        <f>Y82/Z82</f>
        <v/>
      </c>
      <c r="AB82" s="97">
        <f>(AA82/Y82)*100</f>
        <v/>
      </c>
    </row>
    <row r="83">
      <c r="A83" s="92" t="n">
        <v>82</v>
      </c>
      <c r="B83" s="93" t="n">
        <v>44685</v>
      </c>
      <c r="C83" s="94" t="n">
        <v>25965774</v>
      </c>
      <c r="D83" s="95">
        <f>C83/E83</f>
        <v/>
      </c>
      <c r="E83" s="80" t="n">
        <v>76.282</v>
      </c>
      <c r="F83" s="95">
        <f>D83/100000</f>
        <v/>
      </c>
      <c r="G83" s="95">
        <f>(F83/DataSheet!$C$9*100)</f>
        <v/>
      </c>
      <c r="H83" s="95">
        <f>K83/I83</f>
        <v/>
      </c>
      <c r="I83" s="96">
        <f>(J83/L83)*100</f>
        <v/>
      </c>
      <c r="J83" s="97">
        <f>L83/O83</f>
        <v/>
      </c>
      <c r="K83" s="79" t="n">
        <v>7.378</v>
      </c>
      <c r="L83" s="79" t="n">
        <v>16677.6</v>
      </c>
      <c r="M83" s="79" t="n">
        <v>4.26</v>
      </c>
      <c r="N83" s="97">
        <f>K83-I83</f>
        <v/>
      </c>
      <c r="O83" s="79" t="n">
        <v>21.31</v>
      </c>
      <c r="P83" s="79" t="n">
        <v>2.946</v>
      </c>
      <c r="Q83" s="97">
        <f>K83-P83</f>
        <v/>
      </c>
      <c r="R83" s="79" t="n">
        <v>102.594</v>
      </c>
      <c r="S83" s="98">
        <f>(O83*T83)</f>
        <v/>
      </c>
      <c r="T83" s="79" t="n">
        <v>4.37</v>
      </c>
      <c r="U83" s="80" t="n">
        <v>29074.3</v>
      </c>
      <c r="V83" s="80" t="n">
        <v>25.39</v>
      </c>
      <c r="W83" s="97">
        <f>U83/V83</f>
        <v/>
      </c>
      <c r="X83" s="97">
        <f>(W83/U83)*100</f>
        <v/>
      </c>
      <c r="Y83" s="80" t="n">
        <v>9183.4</v>
      </c>
      <c r="Z83" s="79" t="n">
        <v>23.69</v>
      </c>
      <c r="AA83" s="97">
        <f>Y83/Z83</f>
        <v/>
      </c>
      <c r="AB83" s="97">
        <f>(AA83/Y83)*100</f>
        <v/>
      </c>
    </row>
    <row r="84">
      <c r="A84" s="92" t="n">
        <v>83</v>
      </c>
      <c r="B84" s="93" t="n">
        <v>44686</v>
      </c>
      <c r="C84" s="94" t="n">
        <v>25968728.98</v>
      </c>
      <c r="D84" s="95">
        <f>C84/E84</f>
        <v/>
      </c>
      <c r="E84" s="80" t="n">
        <v>76.514</v>
      </c>
      <c r="F84" s="95">
        <f>D84/100000</f>
        <v/>
      </c>
      <c r="G84" s="95">
        <f>(F84/DataSheet!$C$9*100)</f>
        <v/>
      </c>
      <c r="H84" s="95">
        <f>K84/I84</f>
        <v/>
      </c>
      <c r="I84" s="96">
        <f>(J84/L84)*100</f>
        <v/>
      </c>
      <c r="J84" s="97">
        <f>L84/O84</f>
        <v/>
      </c>
      <c r="K84" s="79" t="n">
        <v>7.403</v>
      </c>
      <c r="L84" s="79" t="n">
        <v>16682.65</v>
      </c>
      <c r="M84" s="79" t="n">
        <v>4.26</v>
      </c>
      <c r="N84" s="97">
        <f>K84-I84</f>
        <v/>
      </c>
      <c r="O84" s="79" t="n">
        <v>21.24</v>
      </c>
      <c r="P84" s="79" t="n">
        <v>3.035</v>
      </c>
      <c r="Q84" s="97">
        <f>K84-P84</f>
        <v/>
      </c>
      <c r="R84" s="79" t="n">
        <v>103.802</v>
      </c>
      <c r="S84" s="98">
        <f>(O84*T84)</f>
        <v/>
      </c>
      <c r="T84" s="79" t="n">
        <v>4.58</v>
      </c>
      <c r="U84" s="80" t="n">
        <v>29104.35</v>
      </c>
      <c r="V84" s="80" t="n">
        <v>25.37</v>
      </c>
      <c r="W84" s="97">
        <f>U84/V84</f>
        <v/>
      </c>
      <c r="X84" s="97">
        <f>(W84/U84)*100</f>
        <v/>
      </c>
      <c r="Y84" s="80" t="n">
        <v>9126.700000000001</v>
      </c>
      <c r="Z84" s="79" t="n">
        <v>23.41</v>
      </c>
      <c r="AA84" s="97">
        <f>Y84/Z84</f>
        <v/>
      </c>
      <c r="AB84" s="97">
        <f>(AA84/Y84)*100</f>
        <v/>
      </c>
    </row>
    <row r="85">
      <c r="A85" s="92" t="n">
        <v>84</v>
      </c>
      <c r="B85" s="93" t="n">
        <v>44687</v>
      </c>
      <c r="C85" s="94" t="n">
        <v>25519918.56</v>
      </c>
      <c r="D85" s="95">
        <f>C85/E85</f>
        <v/>
      </c>
      <c r="E85" s="80" t="n">
        <v>76.979</v>
      </c>
      <c r="F85" s="95">
        <f>D85/100000</f>
        <v/>
      </c>
      <c r="G85" s="95">
        <f>(F85/DataSheet!$C$9*100)</f>
        <v/>
      </c>
      <c r="H85" s="95">
        <f>K85/I85</f>
        <v/>
      </c>
      <c r="I85" s="96">
        <f>(J85/L85)*100</f>
        <v/>
      </c>
      <c r="J85" s="97">
        <f>L85/O85</f>
        <v/>
      </c>
      <c r="K85" s="79" t="n">
        <v>7.451</v>
      </c>
      <c r="L85" s="79" t="n">
        <v>16411.25</v>
      </c>
      <c r="M85" s="79" t="n">
        <v>4.19</v>
      </c>
      <c r="N85" s="97">
        <f>K85-I85</f>
        <v/>
      </c>
      <c r="O85" s="79" t="n">
        <v>20.89</v>
      </c>
      <c r="P85" s="79" t="n">
        <v>3.142</v>
      </c>
      <c r="Q85" s="97">
        <f>K85-P85</f>
        <v/>
      </c>
      <c r="R85" s="79" t="n">
        <v>103.694</v>
      </c>
      <c r="S85" s="98">
        <f>(O85*T85)</f>
        <v/>
      </c>
      <c r="T85" s="79" t="n">
        <v>4.58</v>
      </c>
      <c r="U85" s="80" t="n">
        <v>28584.2</v>
      </c>
      <c r="V85" s="80" t="n">
        <v>24.93</v>
      </c>
      <c r="W85" s="97">
        <f>U85/V85</f>
        <v/>
      </c>
      <c r="X85" s="97">
        <f>(W85/U85)*100</f>
        <v/>
      </c>
      <c r="Y85" s="80" t="n">
        <v>8919.450000000001</v>
      </c>
      <c r="Z85" s="79" t="n">
        <v>22.88</v>
      </c>
      <c r="AA85" s="97">
        <f>Y85/Z85</f>
        <v/>
      </c>
      <c r="AB85" s="97">
        <f>(AA85/Y85)*100</f>
        <v/>
      </c>
    </row>
    <row r="86">
      <c r="A86" s="92" t="n">
        <v>85</v>
      </c>
      <c r="B86" s="93" t="n">
        <v>44690</v>
      </c>
      <c r="C86" s="94" t="n">
        <v>25189780.97</v>
      </c>
      <c r="D86" s="95">
        <f>C86/E86</f>
        <v/>
      </c>
      <c r="E86" s="80" t="n">
        <v>77.36499999999999</v>
      </c>
      <c r="F86" s="95">
        <f>D86/100000</f>
        <v/>
      </c>
      <c r="G86" s="95">
        <f>(F86/DataSheet!$C$9*100)</f>
        <v/>
      </c>
      <c r="H86" s="95">
        <f>K86/I86</f>
        <v/>
      </c>
      <c r="I86" s="96">
        <f>(J86/L86)*100</f>
        <v/>
      </c>
      <c r="J86" s="97">
        <f>L86/O86</f>
        <v/>
      </c>
      <c r="K86" s="79" t="n">
        <v>7.465</v>
      </c>
      <c r="L86" s="79" t="n">
        <v>16301.85</v>
      </c>
      <c r="M86" s="79" t="n">
        <v>4.17</v>
      </c>
      <c r="N86" s="97">
        <f>K86-I86</f>
        <v/>
      </c>
      <c r="O86" s="79" t="n">
        <v>20.75</v>
      </c>
      <c r="P86" s="79" t="n">
        <v>3.034</v>
      </c>
      <c r="Q86" s="97">
        <f>K86-P86</f>
        <v/>
      </c>
      <c r="R86" s="79" t="n">
        <v>103.689</v>
      </c>
      <c r="S86" s="98">
        <f>(O86*T86)</f>
        <v/>
      </c>
      <c r="T86" s="79" t="n">
        <v>4.62</v>
      </c>
      <c r="U86" s="80" t="n">
        <v>28074.45</v>
      </c>
      <c r="V86" s="80" t="n">
        <v>24.44</v>
      </c>
      <c r="W86" s="97">
        <f>U86/V86</f>
        <v/>
      </c>
      <c r="X86" s="97">
        <f>(W86/U86)*100</f>
        <v/>
      </c>
      <c r="Y86" s="80" t="n">
        <v>8748.950000000001</v>
      </c>
      <c r="Z86" s="79" t="n">
        <v>22.45</v>
      </c>
      <c r="AA86" s="97">
        <f>Y86/Z86</f>
        <v/>
      </c>
      <c r="AB86" s="97">
        <f>(AA86/Y86)*100</f>
        <v/>
      </c>
    </row>
    <row r="87">
      <c r="A87" s="92" t="n">
        <v>86</v>
      </c>
      <c r="B87" s="93" t="n">
        <v>44691</v>
      </c>
      <c r="C87" s="94" t="n">
        <v>24835796.76</v>
      </c>
      <c r="D87" s="95">
        <f>C87/E87</f>
        <v/>
      </c>
      <c r="E87" s="80" t="n">
        <v>77.22499999999999</v>
      </c>
      <c r="F87" s="95">
        <f>D87/100000</f>
        <v/>
      </c>
      <c r="G87" s="95">
        <f>(F87/DataSheet!$C$9*100)</f>
        <v/>
      </c>
      <c r="H87" s="95">
        <f>K87/I87</f>
        <v/>
      </c>
      <c r="I87" s="96">
        <f>(J87/L87)*100</f>
        <v/>
      </c>
      <c r="J87" s="97">
        <f>L87/O87</f>
        <v/>
      </c>
      <c r="K87" s="79" t="n">
        <v>7.301</v>
      </c>
      <c r="L87" s="79" t="n">
        <v>16240.05</v>
      </c>
      <c r="M87" s="79" t="n">
        <v>4.15</v>
      </c>
      <c r="N87" s="97">
        <f>K87-I87</f>
        <v/>
      </c>
      <c r="O87" s="79" t="n">
        <v>20.42</v>
      </c>
      <c r="P87" s="79" t="n">
        <v>2.989</v>
      </c>
      <c r="Q87" s="97">
        <f>K87-P87</f>
        <v/>
      </c>
      <c r="R87" s="79" t="n">
        <v>103.943</v>
      </c>
      <c r="S87" s="98">
        <f>(O87*T87)</f>
        <v/>
      </c>
      <c r="T87" s="79" t="n">
        <v>4.63</v>
      </c>
      <c r="U87" s="80" t="n">
        <v>27548.6</v>
      </c>
      <c r="V87" s="80" t="n">
        <v>23.71</v>
      </c>
      <c r="W87" s="97">
        <f>U87/V87</f>
        <v/>
      </c>
      <c r="X87" s="97">
        <f>(W87/U87)*100</f>
        <v/>
      </c>
      <c r="Y87" s="80" t="n">
        <v>8569.1</v>
      </c>
      <c r="Z87" s="79" t="n">
        <v>21.75</v>
      </c>
      <c r="AA87" s="97">
        <f>Y87/Z87</f>
        <v/>
      </c>
      <c r="AB87" s="97">
        <f>(AA87/Y87)*100</f>
        <v/>
      </c>
    </row>
    <row r="88">
      <c r="A88" s="92" t="n">
        <v>87</v>
      </c>
      <c r="B88" s="93" t="n">
        <v>44692</v>
      </c>
      <c r="C88" s="94" t="n">
        <v>24622589.25</v>
      </c>
      <c r="D88" s="95">
        <f>C88/E88</f>
        <v/>
      </c>
      <c r="E88" s="80" t="n">
        <v>77.425</v>
      </c>
      <c r="F88" s="95">
        <f>D88/100000</f>
        <v/>
      </c>
      <c r="G88" s="95">
        <f>(F88/DataSheet!$C$9*100)</f>
        <v/>
      </c>
      <c r="H88" s="95">
        <f>K88/I88</f>
        <v/>
      </c>
      <c r="I88" s="96">
        <f>(J88/L88)*100</f>
        <v/>
      </c>
      <c r="J88" s="97">
        <f>L88/O88</f>
        <v/>
      </c>
      <c r="K88" s="79" t="n">
        <v>7.215</v>
      </c>
      <c r="L88" s="79" t="n">
        <v>16167.1</v>
      </c>
      <c r="M88" s="79" t="n">
        <v>4.13</v>
      </c>
      <c r="N88" s="97">
        <f>K88-I88</f>
        <v/>
      </c>
      <c r="O88" s="79" t="n">
        <v>20.32</v>
      </c>
      <c r="P88" s="79" t="n">
        <v>2.925</v>
      </c>
      <c r="Q88" s="97">
        <f>K88-P88</f>
        <v/>
      </c>
      <c r="R88" s="79" t="n">
        <v>103.874</v>
      </c>
      <c r="S88" s="98">
        <f>(O88*T88)</f>
        <v/>
      </c>
      <c r="T88" s="79" t="n">
        <v>4.75</v>
      </c>
      <c r="U88" s="80" t="n">
        <v>27450.8</v>
      </c>
      <c r="V88" s="80" t="n">
        <v>23.55</v>
      </c>
      <c r="W88" s="97">
        <f>U88/V88</f>
        <v/>
      </c>
      <c r="X88" s="97">
        <f>(W88/U88)*100</f>
        <v/>
      </c>
      <c r="Y88" s="80" t="n">
        <v>8340.65</v>
      </c>
      <c r="Z88" s="79" t="n">
        <v>20.87</v>
      </c>
      <c r="AA88" s="97">
        <f>Y88/Z88</f>
        <v/>
      </c>
      <c r="AB88" s="97">
        <f>(AA88/Y88)*100</f>
        <v/>
      </c>
    </row>
    <row r="89">
      <c r="A89" s="92" t="n">
        <v>88</v>
      </c>
      <c r="B89" s="93" t="n">
        <v>44693</v>
      </c>
      <c r="C89" s="94" t="n">
        <v>24080819.85</v>
      </c>
      <c r="D89" s="95">
        <f>C89/E89</f>
        <v/>
      </c>
      <c r="E89" s="80" t="n">
        <v>77.435</v>
      </c>
      <c r="F89" s="95">
        <f>D89/100000</f>
        <v/>
      </c>
      <c r="G89" s="95">
        <f>(F89/DataSheet!$C$9*100)</f>
        <v/>
      </c>
      <c r="H89" s="95">
        <f>K89/I89</f>
        <v/>
      </c>
      <c r="I89" s="96">
        <f>(J89/L89)*100</f>
        <v/>
      </c>
      <c r="J89" s="97">
        <f>L89/O89</f>
        <v/>
      </c>
      <c r="K89" s="79" t="n">
        <v>7.244</v>
      </c>
      <c r="L89" s="79" t="n">
        <v>15808</v>
      </c>
      <c r="M89" s="79" t="n">
        <v>4.04</v>
      </c>
      <c r="N89" s="97">
        <f>K89-I89</f>
        <v/>
      </c>
      <c r="O89" s="79" t="n">
        <v>19.87</v>
      </c>
      <c r="P89" s="79" t="n">
        <v>2.855</v>
      </c>
      <c r="Q89" s="97">
        <f>K89-P89</f>
        <v/>
      </c>
      <c r="R89" s="79" t="n">
        <v>104.897</v>
      </c>
      <c r="S89" s="98">
        <f>(O89*T89)</f>
        <v/>
      </c>
      <c r="T89" s="79" t="n">
        <v>4.84</v>
      </c>
      <c r="U89" s="80" t="n">
        <v>26810.05</v>
      </c>
      <c r="V89" s="80" t="n">
        <v>23.13</v>
      </c>
      <c r="W89" s="97">
        <f>U89/V89</f>
        <v/>
      </c>
      <c r="X89" s="97">
        <f>(W89/U89)*100</f>
        <v/>
      </c>
      <c r="Y89" s="80" t="n">
        <v>8202.15</v>
      </c>
      <c r="Z89" s="79" t="n">
        <v>20.55</v>
      </c>
      <c r="AA89" s="97">
        <f>Y89/Z89</f>
        <v/>
      </c>
      <c r="AB89" s="97">
        <f>(AA89/Y89)*100</f>
        <v/>
      </c>
    </row>
    <row r="90">
      <c r="A90" s="92" t="n">
        <v>89</v>
      </c>
      <c r="B90" s="93" t="n">
        <v>44694</v>
      </c>
      <c r="C90" s="94" t="n">
        <v>24124387.75</v>
      </c>
      <c r="D90" s="95">
        <f>C90/E90</f>
        <v/>
      </c>
      <c r="E90" s="80" t="n">
        <v>77.48</v>
      </c>
      <c r="F90" s="95">
        <f>D90/100000</f>
        <v/>
      </c>
      <c r="G90" s="95">
        <f>(F90/DataSheet!$C$9*100)</f>
        <v/>
      </c>
      <c r="H90" s="95">
        <f>K90/I90</f>
        <v/>
      </c>
      <c r="I90" s="96">
        <f>(J90/L90)*100</f>
        <v/>
      </c>
      <c r="J90" s="97">
        <f>L90/O90</f>
        <v/>
      </c>
      <c r="K90" s="79" t="n">
        <v>7.318</v>
      </c>
      <c r="L90" s="79" t="n">
        <v>15782.15</v>
      </c>
      <c r="M90" s="79" t="n">
        <v>4.03</v>
      </c>
      <c r="N90" s="97">
        <f>K90-I90</f>
        <v/>
      </c>
      <c r="O90" s="79" t="n">
        <v>19.83</v>
      </c>
      <c r="P90" s="79" t="n">
        <v>2.928</v>
      </c>
      <c r="Q90" s="97">
        <f>K90-P90</f>
        <v/>
      </c>
      <c r="R90" s="79" t="n">
        <v>104.621</v>
      </c>
      <c r="S90" s="98">
        <f>(O90*T90)</f>
        <v/>
      </c>
      <c r="T90" s="79" t="n">
        <v>4.9</v>
      </c>
      <c r="U90" s="80" t="n">
        <v>27085.65</v>
      </c>
      <c r="V90" s="80" t="n">
        <v>23.37</v>
      </c>
      <c r="W90" s="97">
        <f>U90/V90</f>
        <v/>
      </c>
      <c r="X90" s="97">
        <f>(W90/U90)*100</f>
        <v/>
      </c>
      <c r="Y90" s="80" t="n">
        <v>8286.200000000001</v>
      </c>
      <c r="Z90" s="79" t="n">
        <v>20.55</v>
      </c>
      <c r="AA90" s="97">
        <f>Y90/Z90</f>
        <v/>
      </c>
      <c r="AB90" s="97">
        <f>(AA90/Y90)*100</f>
        <v/>
      </c>
    </row>
    <row r="91">
      <c r="A91" s="92" t="n">
        <v>90</v>
      </c>
      <c r="B91" s="93" t="n">
        <v>44697</v>
      </c>
      <c r="C91" s="94" t="n">
        <v>24337162.7</v>
      </c>
      <c r="D91" s="95">
        <f>C91/E91</f>
        <v/>
      </c>
      <c r="E91" s="80" t="n">
        <v>77.833</v>
      </c>
      <c r="F91" s="95">
        <f>D91/100000</f>
        <v/>
      </c>
      <c r="G91" s="95">
        <f>(F91/DataSheet!$C$9*100)</f>
        <v/>
      </c>
      <c r="H91" s="95">
        <f>K91/I91</f>
        <v/>
      </c>
      <c r="I91" s="96">
        <f>(J91/L91)*100</f>
        <v/>
      </c>
      <c r="J91" s="97">
        <f>L91/O91</f>
        <v/>
      </c>
      <c r="K91" s="79" t="n">
        <v>7.318</v>
      </c>
      <c r="L91" s="79" t="n">
        <v>15842.3</v>
      </c>
      <c r="M91" s="79" t="n">
        <v>4.05</v>
      </c>
      <c r="N91" s="97">
        <f>K91-I91</f>
        <v/>
      </c>
      <c r="O91" s="79" t="n">
        <v>19.72</v>
      </c>
      <c r="P91" s="79" t="n">
        <v>2.886</v>
      </c>
      <c r="Q91" s="97">
        <f>K91-P91</f>
        <v/>
      </c>
      <c r="R91" s="79" t="n">
        <v>104.2</v>
      </c>
      <c r="S91" s="98">
        <f>(O91*T91)</f>
        <v/>
      </c>
      <c r="T91" s="79" t="n">
        <v>4.9</v>
      </c>
      <c r="U91" s="80" t="n">
        <v>27425.5</v>
      </c>
      <c r="V91" s="80" t="n">
        <v>23.65</v>
      </c>
      <c r="W91" s="97">
        <f>U91/V91</f>
        <v/>
      </c>
      <c r="X91" s="97">
        <f>(W91/U91)*100</f>
        <v/>
      </c>
      <c r="Y91" s="80" t="n">
        <v>8396.799999999999</v>
      </c>
      <c r="Z91" s="79" t="n">
        <v>20.6</v>
      </c>
      <c r="AA91" s="97">
        <f>Y91/Z91</f>
        <v/>
      </c>
      <c r="AB91" s="97">
        <f>(AA91/Y91)*100</f>
        <v/>
      </c>
    </row>
    <row r="92">
      <c r="A92" s="92" t="n">
        <v>91</v>
      </c>
      <c r="B92" s="93" t="n">
        <v>44698</v>
      </c>
      <c r="C92" s="94" t="n">
        <v>25545334.62</v>
      </c>
      <c r="D92" s="95">
        <f>C92/E92</f>
        <v/>
      </c>
      <c r="E92" s="80" t="n">
        <v>77.476</v>
      </c>
      <c r="F92" s="95">
        <f>D92/100000</f>
        <v/>
      </c>
      <c r="G92" s="95">
        <f>(F92/DataSheet!$C$9*100)</f>
        <v/>
      </c>
      <c r="H92" s="95">
        <f>K92/I92</f>
        <v/>
      </c>
      <c r="I92" s="96">
        <f>(J92/L92)*100</f>
        <v/>
      </c>
      <c r="J92" s="97">
        <f>L92/O92</f>
        <v/>
      </c>
      <c r="K92" s="79" t="n">
        <v>7.366</v>
      </c>
      <c r="L92" s="79" t="n">
        <v>16259.3</v>
      </c>
      <c r="M92" s="79" t="n">
        <v>4.15</v>
      </c>
      <c r="N92" s="97">
        <f>K92-I92</f>
        <v/>
      </c>
      <c r="O92" s="79" t="n">
        <v>20.12</v>
      </c>
      <c r="P92" s="79" t="n">
        <v>2.995</v>
      </c>
      <c r="Q92" s="97">
        <f>K92-P92</f>
        <v/>
      </c>
      <c r="R92" s="79" t="n">
        <v>103.407</v>
      </c>
      <c r="S92" s="98">
        <f>(O92*T92)</f>
        <v/>
      </c>
      <c r="T92" s="79" t="n">
        <v>4.88</v>
      </c>
      <c r="U92" s="80" t="n">
        <v>28172.9</v>
      </c>
      <c r="V92" s="80" t="n">
        <v>24.06</v>
      </c>
      <c r="W92" s="97">
        <f>U92/V92</f>
        <v/>
      </c>
      <c r="X92" s="97">
        <f>(W92/U92)*100</f>
        <v/>
      </c>
      <c r="Y92" s="80" t="n">
        <v>8638.1</v>
      </c>
      <c r="Z92" s="79" t="n">
        <v>21.05</v>
      </c>
      <c r="AA92" s="97">
        <f>Y92/Z92</f>
        <v/>
      </c>
      <c r="AB92" s="97">
        <f>(AA92/Y92)*100</f>
        <v/>
      </c>
    </row>
    <row r="93">
      <c r="A93" s="92" t="n">
        <v>92</v>
      </c>
      <c r="B93" s="93" t="n">
        <v>44699</v>
      </c>
      <c r="C93" s="94" t="n">
        <v>25569503.71</v>
      </c>
      <c r="D93" s="95">
        <f>C93/E93</f>
        <v/>
      </c>
      <c r="E93" s="80" t="n">
        <v>77.81</v>
      </c>
      <c r="F93" s="95">
        <f>D93/100000</f>
        <v/>
      </c>
      <c r="G93" s="95">
        <f>(F93/DataSheet!$C$9*100)</f>
        <v/>
      </c>
      <c r="H93" s="95">
        <f>K93/I93</f>
        <v/>
      </c>
      <c r="I93" s="96">
        <f>(J93/L93)*100</f>
        <v/>
      </c>
      <c r="J93" s="97">
        <f>L93/O93</f>
        <v/>
      </c>
      <c r="K93" s="79" t="n">
        <v>7.355</v>
      </c>
      <c r="L93" s="79" t="n">
        <v>16240.3</v>
      </c>
      <c r="M93" s="79" t="n">
        <v>4.15</v>
      </c>
      <c r="N93" s="97">
        <f>K93-I93</f>
        <v/>
      </c>
      <c r="O93" s="79" t="n">
        <v>20.09</v>
      </c>
      <c r="P93" s="79" t="n">
        <v>2.884</v>
      </c>
      <c r="Q93" s="97">
        <f>K93-P93</f>
        <v/>
      </c>
      <c r="R93" s="79" t="n">
        <v>103.862</v>
      </c>
      <c r="S93" s="98">
        <f>(O93*T93)</f>
        <v/>
      </c>
      <c r="T93" s="79" t="n">
        <v>4.89</v>
      </c>
      <c r="U93" s="80" t="n">
        <v>28111.7</v>
      </c>
      <c r="V93" s="80" t="n">
        <v>24.04</v>
      </c>
      <c r="W93" s="97">
        <f>U93/V93</f>
        <v/>
      </c>
      <c r="X93" s="97">
        <f>(W93/U93)*100</f>
        <v/>
      </c>
      <c r="Y93" s="80" t="n">
        <v>8667.200000000001</v>
      </c>
      <c r="Z93" s="79" t="n">
        <v>21.11</v>
      </c>
      <c r="AA93" s="97">
        <f>Y93/Z93</f>
        <v/>
      </c>
      <c r="AB93" s="97">
        <f>(AA93/Y93)*100</f>
        <v/>
      </c>
    </row>
    <row r="94">
      <c r="A94" s="92" t="n">
        <v>93</v>
      </c>
      <c r="B94" s="93" t="n">
        <v>44700</v>
      </c>
      <c r="C94" s="94" t="n">
        <v>24895998.57</v>
      </c>
      <c r="D94" s="95">
        <f>C94/E94</f>
        <v/>
      </c>
      <c r="E94" s="80" t="n">
        <v>77.41500000000001</v>
      </c>
      <c r="F94" s="95">
        <f>D94/100000</f>
        <v/>
      </c>
      <c r="G94" s="95">
        <f>(F94/DataSheet!$C$9*100)</f>
        <v/>
      </c>
      <c r="H94" s="95">
        <f>K94/I94</f>
        <v/>
      </c>
      <c r="I94" s="96">
        <f>(J94/L94)*100</f>
        <v/>
      </c>
      <c r="J94" s="97">
        <f>L94/O94</f>
        <v/>
      </c>
      <c r="K94" s="79" t="n">
        <v>7.32</v>
      </c>
      <c r="L94" s="79" t="n">
        <v>15809.4</v>
      </c>
      <c r="M94" s="79" t="n">
        <v>4.04</v>
      </c>
      <c r="N94" s="97">
        <f>K94-I94</f>
        <v/>
      </c>
      <c r="O94" s="79" t="n">
        <v>19.51</v>
      </c>
      <c r="P94" s="79" t="n">
        <v>2.837</v>
      </c>
      <c r="Q94" s="97">
        <f>K94-P94</f>
        <v/>
      </c>
      <c r="R94" s="79" t="n">
        <v>102.751</v>
      </c>
      <c r="S94" s="98">
        <f>(O94*T94)</f>
        <v/>
      </c>
      <c r="T94" s="79" t="n">
        <v>4.91</v>
      </c>
      <c r="U94" s="80" t="n">
        <v>27271.9</v>
      </c>
      <c r="V94" s="80" t="n">
        <v>23.4</v>
      </c>
      <c r="W94" s="97">
        <f>U94/V94</f>
        <v/>
      </c>
      <c r="X94" s="97">
        <f>(W94/U94)*100</f>
        <v/>
      </c>
      <c r="Y94" s="80" t="n">
        <v>8473.6</v>
      </c>
      <c r="Z94" s="79" t="n">
        <v>20.45</v>
      </c>
      <c r="AA94" s="97">
        <f>Y94/Z94</f>
        <v/>
      </c>
      <c r="AB94" s="97">
        <f>(AA94/Y94)*100</f>
        <v/>
      </c>
    </row>
    <row r="95">
      <c r="A95" s="92" t="n">
        <v>94</v>
      </c>
      <c r="B95" s="93" t="n">
        <v>44701</v>
      </c>
      <c r="C95" s="94" t="n">
        <v>25469969.58</v>
      </c>
      <c r="D95" s="95">
        <f>C95/E95</f>
        <v/>
      </c>
      <c r="E95" s="80" t="n">
        <v>77.86499999999999</v>
      </c>
      <c r="F95" s="95">
        <f>D95/100000</f>
        <v/>
      </c>
      <c r="G95" s="95">
        <f>(F95/DataSheet!$C$9*100)</f>
        <v/>
      </c>
      <c r="H95" s="95">
        <f>K95/I95</f>
        <v/>
      </c>
      <c r="I95" s="96">
        <f>(J95/L95)*100</f>
        <v/>
      </c>
      <c r="J95" s="97">
        <f>L95/O95</f>
        <v/>
      </c>
      <c r="K95" s="79" t="n">
        <v>7.359</v>
      </c>
      <c r="L95" s="79" t="n">
        <v>16266.15</v>
      </c>
      <c r="M95" s="79" t="n">
        <v>4.16</v>
      </c>
      <c r="N95" s="97">
        <f>K95-I95</f>
        <v/>
      </c>
      <c r="O95" s="79" t="n">
        <v>20.05</v>
      </c>
      <c r="P95" s="79" t="n">
        <v>2.788</v>
      </c>
      <c r="Q95" s="97">
        <f>K95-P95</f>
        <v/>
      </c>
      <c r="R95" s="79" t="n">
        <v>103.173</v>
      </c>
      <c r="S95" s="98">
        <f>(O95*T95)</f>
        <v/>
      </c>
      <c r="T95" s="79" t="n">
        <v>4.92</v>
      </c>
      <c r="U95" s="80" t="n">
        <v>27872.2</v>
      </c>
      <c r="V95" s="80" t="n">
        <v>23.67</v>
      </c>
      <c r="W95" s="97">
        <f>U95/V95</f>
        <v/>
      </c>
      <c r="X95" s="97">
        <f>(W95/U95)*100</f>
        <v/>
      </c>
      <c r="Y95" s="80" t="n">
        <v>8654.549999999999</v>
      </c>
      <c r="Z95" s="79" t="n">
        <v>20.86</v>
      </c>
      <c r="AA95" s="97">
        <f>Y95/Z95</f>
        <v/>
      </c>
      <c r="AB95" s="97">
        <f>(AA95/Y95)*100</f>
        <v/>
      </c>
    </row>
    <row r="96">
      <c r="A96" s="92" t="n">
        <v>95</v>
      </c>
      <c r="B96" s="93" t="n">
        <v>44704</v>
      </c>
      <c r="C96" s="94" t="n">
        <v>25356315.03</v>
      </c>
      <c r="D96" s="95">
        <f>C96/E96</f>
        <v/>
      </c>
      <c r="E96" s="80" t="n">
        <v>77.545</v>
      </c>
      <c r="F96" s="95">
        <f>D96/100000</f>
        <v/>
      </c>
      <c r="G96" s="95">
        <f>(F96/DataSheet!$C$9*100)</f>
        <v/>
      </c>
      <c r="H96" s="95">
        <f>K96/I96</f>
        <v/>
      </c>
      <c r="I96" s="96">
        <f>(J96/L96)*100</f>
        <v/>
      </c>
      <c r="J96" s="97">
        <f>L96/O96</f>
        <v/>
      </c>
      <c r="K96" s="79" t="n">
        <v>7.386</v>
      </c>
      <c r="L96" s="79" t="n">
        <v>16214.7</v>
      </c>
      <c r="M96" s="79" t="n">
        <v>4.14</v>
      </c>
      <c r="N96" s="97">
        <f>K96-I96</f>
        <v/>
      </c>
      <c r="O96" s="79" t="n">
        <v>20.01</v>
      </c>
      <c r="P96" s="79" t="n">
        <v>2.861</v>
      </c>
      <c r="Q96" s="97">
        <f>K96-P96</f>
        <v/>
      </c>
      <c r="R96" s="79" t="n">
        <v>102.097</v>
      </c>
      <c r="S96" s="98">
        <f>(O96*T96)</f>
        <v/>
      </c>
      <c r="T96" s="79" t="n">
        <v>4.87</v>
      </c>
      <c r="U96" s="80" t="n">
        <v>27775.45</v>
      </c>
      <c r="V96" s="80" t="n">
        <v>23.74</v>
      </c>
      <c r="W96" s="97">
        <f>U96/V96</f>
        <v/>
      </c>
      <c r="X96" s="97">
        <f>(W96/U96)*100</f>
        <v/>
      </c>
      <c r="Y96" s="80" t="n">
        <v>8594.1</v>
      </c>
      <c r="Z96" s="79" t="n">
        <v>20.69</v>
      </c>
      <c r="AA96" s="97">
        <f>Y96/Z96</f>
        <v/>
      </c>
      <c r="AB96" s="97">
        <f>(AA96/Y96)*100</f>
        <v/>
      </c>
    </row>
    <row r="97">
      <c r="A97" s="92" t="n">
        <v>96</v>
      </c>
      <c r="B97" s="93" t="n">
        <v>44705</v>
      </c>
      <c r="C97" s="94" t="n">
        <v>25193875.59</v>
      </c>
      <c r="D97" s="95">
        <f>C97/E97</f>
        <v/>
      </c>
      <c r="E97" s="80" t="n">
        <v>77.47499999999999</v>
      </c>
      <c r="F97" s="95">
        <f>D97/100000</f>
        <v/>
      </c>
      <c r="G97" s="95">
        <f>(F97/DataSheet!$C$9*100)</f>
        <v/>
      </c>
      <c r="H97" s="95">
        <f>K97/I97</f>
        <v/>
      </c>
      <c r="I97" s="96">
        <f>(J97/L97)*100</f>
        <v/>
      </c>
      <c r="J97" s="97">
        <f>L97/O97</f>
        <v/>
      </c>
      <c r="K97" s="79" t="n">
        <v>7.359</v>
      </c>
      <c r="L97" s="79" t="n">
        <v>16125.15</v>
      </c>
      <c r="M97" s="79" t="n">
        <v>4.12</v>
      </c>
      <c r="N97" s="97">
        <f>K97-I97</f>
        <v/>
      </c>
      <c r="O97" s="79" t="n">
        <v>19.87</v>
      </c>
      <c r="P97" s="79" t="n">
        <v>2.754</v>
      </c>
      <c r="Q97" s="97">
        <f>K97-P97</f>
        <v/>
      </c>
      <c r="R97" s="79" t="n">
        <v>101.87</v>
      </c>
      <c r="S97" s="98">
        <f>(O97*T97)</f>
        <v/>
      </c>
      <c r="T97" s="79" t="n">
        <v>4.87</v>
      </c>
      <c r="U97" s="80" t="n">
        <v>27595.3</v>
      </c>
      <c r="V97" s="80" t="n">
        <v>23.35</v>
      </c>
      <c r="W97" s="97">
        <f>U97/V97</f>
        <v/>
      </c>
      <c r="X97" s="97">
        <f>(W97/U97)*100</f>
        <v/>
      </c>
      <c r="Y97" s="80" t="n">
        <v>8488.6</v>
      </c>
      <c r="Z97" s="79" t="n">
        <v>20.24</v>
      </c>
      <c r="AA97" s="97">
        <f>Y97/Z97</f>
        <v/>
      </c>
      <c r="AB97" s="97">
        <f>(AA97/Y97)*100</f>
        <v/>
      </c>
    </row>
    <row r="98">
      <c r="A98" s="92" t="n">
        <v>97</v>
      </c>
      <c r="B98" s="93" t="n">
        <v>44706</v>
      </c>
      <c r="C98" s="94" t="n">
        <v>24810084.03</v>
      </c>
      <c r="D98" s="95">
        <f>C98/E98</f>
        <v/>
      </c>
      <c r="E98" s="80" t="n">
        <v>77.53100000000001</v>
      </c>
      <c r="F98" s="95">
        <f>D98/100000</f>
        <v/>
      </c>
      <c r="G98" s="95">
        <f>(F98/DataSheet!$C$9*100)</f>
        <v/>
      </c>
      <c r="H98" s="95">
        <f>K98/I98</f>
        <v/>
      </c>
      <c r="I98" s="96">
        <f>(J98/L98)*100</f>
        <v/>
      </c>
      <c r="J98" s="97">
        <f>L98/O98</f>
        <v/>
      </c>
      <c r="K98" s="79" t="n">
        <v>7.305</v>
      </c>
      <c r="L98" s="79" t="n">
        <v>16025.8</v>
      </c>
      <c r="M98" s="79" t="n">
        <v>4.09</v>
      </c>
      <c r="N98" s="97">
        <f>K98-I98</f>
        <v/>
      </c>
      <c r="O98" s="79" t="n">
        <v>19.74</v>
      </c>
      <c r="P98" s="79" t="n">
        <v>2.751</v>
      </c>
      <c r="Q98" s="97">
        <f>K98-P98</f>
        <v/>
      </c>
      <c r="R98" s="79" t="n">
        <v>102.077</v>
      </c>
      <c r="S98" s="98">
        <f>(O98*T98)</f>
        <v/>
      </c>
      <c r="T98" s="79" t="n">
        <v>4.88</v>
      </c>
      <c r="U98" s="80" t="n">
        <v>26918.7</v>
      </c>
      <c r="V98" s="80" t="n">
        <v>22.87</v>
      </c>
      <c r="W98" s="97">
        <f>U98/V98</f>
        <v/>
      </c>
      <c r="X98" s="97">
        <f>(W98/U98)*100</f>
        <v/>
      </c>
      <c r="Y98" s="80" t="n">
        <v>8233.700000000001</v>
      </c>
      <c r="Z98" s="79" t="n">
        <v>19.63</v>
      </c>
      <c r="AA98" s="97">
        <f>Y98/Z98</f>
        <v/>
      </c>
      <c r="AB98" s="97">
        <f>(AA98/Y98)*100</f>
        <v/>
      </c>
    </row>
    <row r="99">
      <c r="A99" s="92" t="n">
        <v>98</v>
      </c>
      <c r="B99" s="93" t="n">
        <v>44707</v>
      </c>
      <c r="C99" s="94" t="n">
        <v>25033086.06</v>
      </c>
      <c r="D99" s="95">
        <f>C99/E99</f>
        <v/>
      </c>
      <c r="E99" s="80" t="n">
        <v>77.636</v>
      </c>
      <c r="F99" s="95">
        <f>D99/100000</f>
        <v/>
      </c>
      <c r="G99" s="95">
        <f>(F99/DataSheet!$C$9*100)</f>
        <v/>
      </c>
      <c r="H99" s="95">
        <f>K99/I99</f>
        <v/>
      </c>
      <c r="I99" s="96">
        <f>(J99/L99)*100</f>
        <v/>
      </c>
      <c r="J99" s="97">
        <f>L99/O99</f>
        <v/>
      </c>
      <c r="K99" s="79" t="n">
        <v>7.294</v>
      </c>
      <c r="L99" s="79" t="n">
        <v>16170.15</v>
      </c>
      <c r="M99" s="79" t="n">
        <v>4.13</v>
      </c>
      <c r="N99" s="97">
        <f>K99-I99</f>
        <v/>
      </c>
      <c r="O99" s="79" t="n">
        <v>19.88</v>
      </c>
      <c r="P99" s="79" t="n">
        <v>2.742</v>
      </c>
      <c r="Q99" s="97">
        <f>K99-P99</f>
        <v/>
      </c>
      <c r="R99" s="79" t="n">
        <v>101.858</v>
      </c>
      <c r="S99" s="98">
        <f>(O99*T99)</f>
        <v/>
      </c>
      <c r="T99" s="79" t="n">
        <v>4.89</v>
      </c>
      <c r="U99" s="80" t="n">
        <v>27281.15</v>
      </c>
      <c r="V99" s="80" t="n">
        <v>23.1</v>
      </c>
      <c r="W99" s="97">
        <f>U99/V99</f>
        <v/>
      </c>
      <c r="X99" s="97">
        <f>(W99/U99)*100</f>
        <v/>
      </c>
      <c r="Y99" s="80" t="n">
        <v>8311.799999999999</v>
      </c>
      <c r="Z99" s="79" t="n">
        <v>19.71</v>
      </c>
      <c r="AA99" s="97">
        <f>Y99/Z99</f>
        <v/>
      </c>
      <c r="AB99" s="97">
        <f>(AA99/Y99)*100</f>
        <v/>
      </c>
    </row>
    <row r="100">
      <c r="A100" s="92" t="n">
        <v>99</v>
      </c>
      <c r="B100" s="93" t="n">
        <v>44708</v>
      </c>
      <c r="C100" s="94" t="n">
        <v>25297080.04</v>
      </c>
      <c r="D100" s="95">
        <f>C100/E100</f>
        <v/>
      </c>
      <c r="E100" s="80" t="n">
        <v>77.624</v>
      </c>
      <c r="F100" s="95">
        <f>D100/100000</f>
        <v/>
      </c>
      <c r="G100" s="95">
        <f>(F100/DataSheet!$C$9*100)</f>
        <v/>
      </c>
      <c r="H100" s="95">
        <f>K100/I100</f>
        <v/>
      </c>
      <c r="I100" s="96">
        <f>(J100/L100)*100</f>
        <v/>
      </c>
      <c r="J100" s="97">
        <f>L100/O100</f>
        <v/>
      </c>
      <c r="K100" s="79" t="n">
        <v>7.35</v>
      </c>
      <c r="L100" s="79" t="n">
        <v>16352.45</v>
      </c>
      <c r="M100" s="79" t="n">
        <v>4.18</v>
      </c>
      <c r="N100" s="97">
        <f>K100-I100</f>
        <v/>
      </c>
      <c r="O100" s="79" t="n">
        <v>20.27</v>
      </c>
      <c r="P100" s="79" t="n">
        <v>2.743</v>
      </c>
      <c r="Q100" s="97">
        <f>K100-P100</f>
        <v/>
      </c>
      <c r="R100" s="79" t="n">
        <v>101.698</v>
      </c>
      <c r="S100" s="98">
        <f>(O100*T100)</f>
        <v/>
      </c>
      <c r="T100" s="79" t="n">
        <v>4.88</v>
      </c>
      <c r="U100" s="80" t="n">
        <v>27657.25</v>
      </c>
      <c r="V100" s="80" t="n">
        <v>23.27</v>
      </c>
      <c r="W100" s="97">
        <f>U100/V100</f>
        <v/>
      </c>
      <c r="X100" s="97">
        <f>(W100/U100)*100</f>
        <v/>
      </c>
      <c r="Y100" s="80" t="n">
        <v>8397.35</v>
      </c>
      <c r="Z100" s="79" t="n">
        <v>19.98</v>
      </c>
      <c r="AA100" s="97">
        <f>Y100/Z100</f>
        <v/>
      </c>
      <c r="AB100" s="97">
        <f>(AA100/Y100)*100</f>
        <v/>
      </c>
    </row>
    <row r="101">
      <c r="A101" s="92" t="n">
        <v>100</v>
      </c>
      <c r="B101" s="93" t="n">
        <v>44711</v>
      </c>
      <c r="C101" s="94" t="n">
        <v>25824357.45</v>
      </c>
      <c r="D101" s="95">
        <f>C101/E101</f>
        <v/>
      </c>
      <c r="E101" s="80" t="n">
        <v>77.554</v>
      </c>
      <c r="F101" s="95">
        <f>D101/100000</f>
        <v/>
      </c>
      <c r="G101" s="95">
        <f>(F101/DataSheet!$C$9*100)</f>
        <v/>
      </c>
      <c r="H101" s="95">
        <f>K101/I101</f>
        <v/>
      </c>
      <c r="I101" s="96">
        <f>(J101/L101)*100</f>
        <v/>
      </c>
      <c r="J101" s="97">
        <f>L101/O101</f>
        <v/>
      </c>
      <c r="K101" s="79" t="n">
        <v>7.409</v>
      </c>
      <c r="L101" s="79" t="n">
        <v>16661.4</v>
      </c>
      <c r="M101" s="79" t="n">
        <v>4.26</v>
      </c>
      <c r="N101" s="97">
        <f>K101-I101</f>
        <v/>
      </c>
      <c r="O101" s="79" t="n">
        <v>20.65</v>
      </c>
      <c r="P101" s="79" t="n">
        <v>2.812</v>
      </c>
      <c r="Q101" s="97">
        <f>K101-P101</f>
        <v/>
      </c>
      <c r="R101" s="79" t="n">
        <v>101.305</v>
      </c>
      <c r="S101" s="98">
        <f>(O101*T101)</f>
        <v/>
      </c>
      <c r="T101" s="79" t="n">
        <v>4.89</v>
      </c>
      <c r="U101" s="80" t="n">
        <v>28326.35</v>
      </c>
      <c r="V101" s="80" t="n">
        <v>23.88</v>
      </c>
      <c r="W101" s="97">
        <f>U101/V101</f>
        <v/>
      </c>
      <c r="X101" s="97">
        <f>(W101/U101)*100</f>
        <v/>
      </c>
      <c r="Y101" s="80" t="n">
        <v>8585.5</v>
      </c>
      <c r="Z101" s="79" t="n">
        <v>20.35</v>
      </c>
      <c r="AA101" s="97">
        <f>Y101/Z101</f>
        <v/>
      </c>
      <c r="AB101" s="97">
        <f>(AA101/Y101)*100</f>
        <v/>
      </c>
    </row>
    <row r="102">
      <c r="A102" s="92" t="n">
        <v>101</v>
      </c>
      <c r="B102" s="99" t="n">
        <v>44712</v>
      </c>
      <c r="C102" s="94" t="n">
        <v>25824357.45</v>
      </c>
      <c r="D102" s="95">
        <f>C102/E102</f>
        <v/>
      </c>
      <c r="E102" s="80" t="n">
        <v>77.59</v>
      </c>
      <c r="F102" s="95">
        <f>D102/100000</f>
        <v/>
      </c>
      <c r="G102" s="95">
        <f>(F102/DataSheet!$C$9*100)</f>
        <v/>
      </c>
      <c r="H102" s="95">
        <f>K102/I102</f>
        <v/>
      </c>
      <c r="I102" s="96">
        <f>(J102/L102)*100</f>
        <v/>
      </c>
      <c r="J102" s="97">
        <f>L102/O102</f>
        <v/>
      </c>
      <c r="K102" s="79" t="n">
        <v>7.415</v>
      </c>
      <c r="L102" s="79" t="n">
        <v>16584.55</v>
      </c>
      <c r="M102" s="79" t="n">
        <v>4.24</v>
      </c>
      <c r="N102" s="97">
        <f>K102-I102</f>
        <v/>
      </c>
      <c r="O102" s="79" t="n">
        <v>20.44</v>
      </c>
      <c r="P102" s="79" t="n">
        <v>2.849</v>
      </c>
      <c r="Q102" s="97">
        <f>K102-P102</f>
        <v/>
      </c>
      <c r="R102" s="79" t="n">
        <v>101.766</v>
      </c>
      <c r="S102" s="98">
        <f>(O102*T102)</f>
        <v/>
      </c>
      <c r="T102" s="79" t="n">
        <v>4.89</v>
      </c>
      <c r="U102" s="80" t="n">
        <v>28288.35</v>
      </c>
      <c r="V102" s="80" t="n">
        <v>23.74</v>
      </c>
      <c r="W102" s="97">
        <f>U102/V102</f>
        <v/>
      </c>
      <c r="X102" s="97">
        <f>(W102/U102)*100</f>
        <v/>
      </c>
      <c r="Y102" s="80" t="n">
        <v>8673.1</v>
      </c>
      <c r="Z102" s="79" t="n">
        <v>20.91</v>
      </c>
      <c r="AA102" s="97">
        <f>Y102/Z102</f>
        <v/>
      </c>
      <c r="AB102" s="97">
        <f>(AA102/Y102)*100</f>
        <v/>
      </c>
    </row>
    <row r="103">
      <c r="A103" s="92" t="n">
        <v>102</v>
      </c>
      <c r="B103" s="93" t="n">
        <v>44713</v>
      </c>
      <c r="C103" s="94" t="n">
        <v>25683972.67</v>
      </c>
      <c r="D103" s="95">
        <f>C103/E103</f>
        <v/>
      </c>
      <c r="E103" s="80" t="n">
        <v>77.56</v>
      </c>
      <c r="F103" s="95">
        <f>D103/100000</f>
        <v/>
      </c>
      <c r="G103" s="95">
        <f>(F103/DataSheet!$C$9*100)</f>
        <v/>
      </c>
      <c r="H103" s="95">
        <f>K103/I103</f>
        <v/>
      </c>
      <c r="I103" s="96">
        <f>(J103/L103)*100</f>
        <v/>
      </c>
      <c r="J103" s="97">
        <f>L103/O103</f>
        <v/>
      </c>
      <c r="K103" s="79" t="n">
        <v>7.414</v>
      </c>
      <c r="L103" s="79" t="n">
        <v>16522.75</v>
      </c>
      <c r="M103" s="79" t="n">
        <v>4.22</v>
      </c>
      <c r="N103" s="97">
        <f>K103-I103</f>
        <v/>
      </c>
      <c r="O103" s="79" t="n">
        <v>20.45</v>
      </c>
      <c r="P103" s="79" t="n">
        <v>2.911</v>
      </c>
      <c r="Q103" s="97">
        <f>K103-P103</f>
        <v/>
      </c>
      <c r="R103" s="79" t="n">
        <v>102.529</v>
      </c>
      <c r="S103" s="98">
        <f>(O103*T103)</f>
        <v/>
      </c>
      <c r="T103" s="79" t="n">
        <v>4.93</v>
      </c>
      <c r="U103" s="80" t="n">
        <v>28299.9</v>
      </c>
      <c r="V103" s="80" t="n">
        <v>23.83</v>
      </c>
      <c r="W103" s="97">
        <f>U103/V103</f>
        <v/>
      </c>
      <c r="X103" s="97">
        <f>(W103/U103)*100</f>
        <v/>
      </c>
      <c r="Y103" s="80" t="n">
        <v>8730.65</v>
      </c>
      <c r="Z103" s="79" t="n">
        <v>21.12</v>
      </c>
      <c r="AA103" s="97">
        <f>Y103/Z103</f>
        <v/>
      </c>
      <c r="AB103" s="97">
        <f>(AA103/Y103)*100</f>
        <v/>
      </c>
    </row>
    <row r="104">
      <c r="A104" s="92" t="n">
        <v>103</v>
      </c>
      <c r="B104" s="93" t="n">
        <v>44714</v>
      </c>
      <c r="C104" s="94" t="n">
        <v>25881186.64</v>
      </c>
      <c r="D104" s="95">
        <f>C104/E104</f>
        <v/>
      </c>
      <c r="E104" s="80" t="n">
        <v>77.399</v>
      </c>
      <c r="F104" s="95">
        <f>D104/100000</f>
        <v/>
      </c>
      <c r="G104" s="95">
        <f>(F104/DataSheet!$C$9*100)</f>
        <v/>
      </c>
      <c r="H104" s="95">
        <f>K104/I104</f>
        <v/>
      </c>
      <c r="I104" s="96">
        <f>(J104/L104)*100</f>
        <v/>
      </c>
      <c r="J104" s="97">
        <f>L104/O104</f>
        <v/>
      </c>
      <c r="K104" s="79" t="n">
        <v>7.434</v>
      </c>
      <c r="L104" s="79" t="n">
        <v>16628</v>
      </c>
      <c r="M104" s="79" t="n">
        <v>4.25</v>
      </c>
      <c r="N104" s="97">
        <f>K104-I104</f>
        <v/>
      </c>
      <c r="O104" s="79" t="n">
        <v>20.58</v>
      </c>
      <c r="P104" s="79" t="n">
        <v>2.913</v>
      </c>
      <c r="Q104" s="97">
        <f>K104-P104</f>
        <v/>
      </c>
      <c r="R104" s="79" t="n">
        <v>101.832</v>
      </c>
      <c r="S104" s="98">
        <f>(O104*T104)</f>
        <v/>
      </c>
      <c r="T104" s="79" t="n">
        <v>4.97</v>
      </c>
      <c r="U104" s="80" t="n">
        <v>28491.15</v>
      </c>
      <c r="V104" s="80" t="n">
        <v>24</v>
      </c>
      <c r="W104" s="97">
        <f>U104/V104</f>
        <v/>
      </c>
      <c r="X104" s="97">
        <f>(W104/U104)*100</f>
        <v/>
      </c>
      <c r="Y104" s="80" t="n">
        <v>8772.9</v>
      </c>
      <c r="Z104" s="79" t="n">
        <v>21.2</v>
      </c>
      <c r="AA104" s="97">
        <f>Y104/Z104</f>
        <v/>
      </c>
      <c r="AB104" s="97">
        <f>(AA104/Y104)*100</f>
        <v/>
      </c>
    </row>
    <row r="105">
      <c r="A105" s="92" t="n">
        <v>104</v>
      </c>
      <c r="B105" s="93" t="n">
        <v>44715</v>
      </c>
      <c r="C105" s="94" t="n">
        <v>25687833.85</v>
      </c>
      <c r="D105" s="95">
        <f>C105/E105</f>
        <v/>
      </c>
      <c r="E105" s="80" t="n">
        <v>77.61499999999999</v>
      </c>
      <c r="F105" s="95">
        <f>D105/100000</f>
        <v/>
      </c>
      <c r="G105" s="95">
        <f>(F105/DataSheet!$C$9*100)</f>
        <v/>
      </c>
      <c r="H105" s="95">
        <f>K105/I105</f>
        <v/>
      </c>
      <c r="I105" s="96">
        <f>(J105/L105)*100</f>
        <v/>
      </c>
      <c r="J105" s="97">
        <f>L105/O105</f>
        <v/>
      </c>
      <c r="K105" s="79" t="n">
        <v>7.456</v>
      </c>
      <c r="L105" s="79" t="n">
        <v>16584.3</v>
      </c>
      <c r="M105" s="79" t="n">
        <v>4.24</v>
      </c>
      <c r="N105" s="97">
        <f>K105-I105</f>
        <v/>
      </c>
      <c r="O105" s="79" t="n">
        <v>20.52</v>
      </c>
      <c r="P105" s="79" t="n">
        <v>2.941</v>
      </c>
      <c r="Q105" s="97">
        <f>K105-P105</f>
        <v/>
      </c>
      <c r="R105" s="79" t="n">
        <v>102.16</v>
      </c>
      <c r="S105" s="98">
        <f>(O105*T105)</f>
        <v/>
      </c>
      <c r="T105" s="79" t="n">
        <v>4.98</v>
      </c>
      <c r="U105" s="80" t="n">
        <v>28023.35</v>
      </c>
      <c r="V105" s="80" t="n">
        <v>23.69</v>
      </c>
      <c r="W105" s="97">
        <f>U105/V105</f>
        <v/>
      </c>
      <c r="X105" s="97">
        <f>(W105/U105)*100</f>
        <v/>
      </c>
      <c r="Y105" s="80" t="n">
        <v>8696.35</v>
      </c>
      <c r="Z105" s="79" t="n">
        <v>21.06</v>
      </c>
      <c r="AA105" s="97">
        <f>Y105/Z105</f>
        <v/>
      </c>
      <c r="AB105" s="97">
        <f>(AA105/Y105)*100</f>
        <v/>
      </c>
    </row>
    <row r="106">
      <c r="A106" s="92" t="n">
        <v>105</v>
      </c>
      <c r="B106" s="93" t="n">
        <v>44718</v>
      </c>
      <c r="C106" s="94" t="n">
        <v>25621197.19</v>
      </c>
      <c r="D106" s="95">
        <f>C106/E106</f>
        <v/>
      </c>
      <c r="E106" s="80" t="n">
        <v>77.81399999999999</v>
      </c>
      <c r="F106" s="95">
        <f>D106/100000</f>
        <v/>
      </c>
      <c r="G106" s="95">
        <f>(F106/DataSheet!$C$9*100)</f>
        <v/>
      </c>
      <c r="H106" s="95">
        <f>K106/I106</f>
        <v/>
      </c>
      <c r="I106" s="96">
        <f>(J106/L106)*100</f>
        <v/>
      </c>
      <c r="J106" s="97">
        <f>L106/O106</f>
        <v/>
      </c>
      <c r="K106" s="79" t="n">
        <v>7.5</v>
      </c>
      <c r="L106" s="79" t="n">
        <v>16569.55</v>
      </c>
      <c r="M106" s="79" t="n">
        <v>4.24</v>
      </c>
      <c r="N106" s="97">
        <f>K106-I106</f>
        <v/>
      </c>
      <c r="O106" s="79" t="n">
        <v>20.5</v>
      </c>
      <c r="P106" s="79" t="n">
        <v>3.04</v>
      </c>
      <c r="Q106" s="97">
        <f>K106-P106</f>
        <v/>
      </c>
      <c r="R106" s="79" t="n">
        <v>102.447</v>
      </c>
      <c r="S106" s="98">
        <f>(O106*T106)</f>
        <v/>
      </c>
      <c r="T106" s="79" t="n">
        <v>4.98</v>
      </c>
      <c r="U106" s="80" t="n">
        <v>27992.65</v>
      </c>
      <c r="V106" s="80" t="n">
        <v>23.64</v>
      </c>
      <c r="W106" s="97">
        <f>U106/V106</f>
        <v/>
      </c>
      <c r="X106" s="97">
        <f>(W106/U106)*100</f>
        <v/>
      </c>
      <c r="Y106" s="80" t="n">
        <v>8640.9</v>
      </c>
      <c r="Z106" s="79" t="n">
        <v>20.93</v>
      </c>
      <c r="AA106" s="97">
        <f>Y106/Z106</f>
        <v/>
      </c>
      <c r="AB106" s="97">
        <f>(AA106/Y106)*100</f>
        <v/>
      </c>
    </row>
    <row r="107">
      <c r="A107" s="92" t="n">
        <v>106</v>
      </c>
      <c r="B107" s="93" t="n">
        <v>44719</v>
      </c>
      <c r="C107" s="94" t="n">
        <v>25357399.48</v>
      </c>
      <c r="D107" s="95">
        <f>C107/E107</f>
        <v/>
      </c>
      <c r="E107" s="80" t="n">
        <v>77.664</v>
      </c>
      <c r="F107" s="95">
        <f>D107/100000</f>
        <v/>
      </c>
      <c r="G107" s="95">
        <f>(F107/DataSheet!$C$9*100)</f>
        <v/>
      </c>
      <c r="H107" s="95">
        <f>K107/I107</f>
        <v/>
      </c>
      <c r="I107" s="96">
        <f>(J107/L107)*100</f>
        <v/>
      </c>
      <c r="J107" s="97">
        <f>L107/O107</f>
        <v/>
      </c>
      <c r="K107" s="79" t="n">
        <v>7.518</v>
      </c>
      <c r="L107" s="79" t="n">
        <v>16416.35</v>
      </c>
      <c r="M107" s="79" t="n">
        <v>4.2</v>
      </c>
      <c r="N107" s="97">
        <f>K107-I107</f>
        <v/>
      </c>
      <c r="O107" s="79" t="n">
        <v>20.31</v>
      </c>
      <c r="P107" s="79" t="n">
        <v>2.979</v>
      </c>
      <c r="Q107" s="97">
        <f>K107-P107</f>
        <v/>
      </c>
      <c r="R107" s="79" t="n">
        <v>102.325</v>
      </c>
      <c r="S107" s="98">
        <f>(O107*T107)</f>
        <v/>
      </c>
      <c r="T107" s="79" t="n">
        <v>5.02</v>
      </c>
      <c r="U107" s="80" t="n">
        <v>27803.95</v>
      </c>
      <c r="V107" s="80" t="n">
        <v>23.49</v>
      </c>
      <c r="W107" s="97">
        <f>U107/V107</f>
        <v/>
      </c>
      <c r="X107" s="97">
        <f>(W107/U107)*100</f>
        <v/>
      </c>
      <c r="Y107" s="80" t="n">
        <v>8592.5</v>
      </c>
      <c r="Z107" s="79" t="n">
        <v>20.81</v>
      </c>
      <c r="AA107" s="97">
        <f>Y107/Z107</f>
        <v/>
      </c>
      <c r="AB107" s="97">
        <f>(AA107/Y107)*100</f>
        <v/>
      </c>
    </row>
    <row r="108">
      <c r="A108" s="92" t="n">
        <v>107</v>
      </c>
      <c r="B108" s="93" t="n">
        <v>44720</v>
      </c>
      <c r="C108" s="94" t="n">
        <v>25337899.03</v>
      </c>
      <c r="D108" s="95">
        <f>C108/E108</f>
        <v/>
      </c>
      <c r="E108" s="80" t="n">
        <v>77.709</v>
      </c>
      <c r="F108" s="95">
        <f>D108/100000</f>
        <v/>
      </c>
      <c r="G108" s="95">
        <f>(F108/DataSheet!$C$9*100)</f>
        <v/>
      </c>
      <c r="H108" s="95">
        <f>K108/I108</f>
        <v/>
      </c>
      <c r="I108" s="96">
        <f>(J108/L108)*100</f>
        <v/>
      </c>
      <c r="J108" s="97">
        <f>L108/O108</f>
        <v/>
      </c>
      <c r="K108" s="79" t="n">
        <v>7.494</v>
      </c>
      <c r="L108" s="79" t="n">
        <v>16356.25</v>
      </c>
      <c r="M108" s="79" t="n">
        <v>4.18</v>
      </c>
      <c r="N108" s="97">
        <f>K108-I108</f>
        <v/>
      </c>
      <c r="O108" s="79" t="n">
        <v>20.24</v>
      </c>
      <c r="P108" s="79" t="n">
        <v>3.027</v>
      </c>
      <c r="Q108" s="97">
        <f>K108-P108</f>
        <v/>
      </c>
      <c r="R108" s="79" t="n">
        <v>102.546</v>
      </c>
      <c r="S108" s="98">
        <f>(O108*T108)</f>
        <v/>
      </c>
      <c r="T108" s="79" t="n">
        <v>4.97</v>
      </c>
      <c r="U108" s="80" t="n">
        <v>27670.8</v>
      </c>
      <c r="V108" s="80" t="n">
        <v>23.4</v>
      </c>
      <c r="W108" s="97">
        <f>U108/V108</f>
        <v/>
      </c>
      <c r="X108" s="97">
        <f>(W108/U108)*100</f>
        <v/>
      </c>
      <c r="Y108" s="80" t="n">
        <v>8577.6</v>
      </c>
      <c r="Z108" s="79" t="n">
        <v>20.77</v>
      </c>
      <c r="AA108" s="97">
        <f>Y108/Z108</f>
        <v/>
      </c>
      <c r="AB108" s="97">
        <f>(AA108/Y108)*100</f>
        <v/>
      </c>
    </row>
    <row r="109">
      <c r="A109" s="92" t="n">
        <v>108</v>
      </c>
      <c r="B109" s="93" t="n">
        <v>44721</v>
      </c>
      <c r="C109" s="94" t="n">
        <v>25480505.24</v>
      </c>
      <c r="D109" s="95">
        <f>C109/E109</f>
        <v/>
      </c>
      <c r="E109" s="80" t="n">
        <v>77.815</v>
      </c>
      <c r="F109" s="95">
        <f>D109/100000</f>
        <v/>
      </c>
      <c r="G109" s="95">
        <f>(F109/DataSheet!$C$9*100)</f>
        <v/>
      </c>
      <c r="H109" s="95">
        <f>K109/I109</f>
        <v/>
      </c>
      <c r="I109" s="96">
        <f>(J109/L109)*100</f>
        <v/>
      </c>
      <c r="J109" s="97">
        <f>L109/O109</f>
        <v/>
      </c>
      <c r="K109" s="79" t="n">
        <v>7.496</v>
      </c>
      <c r="L109" s="79" t="n">
        <v>16478.1</v>
      </c>
      <c r="M109" s="79" t="n">
        <v>4.21</v>
      </c>
      <c r="N109" s="97">
        <f>K109-I109</f>
        <v/>
      </c>
      <c r="O109" s="79" t="n">
        <v>20.39</v>
      </c>
      <c r="P109" s="79" t="n">
        <v>3.046</v>
      </c>
      <c r="Q109" s="97">
        <f>K109-P109</f>
        <v/>
      </c>
      <c r="R109" s="79" t="n">
        <v>103.218</v>
      </c>
      <c r="S109" s="98">
        <f>(O109*T109)</f>
        <v/>
      </c>
      <c r="T109" s="79" t="n">
        <v>5.01</v>
      </c>
      <c r="U109" s="80" t="n">
        <v>27805.9</v>
      </c>
      <c r="V109" s="80" t="n">
        <v>23.49</v>
      </c>
      <c r="W109" s="97">
        <f>U109/V109</f>
        <v/>
      </c>
      <c r="X109" s="97">
        <f>(W109/U109)*100</f>
        <v/>
      </c>
      <c r="Y109" s="80" t="n">
        <v>8582.15</v>
      </c>
      <c r="Z109" s="79" t="n">
        <v>20.78</v>
      </c>
      <c r="AA109" s="97">
        <f>Y109/Z109</f>
        <v/>
      </c>
      <c r="AB109" s="97">
        <f>(AA109/Y109)*100</f>
        <v/>
      </c>
    </row>
    <row r="110">
      <c r="A110" s="92" t="n">
        <v>109</v>
      </c>
      <c r="B110" s="93" t="n">
        <v>44722</v>
      </c>
      <c r="C110" s="94" t="n">
        <v>25168640.99</v>
      </c>
      <c r="D110" s="95">
        <f>C110/E110</f>
        <v/>
      </c>
      <c r="E110" s="80" t="n">
        <v>78.14400000000001</v>
      </c>
      <c r="F110" s="95">
        <f>D110/100000</f>
        <v/>
      </c>
      <c r="G110" s="95">
        <f>(F110/DataSheet!$C$9*100)</f>
        <v/>
      </c>
      <c r="H110" s="95">
        <f>K110/I110</f>
        <v/>
      </c>
      <c r="I110" s="96">
        <f>(J110/L110)*100</f>
        <v/>
      </c>
      <c r="J110" s="97">
        <f>L110/O110</f>
        <v/>
      </c>
      <c r="K110" s="79" t="n">
        <v>7.519</v>
      </c>
      <c r="L110" s="79" t="n">
        <v>16201.8</v>
      </c>
      <c r="M110" s="79" t="n">
        <v>4.14</v>
      </c>
      <c r="N110" s="97">
        <f>K110-I110</f>
        <v/>
      </c>
      <c r="O110" s="79" t="n">
        <v>20.05</v>
      </c>
      <c r="P110" s="79" t="n">
        <v>3.165</v>
      </c>
      <c r="Q110" s="97">
        <f>K110-P110</f>
        <v/>
      </c>
      <c r="R110" s="79" t="n">
        <v>104.151</v>
      </c>
      <c r="S110" s="98">
        <f>(O110*T110)</f>
        <v/>
      </c>
      <c r="T110" s="79" t="n">
        <v>5</v>
      </c>
      <c r="U110" s="80" t="n">
        <v>27575.8</v>
      </c>
      <c r="V110" s="80" t="n">
        <v>23.33</v>
      </c>
      <c r="W110" s="97">
        <f>U110/V110</f>
        <v/>
      </c>
      <c r="X110" s="97">
        <f>(W110/U110)*100</f>
        <v/>
      </c>
      <c r="Y110" s="80" t="n">
        <v>8506.9</v>
      </c>
      <c r="Z110" s="79" t="n">
        <v>20.6</v>
      </c>
      <c r="AA110" s="97">
        <f>Y110/Z110</f>
        <v/>
      </c>
      <c r="AB110" s="97">
        <f>(AA110/Y110)*100</f>
        <v/>
      </c>
    </row>
    <row r="111">
      <c r="A111" s="92" t="n">
        <v>110</v>
      </c>
      <c r="B111" s="93" t="n">
        <v>44725</v>
      </c>
      <c r="C111" s="94" t="n">
        <v>24493255.27</v>
      </c>
      <c r="D111" s="95">
        <f>C111/E111</f>
        <v/>
      </c>
      <c r="E111" s="80" t="n">
        <v>78.104</v>
      </c>
      <c r="F111" s="95">
        <f>D111/100000</f>
        <v/>
      </c>
      <c r="G111" s="95">
        <f>(F111/DataSheet!$C$9*100)</f>
        <v/>
      </c>
      <c r="H111" s="95">
        <f>K111/I111</f>
        <v/>
      </c>
      <c r="I111" s="96">
        <f>(J111/L111)*100</f>
        <v/>
      </c>
      <c r="J111" s="97">
        <f>L111/O111</f>
        <v/>
      </c>
      <c r="K111" s="79" t="n">
        <v>7.604</v>
      </c>
      <c r="L111" s="79" t="n">
        <v>15774.4</v>
      </c>
      <c r="M111" s="79" t="n">
        <v>4.03</v>
      </c>
      <c r="N111" s="97">
        <f>K111-I111</f>
        <v/>
      </c>
      <c r="O111" s="79" t="n">
        <v>19.52</v>
      </c>
      <c r="P111" s="79" t="n">
        <v>3.362</v>
      </c>
      <c r="Q111" s="97">
        <f>K111-P111</f>
        <v/>
      </c>
      <c r="R111" s="79" t="n">
        <v>104.947</v>
      </c>
      <c r="S111" s="98">
        <f>(O111*T111)</f>
        <v/>
      </c>
      <c r="T111" s="79" t="n">
        <v>4.99</v>
      </c>
      <c r="U111" s="80" t="n">
        <v>26777.8</v>
      </c>
      <c r="V111" s="80" t="n">
        <v>22.69</v>
      </c>
      <c r="W111" s="97">
        <f>U111/V111</f>
        <v/>
      </c>
      <c r="X111" s="97">
        <f>(W111/U111)*100</f>
        <v/>
      </c>
      <c r="Y111" s="80" t="n">
        <v>8205.65</v>
      </c>
      <c r="Z111" s="79" t="n">
        <v>19.87</v>
      </c>
      <c r="AA111" s="97">
        <f>Y111/Z111</f>
        <v/>
      </c>
      <c r="AB111" s="97">
        <f>(AA111/Y111)*100</f>
        <v/>
      </c>
    </row>
    <row r="112">
      <c r="A112" s="92" t="n">
        <v>111</v>
      </c>
      <c r="B112" s="93" t="n">
        <v>44726</v>
      </c>
      <c r="C112" s="94" t="n">
        <v>24450858.65</v>
      </c>
      <c r="D112" s="95">
        <f>C112/E112</f>
        <v/>
      </c>
      <c r="E112" s="80" t="n">
        <v>78.02200000000001</v>
      </c>
      <c r="F112" s="95">
        <f>D112/100000</f>
        <v/>
      </c>
      <c r="G112" s="95">
        <f>(F112/DataSheet!$C$9*100)</f>
        <v/>
      </c>
      <c r="H112" s="95">
        <f>K112/I112</f>
        <v/>
      </c>
      <c r="I112" s="96">
        <f>(J112/L112)*100</f>
        <v/>
      </c>
      <c r="J112" s="97">
        <f>L112/O112</f>
        <v/>
      </c>
      <c r="K112" s="79" t="n">
        <v>7.581</v>
      </c>
      <c r="L112" s="79" t="n">
        <v>15732.1</v>
      </c>
      <c r="M112" s="79" t="n">
        <v>4.02</v>
      </c>
      <c r="N112" s="97">
        <f>K112-I112</f>
        <v/>
      </c>
      <c r="O112" s="79" t="n">
        <v>19.47</v>
      </c>
      <c r="P112" s="79" t="n">
        <v>3.479</v>
      </c>
      <c r="Q112" s="97">
        <f>K112-P112</f>
        <v/>
      </c>
      <c r="R112" s="79" t="n">
        <v>105.342</v>
      </c>
      <c r="S112" s="98">
        <f>(O112*T112)</f>
        <v/>
      </c>
      <c r="T112" s="79" t="n">
        <v>4.98</v>
      </c>
      <c r="U112" s="80" t="n">
        <v>26715.65</v>
      </c>
      <c r="V112" s="80" t="n">
        <v>22.71</v>
      </c>
      <c r="W112" s="97">
        <f>U112/V112</f>
        <v/>
      </c>
      <c r="X112" s="97">
        <f>(W112/U112)*100</f>
        <v/>
      </c>
      <c r="Y112" s="80" t="n">
        <v>8172.05</v>
      </c>
      <c r="Z112" s="79" t="n">
        <v>19.81</v>
      </c>
      <c r="AA112" s="97">
        <f>Y112/Z112</f>
        <v/>
      </c>
      <c r="AB112" s="97">
        <f>(AA112/Y112)*100</f>
        <v/>
      </c>
    </row>
    <row r="113">
      <c r="A113" s="92" t="n">
        <v>112</v>
      </c>
      <c r="B113" s="93" t="n">
        <v>44727</v>
      </c>
      <c r="C113" s="94" t="n">
        <v>24463090.96</v>
      </c>
      <c r="D113" s="95">
        <f>C113/E113</f>
        <v/>
      </c>
      <c r="E113" s="80" t="n">
        <v>78.17100000000001</v>
      </c>
      <c r="F113" s="95">
        <f>D113/100000</f>
        <v/>
      </c>
      <c r="G113" s="95">
        <f>(F113/DataSheet!$C$9*100)</f>
        <v/>
      </c>
      <c r="H113" s="95">
        <f>K113/I113</f>
        <v/>
      </c>
      <c r="I113" s="96">
        <f>(J113/L113)*100</f>
        <v/>
      </c>
      <c r="J113" s="97">
        <f>L113/O113</f>
        <v/>
      </c>
      <c r="K113" s="79" t="n">
        <v>7.592</v>
      </c>
      <c r="L113" s="79" t="n">
        <v>15692.15</v>
      </c>
      <c r="M113" s="79" t="n">
        <v>4.01</v>
      </c>
      <c r="N113" s="97">
        <f>K113-I113</f>
        <v/>
      </c>
      <c r="O113" s="79" t="n">
        <v>19.42</v>
      </c>
      <c r="P113" s="79" t="n">
        <v>3.292</v>
      </c>
      <c r="Q113" s="97">
        <f>K113-P113</f>
        <v/>
      </c>
      <c r="R113" s="79" t="n">
        <v>104.935</v>
      </c>
      <c r="S113" s="98">
        <f>(O113*T113)</f>
        <v/>
      </c>
      <c r="T113" s="79" t="n">
        <v>5.04</v>
      </c>
      <c r="U113" s="80" t="n">
        <v>26809</v>
      </c>
      <c r="V113" s="80" t="n">
        <v>22.79</v>
      </c>
      <c r="W113" s="97">
        <f>U113/V113</f>
        <v/>
      </c>
      <c r="X113" s="97">
        <f>(W113/U113)*100</f>
        <v/>
      </c>
      <c r="Y113" s="80" t="n">
        <v>8217.799999999999</v>
      </c>
      <c r="Z113" s="79" t="n">
        <v>19.92</v>
      </c>
      <c r="AA113" s="97">
        <f>Y113/Z113</f>
        <v/>
      </c>
      <c r="AB113" s="97">
        <f>(AA113/Y113)*100</f>
        <v/>
      </c>
    </row>
    <row r="114">
      <c r="A114" s="92" t="n">
        <v>113</v>
      </c>
      <c r="B114" s="93" t="n">
        <v>44728</v>
      </c>
      <c r="C114" s="94" t="n">
        <v>23909017.19</v>
      </c>
      <c r="D114" s="95">
        <f>C114/E114</f>
        <v/>
      </c>
      <c r="E114" s="80" t="n">
        <v>77.977</v>
      </c>
      <c r="F114" s="95">
        <f>D114/100000</f>
        <v/>
      </c>
      <c r="G114" s="95">
        <f>(F114/DataSheet!$C$9*100)</f>
        <v/>
      </c>
      <c r="H114" s="95">
        <f>K114/I114</f>
        <v/>
      </c>
      <c r="I114" s="96">
        <f>(J114/L114)*100</f>
        <v/>
      </c>
      <c r="J114" s="97">
        <f>L114/O114</f>
        <v/>
      </c>
      <c r="K114" s="79" t="n">
        <v>7.617</v>
      </c>
      <c r="L114" s="79" t="n">
        <v>15360.6</v>
      </c>
      <c r="M114" s="79" t="n">
        <v>3.93</v>
      </c>
      <c r="N114" s="97">
        <f>K114-I114</f>
        <v/>
      </c>
      <c r="O114" s="79" t="n">
        <v>19.01</v>
      </c>
      <c r="P114" s="79" t="n">
        <v>3.195</v>
      </c>
      <c r="Q114" s="97">
        <f>K114-P114</f>
        <v/>
      </c>
      <c r="R114" s="79" t="n">
        <v>103.417</v>
      </c>
      <c r="S114" s="98">
        <f>(O114*T114)</f>
        <v/>
      </c>
      <c r="T114" s="79" t="n">
        <v>5.07</v>
      </c>
      <c r="U114" s="80" t="n">
        <v>26180.35</v>
      </c>
      <c r="V114" s="80" t="n">
        <v>22.28</v>
      </c>
      <c r="W114" s="97">
        <f>U114/V114</f>
        <v/>
      </c>
      <c r="X114" s="97">
        <f>(W114/U114)*100</f>
        <v/>
      </c>
      <c r="Y114" s="80" t="n">
        <v>7965.9</v>
      </c>
      <c r="Z114" s="79" t="n">
        <v>19.31</v>
      </c>
      <c r="AA114" s="97">
        <f>Y114/Z114</f>
        <v/>
      </c>
      <c r="AB114" s="97">
        <f>(AA114/Y114)*100</f>
        <v/>
      </c>
    </row>
    <row r="115">
      <c r="A115" s="92" t="n">
        <v>114</v>
      </c>
      <c r="B115" s="93" t="n">
        <v>44729</v>
      </c>
      <c r="C115" s="94" t="n">
        <v>23662349.71</v>
      </c>
      <c r="D115" s="95">
        <f>C115/E115</f>
        <v/>
      </c>
      <c r="E115" s="80" t="n">
        <v>77.952</v>
      </c>
      <c r="F115" s="95">
        <f>D115/100000</f>
        <v/>
      </c>
      <c r="G115" s="95">
        <f>(F115/DataSheet!$C$9*100)</f>
        <v/>
      </c>
      <c r="H115" s="95">
        <f>K115/I115</f>
        <v/>
      </c>
      <c r="I115" s="96">
        <f>(J115/L115)*100</f>
        <v/>
      </c>
      <c r="J115" s="97">
        <f>L115/O115</f>
        <v/>
      </c>
      <c r="K115" s="79" t="n">
        <v>7.546</v>
      </c>
      <c r="L115" s="79" t="n">
        <v>15293.5</v>
      </c>
      <c r="M115" s="79" t="n">
        <v>3.91</v>
      </c>
      <c r="N115" s="97">
        <f>K115-I115</f>
        <v/>
      </c>
      <c r="O115" s="79" t="n">
        <v>18.92</v>
      </c>
      <c r="P115" s="79" t="n">
        <v>3.231</v>
      </c>
      <c r="Q115" s="97">
        <f>K115-P115</f>
        <v/>
      </c>
      <c r="R115" s="79" t="n">
        <v>104.488</v>
      </c>
      <c r="S115" s="98">
        <f>(O115*T115)</f>
        <v/>
      </c>
      <c r="T115" s="79" t="n">
        <v>5.12</v>
      </c>
      <c r="U115" s="80" t="n">
        <v>25877.7</v>
      </c>
      <c r="V115" s="80" t="n">
        <v>22.03</v>
      </c>
      <c r="W115" s="97">
        <f>U115/V115</f>
        <v/>
      </c>
      <c r="X115" s="97">
        <f>(W115/U115)*100</f>
        <v/>
      </c>
      <c r="Y115" s="80" t="n">
        <v>7902.75</v>
      </c>
      <c r="Z115" s="79" t="n">
        <v>19.15</v>
      </c>
      <c r="AA115" s="97">
        <f>Y115/Z115</f>
        <v/>
      </c>
      <c r="AB115" s="97">
        <f>(AA115/Y115)*100</f>
        <v/>
      </c>
    </row>
    <row r="116">
      <c r="A116" s="92" t="n">
        <v>115</v>
      </c>
      <c r="B116" s="93" t="n">
        <v>44732</v>
      </c>
      <c r="C116" s="94" t="n">
        <v>23466089.87</v>
      </c>
      <c r="D116" s="95">
        <f>C116/E116</f>
        <v/>
      </c>
      <c r="E116" s="80" t="n">
        <v>77.92700000000001</v>
      </c>
      <c r="F116" s="95">
        <f>D116/100000</f>
        <v/>
      </c>
      <c r="G116" s="95">
        <f>(F116/DataSheet!$C$9*100)</f>
        <v/>
      </c>
      <c r="H116" s="95">
        <f>K116/I116</f>
        <v/>
      </c>
      <c r="I116" s="96">
        <f>(J116/L116)*100</f>
        <v/>
      </c>
      <c r="J116" s="97">
        <f>L116/O116</f>
        <v/>
      </c>
      <c r="K116" s="79" t="n">
        <v>7.427</v>
      </c>
      <c r="L116" s="79" t="n">
        <v>15350.15</v>
      </c>
      <c r="M116" s="79" t="n">
        <v>3.92</v>
      </c>
      <c r="N116" s="97">
        <f>K116-I116</f>
        <v/>
      </c>
      <c r="O116" s="79" t="n">
        <v>18.99</v>
      </c>
      <c r="P116" s="79" t="n">
        <v>3.277</v>
      </c>
      <c r="Q116" s="97">
        <f>K116-P116</f>
        <v/>
      </c>
      <c r="R116" s="79" t="n">
        <v>104.488</v>
      </c>
      <c r="S116" s="98">
        <f>(O116*T116)</f>
        <v/>
      </c>
      <c r="T116" s="79" t="n">
        <v>5.07</v>
      </c>
      <c r="U116" s="80" t="n">
        <v>25292.9</v>
      </c>
      <c r="V116" s="80" t="n">
        <v>21.59</v>
      </c>
      <c r="W116" s="97">
        <f>U116/V116</f>
        <v/>
      </c>
      <c r="X116" s="97">
        <f>(W116/U116)*100</f>
        <v/>
      </c>
      <c r="Y116" s="80" t="n">
        <v>7657.25</v>
      </c>
      <c r="Z116" s="79" t="n">
        <v>18.56</v>
      </c>
      <c r="AA116" s="97">
        <f>Y116/Z116</f>
        <v/>
      </c>
      <c r="AB116" s="97">
        <f>(AA116/Y116)*100</f>
        <v/>
      </c>
    </row>
    <row r="117">
      <c r="A117" s="92" t="n">
        <v>116</v>
      </c>
      <c r="B117" s="93" t="n">
        <v>44733</v>
      </c>
      <c r="C117" s="94" t="n">
        <v>24049616.12</v>
      </c>
      <c r="D117" s="95">
        <f>C117/E117</f>
        <v/>
      </c>
      <c r="E117" s="80" t="n">
        <v>78.133</v>
      </c>
      <c r="F117" s="95">
        <f>D117/100000</f>
        <v/>
      </c>
      <c r="G117" s="95">
        <f>(F117/DataSheet!$C$9*100)</f>
        <v/>
      </c>
      <c r="H117" s="95">
        <f>K117/I117</f>
        <v/>
      </c>
      <c r="I117" s="96">
        <f>(J117/L117)*100</f>
        <v/>
      </c>
      <c r="J117" s="97">
        <f>L117/O117</f>
        <v/>
      </c>
      <c r="K117" s="79" t="n">
        <v>7.482</v>
      </c>
      <c r="L117" s="79" t="n">
        <v>15638.8</v>
      </c>
      <c r="M117" s="79" t="n">
        <v>4</v>
      </c>
      <c r="N117" s="97">
        <f>K117-I117</f>
        <v/>
      </c>
      <c r="O117" s="79" t="n">
        <v>19.35</v>
      </c>
      <c r="P117" s="79" t="n">
        <v>3.279</v>
      </c>
      <c r="Q117" s="97">
        <f>K117-P117</f>
        <v/>
      </c>
      <c r="R117" s="79" t="n">
        <v>104.211</v>
      </c>
      <c r="S117" s="98">
        <f>(O117*T117)</f>
        <v/>
      </c>
      <c r="T117" s="79" t="n">
        <v>5.05</v>
      </c>
      <c r="U117" s="80" t="n">
        <v>26194.4</v>
      </c>
      <c r="V117" s="80" t="n">
        <v>22.26</v>
      </c>
      <c r="W117" s="97">
        <f>U117/V117</f>
        <v/>
      </c>
      <c r="X117" s="97">
        <f>(W117/U117)*100</f>
        <v/>
      </c>
      <c r="Y117" s="80" t="n">
        <v>7893.4</v>
      </c>
      <c r="Z117" s="79" t="n">
        <v>19.13</v>
      </c>
      <c r="AA117" s="97">
        <f>Y117/Z117</f>
        <v/>
      </c>
      <c r="AB117" s="97">
        <f>(AA117/Y117)*100</f>
        <v/>
      </c>
    </row>
    <row r="118">
      <c r="A118" s="92" t="n">
        <v>117</v>
      </c>
      <c r="B118" s="93" t="n">
        <v>44734</v>
      </c>
      <c r="C118" s="94" t="n">
        <v>23706131.74</v>
      </c>
      <c r="D118" s="95">
        <f>C118/E118</f>
        <v/>
      </c>
      <c r="E118" s="80" t="n">
        <v>78.18000000000001</v>
      </c>
      <c r="F118" s="95">
        <f>D118/100000</f>
        <v/>
      </c>
      <c r="G118" s="95">
        <f>(F118/DataSheet!$C$9*100)</f>
        <v/>
      </c>
      <c r="H118" s="95">
        <f>K118/I118</f>
        <v/>
      </c>
      <c r="I118" s="96">
        <f>(J118/L118)*100</f>
        <v/>
      </c>
      <c r="J118" s="97">
        <f>L118/O118</f>
        <v/>
      </c>
      <c r="K118" s="79" t="n">
        <v>7.396</v>
      </c>
      <c r="L118" s="79" t="n">
        <v>15413.3</v>
      </c>
      <c r="M118" s="79" t="n">
        <v>3.94</v>
      </c>
      <c r="N118" s="97">
        <f>K118-I118</f>
        <v/>
      </c>
      <c r="O118" s="79" t="n">
        <v>19.07</v>
      </c>
      <c r="P118" s="79" t="n">
        <v>3.16</v>
      </c>
      <c r="Q118" s="97">
        <f>K118-P118</f>
        <v/>
      </c>
      <c r="R118" s="79" t="n">
        <v>103.981</v>
      </c>
      <c r="S118" s="98">
        <f>(O118*T118)</f>
        <v/>
      </c>
      <c r="T118" s="79" t="n">
        <v>5.07</v>
      </c>
      <c r="U118" s="80" t="n">
        <v>25767.85</v>
      </c>
      <c r="V118" s="80" t="n">
        <v>21.93</v>
      </c>
      <c r="W118" s="97">
        <f>U118/V118</f>
        <v/>
      </c>
      <c r="X118" s="97">
        <f>(W118/U118)*100</f>
        <v/>
      </c>
      <c r="Y118" s="80" t="n">
        <v>7810.9</v>
      </c>
      <c r="Z118" s="79" t="n">
        <v>18.93</v>
      </c>
      <c r="AA118" s="97">
        <f>Y118/Z118</f>
        <v/>
      </c>
      <c r="AB118" s="97">
        <f>(AA118/Y118)*100</f>
        <v/>
      </c>
    </row>
    <row r="119">
      <c r="A119" s="92" t="n">
        <v>118</v>
      </c>
      <c r="B119" s="93" t="n">
        <v>44735</v>
      </c>
      <c r="C119" s="94" t="n">
        <v>23945817.99</v>
      </c>
      <c r="D119" s="95">
        <f>C119/E119</f>
        <v/>
      </c>
      <c r="E119" s="80" t="n">
        <v>78.145</v>
      </c>
      <c r="F119" s="95">
        <f>D119/100000</f>
        <v/>
      </c>
      <c r="G119" s="95">
        <f>(F119/DataSheet!$C$9*100)</f>
        <v/>
      </c>
      <c r="H119" s="95">
        <f>K119/I119</f>
        <v/>
      </c>
      <c r="I119" s="96">
        <f>(J119/L119)*100</f>
        <v/>
      </c>
      <c r="J119" s="97">
        <f>L119/O119</f>
        <v/>
      </c>
      <c r="K119" s="79" t="n">
        <v>7.419</v>
      </c>
      <c r="L119" s="79" t="n">
        <v>15556.65</v>
      </c>
      <c r="M119" s="79" t="n">
        <v>3.98</v>
      </c>
      <c r="N119" s="97">
        <f>K119-I119</f>
        <v/>
      </c>
      <c r="O119" s="79" t="n">
        <v>19.25</v>
      </c>
      <c r="P119" s="79" t="n">
        <v>3.089</v>
      </c>
      <c r="Q119" s="97">
        <f>K119-P119</f>
        <v/>
      </c>
      <c r="R119" s="79" t="n">
        <v>104.192</v>
      </c>
      <c r="S119" s="98">
        <f>(O119*T119)</f>
        <v/>
      </c>
      <c r="T119" s="79" t="n">
        <v>5.11</v>
      </c>
      <c r="U119" s="80" t="n">
        <v>26079.95</v>
      </c>
      <c r="V119" s="80" t="n">
        <v>22.19</v>
      </c>
      <c r="W119" s="97">
        <f>U119/V119</f>
        <v/>
      </c>
      <c r="X119" s="97">
        <f>(W119/U119)*100</f>
        <v/>
      </c>
      <c r="Y119" s="80" t="n">
        <v>7899.9</v>
      </c>
      <c r="Z119" s="79" t="n">
        <v>19.15</v>
      </c>
      <c r="AA119" s="97">
        <f>Y119/Z119</f>
        <v/>
      </c>
      <c r="AB119" s="97">
        <f>(AA119/Y119)*100</f>
        <v/>
      </c>
    </row>
    <row r="120">
      <c r="A120" s="92" t="n">
        <v>119</v>
      </c>
      <c r="B120" s="93" t="n">
        <v>44736</v>
      </c>
      <c r="C120" s="94" t="n">
        <v>24495227.54</v>
      </c>
      <c r="D120" s="95">
        <f>C120/E120</f>
        <v/>
      </c>
      <c r="E120" s="80" t="n">
        <v>78.255</v>
      </c>
      <c r="F120" s="95">
        <f>D120/100000</f>
        <v/>
      </c>
      <c r="G120" s="95">
        <f>(F120/DataSheet!$C$9*100)</f>
        <v/>
      </c>
      <c r="H120" s="95">
        <f>K120/I120</f>
        <v/>
      </c>
      <c r="I120" s="96">
        <f>(J120/L120)*100</f>
        <v/>
      </c>
      <c r="J120" s="97">
        <f>L120/O120</f>
        <v/>
      </c>
      <c r="K120" s="79" t="n">
        <v>7.444</v>
      </c>
      <c r="L120" s="79" t="n">
        <v>15699.25</v>
      </c>
      <c r="M120" s="79" t="n">
        <v>4.01</v>
      </c>
      <c r="N120" s="97">
        <f>K120-I120</f>
        <v/>
      </c>
      <c r="O120" s="79" t="n">
        <v>19.43</v>
      </c>
      <c r="P120" s="79" t="n">
        <v>3.138</v>
      </c>
      <c r="Q120" s="97">
        <f>K120-P120</f>
        <v/>
      </c>
      <c r="R120" s="79" t="n">
        <v>103.959</v>
      </c>
      <c r="S120" s="98">
        <f>(O120*T120)</f>
        <v/>
      </c>
      <c r="T120" s="79" t="n">
        <v>5.11</v>
      </c>
      <c r="U120" s="80" t="n">
        <v>26449.05</v>
      </c>
      <c r="V120" s="80" t="n">
        <v>22.49</v>
      </c>
      <c r="W120" s="97">
        <f>U120/V120</f>
        <v/>
      </c>
      <c r="X120" s="97">
        <f>(W120/U120)*100</f>
        <v/>
      </c>
      <c r="Y120" s="80" t="n">
        <v>8036.8</v>
      </c>
      <c r="Z120" s="79" t="n">
        <v>19.48</v>
      </c>
      <c r="AA120" s="97">
        <f>Y120/Z120</f>
        <v/>
      </c>
      <c r="AB120" s="97">
        <f>(AA120/Y120)*100</f>
        <v/>
      </c>
    </row>
    <row r="121">
      <c r="A121" s="92" t="n">
        <v>120</v>
      </c>
      <c r="B121" s="93" t="n">
        <v>44739</v>
      </c>
      <c r="C121" s="94" t="n">
        <v>24446353.39</v>
      </c>
      <c r="D121" s="95">
        <f>C121/E121</f>
        <v/>
      </c>
      <c r="E121" s="80" t="n">
        <v>78.44</v>
      </c>
      <c r="F121" s="95">
        <f>D121/100000</f>
        <v/>
      </c>
      <c r="G121" s="95">
        <f>(F121/DataSheet!$C$9*100)</f>
        <v/>
      </c>
      <c r="H121" s="95">
        <f>K121/I121</f>
        <v/>
      </c>
      <c r="I121" s="96">
        <f>(J121/L121)*100</f>
        <v/>
      </c>
      <c r="J121" s="97">
        <f>L121/O121</f>
        <v/>
      </c>
      <c r="K121" s="79" t="n">
        <v>7.407</v>
      </c>
      <c r="L121" s="79" t="n">
        <v>15832.05</v>
      </c>
      <c r="M121" s="79" t="n">
        <v>4.05</v>
      </c>
      <c r="N121" s="97">
        <f>K121-I121</f>
        <v/>
      </c>
      <c r="O121" s="79" t="n">
        <v>19.59</v>
      </c>
      <c r="P121" s="79" t="n">
        <v>3.202</v>
      </c>
      <c r="Q121" s="97">
        <f>K121-P121</f>
        <v/>
      </c>
      <c r="R121" s="79" t="n">
        <v>103.678</v>
      </c>
      <c r="S121" s="98">
        <f>(O121*T121)</f>
        <v/>
      </c>
      <c r="T121" s="79" t="n">
        <v>5.08</v>
      </c>
      <c r="U121" s="80" t="n">
        <v>26713.25</v>
      </c>
      <c r="V121" s="80" t="n">
        <v>22.72</v>
      </c>
      <c r="W121" s="97">
        <f>U121/V121</f>
        <v/>
      </c>
      <c r="X121" s="97">
        <f>(W121/U121)*100</f>
        <v/>
      </c>
      <c r="Y121" s="80" t="n">
        <v>8165.6</v>
      </c>
      <c r="Z121" s="79" t="n">
        <v>19.79</v>
      </c>
      <c r="AA121" s="97">
        <f>Y121/Z121</f>
        <v/>
      </c>
      <c r="AB121" s="97">
        <f>(AA121/Y121)*100</f>
        <v/>
      </c>
    </row>
    <row r="122">
      <c r="A122" s="92" t="n">
        <v>121</v>
      </c>
      <c r="B122" s="93" t="n">
        <v>44740</v>
      </c>
      <c r="C122" s="94" t="n">
        <v>24506022.53</v>
      </c>
      <c r="D122" s="95">
        <f>C122/E122</f>
        <v/>
      </c>
      <c r="E122" s="80" t="n">
        <v>78.995</v>
      </c>
      <c r="F122" s="95">
        <f>D122/100000</f>
        <v/>
      </c>
      <c r="G122" s="95">
        <f>(F122/DataSheet!$C$9*100)</f>
        <v/>
      </c>
      <c r="H122" s="95">
        <f>K122/I122</f>
        <v/>
      </c>
      <c r="I122" s="96">
        <f>(J122/L122)*100</f>
        <v/>
      </c>
      <c r="J122" s="97">
        <f>L122/O122</f>
        <v/>
      </c>
      <c r="K122" s="79" t="n">
        <v>7.466</v>
      </c>
      <c r="L122" s="79" t="n">
        <v>15850.2</v>
      </c>
      <c r="M122" s="79" t="n">
        <v>4.05</v>
      </c>
      <c r="N122" s="97">
        <f>K122-I122</f>
        <v/>
      </c>
      <c r="O122" s="79" t="n">
        <v>19.61</v>
      </c>
      <c r="P122" s="79" t="n">
        <v>3.177</v>
      </c>
      <c r="Q122" s="97">
        <f>K122-P122</f>
        <v/>
      </c>
      <c r="R122" s="79" t="n">
        <v>104.261</v>
      </c>
      <c r="S122" s="98">
        <f>(O122*T122)</f>
        <v/>
      </c>
      <c r="T122" s="79" t="n">
        <v>5.1</v>
      </c>
      <c r="U122" s="80" t="n">
        <v>26791</v>
      </c>
      <c r="V122" s="80" t="n">
        <v>22.81</v>
      </c>
      <c r="W122" s="97">
        <f>U122/V122</f>
        <v/>
      </c>
      <c r="X122" s="97">
        <f>(W122/U122)*100</f>
        <v/>
      </c>
      <c r="Y122" s="80" t="n">
        <v>8159.2</v>
      </c>
      <c r="Z122" s="79" t="n">
        <v>19.78</v>
      </c>
      <c r="AA122" s="97">
        <f>Y122/Z122</f>
        <v/>
      </c>
      <c r="AB122" s="97">
        <f>(AA122/Y122)*100</f>
        <v/>
      </c>
    </row>
    <row r="123">
      <c r="A123" s="92" t="n">
        <v>122</v>
      </c>
      <c r="B123" s="93" t="n">
        <v>44741</v>
      </c>
      <c r="C123" s="94" t="n">
        <v>24446459.45</v>
      </c>
      <c r="D123" s="95">
        <f>C123/E123</f>
        <v/>
      </c>
      <c r="E123" s="80" t="n">
        <v>78.94499999999999</v>
      </c>
      <c r="F123" s="95">
        <f>D123/100000</f>
        <v/>
      </c>
      <c r="G123" s="95">
        <f>(F123/DataSheet!$C$9*100)</f>
        <v/>
      </c>
      <c r="H123" s="95">
        <f>K123/I123</f>
        <v/>
      </c>
      <c r="I123" s="96">
        <f>(J123/L123)*100</f>
        <v/>
      </c>
      <c r="J123" s="97">
        <f>L123/O123</f>
        <v/>
      </c>
      <c r="K123" s="79" t="n">
        <v>7.459</v>
      </c>
      <c r="L123" s="79" t="n">
        <v>15799.1</v>
      </c>
      <c r="M123" s="79" t="n">
        <v>4.04</v>
      </c>
      <c r="N123" s="97">
        <f>K123-I123</f>
        <v/>
      </c>
      <c r="O123" s="79" t="n">
        <v>19.55</v>
      </c>
      <c r="P123" s="79" t="n">
        <v>3.087</v>
      </c>
      <c r="Q123" s="97">
        <f>K123-P123</f>
        <v/>
      </c>
      <c r="R123" s="79" t="n">
        <v>104.849</v>
      </c>
      <c r="S123" s="98">
        <f>(O123*T123)</f>
        <v/>
      </c>
      <c r="T123" s="79" t="n">
        <v>5.13</v>
      </c>
      <c r="U123" s="80" t="n">
        <v>26672.15</v>
      </c>
      <c r="V123" s="80" t="n">
        <v>22.76</v>
      </c>
      <c r="W123" s="97">
        <f>U123/V123</f>
        <v/>
      </c>
      <c r="X123" s="97">
        <f>(W123/U123)*100</f>
        <v/>
      </c>
      <c r="Y123" s="80" t="n">
        <v>8114.6</v>
      </c>
      <c r="Z123" s="79" t="n">
        <v>19.67</v>
      </c>
      <c r="AA123" s="97">
        <f>Y123/Z123</f>
        <v/>
      </c>
      <c r="AB123" s="97">
        <f>(AA123/Y123)*100</f>
        <v/>
      </c>
    </row>
    <row r="124">
      <c r="A124" s="92" t="n">
        <v>123</v>
      </c>
      <c r="B124" s="93" t="n">
        <v>44742</v>
      </c>
      <c r="C124" s="94" t="n">
        <v>24375859.38</v>
      </c>
      <c r="D124" s="95">
        <f>C124/E124</f>
        <v/>
      </c>
      <c r="E124" s="80" t="n">
        <v>78.965</v>
      </c>
      <c r="F124" s="95">
        <f>D124/100000</f>
        <v/>
      </c>
      <c r="G124" s="95">
        <f>(F124/DataSheet!$C$9*100)</f>
        <v/>
      </c>
      <c r="H124" s="95">
        <f>K124/I124</f>
        <v/>
      </c>
      <c r="I124" s="96">
        <f>(J124/L124)*100</f>
        <v/>
      </c>
      <c r="J124" s="97">
        <f>L124/O124</f>
        <v/>
      </c>
      <c r="K124" s="79" t="n">
        <v>7.45</v>
      </c>
      <c r="L124" s="79" t="n">
        <v>15780.25</v>
      </c>
      <c r="M124" s="79" t="n">
        <v>4.03</v>
      </c>
      <c r="N124" s="97">
        <f>K124-I124</f>
        <v/>
      </c>
      <c r="O124" s="79" t="n">
        <v>19.5</v>
      </c>
      <c r="P124" s="79" t="n">
        <v>3.017</v>
      </c>
      <c r="Q124" s="97">
        <f>K124-P124</f>
        <v/>
      </c>
      <c r="R124" s="79" t="n">
        <v>104.464</v>
      </c>
      <c r="S124" s="98">
        <f>(O124*T124)</f>
        <v/>
      </c>
      <c r="T124" s="79" t="n">
        <v>5.14</v>
      </c>
      <c r="U124" s="80" t="n">
        <v>26452.75</v>
      </c>
      <c r="V124" s="80" t="n">
        <v>22.75</v>
      </c>
      <c r="W124" s="97">
        <f>U124/V124</f>
        <v/>
      </c>
      <c r="X124" s="97">
        <f>(W124/U124)*100</f>
        <v/>
      </c>
      <c r="Y124" s="80" t="n">
        <v>8088.6</v>
      </c>
      <c r="Z124" s="79" t="n">
        <v>19.63</v>
      </c>
      <c r="AA124" s="97">
        <f>Y124/Z124</f>
        <v/>
      </c>
      <c r="AB124" s="97">
        <f>(AA124/Y124)*100</f>
        <v/>
      </c>
    </row>
    <row r="125">
      <c r="A125" s="92" t="n">
        <v>124</v>
      </c>
      <c r="B125" s="93" t="n">
        <v>44743</v>
      </c>
      <c r="C125" s="94" t="n">
        <v>24382733.59</v>
      </c>
      <c r="D125" s="95">
        <f>C125/E125</f>
        <v/>
      </c>
      <c r="E125" s="80" t="n">
        <v>78.956</v>
      </c>
      <c r="F125" s="95">
        <f>D125/100000</f>
        <v/>
      </c>
      <c r="G125" s="95">
        <f>(F125/DataSheet!$C$9*100)</f>
        <v/>
      </c>
      <c r="H125" s="95">
        <f>K125/I125</f>
        <v/>
      </c>
      <c r="I125" s="96">
        <f>(J125/L125)*100</f>
        <v/>
      </c>
      <c r="J125" s="97">
        <f>L125/O125</f>
        <v/>
      </c>
      <c r="K125" s="79" t="n">
        <v>7.424</v>
      </c>
      <c r="L125" s="79" t="n">
        <v>15752.05</v>
      </c>
      <c r="M125" s="79" t="n">
        <v>4.02</v>
      </c>
      <c r="N125" s="97">
        <f>K125-I125</f>
        <v/>
      </c>
      <c r="O125" s="79" t="n">
        <v>19.46</v>
      </c>
      <c r="P125" s="79" t="n">
        <v>2.889</v>
      </c>
      <c r="Q125" s="97">
        <f>K125-P125</f>
        <v/>
      </c>
      <c r="R125" s="79" t="n">
        <v>104.909</v>
      </c>
      <c r="S125" s="98">
        <f>(O125*T125)</f>
        <v/>
      </c>
      <c r="T125" s="79" t="n">
        <v>5.13</v>
      </c>
      <c r="U125" s="80" t="n">
        <v>26587.3</v>
      </c>
      <c r="V125" s="80" t="n">
        <v>22.83</v>
      </c>
      <c r="W125" s="97">
        <f>U125/V125</f>
        <v/>
      </c>
      <c r="X125" s="97">
        <f>(W125/U125)*100</f>
        <v/>
      </c>
      <c r="Y125" s="80" t="n">
        <v>8105.5</v>
      </c>
      <c r="Z125" s="79" t="n">
        <v>19.68</v>
      </c>
      <c r="AA125" s="97">
        <f>Y125/Z125</f>
        <v/>
      </c>
      <c r="AB125" s="97">
        <f>(AA125/Y125)*100</f>
        <v/>
      </c>
    </row>
    <row r="126">
      <c r="A126" s="92" t="n">
        <v>125</v>
      </c>
      <c r="B126" s="93" t="n">
        <v>44746</v>
      </c>
      <c r="C126" s="94" t="n">
        <v>24513409.35</v>
      </c>
      <c r="D126" s="95">
        <f>C126/E126</f>
        <v/>
      </c>
      <c r="E126" s="80" t="n">
        <v>78.93899999999999</v>
      </c>
      <c r="F126" s="95">
        <f>D126/100000</f>
        <v/>
      </c>
      <c r="G126" s="95">
        <f>(F126/DataSheet!$C$9*100)</f>
        <v/>
      </c>
      <c r="H126" s="95">
        <f>K126/I126</f>
        <v/>
      </c>
      <c r="I126" s="96">
        <f>(J126/L126)*100</f>
        <v/>
      </c>
      <c r="J126" s="97">
        <f>L126/O126</f>
        <v/>
      </c>
      <c r="K126" s="79" t="n">
        <v>7.374</v>
      </c>
      <c r="L126" s="79" t="n">
        <v>15835.35</v>
      </c>
      <c r="M126" s="79" t="n">
        <v>4.04</v>
      </c>
      <c r="N126" s="97">
        <f>K126-I126</f>
        <v/>
      </c>
      <c r="O126" s="79" t="n">
        <v>19.57</v>
      </c>
      <c r="P126" s="79" t="n">
        <v>2.932</v>
      </c>
      <c r="Q126" s="97">
        <f>K126-P126</f>
        <v/>
      </c>
      <c r="R126" s="79" t="n">
        <v>104.909</v>
      </c>
      <c r="S126" s="98">
        <f>(O126*T126)</f>
        <v/>
      </c>
      <c r="T126" s="79" t="n">
        <v>5.11</v>
      </c>
      <c r="U126" s="80" t="n">
        <v>26769.55</v>
      </c>
      <c r="V126" s="80" t="n">
        <v>22.98</v>
      </c>
      <c r="W126" s="97">
        <f>U126/V126</f>
        <v/>
      </c>
      <c r="X126" s="97">
        <f>(W126/U126)*100</f>
        <v/>
      </c>
      <c r="Y126" s="80" t="n">
        <v>8145.7</v>
      </c>
      <c r="Z126" s="79" t="n">
        <v>19.77</v>
      </c>
      <c r="AA126" s="97">
        <f>Y126/Z126</f>
        <v/>
      </c>
      <c r="AB126" s="97">
        <f>(AA126/Y126)*100</f>
        <v/>
      </c>
    </row>
    <row r="127">
      <c r="A127" s="92" t="n">
        <v>126</v>
      </c>
      <c r="B127" s="93" t="n">
        <v>44747</v>
      </c>
      <c r="C127" s="94" t="n">
        <v>24528011.09</v>
      </c>
      <c r="D127" s="95">
        <f>C127/E127</f>
        <v/>
      </c>
      <c r="E127" s="80" t="n">
        <v>79.298</v>
      </c>
      <c r="F127" s="95">
        <f>D127/100000</f>
        <v/>
      </c>
      <c r="G127" s="95">
        <f>(F127/DataSheet!$C$9*100)</f>
        <v/>
      </c>
      <c r="H127" s="95">
        <f>K127/I127</f>
        <v/>
      </c>
      <c r="I127" s="96">
        <f>(J127/L127)*100</f>
        <v/>
      </c>
      <c r="J127" s="97">
        <f>L127/O127</f>
        <v/>
      </c>
      <c r="K127" s="79" t="n">
        <v>7.391</v>
      </c>
      <c r="L127" s="79" t="n">
        <v>15810.85</v>
      </c>
      <c r="M127" s="79" t="n">
        <v>4.04</v>
      </c>
      <c r="N127" s="97">
        <f>K127-I127</f>
        <v/>
      </c>
      <c r="O127" s="79" t="n">
        <v>19.54</v>
      </c>
      <c r="P127" s="79" t="n">
        <v>2.818</v>
      </c>
      <c r="Q127" s="97">
        <f>K127-P127</f>
        <v/>
      </c>
      <c r="R127" s="79" t="n">
        <v>106.32</v>
      </c>
      <c r="S127" s="98">
        <f>(O127*T127)</f>
        <v/>
      </c>
      <c r="T127" s="79" t="n">
        <v>5.12</v>
      </c>
      <c r="U127" s="80" t="n">
        <v>26698.1</v>
      </c>
      <c r="V127" s="80" t="n">
        <v>22.95</v>
      </c>
      <c r="W127" s="97">
        <f>U127/V127</f>
        <v/>
      </c>
      <c r="X127" s="97">
        <f>(W127/U127)*100</f>
        <v/>
      </c>
      <c r="Y127" s="80" t="n">
        <v>8166.8</v>
      </c>
      <c r="Z127" s="79" t="n">
        <v>19.82</v>
      </c>
      <c r="AA127" s="97">
        <f>Y127/Z127</f>
        <v/>
      </c>
      <c r="AB127" s="97">
        <f>(AA127/Y127)*100</f>
        <v/>
      </c>
    </row>
    <row r="128">
      <c r="A128" s="92" t="n">
        <v>127</v>
      </c>
      <c r="B128" s="93" t="n">
        <v>44748</v>
      </c>
      <c r="C128" s="94" t="n">
        <v>24829900.23</v>
      </c>
      <c r="D128" s="95">
        <f>C128/E128</f>
        <v/>
      </c>
      <c r="E128" s="80" t="n">
        <v>79.047</v>
      </c>
      <c r="F128" s="95">
        <f>D128/100000</f>
        <v/>
      </c>
      <c r="G128" s="95">
        <f>(F128/DataSheet!$C$9*100)</f>
        <v/>
      </c>
      <c r="H128" s="95">
        <f>K128/I128</f>
        <v/>
      </c>
      <c r="I128" s="96">
        <f>(J128/L128)*100</f>
        <v/>
      </c>
      <c r="J128" s="97">
        <f>L128/O128</f>
        <v/>
      </c>
      <c r="K128" s="79" t="n">
        <v>7.294</v>
      </c>
      <c r="L128" s="79" t="n">
        <v>15989.8</v>
      </c>
      <c r="M128" s="79" t="n">
        <v>4.08</v>
      </c>
      <c r="N128" s="97">
        <f>K128-I128</f>
        <v/>
      </c>
      <c r="O128" s="79" t="n">
        <v>19.76</v>
      </c>
      <c r="P128" s="79" t="n">
        <v>2.934</v>
      </c>
      <c r="Q128" s="97">
        <f>K128-P128</f>
        <v/>
      </c>
      <c r="R128" s="79" t="n">
        <v>106.898</v>
      </c>
      <c r="S128" s="98">
        <f>(O128*T128)</f>
        <v/>
      </c>
      <c r="T128" s="79" t="n">
        <v>5.09</v>
      </c>
      <c r="U128" s="80" t="n">
        <v>27204.35</v>
      </c>
      <c r="V128" s="80" t="n">
        <v>23.36</v>
      </c>
      <c r="W128" s="97">
        <f>U128/V128</f>
        <v/>
      </c>
      <c r="X128" s="97">
        <f>(W128/U128)*100</f>
        <v/>
      </c>
      <c r="Y128" s="80" t="n">
        <v>8210.1</v>
      </c>
      <c r="Z128" s="79" t="n">
        <v>19.93</v>
      </c>
      <c r="AA128" s="97">
        <f>Y128/Z128</f>
        <v/>
      </c>
      <c r="AB128" s="97">
        <f>(AA128/Y128)*100</f>
        <v/>
      </c>
    </row>
    <row r="129">
      <c r="A129" s="92" t="n">
        <v>128</v>
      </c>
      <c r="B129" s="93" t="n">
        <v>44749</v>
      </c>
      <c r="C129" s="94" t="n">
        <v>25058303.23</v>
      </c>
      <c r="D129" s="95">
        <f>C129/E129</f>
        <v/>
      </c>
      <c r="E129" s="80" t="n">
        <v>79.175</v>
      </c>
      <c r="F129" s="95">
        <f>D129/100000</f>
        <v/>
      </c>
      <c r="G129" s="95">
        <f>(F129/DataSheet!$C$9*100)</f>
        <v/>
      </c>
      <c r="H129" s="95">
        <f>K129/I129</f>
        <v/>
      </c>
      <c r="I129" s="96">
        <f>(J129/L129)*100</f>
        <v/>
      </c>
      <c r="J129" s="97">
        <f>L129/O129</f>
        <v/>
      </c>
      <c r="K129" s="79" t="n">
        <v>7.354</v>
      </c>
      <c r="L129" s="79" t="n">
        <v>16132.9</v>
      </c>
      <c r="M129" s="79" t="n">
        <v>4.12</v>
      </c>
      <c r="N129" s="97">
        <f>K129-I129</f>
        <v/>
      </c>
      <c r="O129" s="79" t="n">
        <v>19.93</v>
      </c>
      <c r="P129" s="79" t="n">
        <v>3</v>
      </c>
      <c r="Q129" s="97">
        <f>K129-P129</f>
        <v/>
      </c>
      <c r="R129" s="79" t="n">
        <v>106.959</v>
      </c>
      <c r="S129" s="98">
        <f>(O129*T129)</f>
        <v/>
      </c>
      <c r="T129" s="79" t="n">
        <v>5.16</v>
      </c>
      <c r="U129" s="80" t="n">
        <v>27572.45</v>
      </c>
      <c r="V129" s="80" t="n">
        <v>23.67</v>
      </c>
      <c r="W129" s="97">
        <f>U129/V129</f>
        <v/>
      </c>
      <c r="X129" s="97">
        <f>(W129/U129)*100</f>
        <v/>
      </c>
      <c r="Y129" s="80" t="n">
        <v>8317.450000000001</v>
      </c>
      <c r="Z129" s="79" t="n">
        <v>20.19</v>
      </c>
      <c r="AA129" s="97">
        <f>Y129/Z129</f>
        <v/>
      </c>
      <c r="AB129" s="97">
        <f>(AA129/Y129)*100</f>
        <v/>
      </c>
    </row>
    <row r="130">
      <c r="A130" s="92" t="n">
        <v>129</v>
      </c>
      <c r="B130" s="93" t="n">
        <v>44750</v>
      </c>
      <c r="C130" s="94" t="n">
        <v>25155516.01</v>
      </c>
      <c r="D130" s="95">
        <f>C130/E130</f>
        <v/>
      </c>
      <c r="E130" s="80" t="n">
        <v>79.26000000000001</v>
      </c>
      <c r="F130" s="95">
        <f>D130/100000</f>
        <v/>
      </c>
      <c r="G130" s="95">
        <f>(F130/DataSheet!$C$9*100)</f>
        <v/>
      </c>
      <c r="H130" s="95">
        <f>K130/I130</f>
        <v/>
      </c>
      <c r="I130" s="96">
        <f>(J130/L130)*100</f>
        <v/>
      </c>
      <c r="J130" s="97">
        <f>L130/O130</f>
        <v/>
      </c>
      <c r="K130" s="79" t="n">
        <v>7.415</v>
      </c>
      <c r="L130" s="79" t="n">
        <v>16220.6</v>
      </c>
      <c r="M130" s="79" t="n">
        <v>4</v>
      </c>
      <c r="N130" s="97">
        <f>K130-I130</f>
        <v/>
      </c>
      <c r="O130" s="79" t="n">
        <v>20.04</v>
      </c>
      <c r="P130" s="79" t="n">
        <v>3.08</v>
      </c>
      <c r="Q130" s="97">
        <f>K130-P130</f>
        <v/>
      </c>
      <c r="R130" s="79" t="n">
        <v>106.821</v>
      </c>
      <c r="S130" s="98">
        <f>(O130*T130)</f>
        <v/>
      </c>
      <c r="T130" s="79" t="n">
        <v>5.17</v>
      </c>
      <c r="U130" s="80" t="n">
        <v>27649.05</v>
      </c>
      <c r="V130" s="80" t="n">
        <v>23.72</v>
      </c>
      <c r="W130" s="97">
        <f>U130/V130</f>
        <v/>
      </c>
      <c r="X130" s="97">
        <f>(W130/U130)*100</f>
        <v/>
      </c>
      <c r="Y130" s="80" t="n">
        <v>8336.799999999999</v>
      </c>
      <c r="Z130" s="79" t="n">
        <v>20.24</v>
      </c>
      <c r="AA130" s="97">
        <f>Y130/Z130</f>
        <v/>
      </c>
      <c r="AB130" s="97">
        <f>(AA130/Y130)*100</f>
        <v/>
      </c>
    </row>
    <row r="131">
      <c r="A131" s="92" t="n">
        <v>130</v>
      </c>
      <c r="B131" s="93" t="n">
        <v>44753</v>
      </c>
      <c r="C131" s="94" t="n">
        <v>25319892.54</v>
      </c>
      <c r="D131" s="95">
        <f>C131/E131</f>
        <v/>
      </c>
      <c r="E131" s="80" t="n">
        <v>79.41</v>
      </c>
      <c r="F131" s="95">
        <f>D131/100000</f>
        <v/>
      </c>
      <c r="G131" s="95">
        <f>(F131/DataSheet!$C$9*100)</f>
        <v/>
      </c>
      <c r="H131" s="95">
        <f>K131/I131</f>
        <v/>
      </c>
      <c r="I131" s="96">
        <f>(J131/L131)*100</f>
        <v/>
      </c>
      <c r="J131" s="97">
        <f>L131/O131</f>
        <v/>
      </c>
      <c r="K131" s="79" t="n">
        <v>7.427</v>
      </c>
      <c r="L131" s="79" t="n">
        <v>16216</v>
      </c>
      <c r="M131" s="79" t="n">
        <v>3.91</v>
      </c>
      <c r="N131" s="97">
        <f>K131-I131</f>
        <v/>
      </c>
      <c r="O131" s="79" t="n">
        <v>20.03</v>
      </c>
      <c r="P131" s="79" t="n">
        <v>2.993</v>
      </c>
      <c r="Q131" s="97">
        <f>K131-P131</f>
        <v/>
      </c>
      <c r="R131" s="79" t="n">
        <v>107.829</v>
      </c>
      <c r="S131" s="98">
        <f>(O131*T131)</f>
        <v/>
      </c>
      <c r="T131" s="79" t="n">
        <v>5.15</v>
      </c>
      <c r="U131" s="80" t="n">
        <v>27908.05</v>
      </c>
      <c r="V131" s="80" t="n">
        <v>23.96</v>
      </c>
      <c r="W131" s="97">
        <f>U131/V131</f>
        <v/>
      </c>
      <c r="X131" s="97">
        <f>(W131/U131)*100</f>
        <v/>
      </c>
      <c r="Y131" s="80" t="n">
        <v>8423.299999999999</v>
      </c>
      <c r="Z131" s="79" t="n">
        <v>20.41</v>
      </c>
      <c r="AA131" s="97">
        <f>Y131/Z131</f>
        <v/>
      </c>
      <c r="AB131" s="97">
        <f>(AA131/Y131)*100</f>
        <v/>
      </c>
    </row>
    <row r="132">
      <c r="A132" s="92" t="n">
        <v>131</v>
      </c>
      <c r="B132" s="93" t="n">
        <v>44754</v>
      </c>
      <c r="C132" s="94" t="n">
        <v>25190161.62</v>
      </c>
      <c r="D132" s="95">
        <f>C132/E132</f>
        <v/>
      </c>
      <c r="E132" s="80" t="n">
        <v>79.45</v>
      </c>
      <c r="F132" s="95">
        <f>D132/100000</f>
        <v/>
      </c>
      <c r="G132" s="95">
        <f>(F132/DataSheet!$C$9*100)</f>
        <v/>
      </c>
      <c r="H132" s="95">
        <f>K132/I132</f>
        <v/>
      </c>
      <c r="I132" s="96">
        <f>(J132/L132)*100</f>
        <v/>
      </c>
      <c r="J132" s="97">
        <f>L132/O132</f>
        <v/>
      </c>
      <c r="K132" s="79" t="n">
        <v>7.391</v>
      </c>
      <c r="L132" s="79" t="n">
        <v>16058.3</v>
      </c>
      <c r="M132" s="79" t="n">
        <v>3.87</v>
      </c>
      <c r="N132" s="97">
        <f>K132-I132</f>
        <v/>
      </c>
      <c r="O132" s="79" t="n">
        <v>19.83</v>
      </c>
      <c r="P132" s="79" t="n">
        <v>2.971</v>
      </c>
      <c r="Q132" s="97">
        <f>K132-P132</f>
        <v/>
      </c>
      <c r="R132" s="79" t="n">
        <v>107.912</v>
      </c>
      <c r="S132" s="98">
        <f>(O132*T132)</f>
        <v/>
      </c>
      <c r="T132" s="79" t="n">
        <v>5.16</v>
      </c>
      <c r="U132" s="80" t="n">
        <v>27782.05</v>
      </c>
      <c r="V132" s="80" t="n">
        <v>23.83</v>
      </c>
      <c r="W132" s="97">
        <f>U132/V132</f>
        <v/>
      </c>
      <c r="X132" s="97">
        <f>(W132/U132)*100</f>
        <v/>
      </c>
      <c r="Y132" s="80" t="n">
        <v>8392.4</v>
      </c>
      <c r="Z132" s="79" t="n">
        <v>20.34</v>
      </c>
      <c r="AA132" s="97">
        <f>Y132/Z132</f>
        <v/>
      </c>
      <c r="AB132" s="97">
        <f>(AA132/Y132)*100</f>
        <v/>
      </c>
    </row>
    <row r="133">
      <c r="A133" s="92" t="n">
        <v>132</v>
      </c>
      <c r="B133" s="93" t="n">
        <v>44755</v>
      </c>
      <c r="C133" s="94" t="n">
        <v>25099186.73</v>
      </c>
      <c r="D133" s="95">
        <f>C133/E133</f>
        <v/>
      </c>
      <c r="E133" s="80" t="n">
        <v>79.65000000000001</v>
      </c>
      <c r="F133" s="95">
        <f>D133/100000</f>
        <v/>
      </c>
      <c r="G133" s="95">
        <f>(F133/DataSheet!$C$9*100)</f>
        <v/>
      </c>
      <c r="H133" s="95">
        <f>K133/I133</f>
        <v/>
      </c>
      <c r="I133" s="96">
        <f>(J133/L133)*100</f>
        <v/>
      </c>
      <c r="J133" s="97">
        <f>L133/O133</f>
        <v/>
      </c>
      <c r="K133" s="79" t="n">
        <v>7.337</v>
      </c>
      <c r="L133" s="79" t="n">
        <v>15966.65</v>
      </c>
      <c r="M133" s="79" t="n">
        <v>3.85</v>
      </c>
      <c r="N133" s="97">
        <f>K133-I133</f>
        <v/>
      </c>
      <c r="O133" s="79" t="n">
        <v>19.72</v>
      </c>
      <c r="P133" s="79" t="n">
        <v>2.935</v>
      </c>
      <c r="Q133" s="97">
        <f>K133-P133</f>
        <v/>
      </c>
      <c r="R133" s="79" t="n">
        <v>107.756</v>
      </c>
      <c r="S133" s="98">
        <f>(O133*T133)</f>
        <v/>
      </c>
      <c r="T133" s="79" t="n">
        <v>5.18</v>
      </c>
      <c r="U133" s="80" t="n">
        <v>27827.85</v>
      </c>
      <c r="V133" s="80" t="n">
        <v>23.85</v>
      </c>
      <c r="W133" s="97">
        <f>U133/V133</f>
        <v/>
      </c>
      <c r="X133" s="97">
        <f>(W133/U133)*100</f>
        <v/>
      </c>
      <c r="Y133" s="80" t="n">
        <v>8410.35</v>
      </c>
      <c r="Z133" s="79" t="n">
        <v>20.38</v>
      </c>
      <c r="AA133" s="97">
        <f>Y133/Z133</f>
        <v/>
      </c>
      <c r="AB133" s="97">
        <f>(AA133/Y133)*100</f>
        <v/>
      </c>
    </row>
    <row r="134">
      <c r="A134" s="92" t="n">
        <v>133</v>
      </c>
      <c r="B134" s="93" t="n">
        <v>44756</v>
      </c>
      <c r="C134" s="94" t="n">
        <v>25059604.35</v>
      </c>
      <c r="D134" s="95">
        <f>C134/E134</f>
        <v/>
      </c>
      <c r="E134" s="80" t="n">
        <v>79.89</v>
      </c>
      <c r="F134" s="95">
        <f>D134/100000</f>
        <v/>
      </c>
      <c r="G134" s="95">
        <f>(F134/DataSheet!$C$9*100)</f>
        <v/>
      </c>
      <c r="H134" s="95">
        <f>K134/I134</f>
        <v/>
      </c>
      <c r="I134" s="96">
        <f>(J134/L134)*100</f>
        <v/>
      </c>
      <c r="J134" s="97">
        <f>L134/O134</f>
        <v/>
      </c>
      <c r="K134" s="79" t="n">
        <v>7.384</v>
      </c>
      <c r="L134" s="79" t="n">
        <v>15938.65</v>
      </c>
      <c r="M134" s="79" t="n">
        <v>3.84</v>
      </c>
      <c r="N134" s="97">
        <f>K134-I134</f>
        <v/>
      </c>
      <c r="O134" s="79" t="n">
        <v>19.69</v>
      </c>
      <c r="P134" s="79" t="n">
        <v>2.958</v>
      </c>
      <c r="Q134" s="97">
        <f>K134-P134</f>
        <v/>
      </c>
      <c r="R134" s="79" t="n">
        <v>108.407</v>
      </c>
      <c r="S134" s="98">
        <f>(O134*T134)</f>
        <v/>
      </c>
      <c r="T134" s="79" t="n">
        <v>5.22</v>
      </c>
      <c r="U134" s="80" t="n">
        <v>27803.5</v>
      </c>
      <c r="V134" s="80" t="n">
        <v>23.83</v>
      </c>
      <c r="W134" s="97">
        <f>U134/V134</f>
        <v/>
      </c>
      <c r="X134" s="97">
        <f>(W134/U134)*100</f>
        <v/>
      </c>
      <c r="Y134" s="80" t="n">
        <v>8349.6</v>
      </c>
      <c r="Z134" s="79" t="n">
        <v>20.23</v>
      </c>
      <c r="AA134" s="97">
        <f>Y134/Z134</f>
        <v/>
      </c>
      <c r="AB134" s="97">
        <f>(AA134/Y134)*100</f>
        <v/>
      </c>
    </row>
    <row r="135">
      <c r="A135" s="92" t="n">
        <v>134</v>
      </c>
      <c r="B135" s="93" t="n">
        <v>44757</v>
      </c>
      <c r="C135" s="94" t="n">
        <v>25190063.14</v>
      </c>
      <c r="D135" s="95">
        <f>C135/E135</f>
        <v/>
      </c>
      <c r="E135" s="80" t="n">
        <v>79.76000000000001</v>
      </c>
      <c r="F135" s="95">
        <f>D135/100000</f>
        <v/>
      </c>
      <c r="G135" s="95">
        <f>(F135/DataSheet!$C$9*100)</f>
        <v/>
      </c>
      <c r="H135" s="95">
        <f>K135/I135</f>
        <v/>
      </c>
      <c r="I135" s="96">
        <f>(J135/L135)*100</f>
        <v/>
      </c>
      <c r="J135" s="97">
        <f>L135/O135</f>
        <v/>
      </c>
      <c r="K135" s="79" t="n">
        <v>7.438</v>
      </c>
      <c r="L135" s="79" t="n">
        <v>16049.2</v>
      </c>
      <c r="M135" s="79" t="n">
        <v>3.87</v>
      </c>
      <c r="N135" s="97">
        <f>K135-I135</f>
        <v/>
      </c>
      <c r="O135" s="79" t="n">
        <v>19.82</v>
      </c>
      <c r="P135" s="79" t="n">
        <v>2.928</v>
      </c>
      <c r="Q135" s="97">
        <f>K135-P135</f>
        <v/>
      </c>
      <c r="R135" s="79" t="n">
        <v>107.911</v>
      </c>
      <c r="S135" s="98">
        <f>(O135*T135)</f>
        <v/>
      </c>
      <c r="T135" s="79" t="n">
        <v>5.23</v>
      </c>
      <c r="U135" s="80" t="n">
        <v>28017.25</v>
      </c>
      <c r="V135" s="80" t="n">
        <v>23.98</v>
      </c>
      <c r="W135" s="97">
        <f>U135/V135</f>
        <v/>
      </c>
      <c r="X135" s="97">
        <f>(W135/U135)*100</f>
        <v/>
      </c>
      <c r="Y135" s="80" t="n">
        <v>8389.35</v>
      </c>
      <c r="Z135" s="79" t="n">
        <v>20.31</v>
      </c>
      <c r="AA135" s="97">
        <f>Y135/Z135</f>
        <v/>
      </c>
      <c r="AB135" s="97">
        <f>(AA135/Y135)*100</f>
        <v/>
      </c>
    </row>
    <row r="136">
      <c r="A136" s="92" t="n">
        <v>135</v>
      </c>
      <c r="B136" s="93" t="n">
        <v>44760</v>
      </c>
      <c r="C136" s="94" t="n">
        <v>25526266.65</v>
      </c>
      <c r="D136" s="95">
        <f>C136/E136</f>
        <v/>
      </c>
      <c r="E136" s="80" t="n">
        <v>79.98999999999999</v>
      </c>
      <c r="F136" s="95">
        <f>D136/100000</f>
        <v/>
      </c>
      <c r="G136" s="95">
        <f>(F136/DataSheet!$C$9*100)</f>
        <v/>
      </c>
      <c r="H136" s="95">
        <f>K136/I136</f>
        <v/>
      </c>
      <c r="I136" s="96">
        <f>(J136/L136)*100</f>
        <v/>
      </c>
      <c r="J136" s="97">
        <f>L136/O136</f>
        <v/>
      </c>
      <c r="K136" s="79" t="n">
        <v>7.437</v>
      </c>
      <c r="L136" s="79" t="n">
        <v>16278.5</v>
      </c>
      <c r="M136" s="79" t="n">
        <v>3.92</v>
      </c>
      <c r="N136" s="97">
        <f>K136-I136</f>
        <v/>
      </c>
      <c r="O136" s="79" t="n">
        <v>20.11</v>
      </c>
      <c r="P136" s="79" t="n">
        <v>2.989</v>
      </c>
      <c r="Q136" s="97">
        <f>K136-P136</f>
        <v/>
      </c>
      <c r="R136" s="79" t="n">
        <v>107.231</v>
      </c>
      <c r="S136" s="98">
        <f>(O136*T136)</f>
        <v/>
      </c>
      <c r="T136" s="79" t="n">
        <v>5.23</v>
      </c>
      <c r="U136" s="80" t="n">
        <v>28409.75</v>
      </c>
      <c r="V136" s="80" t="n">
        <v>24.19</v>
      </c>
      <c r="W136" s="97">
        <f>U136/V136</f>
        <v/>
      </c>
      <c r="X136" s="97">
        <f>(W136/U136)*100</f>
        <v/>
      </c>
      <c r="Y136" s="80" t="n">
        <v>8511.700000000001</v>
      </c>
      <c r="Z136" s="79" t="n">
        <v>20.63</v>
      </c>
      <c r="AA136" s="97">
        <f>Y136/Z136</f>
        <v/>
      </c>
      <c r="AB136" s="97">
        <f>(AA136/Y136)*100</f>
        <v/>
      </c>
    </row>
    <row r="137">
      <c r="A137" s="92" t="n">
        <v>136</v>
      </c>
      <c r="B137" s="93" t="n">
        <v>44761</v>
      </c>
      <c r="C137" s="94" t="n">
        <v>25649764.92</v>
      </c>
      <c r="D137" s="95">
        <f>C137/E137</f>
        <v/>
      </c>
      <c r="E137" s="80" t="n">
        <v>79.84999999999999</v>
      </c>
      <c r="F137" s="95">
        <f>D137/100000</f>
        <v/>
      </c>
      <c r="G137" s="95">
        <f>(F137/DataSheet!$C$9*100)</f>
        <v/>
      </c>
      <c r="H137" s="95">
        <f>K137/I137</f>
        <v/>
      </c>
      <c r="I137" s="96">
        <f>(J137/L137)*100</f>
        <v/>
      </c>
      <c r="J137" s="97">
        <f>L137/O137</f>
        <v/>
      </c>
      <c r="K137" s="79" t="n">
        <v>7.434</v>
      </c>
      <c r="L137" s="79" t="n">
        <v>16340.55</v>
      </c>
      <c r="M137" s="79" t="n">
        <v>3.94</v>
      </c>
      <c r="N137" s="97">
        <f>K137-I137</f>
        <v/>
      </c>
      <c r="O137" s="79" t="n">
        <v>20.18</v>
      </c>
      <c r="P137" s="79" t="n">
        <v>3.028</v>
      </c>
      <c r="Q137" s="97">
        <f>K137-P137</f>
        <v/>
      </c>
      <c r="R137" s="79" t="n">
        <v>106.55</v>
      </c>
      <c r="S137" s="98">
        <f>(O137*T137)</f>
        <v/>
      </c>
      <c r="T137" s="79" t="n">
        <v>5.25</v>
      </c>
      <c r="U137" s="80" t="n">
        <v>28600.95</v>
      </c>
      <c r="V137" s="80" t="n">
        <v>24.37</v>
      </c>
      <c r="W137" s="97">
        <f>U137/V137</f>
        <v/>
      </c>
      <c r="X137" s="97">
        <f>(W137/U137)*100</f>
        <v/>
      </c>
      <c r="Y137" s="80" t="n">
        <v>8583.299999999999</v>
      </c>
      <c r="Z137" s="79" t="n">
        <v>20.79</v>
      </c>
      <c r="AA137" s="97">
        <f>Y137/Z137</f>
        <v/>
      </c>
      <c r="AB137" s="97">
        <f>(AA137/Y137)*100</f>
        <v/>
      </c>
    </row>
    <row r="138">
      <c r="A138" s="92" t="n">
        <v>137</v>
      </c>
      <c r="B138" s="93" t="n">
        <v>44762</v>
      </c>
      <c r="C138" s="94" t="n">
        <v>25817749.16</v>
      </c>
      <c r="D138" s="95">
        <f>C138/E138</f>
        <v/>
      </c>
      <c r="E138" s="80" t="n">
        <v>79.98</v>
      </c>
      <c r="F138" s="95">
        <f>D138/100000</f>
        <v/>
      </c>
      <c r="G138" s="95">
        <f>(F138/DataSheet!$C$9*100)</f>
        <v/>
      </c>
      <c r="H138" s="95">
        <f>K138/I138</f>
        <v/>
      </c>
      <c r="I138" s="96">
        <f>(J138/L138)*100</f>
        <v/>
      </c>
      <c r="J138" s="97">
        <f>L138/O138</f>
        <v/>
      </c>
      <c r="K138" s="79" t="n">
        <v>7.449</v>
      </c>
      <c r="L138" s="79" t="n">
        <v>16520.85</v>
      </c>
      <c r="M138" s="79" t="n">
        <v>3.98</v>
      </c>
      <c r="N138" s="97">
        <f>K138-I138</f>
        <v/>
      </c>
      <c r="O138" s="79" t="n">
        <v>20.33</v>
      </c>
      <c r="P138" s="79" t="n">
        <v>3.03</v>
      </c>
      <c r="Q138" s="97">
        <f>K138-P138</f>
        <v/>
      </c>
      <c r="R138" s="79" t="n">
        <v>106.953</v>
      </c>
      <c r="S138" s="98">
        <f>(O138*T138)</f>
        <v/>
      </c>
      <c r="T138" s="79" t="n">
        <v>5.37</v>
      </c>
      <c r="U138" s="80" t="n">
        <v>28654.4</v>
      </c>
      <c r="V138" s="80" t="n">
        <v>24.4</v>
      </c>
      <c r="W138" s="97">
        <f>U138/V138</f>
        <v/>
      </c>
      <c r="X138" s="97">
        <f>(W138/U138)*100</f>
        <v/>
      </c>
      <c r="Y138" s="80" t="n">
        <v>8635.049999999999</v>
      </c>
      <c r="Z138" s="79" t="n">
        <v>20.92</v>
      </c>
      <c r="AA138" s="97">
        <f>Y138/Z138</f>
        <v/>
      </c>
      <c r="AB138" s="97">
        <f>(AA138/Y138)*100</f>
        <v/>
      </c>
    </row>
    <row r="139">
      <c r="A139" s="92" t="n">
        <v>138</v>
      </c>
      <c r="B139" s="93" t="n">
        <v>44763</v>
      </c>
      <c r="C139" s="94" t="n">
        <v>26043174.95</v>
      </c>
      <c r="D139" s="95">
        <f>C139/E139</f>
        <v/>
      </c>
      <c r="E139" s="80" t="n">
        <v>79.84999999999999</v>
      </c>
      <c r="F139" s="95">
        <f>D139/100000</f>
        <v/>
      </c>
      <c r="G139" s="95">
        <f>(F139/DataSheet!$C$9*100)</f>
        <v/>
      </c>
      <c r="H139" s="95">
        <f>K139/I139</f>
        <v/>
      </c>
      <c r="I139" s="96">
        <f>(J139/L139)*100</f>
        <v/>
      </c>
      <c r="J139" s="97">
        <f>L139/O139</f>
        <v/>
      </c>
      <c r="K139" s="79" t="n">
        <v>7.44</v>
      </c>
      <c r="L139" s="79" t="n">
        <v>16605.25</v>
      </c>
      <c r="M139" s="79" t="n">
        <v>4</v>
      </c>
      <c r="N139" s="97">
        <f>K139-I139</f>
        <v/>
      </c>
      <c r="O139" s="79" t="n">
        <v>20.43</v>
      </c>
      <c r="P139" s="79" t="n">
        <v>2.882</v>
      </c>
      <c r="Q139" s="97">
        <f>K139-P139</f>
        <v/>
      </c>
      <c r="R139" s="79" t="n">
        <v>106.804</v>
      </c>
      <c r="S139" s="98">
        <f>(O139*T139)</f>
        <v/>
      </c>
      <c r="T139" s="79" t="n">
        <v>5.43</v>
      </c>
      <c r="U139" s="80" t="n">
        <v>29049.15</v>
      </c>
      <c r="V139" s="80" t="n">
        <v>24.7</v>
      </c>
      <c r="W139" s="97">
        <f>U139/V139</f>
        <v/>
      </c>
      <c r="X139" s="97">
        <f>(W139/U139)*100</f>
        <v/>
      </c>
      <c r="Y139" s="80" t="n">
        <v>8703.65</v>
      </c>
      <c r="Z139" s="79" t="n">
        <v>21.11</v>
      </c>
      <c r="AA139" s="97">
        <f>Y139/Z139</f>
        <v/>
      </c>
      <c r="AB139" s="97">
        <f>(AA139/Y139)*100</f>
        <v/>
      </c>
    </row>
    <row r="140">
      <c r="A140" s="92" t="n">
        <v>139</v>
      </c>
      <c r="B140" s="93" t="n">
        <v>44764</v>
      </c>
      <c r="C140" s="94" t="n">
        <v>26106487.37</v>
      </c>
      <c r="D140" s="95">
        <f>C140/E140</f>
        <v/>
      </c>
      <c r="E140" s="80" t="n">
        <v>79.83</v>
      </c>
      <c r="F140" s="95">
        <f>D140/100000</f>
        <v/>
      </c>
      <c r="G140" s="95">
        <f>(F140/DataSheet!$C$9*100)</f>
        <v/>
      </c>
      <c r="H140" s="95">
        <f>K140/I140</f>
        <v/>
      </c>
      <c r="I140" s="96">
        <f>(J140/L140)*100</f>
        <v/>
      </c>
      <c r="J140" s="97">
        <f>L140/O140</f>
        <v/>
      </c>
      <c r="K140" s="79" t="n">
        <v>7.414</v>
      </c>
      <c r="L140" s="79" t="n">
        <v>16719.45</v>
      </c>
      <c r="M140" s="79" t="n">
        <v>4.03</v>
      </c>
      <c r="N140" s="97">
        <f>K140-I140</f>
        <v/>
      </c>
      <c r="O140" s="79" t="n">
        <v>20.55</v>
      </c>
      <c r="P140" s="79" t="n">
        <v>2.754</v>
      </c>
      <c r="Q140" s="97">
        <f>K140-P140</f>
        <v/>
      </c>
      <c r="R140" s="79" t="n">
        <v>106.621</v>
      </c>
      <c r="S140" s="98">
        <f>(O140*T140)</f>
        <v/>
      </c>
      <c r="T140" s="79" t="n">
        <v>5.45</v>
      </c>
      <c r="U140" s="80" t="n">
        <v>29047.85</v>
      </c>
      <c r="V140" s="80" t="n">
        <v>24.71</v>
      </c>
      <c r="W140" s="97">
        <f>U140/V140</f>
        <v/>
      </c>
      <c r="X140" s="97">
        <f>(W140/U140)*100</f>
        <v/>
      </c>
      <c r="Y140" s="80" t="n">
        <v>8727.65</v>
      </c>
      <c r="Z140" s="79" t="n">
        <v>21.16</v>
      </c>
      <c r="AA140" s="97">
        <f>Y140/Z140</f>
        <v/>
      </c>
      <c r="AB140" s="97">
        <f>(AA140/Y140)*100</f>
        <v/>
      </c>
    </row>
    <row r="141">
      <c r="A141" s="92" t="n">
        <v>140</v>
      </c>
      <c r="B141" s="93" t="n">
        <v>44767</v>
      </c>
      <c r="C141" s="94" t="n">
        <v>26005157.8</v>
      </c>
      <c r="D141" s="95">
        <f>C141/E141</f>
        <v/>
      </c>
      <c r="E141" s="80" t="n">
        <v>79.691</v>
      </c>
      <c r="F141" s="95">
        <f>D141/100000</f>
        <v/>
      </c>
      <c r="G141" s="95">
        <f>(F141/DataSheet!$C$9*100)</f>
        <v/>
      </c>
      <c r="H141" s="95">
        <f>K141/I141</f>
        <v/>
      </c>
      <c r="I141" s="96">
        <f>(J141/L141)*100</f>
        <v/>
      </c>
      <c r="J141" s="97">
        <f>L141/O141</f>
        <v/>
      </c>
      <c r="K141" s="79" t="n">
        <v>7.391</v>
      </c>
      <c r="L141" s="79" t="n">
        <v>16631</v>
      </c>
      <c r="M141" s="79" t="n">
        <v>4.01</v>
      </c>
      <c r="N141" s="97">
        <f>K141-I141</f>
        <v/>
      </c>
      <c r="O141" s="79" t="n">
        <v>20.44</v>
      </c>
      <c r="P141" s="79" t="n">
        <v>2.807</v>
      </c>
      <c r="Q141" s="97">
        <f>K141-P141</f>
        <v/>
      </c>
      <c r="R141" s="79" t="n">
        <v>106.355</v>
      </c>
      <c r="S141" s="98">
        <f>(O141*T141)</f>
        <v/>
      </c>
      <c r="T141" s="79" t="n">
        <v>5.45</v>
      </c>
      <c r="U141" s="80" t="n">
        <v>29020.75</v>
      </c>
      <c r="V141" s="80" t="n">
        <v>24.63</v>
      </c>
      <c r="W141" s="97">
        <f>U141/V141</f>
        <v/>
      </c>
      <c r="X141" s="97">
        <f>(W141/U141)*100</f>
        <v/>
      </c>
      <c r="Y141" s="80" t="n">
        <v>8691.85</v>
      </c>
      <c r="Z141" s="79" t="n">
        <v>20.51</v>
      </c>
      <c r="AA141" s="97">
        <f>Y141/Z141</f>
        <v/>
      </c>
      <c r="AB141" s="97">
        <f>(AA141/Y141)*100</f>
        <v/>
      </c>
    </row>
    <row r="142">
      <c r="A142" s="92" t="n">
        <v>141</v>
      </c>
      <c r="B142" s="93" t="n">
        <v>44768</v>
      </c>
      <c r="C142" s="94" t="n">
        <v>25754732.15</v>
      </c>
      <c r="D142" s="95">
        <f>C142/E142</f>
        <v/>
      </c>
      <c r="E142" s="80" t="n">
        <v>79.843</v>
      </c>
      <c r="F142" s="95">
        <f>D142/100000</f>
        <v/>
      </c>
      <c r="G142" s="95">
        <f>(F142/DataSheet!$C$9*100)</f>
        <v/>
      </c>
      <c r="H142" s="95">
        <f>K142/I142</f>
        <v/>
      </c>
      <c r="I142" s="96">
        <f>(J142/L142)*100</f>
        <v/>
      </c>
      <c r="J142" s="97">
        <f>L142/O142</f>
        <v/>
      </c>
      <c r="K142" s="79" t="n">
        <v>7.367</v>
      </c>
      <c r="L142" s="79" t="n">
        <v>16483.85</v>
      </c>
      <c r="M142" s="79" t="n">
        <v>3.96</v>
      </c>
      <c r="N142" s="97">
        <f>K142-I142</f>
        <v/>
      </c>
      <c r="O142" s="79" t="n">
        <v>20.17</v>
      </c>
      <c r="P142" s="79" t="n">
        <v>2.803</v>
      </c>
      <c r="Q142" s="97">
        <f>K142-P142</f>
        <v/>
      </c>
      <c r="R142" s="79" t="n">
        <v>107.044</v>
      </c>
      <c r="S142" s="98">
        <f>(O142*T142)</f>
        <v/>
      </c>
      <c r="T142" s="79" t="n">
        <v>5.44</v>
      </c>
      <c r="U142" s="80" t="n">
        <v>28658.75</v>
      </c>
      <c r="V142" s="80" t="n">
        <v>24.32</v>
      </c>
      <c r="W142" s="97">
        <f>U142/V142</f>
        <v/>
      </c>
      <c r="X142" s="97">
        <f>(W142/U142)*100</f>
        <v/>
      </c>
      <c r="Y142" s="80" t="n">
        <v>8602.75</v>
      </c>
      <c r="Z142" s="79" t="n">
        <v>20.29</v>
      </c>
      <c r="AA142" s="97">
        <f>Y142/Z142</f>
        <v/>
      </c>
      <c r="AB142" s="97">
        <f>(AA142/Y142)*100</f>
        <v/>
      </c>
    </row>
    <row r="143">
      <c r="A143" s="92" t="n">
        <v>142</v>
      </c>
      <c r="B143" s="93" t="n">
        <v>44769</v>
      </c>
      <c r="C143" s="94" t="n">
        <v>25968675.12</v>
      </c>
      <c r="D143" s="95">
        <f>C143/E143</f>
        <v/>
      </c>
      <c r="E143" s="80" t="n">
        <v>79.845</v>
      </c>
      <c r="F143" s="95">
        <f>D143/100000</f>
        <v/>
      </c>
      <c r="G143" s="95">
        <f>(F143/DataSheet!$C$9*100)</f>
        <v/>
      </c>
      <c r="H143" s="95">
        <f>K143/I143</f>
        <v/>
      </c>
      <c r="I143" s="96">
        <f>(J143/L143)*100</f>
        <v/>
      </c>
      <c r="J143" s="97">
        <f>L143/O143</f>
        <v/>
      </c>
      <c r="K143" s="79" t="n">
        <v>7.338</v>
      </c>
      <c r="L143" s="79" t="n">
        <v>16641.8</v>
      </c>
      <c r="M143" s="79" t="n">
        <v>4</v>
      </c>
      <c r="N143" s="97">
        <f>K143-I143</f>
        <v/>
      </c>
      <c r="O143" s="79" t="n">
        <v>20.19</v>
      </c>
      <c r="P143" s="79" t="n">
        <v>2.785</v>
      </c>
      <c r="Q143" s="97">
        <f>K143-P143</f>
        <v/>
      </c>
      <c r="R143" s="79" t="n">
        <v>106.331</v>
      </c>
      <c r="S143" s="98">
        <f>(O143*T143)</f>
        <v/>
      </c>
      <c r="T143" s="79" t="n">
        <v>5.63</v>
      </c>
      <c r="U143" s="80" t="n">
        <v>28976.3</v>
      </c>
      <c r="V143" s="80" t="n">
        <v>24.36</v>
      </c>
      <c r="W143" s="97">
        <f>U143/V143</f>
        <v/>
      </c>
      <c r="X143" s="97">
        <f>(W143/U143)*100</f>
        <v/>
      </c>
      <c r="Y143" s="80" t="n">
        <v>8602.25</v>
      </c>
      <c r="Z143" s="79" t="n">
        <v>20.18</v>
      </c>
      <c r="AA143" s="97">
        <f>Y143/Z143</f>
        <v/>
      </c>
      <c r="AB143" s="97">
        <f>(AA143/Y143)*100</f>
        <v/>
      </c>
    </row>
    <row r="144">
      <c r="A144" s="92" t="n">
        <v>143</v>
      </c>
      <c r="B144" s="93" t="n">
        <v>44770</v>
      </c>
      <c r="C144" s="94" t="n">
        <v>26309948.17</v>
      </c>
      <c r="D144" s="95">
        <f>C144/E144</f>
        <v/>
      </c>
      <c r="E144" s="80" t="n">
        <v>79.626</v>
      </c>
      <c r="F144" s="95">
        <f>D144/100000</f>
        <v/>
      </c>
      <c r="G144" s="95">
        <f>(F144/DataSheet!$C$9*100)</f>
        <v/>
      </c>
      <c r="H144" s="95">
        <f>K144/I144</f>
        <v/>
      </c>
      <c r="I144" s="96">
        <f>(J144/L144)*100</f>
        <v/>
      </c>
      <c r="J144" s="97">
        <f>L144/O144</f>
        <v/>
      </c>
      <c r="K144" s="79" t="n">
        <v>7.332</v>
      </c>
      <c r="L144" s="79" t="n">
        <v>16929.6</v>
      </c>
      <c r="M144" s="79" t="n">
        <v>4.07</v>
      </c>
      <c r="N144" s="97">
        <f>K144-I144</f>
        <v/>
      </c>
      <c r="O144" s="79" t="n">
        <v>20.49</v>
      </c>
      <c r="P144" s="79" t="n">
        <v>2.671</v>
      </c>
      <c r="Q144" s="97">
        <f>K144-P144</f>
        <v/>
      </c>
      <c r="R144" s="79" t="n">
        <v>106.236</v>
      </c>
      <c r="S144" s="98">
        <f>(O144*T144)</f>
        <v/>
      </c>
      <c r="T144" s="79" t="n">
        <v>5.6</v>
      </c>
      <c r="U144" s="80" t="n">
        <v>29219.75</v>
      </c>
      <c r="V144" s="80" t="n">
        <v>24.44</v>
      </c>
      <c r="W144" s="97">
        <f>U144/V144</f>
        <v/>
      </c>
      <c r="X144" s="97">
        <f>(W144/U144)*100</f>
        <v/>
      </c>
      <c r="Y144" s="80" t="n">
        <v>8667.5</v>
      </c>
      <c r="Z144" s="79" t="n">
        <v>20.36</v>
      </c>
      <c r="AA144" s="97">
        <f>Y144/Z144</f>
        <v/>
      </c>
      <c r="AB144" s="97">
        <f>(AA144/Y144)*100</f>
        <v/>
      </c>
    </row>
    <row r="145">
      <c r="A145" s="92" t="n">
        <v>144</v>
      </c>
      <c r="B145" s="93" t="n">
        <v>44771</v>
      </c>
      <c r="C145" s="94" t="n">
        <v>26660138.56</v>
      </c>
      <c r="D145" s="95">
        <f>C145/E145</f>
        <v/>
      </c>
      <c r="E145" s="80" t="n">
        <v>79.336</v>
      </c>
      <c r="F145" s="95">
        <f>D145/100000</f>
        <v/>
      </c>
      <c r="G145" s="95">
        <f>(F145/DataSheet!$C$9*100)</f>
        <v/>
      </c>
      <c r="H145" s="95">
        <f>K145/I145</f>
        <v/>
      </c>
      <c r="I145" s="96">
        <f>(J145/L145)*100</f>
        <v/>
      </c>
      <c r="J145" s="97">
        <f>L145/O145</f>
        <v/>
      </c>
      <c r="K145" s="79" t="n">
        <v>7.32</v>
      </c>
      <c r="L145" s="79" t="n">
        <v>17158.25</v>
      </c>
      <c r="M145" s="79" t="n">
        <v>4.12</v>
      </c>
      <c r="N145" s="97">
        <f>K145-I145</f>
        <v/>
      </c>
      <c r="O145" s="79" t="n">
        <v>20.73</v>
      </c>
      <c r="P145" s="79" t="n">
        <v>2.658</v>
      </c>
      <c r="Q145" s="97">
        <f>K145-P145</f>
        <v/>
      </c>
      <c r="R145" s="79" t="n">
        <v>105.779</v>
      </c>
      <c r="S145" s="98">
        <f>(O145*T145)</f>
        <v/>
      </c>
      <c r="T145" s="79" t="n">
        <v>5.6</v>
      </c>
      <c r="U145" s="80" t="n">
        <v>29634.25</v>
      </c>
      <c r="V145" s="80" t="n">
        <v>24.69</v>
      </c>
      <c r="W145" s="97">
        <f>U145/V145</f>
        <v/>
      </c>
      <c r="X145" s="97">
        <f>(W145/U145)*100</f>
        <v/>
      </c>
      <c r="Y145" s="80" t="n">
        <v>8790.549999999999</v>
      </c>
      <c r="Z145" s="79" t="n">
        <v>20.58</v>
      </c>
      <c r="AA145" s="97">
        <f>Y145/Z145</f>
        <v/>
      </c>
      <c r="AB145" s="97">
        <f>(AA145/Y145)*100</f>
        <v/>
      </c>
    </row>
    <row r="146">
      <c r="A146" s="92" t="n">
        <v>145</v>
      </c>
      <c r="B146" s="93" t="n">
        <v>44774</v>
      </c>
      <c r="C146" s="94" t="n">
        <v>27019181.51</v>
      </c>
      <c r="D146" s="95">
        <f>C146/E146</f>
        <v/>
      </c>
      <c r="E146" s="80" t="n">
        <v>78.959</v>
      </c>
      <c r="F146" s="95">
        <f>D146/100000</f>
        <v/>
      </c>
      <c r="G146" s="95">
        <f>(F146/DataSheet!$C$9*100)</f>
        <v/>
      </c>
      <c r="H146" s="95">
        <f>K146/I146</f>
        <v/>
      </c>
      <c r="I146" s="96">
        <f>(J146/L146)*100</f>
        <v/>
      </c>
      <c r="J146" s="97">
        <f>L146/O146</f>
        <v/>
      </c>
      <c r="K146" s="79" t="n">
        <v>7.24</v>
      </c>
      <c r="L146" s="79" t="n">
        <v>17340.05</v>
      </c>
      <c r="M146" s="79" t="n">
        <v>4.17</v>
      </c>
      <c r="N146" s="97">
        <f>K146-I146</f>
        <v/>
      </c>
      <c r="O146" s="79" t="n">
        <v>20.9</v>
      </c>
      <c r="P146" s="79" t="n">
        <v>2.588</v>
      </c>
      <c r="Q146" s="97">
        <f>K146-P146</f>
        <v/>
      </c>
      <c r="R146" s="79" t="n">
        <v>105.336</v>
      </c>
      <c r="S146" s="98">
        <f>(O146*T146)</f>
        <v/>
      </c>
      <c r="T146" s="79" t="n">
        <v>5.58</v>
      </c>
      <c r="U146" s="80" t="n">
        <v>30128</v>
      </c>
      <c r="V146" s="80" t="n">
        <v>24.53</v>
      </c>
      <c r="W146" s="97">
        <f>U146/V146</f>
        <v/>
      </c>
      <c r="X146" s="97">
        <f>(W146/U146)*100</f>
        <v/>
      </c>
      <c r="Y146" s="80" t="n">
        <v>8935.049999999999</v>
      </c>
      <c r="Z146" s="79" t="n">
        <v>20.67</v>
      </c>
      <c r="AA146" s="97">
        <f>Y146/Z146</f>
        <v/>
      </c>
      <c r="AB146" s="97">
        <f>(AA146/Y146)*100</f>
        <v/>
      </c>
    </row>
    <row r="147">
      <c r="A147" s="92" t="n">
        <v>146</v>
      </c>
      <c r="B147" s="93" t="n">
        <v>44775</v>
      </c>
      <c r="C147" s="94" t="n">
        <v>27128260.97</v>
      </c>
      <c r="D147" s="95">
        <f>C147/E147</f>
        <v/>
      </c>
      <c r="E147" s="80" t="n">
        <v>78.587</v>
      </c>
      <c r="F147" s="95">
        <f>D147/100000</f>
        <v/>
      </c>
      <c r="G147" s="95">
        <f>(F147/DataSheet!$C$9*100)</f>
        <v/>
      </c>
      <c r="H147" s="95">
        <f>K147/I147</f>
        <v/>
      </c>
      <c r="I147" s="96">
        <f>(J147/L147)*100</f>
        <v/>
      </c>
      <c r="J147" s="97">
        <f>L147/O147</f>
        <v/>
      </c>
      <c r="K147" s="79" t="n">
        <v>7.196</v>
      </c>
      <c r="L147" s="79" t="n">
        <v>17345.45</v>
      </c>
      <c r="M147" s="79" t="n">
        <v>4.17</v>
      </c>
      <c r="N147" s="97">
        <f>K147-I147</f>
        <v/>
      </c>
      <c r="O147" s="79" t="n">
        <v>20.86</v>
      </c>
      <c r="P147" s="79" t="n">
        <v>2.748</v>
      </c>
      <c r="Q147" s="97">
        <f>K147-P147</f>
        <v/>
      </c>
      <c r="R147" s="79" t="n">
        <v>106.104</v>
      </c>
      <c r="S147" s="98">
        <f>(O147*T147)</f>
        <v/>
      </c>
      <c r="T147" s="79" t="n">
        <v>5.47</v>
      </c>
      <c r="U147" s="80" t="n">
        <v>30228.15</v>
      </c>
      <c r="V147" s="80" t="n">
        <v>24.35</v>
      </c>
      <c r="W147" s="97">
        <f>U147/V147</f>
        <v/>
      </c>
      <c r="X147" s="97">
        <f>(W147/U147)*100</f>
        <v/>
      </c>
      <c r="Y147" s="80" t="n">
        <v>8990.15</v>
      </c>
      <c r="Z147" s="79" t="n">
        <v>20.38</v>
      </c>
      <c r="AA147" s="97">
        <f>Y147/Z147</f>
        <v/>
      </c>
      <c r="AB147" s="97">
        <f>(AA147/Y147)*100</f>
        <v/>
      </c>
    </row>
    <row r="148">
      <c r="A148" s="92" t="n">
        <v>147</v>
      </c>
      <c r="B148" s="93" t="n">
        <v>44776</v>
      </c>
      <c r="C148" s="94" t="n">
        <v>27107109.06</v>
      </c>
      <c r="D148" s="95">
        <f>C148/E148</f>
        <v/>
      </c>
      <c r="E148" s="80" t="n">
        <v>79.108</v>
      </c>
      <c r="F148" s="95">
        <f>D148/100000</f>
        <v/>
      </c>
      <c r="G148" s="95">
        <f>(F148/DataSheet!$C$9*100)</f>
        <v/>
      </c>
      <c r="H148" s="95">
        <f>K148/I148</f>
        <v/>
      </c>
      <c r="I148" s="96">
        <f>(J148/L148)*100</f>
        <v/>
      </c>
      <c r="J148" s="97">
        <f>L148/O148</f>
        <v/>
      </c>
      <c r="K148" s="79" t="n">
        <v>7.242</v>
      </c>
      <c r="L148" s="79" t="n">
        <v>17388.15</v>
      </c>
      <c r="M148" s="79" t="n">
        <v>4.18</v>
      </c>
      <c r="N148" s="97">
        <f>K148-I148</f>
        <v/>
      </c>
      <c r="O148" s="79" t="n">
        <v>20.85</v>
      </c>
      <c r="P148" s="79" t="n">
        <v>2.706</v>
      </c>
      <c r="Q148" s="97">
        <f>K148-P148</f>
        <v/>
      </c>
      <c r="R148" s="79" t="n">
        <v>106.377</v>
      </c>
      <c r="S148" s="98">
        <f>(O148*T148)</f>
        <v/>
      </c>
      <c r="T148" s="79" t="n">
        <v>5.53</v>
      </c>
      <c r="U148" s="80" t="n">
        <v>30017.65</v>
      </c>
      <c r="V148" s="80" t="n">
        <v>24.18</v>
      </c>
      <c r="W148" s="97">
        <f>U148/V148</f>
        <v/>
      </c>
      <c r="X148" s="97">
        <f>(W148/U148)*100</f>
        <v/>
      </c>
      <c r="Y148" s="80" t="n">
        <v>8954.549999999999</v>
      </c>
      <c r="Z148" s="79" t="n">
        <v>20.29</v>
      </c>
      <c r="AA148" s="97">
        <f>Y148/Z148</f>
        <v/>
      </c>
      <c r="AB148" s="97">
        <f>(AA148/Y148)*100</f>
        <v/>
      </c>
    </row>
    <row r="149">
      <c r="A149" s="92" t="n">
        <v>148</v>
      </c>
      <c r="B149" s="93" t="n">
        <v>44777</v>
      </c>
      <c r="C149" s="94" t="n">
        <v>27135657.46</v>
      </c>
      <c r="D149" s="95">
        <f>C149/E149</f>
        <v/>
      </c>
      <c r="E149" s="80" t="n">
        <v>79.16</v>
      </c>
      <c r="F149" s="95">
        <f>D149/100000</f>
        <v/>
      </c>
      <c r="G149" s="95">
        <f>(F149/DataSheet!$C$9*100)</f>
        <v/>
      </c>
      <c r="H149" s="95">
        <f>K149/I149</f>
        <v/>
      </c>
      <c r="I149" s="96">
        <f>(J149/L149)*100</f>
        <v/>
      </c>
      <c r="J149" s="97">
        <f>L149/O149</f>
        <v/>
      </c>
      <c r="K149" s="79" t="n">
        <v>7.157</v>
      </c>
      <c r="L149" s="79" t="n">
        <v>17382</v>
      </c>
      <c r="M149" s="79" t="n">
        <v>4.18</v>
      </c>
      <c r="N149" s="97">
        <f>K149-I149</f>
        <v/>
      </c>
      <c r="O149" s="79" t="n">
        <v>20.85</v>
      </c>
      <c r="P149" s="79" t="n">
        <v>2.694</v>
      </c>
      <c r="Q149" s="97">
        <f>K149-P149</f>
        <v/>
      </c>
      <c r="R149" s="79" t="n">
        <v>105.566</v>
      </c>
      <c r="S149" s="98">
        <f>(O149*T149)</f>
        <v/>
      </c>
      <c r="T149" s="79" t="n">
        <v>5.53</v>
      </c>
      <c r="U149" s="80" t="n">
        <v>30190.85</v>
      </c>
      <c r="V149" s="80" t="n">
        <v>24.3</v>
      </c>
      <c r="W149" s="97">
        <f>U149/V149</f>
        <v/>
      </c>
      <c r="X149" s="97">
        <f>(W149/U149)*100</f>
        <v/>
      </c>
      <c r="Y149" s="80" t="n">
        <v>8930.450000000001</v>
      </c>
      <c r="Z149" s="79" t="n">
        <v>20.25</v>
      </c>
      <c r="AA149" s="97">
        <f>Y149/Z149</f>
        <v/>
      </c>
      <c r="AB149" s="97">
        <f>(AA149/Y149)*100</f>
        <v/>
      </c>
    </row>
    <row r="150">
      <c r="A150" s="92" t="n">
        <v>149</v>
      </c>
      <c r="B150" s="93" t="n">
        <v>44778</v>
      </c>
      <c r="C150" s="94" t="n">
        <v>27130496.82</v>
      </c>
      <c r="D150" s="95">
        <f>C150/E150</f>
        <v/>
      </c>
      <c r="E150" s="80" t="n">
        <v>79.36</v>
      </c>
      <c r="F150" s="95">
        <f>D150/100000</f>
        <v/>
      </c>
      <c r="G150" s="95">
        <f>(F150/DataSheet!$C$9*100)</f>
        <v/>
      </c>
      <c r="H150" s="95">
        <f>K150/I150</f>
        <v/>
      </c>
      <c r="I150" s="96">
        <f>(J150/L150)*100</f>
        <v/>
      </c>
      <c r="J150" s="97">
        <f>L150/O150</f>
        <v/>
      </c>
      <c r="K150" s="79" t="n">
        <v>7.3</v>
      </c>
      <c r="L150" s="79" t="n">
        <v>17397.5</v>
      </c>
      <c r="M150" s="79" t="n">
        <v>4.18</v>
      </c>
      <c r="N150" s="97">
        <f>K150-I150</f>
        <v/>
      </c>
      <c r="O150" s="79" t="n">
        <v>20.86</v>
      </c>
      <c r="P150" s="79" t="n">
        <v>2.827</v>
      </c>
      <c r="Q150" s="97">
        <f>K150-P150</f>
        <v/>
      </c>
      <c r="R150" s="79" t="n">
        <v>106.49</v>
      </c>
      <c r="S150" s="98">
        <f>(O150*T150)</f>
        <v/>
      </c>
      <c r="T150" s="79" t="n">
        <v>5.58</v>
      </c>
      <c r="U150" s="80" t="n">
        <v>30258.35</v>
      </c>
      <c r="V150" s="80" t="n">
        <v>24.37</v>
      </c>
      <c r="W150" s="97">
        <f>U150/V150</f>
        <v/>
      </c>
      <c r="X150" s="97">
        <f>(W150/U150)*100</f>
        <v/>
      </c>
      <c r="Y150" s="80" t="n">
        <v>8922.200000000001</v>
      </c>
      <c r="Z150" s="79" t="n">
        <v>20.16</v>
      </c>
      <c r="AA150" s="97">
        <f>Y150/Z150</f>
        <v/>
      </c>
      <c r="AB150" s="97">
        <f>(AA150/Y150)*100</f>
        <v/>
      </c>
    </row>
    <row r="151">
      <c r="A151" s="92" t="n">
        <v>150</v>
      </c>
      <c r="B151" s="93" t="n">
        <v>44781</v>
      </c>
      <c r="C151" s="94" t="n">
        <v>27277321.13</v>
      </c>
      <c r="D151" s="95">
        <f>C151/E151</f>
        <v/>
      </c>
      <c r="E151" s="80" t="n">
        <v>79.584</v>
      </c>
      <c r="F151" s="95">
        <f>D151/100000</f>
        <v/>
      </c>
      <c r="G151" s="95">
        <f>(F151/DataSheet!$C$9*100)</f>
        <v/>
      </c>
      <c r="H151" s="95">
        <f>K151/I151</f>
        <v/>
      </c>
      <c r="I151" s="96">
        <f>(J151/L151)*100</f>
        <v/>
      </c>
      <c r="J151" s="97">
        <f>L151/O151</f>
        <v/>
      </c>
      <c r="K151" s="79" t="n">
        <v>7.348</v>
      </c>
      <c r="L151" s="79" t="n">
        <v>17525.1</v>
      </c>
      <c r="M151" s="79" t="n">
        <v>4.21</v>
      </c>
      <c r="N151" s="97">
        <f>K151-I151</f>
        <v/>
      </c>
      <c r="O151" s="79" t="n">
        <v>21.02</v>
      </c>
      <c r="P151" s="79" t="n">
        <v>2.75</v>
      </c>
      <c r="Q151" s="97">
        <f>K151-P151</f>
        <v/>
      </c>
      <c r="R151" s="79" t="n">
        <v>106.323</v>
      </c>
      <c r="S151" s="98">
        <f>(O151*T151)</f>
        <v/>
      </c>
      <c r="T151" s="79" t="n">
        <v>5.58</v>
      </c>
      <c r="U151" s="80" t="n">
        <v>30366.05</v>
      </c>
      <c r="V151" s="80" t="n">
        <v>24.38</v>
      </c>
      <c r="W151" s="97">
        <f>U151/V151</f>
        <v/>
      </c>
      <c r="X151" s="97">
        <f>(W151/U151)*100</f>
        <v/>
      </c>
      <c r="Y151" s="80" t="n">
        <v>8944.25</v>
      </c>
      <c r="Z151" s="79" t="n">
        <v>20.35</v>
      </c>
      <c r="AA151" s="97">
        <f>Y151/Z151</f>
        <v/>
      </c>
      <c r="AB151" s="97">
        <f>(AA151/Y151)*100</f>
        <v/>
      </c>
    </row>
    <row r="152">
      <c r="A152" s="92" t="n">
        <v>151</v>
      </c>
      <c r="B152" s="93" t="n">
        <v>44783</v>
      </c>
      <c r="C152" s="94" t="n">
        <v>27240263.34</v>
      </c>
      <c r="D152" s="95">
        <f>C152/E152</f>
        <v/>
      </c>
      <c r="E152" s="80" t="n">
        <v>79.09</v>
      </c>
      <c r="F152" s="95">
        <f>D152/100000</f>
        <v/>
      </c>
      <c r="G152" s="95">
        <f>(F152/DataSheet!$C$9*100)</f>
        <v/>
      </c>
      <c r="H152" s="95">
        <f>K152/I152</f>
        <v/>
      </c>
      <c r="I152" s="96">
        <f>(J152/L152)*100</f>
        <v/>
      </c>
      <c r="J152" s="97">
        <f>L152/O152</f>
        <v/>
      </c>
      <c r="K152" s="79" t="n">
        <v>7.31</v>
      </c>
      <c r="L152" s="79" t="n">
        <v>17534.75</v>
      </c>
      <c r="M152" s="79" t="n">
        <v>4.21</v>
      </c>
      <c r="N152" s="97">
        <f>K152-I152</f>
        <v/>
      </c>
      <c r="O152" s="79" t="n">
        <v>21.11</v>
      </c>
      <c r="P152" s="79" t="n">
        <v>2.785</v>
      </c>
      <c r="Q152" s="97">
        <f>K152-P152</f>
        <v/>
      </c>
      <c r="R152" s="79" t="n">
        <v>105.08</v>
      </c>
      <c r="S152" s="98">
        <f>(O152*T152)</f>
        <v/>
      </c>
      <c r="T152" s="79" t="n">
        <v>5.53</v>
      </c>
      <c r="U152" s="80" t="n">
        <v>30318.9</v>
      </c>
      <c r="V152" s="80" t="n">
        <v>26.04</v>
      </c>
      <c r="W152" s="97">
        <f>U152/V152</f>
        <v/>
      </c>
      <c r="X152" s="97">
        <f>(W152/U152)*100</f>
        <v/>
      </c>
      <c r="Y152" s="80" t="n">
        <v>8919.049999999999</v>
      </c>
      <c r="Z152" s="79" t="n">
        <v>20.31</v>
      </c>
      <c r="AA152" s="97">
        <f>Y152/Z152</f>
        <v/>
      </c>
      <c r="AB152" s="97">
        <f>(AA152/Y152)*100</f>
        <v/>
      </c>
    </row>
    <row r="153">
      <c r="A153" s="92" t="n">
        <v>152</v>
      </c>
      <c r="B153" s="93" t="n">
        <v>44784</v>
      </c>
      <c r="C153" s="94" t="n">
        <v>27416149.85</v>
      </c>
      <c r="D153" s="95">
        <f>C153/E153</f>
        <v/>
      </c>
      <c r="E153" s="80" t="n">
        <v>79.58</v>
      </c>
      <c r="F153" s="95">
        <f>D153/100000</f>
        <v/>
      </c>
      <c r="G153" s="95">
        <f>(F153/DataSheet!$C$9*100)</f>
        <v/>
      </c>
      <c r="H153" s="95">
        <f>K153/I153</f>
        <v/>
      </c>
      <c r="I153" s="96">
        <f>(J153/L153)*100</f>
        <v/>
      </c>
      <c r="J153" s="97">
        <f>L153/O153</f>
        <v/>
      </c>
      <c r="K153" s="79" t="n">
        <v>7.267</v>
      </c>
      <c r="L153" s="79" t="n">
        <v>17659</v>
      </c>
      <c r="M153" s="79" t="n">
        <v>4.18</v>
      </c>
      <c r="N153" s="97">
        <f>K153-I153</f>
        <v/>
      </c>
      <c r="O153" s="79" t="n">
        <v>21.29</v>
      </c>
      <c r="P153" s="79" t="n">
        <v>2.889</v>
      </c>
      <c r="Q153" s="97">
        <f>K153-P153</f>
        <v/>
      </c>
      <c r="R153" s="79" t="n">
        <v>104.994</v>
      </c>
      <c r="S153" s="98">
        <f>(O153*T153)</f>
        <v/>
      </c>
      <c r="T153" s="79" t="n">
        <v>5.61</v>
      </c>
      <c r="U153" s="80" t="n">
        <v>30583.85</v>
      </c>
      <c r="V153" s="80" t="n">
        <v>25.89</v>
      </c>
      <c r="W153" s="97">
        <f>U153/V153</f>
        <v/>
      </c>
      <c r="X153" s="97">
        <f>(W153/U153)*100</f>
        <v/>
      </c>
      <c r="Y153" s="80" t="n">
        <v>8973.049999999999</v>
      </c>
      <c r="Z153" s="79" t="n">
        <v>19.81</v>
      </c>
      <c r="AA153" s="97">
        <f>Y153/Z153</f>
        <v/>
      </c>
      <c r="AB153" s="97">
        <f>(AA153/Y153)*100</f>
        <v/>
      </c>
    </row>
    <row r="154">
      <c r="A154" s="92" t="n">
        <v>153</v>
      </c>
      <c r="B154" s="93" t="n">
        <v>44785</v>
      </c>
      <c r="C154" s="94" t="n">
        <v>27503289.38</v>
      </c>
      <c r="D154" s="95">
        <f>C154/E154</f>
        <v/>
      </c>
      <c r="E154" s="80" t="n">
        <v>79.64100000000001</v>
      </c>
      <c r="F154" s="95">
        <f>D154/100000</f>
        <v/>
      </c>
      <c r="G154" s="95">
        <f>(F154/DataSheet!$C$9*100)</f>
        <v/>
      </c>
      <c r="H154" s="95">
        <f>K154/I154</f>
        <v/>
      </c>
      <c r="I154" s="96">
        <f>(J154/L154)*100</f>
        <v/>
      </c>
      <c r="J154" s="97">
        <f>L154/O154</f>
        <v/>
      </c>
      <c r="K154" s="79" t="n">
        <v>7.289</v>
      </c>
      <c r="L154" s="79" t="n">
        <v>17698.15</v>
      </c>
      <c r="M154" s="79" t="n">
        <v>4.15</v>
      </c>
      <c r="N154" s="97">
        <f>K154-I154</f>
        <v/>
      </c>
      <c r="O154" s="79" t="n">
        <v>21.18</v>
      </c>
      <c r="P154" s="79" t="n">
        <v>2.842</v>
      </c>
      <c r="Q154" s="97">
        <f>K154-P154</f>
        <v/>
      </c>
      <c r="R154" s="79" t="n">
        <v>105.51</v>
      </c>
      <c r="S154" s="98">
        <f>(O154*T154)</f>
        <v/>
      </c>
      <c r="T154" s="79" t="n">
        <v>5.55</v>
      </c>
      <c r="U154" s="80" t="n">
        <v>30806.35</v>
      </c>
      <c r="V154" s="80" t="n">
        <v>25.82</v>
      </c>
      <c r="W154" s="97">
        <f>U154/V154</f>
        <v/>
      </c>
      <c r="X154" s="97">
        <f>(W154/U154)*100</f>
        <v/>
      </c>
      <c r="Y154" s="80" t="n">
        <v>8992.65</v>
      </c>
      <c r="Z154" s="79" t="n">
        <v>19.67</v>
      </c>
      <c r="AA154" s="97">
        <f>Y154/Z154</f>
        <v/>
      </c>
      <c r="AB154" s="97">
        <f>(AA154/Y154)*100</f>
        <v/>
      </c>
    </row>
    <row r="155">
      <c r="A155" s="92" t="n">
        <v>154</v>
      </c>
      <c r="B155" s="93" t="n">
        <v>44789</v>
      </c>
      <c r="C155" s="94" t="n">
        <v>27792290.31</v>
      </c>
      <c r="D155" s="95">
        <f>C155/E155</f>
        <v/>
      </c>
      <c r="E155" s="80" t="n">
        <v>79.248</v>
      </c>
      <c r="F155" s="95">
        <f>D155/100000</f>
        <v/>
      </c>
      <c r="G155" s="95">
        <f>(F155/DataSheet!$C$9*100)</f>
        <v/>
      </c>
      <c r="H155" s="95">
        <f>K155/I155</f>
        <v/>
      </c>
      <c r="I155" s="96">
        <f>(J155/L155)*100</f>
        <v/>
      </c>
      <c r="J155" s="97">
        <f>L155/O155</f>
        <v/>
      </c>
      <c r="K155" s="79" t="n">
        <v>7.289</v>
      </c>
      <c r="L155" s="79" t="n">
        <v>17825.25</v>
      </c>
      <c r="M155" s="79" t="n">
        <v>4.18</v>
      </c>
      <c r="N155" s="97">
        <f>K155-I155</f>
        <v/>
      </c>
      <c r="O155" s="79" t="n">
        <v>21.34</v>
      </c>
      <c r="P155" s="79" t="n">
        <v>2.808</v>
      </c>
      <c r="Q155" s="97">
        <f>K155-P155</f>
        <v/>
      </c>
      <c r="R155" s="79" t="n">
        <v>106.388</v>
      </c>
      <c r="S155" s="98">
        <f>(O155*T155)</f>
        <v/>
      </c>
      <c r="T155" s="79" t="n">
        <v>5.55</v>
      </c>
      <c r="U155" s="80" t="n">
        <v>31254.55</v>
      </c>
      <c r="V155" s="80" t="n">
        <v>25.93</v>
      </c>
      <c r="W155" s="97">
        <f>U155/V155</f>
        <v/>
      </c>
      <c r="X155" s="97">
        <f>(W155/U155)*100</f>
        <v/>
      </c>
      <c r="Y155" s="80" t="n">
        <v>9071.450000000001</v>
      </c>
      <c r="Z155" s="79" t="n">
        <v>19.03</v>
      </c>
      <c r="AA155" s="97">
        <f>Y155/Z155</f>
        <v/>
      </c>
      <c r="AB155" s="97">
        <f>(AA155/Y155)*100</f>
        <v/>
      </c>
    </row>
    <row r="156">
      <c r="A156" s="92" t="n">
        <v>155</v>
      </c>
      <c r="B156" s="93" t="n">
        <v>44790</v>
      </c>
      <c r="C156" s="94" t="n">
        <v>27981372.98</v>
      </c>
      <c r="D156" s="95">
        <f>C156/E156</f>
        <v/>
      </c>
      <c r="E156" s="80" t="n">
        <v>79.34999999999999</v>
      </c>
      <c r="F156" s="95">
        <f>D156/100000</f>
        <v/>
      </c>
      <c r="G156" s="95">
        <f>(F156/DataSheet!$C$9*100)</f>
        <v/>
      </c>
      <c r="H156" s="95">
        <f>K156/I156</f>
        <v/>
      </c>
      <c r="I156" s="96">
        <f>(J156/L156)*100</f>
        <v/>
      </c>
      <c r="J156" s="97">
        <f>L156/O156</f>
        <v/>
      </c>
      <c r="K156" s="79" t="n">
        <v>7.182</v>
      </c>
      <c r="L156" s="79" t="n">
        <v>17944.25</v>
      </c>
      <c r="M156" s="79" t="n">
        <v>4.2</v>
      </c>
      <c r="N156" s="97">
        <f>K156-I156</f>
        <v/>
      </c>
      <c r="O156" s="79" t="n">
        <v>21.42</v>
      </c>
      <c r="P156" s="79" t="n">
        <v>2.902</v>
      </c>
      <c r="Q156" s="97">
        <f>K156-P156</f>
        <v/>
      </c>
      <c r="R156" s="79" t="n">
        <v>106.486</v>
      </c>
      <c r="S156" s="98">
        <f>(O156*T156)</f>
        <v/>
      </c>
      <c r="T156" s="79" t="n">
        <v>5.54</v>
      </c>
      <c r="U156" s="80" t="n">
        <v>31401.4</v>
      </c>
      <c r="V156" s="80" t="n">
        <v>26</v>
      </c>
      <c r="W156" s="97">
        <f>U156/V156</f>
        <v/>
      </c>
      <c r="X156" s="97">
        <f>(W156/U156)*100</f>
        <v/>
      </c>
      <c r="Y156" s="80" t="n">
        <v>9115.049999999999</v>
      </c>
      <c r="Z156" s="79" t="n">
        <v>18.96</v>
      </c>
      <c r="AA156" s="97">
        <f>Y156/Z156</f>
        <v/>
      </c>
      <c r="AB156" s="97">
        <f>(AA156/Y156)*100</f>
        <v/>
      </c>
    </row>
    <row r="157">
      <c r="A157" s="92" t="n">
        <v>156</v>
      </c>
      <c r="B157" s="93" t="n">
        <v>44791</v>
      </c>
      <c r="C157" s="94" t="n">
        <v>28050290.68</v>
      </c>
      <c r="D157" s="95">
        <f>C157/E157</f>
        <v/>
      </c>
      <c r="E157" s="80" t="n">
        <v>79.75</v>
      </c>
      <c r="F157" s="95">
        <f>D157/100000</f>
        <v/>
      </c>
      <c r="G157" s="95">
        <f>(F157/DataSheet!$C$9*100)</f>
        <v/>
      </c>
      <c r="H157" s="95">
        <f>K157/I157</f>
        <v/>
      </c>
      <c r="I157" s="96">
        <f>(J157/L157)*100</f>
        <v/>
      </c>
      <c r="J157" s="97">
        <f>L157/O157</f>
        <v/>
      </c>
      <c r="K157" s="79" t="n">
        <v>7.242</v>
      </c>
      <c r="L157" s="79" t="n">
        <v>17956.5</v>
      </c>
      <c r="M157" s="79" t="n">
        <v>4.2</v>
      </c>
      <c r="N157" s="97">
        <f>K157-I157</f>
        <v/>
      </c>
      <c r="O157" s="79" t="n">
        <v>21.44</v>
      </c>
      <c r="P157" s="79" t="n">
        <v>2.886</v>
      </c>
      <c r="Q157" s="97">
        <f>K157-P157</f>
        <v/>
      </c>
      <c r="R157" s="79" t="n">
        <v>107.415</v>
      </c>
      <c r="S157" s="98">
        <f>(O157*T157)</f>
        <v/>
      </c>
      <c r="T157" s="79" t="n">
        <v>5.56</v>
      </c>
      <c r="U157" s="80" t="n">
        <v>31460.2</v>
      </c>
      <c r="V157" s="80" t="n">
        <v>26.04</v>
      </c>
      <c r="W157" s="97">
        <f>U157/V157</f>
        <v/>
      </c>
      <c r="X157" s="97">
        <f>(W157/U157)*100</f>
        <v/>
      </c>
      <c r="Y157" s="80" t="n">
        <v>9139.549999999999</v>
      </c>
      <c r="Z157" s="79" t="n">
        <v>19.01</v>
      </c>
      <c r="AA157" s="97">
        <f>Y157/Z157</f>
        <v/>
      </c>
      <c r="AB157" s="97">
        <f>(AA157/Y157)*100</f>
        <v/>
      </c>
    </row>
    <row r="158">
      <c r="A158" s="92" t="n">
        <v>157</v>
      </c>
      <c r="B158" s="93" t="n">
        <v>44792</v>
      </c>
      <c r="C158" s="94" t="n">
        <v>27775698.68</v>
      </c>
      <c r="D158" s="95">
        <f>C158/E158</f>
        <v/>
      </c>
      <c r="E158" s="80" t="n">
        <v>79.92</v>
      </c>
      <c r="F158" s="95">
        <f>D158/100000</f>
        <v/>
      </c>
      <c r="G158" s="95">
        <f>(F158/DataSheet!$C$9*100)</f>
        <v/>
      </c>
      <c r="H158" s="95">
        <f>K158/I158</f>
        <v/>
      </c>
      <c r="I158" s="96">
        <f>(J158/L158)*100</f>
        <v/>
      </c>
      <c r="J158" s="97">
        <f>L158/O158</f>
        <v/>
      </c>
      <c r="K158" s="79" t="n">
        <v>7.264</v>
      </c>
      <c r="L158" s="79" t="n">
        <v>17758.45</v>
      </c>
      <c r="M158" s="79" t="n">
        <v>4.15</v>
      </c>
      <c r="N158" s="97">
        <f>K158-I158</f>
        <v/>
      </c>
      <c r="O158" s="79" t="n">
        <v>21.2</v>
      </c>
      <c r="P158" s="79" t="n">
        <v>2.976</v>
      </c>
      <c r="Q158" s="97">
        <f>K158-P158</f>
        <v/>
      </c>
      <c r="R158" s="79" t="n">
        <v>108.098</v>
      </c>
      <c r="S158" s="98">
        <f>(O158*T158)</f>
        <v/>
      </c>
      <c r="T158" s="79" t="n">
        <v>5.55</v>
      </c>
      <c r="U158" s="80" t="n">
        <v>31005</v>
      </c>
      <c r="V158" s="80" t="n">
        <v>25.72</v>
      </c>
      <c r="W158" s="97">
        <f>U158/V158</f>
        <v/>
      </c>
      <c r="X158" s="97">
        <f>(W158/U158)*100</f>
        <v/>
      </c>
      <c r="Y158" s="80" t="n">
        <v>9041.75</v>
      </c>
      <c r="Z158" s="79" t="n">
        <v>18.84</v>
      </c>
      <c r="AA158" s="97">
        <f>Y158/Z158</f>
        <v/>
      </c>
      <c r="AB158" s="97">
        <f>(AA158/Y158)*100</f>
        <v/>
      </c>
    </row>
    <row r="159">
      <c r="A159" s="92" t="n">
        <v>158</v>
      </c>
      <c r="B159" s="99" t="n">
        <v>44795</v>
      </c>
      <c r="C159" s="100" t="n">
        <v>27395002.87</v>
      </c>
      <c r="D159" s="97">
        <f>C159/E159</f>
        <v/>
      </c>
      <c r="E159" s="97" t="n">
        <v>79.86</v>
      </c>
      <c r="F159" s="97">
        <f>D159/100000</f>
        <v/>
      </c>
      <c r="G159" s="97">
        <f>(F159/DataSheet!$C$9*100)</f>
        <v/>
      </c>
      <c r="H159" s="97">
        <f>K159/I159</f>
        <v/>
      </c>
      <c r="I159" s="98">
        <f>(J159/L159)*100</f>
        <v/>
      </c>
      <c r="J159" s="97">
        <f>L159/O159</f>
        <v/>
      </c>
      <c r="K159" s="80" t="n">
        <v>7.27</v>
      </c>
      <c r="L159" s="80" t="n">
        <v>17490.7</v>
      </c>
      <c r="M159" s="79" t="n">
        <v>4.09</v>
      </c>
      <c r="N159" s="97">
        <f>K159-I159</f>
        <v/>
      </c>
      <c r="O159" s="79" t="n">
        <v>20.88</v>
      </c>
      <c r="P159" s="80" t="n">
        <v>3.024</v>
      </c>
      <c r="Q159" s="97">
        <f>K159-P159</f>
        <v/>
      </c>
      <c r="R159" s="80" t="n">
        <v>108.981</v>
      </c>
      <c r="S159" s="97">
        <f>(O159*T159)</f>
        <v/>
      </c>
      <c r="T159" s="79" t="n">
        <v>5.58</v>
      </c>
      <c r="U159" s="80" t="n">
        <v>11489.8</v>
      </c>
      <c r="V159" s="80" t="n">
        <v>25.24</v>
      </c>
      <c r="W159" s="97">
        <f>U159/V159</f>
        <v/>
      </c>
      <c r="X159" s="97">
        <f>(W159/U159)*100</f>
        <v/>
      </c>
      <c r="Y159" s="80" t="n">
        <v>8960.299999999999</v>
      </c>
      <c r="Z159" s="80" t="n">
        <v>18.67</v>
      </c>
      <c r="AA159" s="97">
        <f>Y159/Z159</f>
        <v/>
      </c>
      <c r="AB159" s="97">
        <f>(AA159/Y159)*100</f>
        <v/>
      </c>
    </row>
    <row r="160">
      <c r="A160" s="92" t="n">
        <v>159</v>
      </c>
      <c r="B160" s="99" t="n">
        <v>44796</v>
      </c>
      <c r="C160" s="100" t="n">
        <v>27528171.05</v>
      </c>
      <c r="D160" s="97">
        <f>C160/E160</f>
        <v/>
      </c>
      <c r="E160" s="97" t="n">
        <v>79.79000000000001</v>
      </c>
      <c r="F160" s="97">
        <f>D160/100000</f>
        <v/>
      </c>
      <c r="G160" s="97">
        <f>(F160/DataSheet!$C$9*100)</f>
        <v/>
      </c>
      <c r="H160" s="97">
        <f>K160/I160</f>
        <v/>
      </c>
      <c r="I160" s="98">
        <f>(J160/L160)*100</f>
        <v/>
      </c>
      <c r="J160" s="97">
        <f>L160/O160</f>
        <v/>
      </c>
      <c r="K160" s="80" t="n">
        <v>7.281</v>
      </c>
      <c r="L160" s="80" t="n">
        <v>17577.5</v>
      </c>
      <c r="M160" s="79" t="n">
        <v>4.11</v>
      </c>
      <c r="N160" s="97">
        <f>K160-I160</f>
        <v/>
      </c>
      <c r="O160" s="79" t="n">
        <v>20.98</v>
      </c>
      <c r="P160" s="80" t="n">
        <v>3.057</v>
      </c>
      <c r="Q160" s="97">
        <f>K160-P160</f>
        <v/>
      </c>
      <c r="R160" s="80" t="n">
        <v>108.554</v>
      </c>
      <c r="S160" s="97">
        <f>(O160*T160)</f>
        <v/>
      </c>
      <c r="T160" s="79" t="n">
        <v>5.52</v>
      </c>
      <c r="U160" s="80" t="n">
        <v>11598.85</v>
      </c>
      <c r="V160" s="80" t="n">
        <v>25.48</v>
      </c>
      <c r="W160" s="97">
        <f>U160/V160</f>
        <v/>
      </c>
      <c r="X160" s="97">
        <f>(W160/U160)*100</f>
        <v/>
      </c>
      <c r="Y160" s="80" t="n">
        <v>9050.85</v>
      </c>
      <c r="Z160" s="80" t="n">
        <v>18.86</v>
      </c>
      <c r="AA160" s="97">
        <f>Y160/Z160</f>
        <v/>
      </c>
      <c r="AB160" s="97">
        <f>(AA160/Y160)*100</f>
        <v/>
      </c>
    </row>
    <row r="161">
      <c r="A161" s="92" t="n">
        <v>160</v>
      </c>
      <c r="B161" s="99" t="n">
        <v>44797</v>
      </c>
      <c r="C161" s="101" t="n">
        <v>27616281.23</v>
      </c>
      <c r="D161" s="97">
        <f>C161/E161</f>
        <v/>
      </c>
      <c r="E161" s="97" t="n">
        <v>79.848</v>
      </c>
      <c r="F161" s="97">
        <f>D161/100000</f>
        <v/>
      </c>
      <c r="G161" s="97">
        <f>(F161/DataSheet!$C$9*100)</f>
        <v/>
      </c>
      <c r="H161" s="97">
        <f>K161/I161</f>
        <v/>
      </c>
      <c r="I161" s="98">
        <f>(J161/L161)*100</f>
        <v/>
      </c>
      <c r="J161" s="97">
        <f>L161/O161</f>
        <v/>
      </c>
      <c r="K161" s="80" t="n">
        <v>7.286</v>
      </c>
      <c r="L161" s="80" t="n">
        <v>17604.95</v>
      </c>
      <c r="M161" s="79" t="n">
        <v>4.11</v>
      </c>
      <c r="N161" s="97">
        <f>K161-I161</f>
        <v/>
      </c>
      <c r="O161" s="79" t="n">
        <v>21.02</v>
      </c>
      <c r="P161" s="80" t="n">
        <v>3.109</v>
      </c>
      <c r="Q161" s="97">
        <f>K161-P161</f>
        <v/>
      </c>
      <c r="R161" s="80" t="n">
        <v>108.616</v>
      </c>
      <c r="S161" s="97">
        <f>(O161*T161)</f>
        <v/>
      </c>
      <c r="T161" s="79" t="n">
        <v>5.58</v>
      </c>
      <c r="U161" s="80" t="n">
        <v>11675.05</v>
      </c>
      <c r="V161" s="80" t="n">
        <v>25.55</v>
      </c>
      <c r="W161" s="97">
        <f>U161/V161</f>
        <v/>
      </c>
      <c r="X161" s="97">
        <f>(W161/U161)*100</f>
        <v/>
      </c>
      <c r="Y161" s="80" t="n">
        <v>9129.9</v>
      </c>
      <c r="Z161" s="80" t="n">
        <v>19.02</v>
      </c>
      <c r="AA161" s="97">
        <f>Y161/Z161</f>
        <v/>
      </c>
      <c r="AB161" s="97">
        <f>(AA161/Y161)*100</f>
        <v/>
      </c>
    </row>
    <row r="162">
      <c r="A162" s="92" t="n">
        <v>161</v>
      </c>
      <c r="B162" s="99" t="n">
        <v>44798</v>
      </c>
      <c r="C162" s="101" t="n">
        <v>27584524.42</v>
      </c>
      <c r="D162" s="97">
        <f>C162/E162</f>
        <v/>
      </c>
      <c r="E162" s="97" t="n">
        <v>79.846</v>
      </c>
      <c r="F162" s="97">
        <f>D162/100000</f>
        <v/>
      </c>
      <c r="G162" s="97">
        <f>(F162/DataSheet!$C$9*100)</f>
        <v/>
      </c>
      <c r="H162" s="97">
        <f>K162/I162</f>
        <v/>
      </c>
      <c r="I162" s="98">
        <f>(J162/L162)*100</f>
        <v/>
      </c>
      <c r="J162" s="97">
        <f>L162/O162</f>
        <v/>
      </c>
      <c r="K162" s="80" t="n">
        <v>7.292</v>
      </c>
      <c r="L162" s="80" t="n">
        <v>17522.45</v>
      </c>
      <c r="M162" s="79" t="n">
        <v>4.09</v>
      </c>
      <c r="N162" s="97">
        <f>K162-I162</f>
        <v/>
      </c>
      <c r="O162" s="79" t="n">
        <v>20.92</v>
      </c>
      <c r="P162" s="80" t="n">
        <v>3.031</v>
      </c>
      <c r="Q162" s="97">
        <f>K162-P162</f>
        <v/>
      </c>
      <c r="R162" s="80" t="n">
        <v>108.433</v>
      </c>
      <c r="S162" s="97">
        <f>(O162*T162)</f>
        <v/>
      </c>
      <c r="T162" s="79" t="n">
        <v>5.62</v>
      </c>
      <c r="U162" s="80" t="n">
        <v>11685.85</v>
      </c>
      <c r="V162" s="80" t="n">
        <v>25.58</v>
      </c>
      <c r="W162" s="97">
        <f>U162/V162</f>
        <v/>
      </c>
      <c r="X162" s="97">
        <f>(W162/U162)*100</f>
        <v/>
      </c>
      <c r="Y162" s="80" t="n">
        <v>9160.6</v>
      </c>
      <c r="Z162" s="80" t="n">
        <v>19.09</v>
      </c>
      <c r="AA162" s="97">
        <f>Y162/Z162</f>
        <v/>
      </c>
      <c r="AB162" s="97">
        <f>(AA162/Y162)*100</f>
        <v/>
      </c>
    </row>
    <row r="163">
      <c r="A163" s="92" t="n">
        <v>162</v>
      </c>
      <c r="B163" s="99" t="n">
        <v>44799</v>
      </c>
      <c r="C163" s="101" t="n">
        <v>27696111.6</v>
      </c>
      <c r="D163" s="97">
        <f>C163/E163</f>
        <v/>
      </c>
      <c r="E163" s="97" t="n">
        <v>80.086</v>
      </c>
      <c r="F163" s="97">
        <f>D163/100000</f>
        <v/>
      </c>
      <c r="G163" s="97">
        <f>(F163/DataSheet!$C$9*100)</f>
        <v/>
      </c>
      <c r="H163" s="97">
        <f>K163/I163</f>
        <v/>
      </c>
      <c r="I163" s="98">
        <f>(J163/L163)*100</f>
        <v/>
      </c>
      <c r="J163" s="97">
        <f>L163/O163</f>
        <v/>
      </c>
      <c r="K163" s="80" t="n">
        <v>7.217</v>
      </c>
      <c r="L163" s="80" t="n">
        <v>17558.9</v>
      </c>
      <c r="M163" s="79" t="n">
        <v>4.1</v>
      </c>
      <c r="N163" s="97">
        <f>K163-I163</f>
        <v/>
      </c>
      <c r="O163" s="79" t="n">
        <v>20.96</v>
      </c>
      <c r="P163" s="80" t="n">
        <v>3.03</v>
      </c>
      <c r="Q163" s="97">
        <f>K163-P163</f>
        <v/>
      </c>
      <c r="R163" s="80" t="n">
        <v>108.751</v>
      </c>
      <c r="S163" s="97">
        <f>(O163*T163)</f>
        <v/>
      </c>
      <c r="T163" s="79" t="n">
        <v>5.59</v>
      </c>
      <c r="U163" s="80" t="n">
        <v>11730.6</v>
      </c>
      <c r="V163" s="80" t="n">
        <v>25.68</v>
      </c>
      <c r="W163" s="97">
        <f>U163/V163</f>
        <v/>
      </c>
      <c r="X163" s="97">
        <f>(W163/U163)*100</f>
        <v/>
      </c>
      <c r="Y163" s="80" t="n">
        <v>9227.049999999999</v>
      </c>
      <c r="Z163" s="80" t="n">
        <v>19.22</v>
      </c>
      <c r="AA163" s="97">
        <f>Y163/Z163</f>
        <v/>
      </c>
      <c r="AB163" s="97">
        <f>(AA163/Y163)*100</f>
        <v/>
      </c>
    </row>
    <row r="164">
      <c r="A164" s="92" t="n">
        <v>163</v>
      </c>
      <c r="B164" s="99" t="n">
        <v>44802</v>
      </c>
      <c r="C164" s="101" t="n">
        <v>27456316.27</v>
      </c>
      <c r="D164" s="97">
        <f>C164/E164</f>
        <v/>
      </c>
      <c r="E164" s="97" t="n">
        <v>79.996</v>
      </c>
      <c r="F164" s="97">
        <f>D164/100000</f>
        <v/>
      </c>
      <c r="G164" s="97">
        <f>(F164/DataSheet!$C$9*100)</f>
        <v/>
      </c>
      <c r="H164" s="97">
        <f>K164/I164</f>
        <v/>
      </c>
      <c r="I164" s="98">
        <f>(J164/L164)*100</f>
        <v/>
      </c>
      <c r="J164" s="97">
        <f>L164/O164</f>
        <v/>
      </c>
      <c r="K164" s="97" t="n">
        <v>7.245</v>
      </c>
      <c r="L164" s="97" t="n">
        <v>17312</v>
      </c>
      <c r="M164" s="97" t="n">
        <v>4.05</v>
      </c>
      <c r="N164" s="97">
        <f>K164-I164</f>
        <v/>
      </c>
      <c r="O164" s="79" t="n">
        <v>20.67</v>
      </c>
      <c r="P164" s="80" t="n">
        <v>3.114</v>
      </c>
      <c r="Q164" s="97">
        <f>K164-P164</f>
        <v/>
      </c>
      <c r="R164" s="80" t="n">
        <v>108.79</v>
      </c>
      <c r="S164" s="97">
        <f>(O164*T164)</f>
        <v/>
      </c>
      <c r="T164" s="79" t="n">
        <v>5.6</v>
      </c>
      <c r="U164" s="80" t="n">
        <v>11633.9</v>
      </c>
      <c r="V164" s="80" t="n">
        <v>25.46</v>
      </c>
      <c r="W164" s="97">
        <f>U164/V164</f>
        <v/>
      </c>
      <c r="X164" s="97">
        <f>(W164/U164)*100</f>
        <v/>
      </c>
      <c r="Y164" s="80" t="n">
        <v>9172.200000000001</v>
      </c>
      <c r="Z164" s="80" t="n">
        <v>19.11</v>
      </c>
      <c r="AA164" s="97">
        <f>Y164/Z164</f>
        <v/>
      </c>
      <c r="AB164" s="97">
        <f>(AA164/Y164)*100</f>
        <v/>
      </c>
    </row>
    <row r="165">
      <c r="A165" s="92" t="n">
        <v>164</v>
      </c>
      <c r="B165" s="102" t="n">
        <v>44803</v>
      </c>
      <c r="C165" s="94" t="n">
        <v>28024622</v>
      </c>
      <c r="D165" s="97">
        <f>C165/E165</f>
        <v/>
      </c>
      <c r="E165" s="98" t="n">
        <v>79.52</v>
      </c>
      <c r="F165" s="97">
        <f>D165/100000</f>
        <v/>
      </c>
      <c r="G165" s="97">
        <f>(F165/DataSheet!$C$9*100)</f>
        <v/>
      </c>
      <c r="H165" s="97">
        <f>K165/I165</f>
        <v/>
      </c>
      <c r="I165" s="98">
        <f>(J165/L165)*100</f>
        <v/>
      </c>
      <c r="J165" s="97">
        <f>L165/O165</f>
        <v/>
      </c>
      <c r="K165" s="98" t="n">
        <v>7.189</v>
      </c>
      <c r="L165" s="98" t="n">
        <v>17759.3</v>
      </c>
      <c r="M165" s="98" t="n">
        <v>4.12</v>
      </c>
      <c r="N165" s="97">
        <f>K165-I165</f>
        <v/>
      </c>
      <c r="O165" s="79" t="n">
        <v>21.2</v>
      </c>
      <c r="P165" s="80" t="n">
        <v>3.112</v>
      </c>
      <c r="Q165" s="97">
        <f>K165-P165</f>
        <v/>
      </c>
      <c r="R165" s="80" t="n">
        <v>108.749</v>
      </c>
      <c r="S165" s="97">
        <f>(O165*T165)</f>
        <v/>
      </c>
      <c r="T165" s="79" t="n">
        <v>5.59</v>
      </c>
      <c r="U165" s="80" t="n">
        <v>11867</v>
      </c>
      <c r="V165" s="80" t="n">
        <v>26</v>
      </c>
      <c r="W165" s="97">
        <f>U165/V165</f>
        <v/>
      </c>
      <c r="X165" s="97">
        <f>(W165/U165)*100</f>
        <v/>
      </c>
      <c r="Y165" s="80" t="n">
        <v>9285.799999999999</v>
      </c>
      <c r="Z165" s="80" t="n">
        <v>19.35</v>
      </c>
      <c r="AA165" s="97">
        <f>Y165/Z165</f>
        <v/>
      </c>
      <c r="AB165" s="97">
        <f>(AA165/Y165)*100</f>
        <v/>
      </c>
    </row>
    <row r="166">
      <c r="A166" s="92" t="n">
        <v>165</v>
      </c>
      <c r="B166" s="99" t="n">
        <v>44805</v>
      </c>
      <c r="C166" s="101" t="n">
        <v>27875475</v>
      </c>
      <c r="D166" s="97">
        <f>C166/E166</f>
        <v/>
      </c>
      <c r="E166" s="97" t="n">
        <v>79.61</v>
      </c>
      <c r="F166" s="97">
        <f>D166/100000</f>
        <v/>
      </c>
      <c r="G166" s="97">
        <f>(F166/DataSheet!$C$9*100)</f>
        <v/>
      </c>
      <c r="H166" s="97">
        <f>K166/I166</f>
        <v/>
      </c>
      <c r="I166" s="98">
        <f>(J166/L166)*100</f>
        <v/>
      </c>
      <c r="J166" s="97">
        <f>L166/O166</f>
        <v/>
      </c>
      <c r="K166" s="98" t="n">
        <v>7.215</v>
      </c>
      <c r="L166" s="98" t="n">
        <v>17542.8</v>
      </c>
      <c r="M166" s="98" t="n">
        <v>4.07</v>
      </c>
      <c r="N166" s="97">
        <f>K166-I166</f>
        <v/>
      </c>
      <c r="O166" s="79" t="n">
        <v>20.94</v>
      </c>
      <c r="P166" s="80" t="n">
        <v>3.196</v>
      </c>
      <c r="Q166" s="97">
        <f>K166-P166</f>
        <v/>
      </c>
      <c r="R166" s="80" t="n">
        <v>108.665</v>
      </c>
      <c r="S166" s="97">
        <f>(O166*T166)</f>
        <v/>
      </c>
      <c r="T166" s="79" t="n">
        <v>5.66</v>
      </c>
      <c r="U166" s="80" t="n">
        <v>11896.95</v>
      </c>
      <c r="V166" s="80" t="n">
        <v>26.06</v>
      </c>
      <c r="W166" s="97">
        <f>U166/V166</f>
        <v/>
      </c>
      <c r="X166" s="97">
        <f>(W166/U166)*100</f>
        <v/>
      </c>
      <c r="Y166" s="80" t="n">
        <v>9313.85</v>
      </c>
      <c r="Z166" s="80" t="n">
        <v>19.4</v>
      </c>
      <c r="AA166" s="97">
        <f>Y166/Z166</f>
        <v/>
      </c>
      <c r="AB166" s="97">
        <f>(AA166/Y166)*100</f>
        <v/>
      </c>
    </row>
    <row r="167">
      <c r="A167" s="92" t="n">
        <v>166</v>
      </c>
      <c r="B167" s="102" t="n">
        <v>44806</v>
      </c>
      <c r="C167" s="103" t="n">
        <v>27846733</v>
      </c>
      <c r="D167" s="98">
        <f>C167/E167</f>
        <v/>
      </c>
      <c r="E167" s="98" t="n">
        <v>79.84</v>
      </c>
      <c r="F167" s="98">
        <f>D167/100000</f>
        <v/>
      </c>
      <c r="G167" s="97">
        <f>(F167/DataSheet!$C$9*100)</f>
        <v/>
      </c>
      <c r="H167" s="98">
        <f>K167/I167</f>
        <v/>
      </c>
      <c r="I167" s="98">
        <f>(J167/L167)*100</f>
        <v/>
      </c>
      <c r="J167" s="97">
        <f>L167/O167</f>
        <v/>
      </c>
      <c r="K167" s="98" t="n">
        <v>7.235</v>
      </c>
      <c r="L167" s="98" t="n">
        <v>17539.45</v>
      </c>
      <c r="M167" s="98" t="n">
        <v>4.07</v>
      </c>
      <c r="N167" s="97">
        <f>K167-I167</f>
        <v/>
      </c>
      <c r="O167" s="79" t="n">
        <v>20.94</v>
      </c>
      <c r="P167" s="80" t="n">
        <v>3.259</v>
      </c>
      <c r="Q167" s="97">
        <f>K167-P167</f>
        <v/>
      </c>
      <c r="R167" s="80" t="n">
        <v>109.678</v>
      </c>
      <c r="S167" s="97">
        <f>(O167*T167)</f>
        <v/>
      </c>
      <c r="T167" s="79" t="n">
        <v>5.63</v>
      </c>
      <c r="U167" s="80" t="n">
        <v>11865.55</v>
      </c>
      <c r="V167" s="80" t="n">
        <v>26</v>
      </c>
      <c r="W167" s="97">
        <f>U167/V167</f>
        <v/>
      </c>
      <c r="X167" s="97">
        <f>(W167/U167)*100</f>
        <v/>
      </c>
      <c r="Y167" s="80" t="n">
        <v>9333.950000000001</v>
      </c>
      <c r="Z167" s="80" t="n">
        <v>19.45</v>
      </c>
      <c r="AA167" s="97">
        <f>Y167/Z167</f>
        <v/>
      </c>
      <c r="AB167" s="97">
        <f>(AA167/Y167)*100</f>
        <v/>
      </c>
    </row>
    <row r="168">
      <c r="A168" s="92" t="n">
        <v>167</v>
      </c>
      <c r="B168" s="102" t="n">
        <v>44809</v>
      </c>
      <c r="C168" s="103" t="n">
        <v>27982150</v>
      </c>
      <c r="D168" s="98">
        <f>C168/E168</f>
        <v/>
      </c>
      <c r="E168" s="98" t="n">
        <v>79.79000000000001</v>
      </c>
      <c r="F168" s="98">
        <f>D168/100000</f>
        <v/>
      </c>
      <c r="G168" s="97">
        <f>(F168/DataSheet!$C$9*100)</f>
        <v/>
      </c>
      <c r="H168" s="98">
        <f>K168/I168</f>
        <v/>
      </c>
      <c r="I168" s="98">
        <f>(J168/L168)*100</f>
        <v/>
      </c>
      <c r="J168" s="97">
        <f>L168/O168</f>
        <v/>
      </c>
      <c r="K168" s="98" t="n">
        <v>7.219</v>
      </c>
      <c r="L168" s="98" t="n">
        <v>17665.8</v>
      </c>
      <c r="M168" s="98" t="n">
        <v>4.1</v>
      </c>
      <c r="N168" s="97">
        <f>K168-I168</f>
        <v/>
      </c>
      <c r="O168" s="79" t="n">
        <v>21.09</v>
      </c>
      <c r="P168" s="80" t="n">
        <v>3.195</v>
      </c>
      <c r="Q168" s="97">
        <f>K168-P168</f>
        <v/>
      </c>
      <c r="R168" s="80" t="n">
        <v>109.51</v>
      </c>
      <c r="S168" s="97">
        <f>(O168*T168)</f>
        <v/>
      </c>
      <c r="T168" s="79" t="n">
        <v>5.63</v>
      </c>
      <c r="U168" s="80" t="n">
        <v>11930.35</v>
      </c>
      <c r="V168" s="80" t="n">
        <v>26.14</v>
      </c>
      <c r="W168" s="97">
        <f>U168/V168</f>
        <v/>
      </c>
      <c r="X168" s="97">
        <f>(W168/U168)*100</f>
        <v/>
      </c>
      <c r="Y168" s="80" t="n">
        <v>9427.450000000001</v>
      </c>
      <c r="Z168" s="80" t="n">
        <v>19.64</v>
      </c>
      <c r="AA168" s="97">
        <f>Y168/Z168</f>
        <v/>
      </c>
      <c r="AB168" s="97">
        <f>(AA168/Y168)*100</f>
        <v/>
      </c>
    </row>
    <row r="169">
      <c r="A169" s="92" t="n">
        <v>168</v>
      </c>
      <c r="B169" s="99" t="n">
        <v>44810</v>
      </c>
      <c r="C169" s="101" t="n">
        <v>28036303</v>
      </c>
      <c r="D169" s="97">
        <f>C169/E169</f>
        <v/>
      </c>
      <c r="E169" s="97" t="n">
        <v>79.78700000000001</v>
      </c>
      <c r="F169" s="97">
        <f>D169/100000</f>
        <v/>
      </c>
      <c r="G169" s="97">
        <f>(F169/DataSheet!$C$9*100)</f>
        <v/>
      </c>
      <c r="H169" s="98">
        <f>K169/I169</f>
        <v/>
      </c>
      <c r="I169" s="98">
        <f>(J169/L169)*100</f>
        <v/>
      </c>
      <c r="J169" s="97">
        <f>L169/O169</f>
        <v/>
      </c>
      <c r="K169" s="97" t="n">
        <v>7.181</v>
      </c>
      <c r="L169" s="97" t="n">
        <v>17655.6</v>
      </c>
      <c r="M169" s="97" t="n">
        <v>4.1</v>
      </c>
      <c r="N169" s="97">
        <f>K169-I169</f>
        <v/>
      </c>
      <c r="O169" s="79" t="n">
        <v>21.08</v>
      </c>
      <c r="P169" s="80" t="n">
        <v>3.223</v>
      </c>
      <c r="Q169" s="97">
        <f>K169-P169</f>
        <v/>
      </c>
      <c r="R169" s="80" t="n">
        <v>109.51</v>
      </c>
      <c r="S169" s="97">
        <f>(O169*T169)</f>
        <v/>
      </c>
      <c r="T169" s="79" t="n">
        <v>5.6</v>
      </c>
      <c r="U169" s="80" t="n">
        <v>11974.95</v>
      </c>
      <c r="V169" s="80" t="n">
        <v>26.23</v>
      </c>
      <c r="W169" s="97">
        <f>U169/V169</f>
        <v/>
      </c>
      <c r="X169" s="97">
        <f>(W169/U169)*100</f>
        <v/>
      </c>
      <c r="Y169" s="80" t="n">
        <v>9457.25</v>
      </c>
      <c r="Z169" s="80" t="n">
        <v>19.7</v>
      </c>
      <c r="AA169" s="97">
        <f>Y169/Z169</f>
        <v/>
      </c>
      <c r="AB169" s="97">
        <f>(AA169/Y169)*100</f>
        <v/>
      </c>
    </row>
    <row r="170">
      <c r="A170" s="92" t="n">
        <v>169</v>
      </c>
      <c r="B170" s="99" t="n">
        <v>44811</v>
      </c>
      <c r="C170" s="101" t="n">
        <v>28089962</v>
      </c>
      <c r="D170" s="97">
        <f>C170/E170</f>
        <v/>
      </c>
      <c r="E170" s="97" t="n">
        <v>79.90000000000001</v>
      </c>
      <c r="F170" s="97">
        <f>D170/100000</f>
        <v/>
      </c>
      <c r="G170" s="97">
        <f>(F170/DataSheet!$C$9*100)</f>
        <v/>
      </c>
      <c r="H170" s="98">
        <f>K170/I170</f>
        <v/>
      </c>
      <c r="I170" s="98">
        <f>(J170/L170)*100</f>
        <v/>
      </c>
      <c r="J170" s="97">
        <f>L170/O170</f>
        <v/>
      </c>
      <c r="K170" s="98" t="n">
        <v>7.184</v>
      </c>
      <c r="L170" s="98" t="n">
        <v>17624.4</v>
      </c>
      <c r="M170" s="98" t="n">
        <v>4.1</v>
      </c>
      <c r="N170" s="97">
        <f>K170-I170</f>
        <v/>
      </c>
      <c r="O170" s="79" t="n">
        <v>21.04</v>
      </c>
      <c r="P170" s="80" t="n">
        <v>3.351</v>
      </c>
      <c r="Q170" s="97">
        <f>K170-P170</f>
        <v/>
      </c>
      <c r="R170" s="80" t="n">
        <v>110.204</v>
      </c>
      <c r="S170" s="97">
        <f>(O170*T170)</f>
        <v/>
      </c>
      <c r="T170" s="79" t="n">
        <v>5.59</v>
      </c>
      <c r="U170" s="80" t="n">
        <v>12038.85</v>
      </c>
      <c r="V170" s="80" t="n">
        <v>26.38</v>
      </c>
      <c r="W170" s="97">
        <f>U170/V170</f>
        <v/>
      </c>
      <c r="X170" s="97">
        <f>(W170/U170)*100</f>
        <v/>
      </c>
      <c r="Y170" s="80" t="n">
        <v>9533.549999999999</v>
      </c>
      <c r="Z170" s="80" t="n">
        <v>19.86</v>
      </c>
      <c r="AA170" s="97">
        <f>Y170/Z170</f>
        <v/>
      </c>
      <c r="AB170" s="97">
        <f>(AA170/Y170)*100</f>
        <v/>
      </c>
    </row>
    <row r="171">
      <c r="A171" s="92" t="n">
        <v>170</v>
      </c>
      <c r="B171" s="102" t="n">
        <v>44812</v>
      </c>
      <c r="C171" s="103" t="n">
        <v>28279904.31</v>
      </c>
      <c r="D171" s="98">
        <f>C171/E171</f>
        <v/>
      </c>
      <c r="E171" s="98" t="n">
        <v>79.7</v>
      </c>
      <c r="F171" s="98">
        <f>D171/100000</f>
        <v/>
      </c>
      <c r="G171" s="97">
        <f>(F171/DataSheet!$C$9*100)</f>
        <v/>
      </c>
      <c r="H171" s="98">
        <f>K171/I171</f>
        <v/>
      </c>
      <c r="I171" s="98">
        <f>(J171/L171)*100</f>
        <v/>
      </c>
      <c r="J171" s="97">
        <f>L171/O171</f>
        <v/>
      </c>
      <c r="K171" s="98" t="n">
        <v>7.135</v>
      </c>
      <c r="L171" s="98" t="n">
        <v>17798.75</v>
      </c>
      <c r="M171" s="98" t="n">
        <v>4.13</v>
      </c>
      <c r="N171" s="97">
        <f>K171-I171</f>
        <v/>
      </c>
      <c r="O171" s="79" t="n">
        <v>21.25</v>
      </c>
      <c r="P171" s="80" t="n">
        <v>3.267</v>
      </c>
      <c r="Q171" s="97">
        <f>K171-P171</f>
        <v/>
      </c>
      <c r="R171" s="80" t="n">
        <v>109.832</v>
      </c>
      <c r="S171" s="97">
        <f>(O171*T171)</f>
        <v/>
      </c>
      <c r="T171" s="79" t="n">
        <v>5.64</v>
      </c>
      <c r="U171" s="80" t="n">
        <v>12080.8</v>
      </c>
      <c r="V171" s="80" t="n">
        <v>26.47</v>
      </c>
      <c r="W171" s="97">
        <f>U171/V171</f>
        <v/>
      </c>
      <c r="X171" s="97">
        <f>(W171/U171)*100</f>
        <v/>
      </c>
      <c r="Y171" s="80" t="n">
        <v>9600.700000000001</v>
      </c>
      <c r="Z171" s="80" t="n">
        <v>20</v>
      </c>
      <c r="AA171" s="97">
        <f>Y171/Z171</f>
        <v/>
      </c>
      <c r="AB171" s="97">
        <f>(AA171/Y171)*100</f>
        <v/>
      </c>
    </row>
    <row r="172">
      <c r="A172" s="92" t="n">
        <v>171</v>
      </c>
      <c r="B172" s="99" t="n">
        <v>44813</v>
      </c>
      <c r="C172" s="101" t="n">
        <v>28301067</v>
      </c>
      <c r="D172" s="98">
        <f>C172/E172</f>
        <v/>
      </c>
      <c r="E172" s="97" t="n">
        <v>79.56</v>
      </c>
      <c r="F172" s="98">
        <f>D172/100000</f>
        <v/>
      </c>
      <c r="G172" s="97">
        <f>(F172/DataSheet!$C$9*100)</f>
        <v/>
      </c>
      <c r="H172" s="97">
        <f>K172/I172</f>
        <v/>
      </c>
      <c r="I172" s="98">
        <f>(J172/L172)*100</f>
        <v/>
      </c>
      <c r="J172" s="97">
        <f>L172/O172</f>
        <v/>
      </c>
      <c r="K172" s="98" t="n">
        <v>7.169</v>
      </c>
      <c r="L172" s="98" t="n">
        <v>17833.35</v>
      </c>
      <c r="M172" s="97" t="n">
        <v>4.13</v>
      </c>
      <c r="N172" s="97">
        <f>K172-I172</f>
        <v/>
      </c>
      <c r="O172" s="79" t="n">
        <v>21.29</v>
      </c>
      <c r="P172" s="80" t="n">
        <v>3.323</v>
      </c>
      <c r="Q172" s="97">
        <f>K172-P172</f>
        <v/>
      </c>
      <c r="R172" s="80" t="n">
        <v>109.713</v>
      </c>
      <c r="S172" s="97">
        <f>(O172*T172)</f>
        <v/>
      </c>
      <c r="T172" s="79" t="n">
        <v>5.64</v>
      </c>
      <c r="U172" s="80" t="n">
        <v>12129.45</v>
      </c>
      <c r="V172" s="80" t="n">
        <v>26.57</v>
      </c>
      <c r="W172" s="97">
        <f>U172/V172</f>
        <v/>
      </c>
      <c r="X172" s="97">
        <f>(W172/U172)*100</f>
        <v/>
      </c>
      <c r="Y172" s="80" t="n">
        <v>9581.65</v>
      </c>
      <c r="Z172" s="80" t="n">
        <v>20.02</v>
      </c>
      <c r="AA172" s="97">
        <f>Y172/Z172</f>
        <v/>
      </c>
      <c r="AB172" s="97">
        <f>(AA172/Y172)*100</f>
        <v/>
      </c>
    </row>
    <row r="173">
      <c r="A173" s="92" t="n">
        <v>172</v>
      </c>
      <c r="B173" s="99" t="n">
        <v>44816</v>
      </c>
      <c r="C173" s="104" t="n">
        <v>28526694</v>
      </c>
      <c r="D173" s="98">
        <f>C173/E173</f>
        <v/>
      </c>
      <c r="E173" s="97" t="n">
        <v>79.68000000000001</v>
      </c>
      <c r="F173" s="98">
        <f>D173/100000</f>
        <v/>
      </c>
      <c r="G173" s="97">
        <f>(F173/DataSheet!$C$9*100)</f>
        <v/>
      </c>
      <c r="H173" s="97">
        <f>K173/I173</f>
        <v/>
      </c>
      <c r="I173" s="98">
        <f>(J173/L173)*100</f>
        <v/>
      </c>
      <c r="J173" s="97">
        <f>L173/O173</f>
        <v/>
      </c>
      <c r="K173" s="97" t="n">
        <v>7.185</v>
      </c>
      <c r="L173" s="97" t="n">
        <v>17936.35</v>
      </c>
      <c r="M173" s="98" t="n">
        <v>4.16</v>
      </c>
      <c r="N173" s="97">
        <f>K173-I173</f>
        <v/>
      </c>
      <c r="O173" s="79" t="n">
        <v>21.41</v>
      </c>
      <c r="P173" s="80" t="n">
        <v>3.315</v>
      </c>
      <c r="Q173" s="97">
        <f>K173-P173</f>
        <v/>
      </c>
      <c r="R173" s="80" t="n">
        <v>108.997</v>
      </c>
      <c r="S173" s="97">
        <f>(O173*T173)</f>
        <v/>
      </c>
      <c r="T173" s="79" t="n">
        <v>5.66</v>
      </c>
      <c r="U173" s="80" t="n">
        <v>12228.05</v>
      </c>
      <c r="V173" s="80" t="n">
        <v>26.79</v>
      </c>
      <c r="W173" s="97">
        <f>U173/V173</f>
        <v/>
      </c>
      <c r="X173" s="97">
        <f>(W173/U173)*100</f>
        <v/>
      </c>
      <c r="Y173" s="80" t="n">
        <v>9672.35</v>
      </c>
      <c r="Z173" s="80" t="n">
        <v>20.21</v>
      </c>
      <c r="AA173" s="97">
        <f>Y173/Z173</f>
        <v/>
      </c>
      <c r="AB173" s="97">
        <f>(AA173/Y173)*100</f>
        <v/>
      </c>
    </row>
    <row r="174">
      <c r="A174" s="92" t="n">
        <v>173</v>
      </c>
      <c r="B174" s="99" t="n">
        <v>44817</v>
      </c>
      <c r="C174" s="101" t="n">
        <v>28671194</v>
      </c>
      <c r="D174" s="98">
        <f>C174/E174</f>
        <v/>
      </c>
      <c r="E174" s="97" t="n">
        <v>79.45</v>
      </c>
      <c r="F174" s="98">
        <f>D174/100000</f>
        <v/>
      </c>
      <c r="G174" s="97">
        <f>(F174/DataSheet!$C$9*100)</f>
        <v/>
      </c>
      <c r="H174" s="97">
        <f>K174/I174</f>
        <v/>
      </c>
      <c r="I174" s="98">
        <f>(J174/L174)*100</f>
        <v/>
      </c>
      <c r="J174" s="97">
        <f>L174/O174</f>
        <v/>
      </c>
      <c r="K174" s="97" t="n">
        <v>7.109</v>
      </c>
      <c r="L174" s="97" t="n">
        <v>18070.05</v>
      </c>
      <c r="M174" s="98" t="n">
        <v>4.19</v>
      </c>
      <c r="N174" s="97">
        <f>K174-I174</f>
        <v/>
      </c>
      <c r="O174" s="79" t="n">
        <v>21.57</v>
      </c>
      <c r="P174" s="80" t="n">
        <v>3.358</v>
      </c>
      <c r="Q174" s="97">
        <f>K174-P174</f>
        <v/>
      </c>
      <c r="R174" s="80" t="n">
        <v>108.316</v>
      </c>
      <c r="S174" s="97">
        <f>(O174*T174)</f>
        <v/>
      </c>
      <c r="T174" s="79" t="n">
        <v>5.66</v>
      </c>
      <c r="U174" s="80" t="n">
        <v>12245.65</v>
      </c>
      <c r="V174" s="80" t="n">
        <v>26.83</v>
      </c>
      <c r="W174" s="97">
        <f>U174/V174</f>
        <v/>
      </c>
      <c r="X174" s="97">
        <f>(W174/U174)*100</f>
        <v/>
      </c>
      <c r="Y174" s="80" t="n">
        <v>9683</v>
      </c>
      <c r="Z174" s="80" t="n">
        <v>20.23</v>
      </c>
      <c r="AA174" s="97">
        <f>Y174/Z174</f>
        <v/>
      </c>
      <c r="AB174" s="97">
        <f>(AA174/Y174)*100</f>
        <v/>
      </c>
    </row>
    <row r="175">
      <c r="A175" s="92" t="n">
        <v>174</v>
      </c>
      <c r="B175" s="99" t="n">
        <v>44818</v>
      </c>
      <c r="C175" s="101" t="n">
        <v>28594672</v>
      </c>
      <c r="D175" s="97">
        <f>C175/E175</f>
        <v/>
      </c>
      <c r="E175" s="97" t="n">
        <v>79.45</v>
      </c>
      <c r="F175" s="97">
        <f>D175/100000</f>
        <v/>
      </c>
      <c r="G175" s="97">
        <f>(F175/DataSheet!$C$9*100)</f>
        <v/>
      </c>
      <c r="H175" s="97">
        <f>K175/I175</f>
        <v/>
      </c>
      <c r="I175" s="98">
        <f>(J175/L175)*100</f>
        <v/>
      </c>
      <c r="J175" s="97">
        <f>L175/O175</f>
        <v/>
      </c>
      <c r="K175" s="97" t="n">
        <v>7.155</v>
      </c>
      <c r="L175" s="97" t="n">
        <v>18003.75</v>
      </c>
      <c r="M175" s="97" t="n">
        <v>4.18</v>
      </c>
      <c r="N175" s="97">
        <f>K175-I175</f>
        <v/>
      </c>
      <c r="O175" s="79" t="n">
        <v>21.49</v>
      </c>
      <c r="P175" s="80" t="n">
        <v>3.412</v>
      </c>
      <c r="Q175" s="97">
        <f>K175-P175</f>
        <v/>
      </c>
      <c r="R175" s="80" t="n">
        <v>109.809</v>
      </c>
      <c r="S175" s="97">
        <f>(O175*T175)</f>
        <v/>
      </c>
      <c r="T175" s="79" t="n">
        <v>5.7</v>
      </c>
      <c r="U175" s="80" t="n">
        <v>12203.55</v>
      </c>
      <c r="V175" s="80" t="n">
        <v>26.74</v>
      </c>
      <c r="W175" s="97">
        <f>U175/V175</f>
        <v/>
      </c>
      <c r="X175" s="97">
        <f>(W175/U175)*100</f>
        <v/>
      </c>
      <c r="Y175" s="80" t="n">
        <v>9692.1</v>
      </c>
      <c r="Z175" s="80" t="n">
        <v>20.25</v>
      </c>
      <c r="AA175" s="97">
        <f>Y175/Z175</f>
        <v/>
      </c>
      <c r="AB175" s="97">
        <f>(AA175/Y175)*100</f>
        <v/>
      </c>
    </row>
    <row r="176">
      <c r="A176" s="92" t="n">
        <v>175</v>
      </c>
      <c r="B176" s="99" t="n">
        <v>44819</v>
      </c>
      <c r="C176" s="101" t="n">
        <v>28587353</v>
      </c>
      <c r="D176" s="97">
        <f>C176/E176</f>
        <v/>
      </c>
      <c r="E176" s="97" t="n">
        <v>79.84</v>
      </c>
      <c r="F176" s="97">
        <f>D176/100000</f>
        <v/>
      </c>
      <c r="G176" s="97">
        <f>(F176/DataSheet!$C$9*100)</f>
        <v/>
      </c>
      <c r="H176" s="97">
        <f>K176/I176</f>
        <v/>
      </c>
      <c r="I176" s="98">
        <f>(J176/L176)*100</f>
        <v/>
      </c>
      <c r="J176" s="97">
        <f>L176/O176</f>
        <v/>
      </c>
      <c r="K176" s="97" t="n">
        <v>7.238</v>
      </c>
      <c r="L176" s="97" t="n">
        <v>17877.4</v>
      </c>
      <c r="M176" s="97" t="n">
        <v>4.15</v>
      </c>
      <c r="N176" s="97">
        <f>K176-I176</f>
        <v/>
      </c>
      <c r="O176" s="79" t="n">
        <v>21.34</v>
      </c>
      <c r="P176" s="80" t="n">
        <v>3.404</v>
      </c>
      <c r="Q176" s="97">
        <f>K176-P176</f>
        <v/>
      </c>
      <c r="R176" s="80" t="n">
        <v>109.631</v>
      </c>
      <c r="S176" s="97">
        <f>(O176*T176)</f>
        <v/>
      </c>
      <c r="T176" s="79" t="n">
        <v>5.76</v>
      </c>
      <c r="U176" s="80" t="n">
        <v>12242.85</v>
      </c>
      <c r="V176" s="80" t="n">
        <v>26.82</v>
      </c>
      <c r="W176" s="97">
        <f>U176/V176</f>
        <v/>
      </c>
      <c r="X176" s="97">
        <f>(W176/U176)*100</f>
        <v/>
      </c>
      <c r="Y176" s="80" t="n">
        <v>9690.049999999999</v>
      </c>
      <c r="Z176" s="80" t="n">
        <v>20.24</v>
      </c>
      <c r="AA176" s="97">
        <f>Y176/Z176</f>
        <v/>
      </c>
      <c r="AB176" s="97">
        <f>(AA176/Y176)*100</f>
        <v/>
      </c>
    </row>
    <row r="177">
      <c r="A177" s="92" t="n">
        <v>176</v>
      </c>
      <c r="B177" s="99" t="n">
        <v>44820</v>
      </c>
      <c r="C177" s="101" t="n">
        <v>27968822</v>
      </c>
      <c r="D177" s="97">
        <f>C177/E177</f>
        <v/>
      </c>
      <c r="E177" s="97" t="n">
        <v>79.72</v>
      </c>
      <c r="F177" s="97">
        <f>D177/100000</f>
        <v/>
      </c>
      <c r="G177" s="97">
        <f>(F177/DataSheet!$C$9*100)</f>
        <v/>
      </c>
      <c r="H177" s="97">
        <f>K177/I177</f>
        <v/>
      </c>
      <c r="I177" s="98">
        <f>(J177/L177)*100</f>
        <v/>
      </c>
      <c r="J177" s="97">
        <f>L177/O177</f>
        <v/>
      </c>
      <c r="K177" s="97" t="n">
        <v>7.266</v>
      </c>
      <c r="L177" s="97" t="n">
        <v>17530.85</v>
      </c>
      <c r="M177" s="97" t="n">
        <v>4.07</v>
      </c>
      <c r="N177" s="97">
        <f>K177-I177</f>
        <v/>
      </c>
      <c r="O177" s="79" t="n">
        <v>20.93</v>
      </c>
      <c r="P177" s="80" t="n">
        <v>3.449</v>
      </c>
      <c r="Q177" s="97">
        <f>K177-P177</f>
        <v/>
      </c>
      <c r="R177" s="80" t="n">
        <v>109.711</v>
      </c>
      <c r="S177" s="97">
        <f>(O177*T177)</f>
        <v/>
      </c>
      <c r="T177" s="79" t="n">
        <v>5.77</v>
      </c>
      <c r="U177" s="80" t="n">
        <v>11933.3</v>
      </c>
      <c r="V177" s="80" t="n">
        <v>26.14</v>
      </c>
      <c r="W177" s="97">
        <f>U177/V177</f>
        <v/>
      </c>
      <c r="X177" s="97">
        <f>(W177/U177)*100</f>
        <v/>
      </c>
      <c r="Y177" s="80" t="n">
        <v>9467.85</v>
      </c>
      <c r="Z177" s="80" t="n">
        <v>19.78</v>
      </c>
      <c r="AA177" s="97">
        <f>Y177/Z177</f>
        <v/>
      </c>
      <c r="AB177" s="97">
        <f>(AA177/Y177)*100</f>
        <v/>
      </c>
    </row>
    <row r="178">
      <c r="A178" s="92" t="n">
        <v>177</v>
      </c>
      <c r="B178" s="99" t="n">
        <v>44823</v>
      </c>
      <c r="C178" s="101" t="n">
        <v>28060174</v>
      </c>
      <c r="D178" s="97">
        <f>C178/E178</f>
        <v/>
      </c>
      <c r="E178" s="97" t="n">
        <v>79.73999999999999</v>
      </c>
      <c r="F178" s="97">
        <f>D178/100000</f>
        <v/>
      </c>
      <c r="G178" s="97">
        <f>(F178/DataSheet!$C$9*100)</f>
        <v/>
      </c>
      <c r="H178" s="97">
        <f>K178/I178</f>
        <v/>
      </c>
      <c r="I178" s="97">
        <f>(J178/L178)*100</f>
        <v/>
      </c>
      <c r="J178" s="97">
        <f>L178/O178</f>
        <v/>
      </c>
      <c r="K178" s="97" t="n">
        <v>7.279</v>
      </c>
      <c r="L178" s="97" t="n">
        <v>17622.25</v>
      </c>
      <c r="M178" s="97" t="n">
        <v>4.09</v>
      </c>
      <c r="N178" s="97">
        <f>K178-I178</f>
        <v/>
      </c>
      <c r="O178" s="79" t="n">
        <v>21.04</v>
      </c>
      <c r="P178" s="80" t="n">
        <v>3.455</v>
      </c>
      <c r="Q178" s="97">
        <f>K178-P178</f>
        <v/>
      </c>
      <c r="R178" s="80" t="n">
        <v>109.736</v>
      </c>
      <c r="S178" s="97">
        <f>(O178*T178)</f>
        <v/>
      </c>
      <c r="T178" s="79" t="n">
        <v>5.78</v>
      </c>
      <c r="U178" s="80" t="n">
        <v>11936.55</v>
      </c>
      <c r="V178" s="80" t="n">
        <v>26.15</v>
      </c>
      <c r="W178" s="97">
        <f>U178/V178</f>
        <v/>
      </c>
      <c r="X178" s="97">
        <f>(W178/U178)*100</f>
        <v/>
      </c>
      <c r="Y178" s="80" t="n">
        <v>9398.299999999999</v>
      </c>
      <c r="Z178" s="80" t="n">
        <v>19.63</v>
      </c>
      <c r="AA178" s="97">
        <f>Y178/Z178</f>
        <v/>
      </c>
      <c r="AB178" s="97">
        <f>(AA178/Y178)*100</f>
        <v/>
      </c>
    </row>
    <row r="179">
      <c r="A179" s="92" t="n">
        <v>178</v>
      </c>
      <c r="B179" s="99" t="n">
        <v>44824</v>
      </c>
      <c r="C179" s="101" t="n">
        <v>28342214</v>
      </c>
      <c r="D179" s="97">
        <f>C179/E179</f>
        <v/>
      </c>
      <c r="E179" s="97" t="n">
        <v>79.7</v>
      </c>
      <c r="F179" s="97">
        <f>D179/100000</f>
        <v/>
      </c>
      <c r="G179" s="97">
        <f>(F179/DataSheet!$C$9*100)</f>
        <v/>
      </c>
      <c r="H179" s="97">
        <f>K179/I179</f>
        <v/>
      </c>
      <c r="I179" s="97">
        <f>(J179/L179)*100</f>
        <v/>
      </c>
      <c r="J179" s="97">
        <f>L179/O179</f>
        <v/>
      </c>
      <c r="K179" s="97" t="n">
        <v>7.296</v>
      </c>
      <c r="L179" s="97" t="n">
        <v>17816.25</v>
      </c>
      <c r="M179" s="97" t="n">
        <v>4.13</v>
      </c>
      <c r="N179" s="97">
        <f>K179-I179</f>
        <v/>
      </c>
      <c r="O179" s="79" t="n">
        <v>21.27</v>
      </c>
      <c r="P179" s="80" t="n">
        <v>3.494</v>
      </c>
      <c r="Q179" s="97">
        <f>K179-P179</f>
        <v/>
      </c>
      <c r="R179" s="80" t="n">
        <v>109.982</v>
      </c>
      <c r="S179" s="97">
        <f>(O179*T179)</f>
        <v/>
      </c>
      <c r="T179" s="79" t="n">
        <v>5.79</v>
      </c>
      <c r="U179" s="80" t="n">
        <v>12111.3</v>
      </c>
      <c r="V179" s="80" t="n">
        <v>26.53</v>
      </c>
      <c r="W179" s="97">
        <f>U179/V179</f>
        <v/>
      </c>
      <c r="X179" s="97">
        <f>(W179/U179)*100</f>
        <v/>
      </c>
      <c r="Y179" s="80" t="n">
        <v>9506.25</v>
      </c>
      <c r="Z179" s="80" t="n">
        <v>19.86</v>
      </c>
      <c r="AA179" s="97">
        <f>Y179/Z179</f>
        <v/>
      </c>
      <c r="AB179" s="97">
        <f>(AA179/Y179)*100</f>
        <v/>
      </c>
    </row>
    <row r="180">
      <c r="A180" s="92" t="n">
        <v>179</v>
      </c>
      <c r="B180" s="99" t="n">
        <v>44825</v>
      </c>
      <c r="C180" s="101" t="n">
        <v>28117658</v>
      </c>
      <c r="D180" s="97">
        <f>C180/E180</f>
        <v/>
      </c>
      <c r="E180" s="97" t="n">
        <v>79.93000000000001</v>
      </c>
      <c r="F180" s="97">
        <f>D180/100000</f>
        <v/>
      </c>
      <c r="G180" s="97">
        <f>(F180/DataSheet!$C$9*100)</f>
        <v/>
      </c>
      <c r="H180" s="97">
        <f>K180/I180</f>
        <v/>
      </c>
      <c r="I180" s="97">
        <f>(J180/L180)*100</f>
        <v/>
      </c>
      <c r="J180" s="97">
        <f>L180/O180</f>
        <v/>
      </c>
      <c r="K180" s="97" t="n">
        <v>7.26</v>
      </c>
      <c r="L180" s="97" t="n">
        <v>17718.35</v>
      </c>
      <c r="M180" s="97" t="n">
        <v>4.11</v>
      </c>
      <c r="N180" s="97">
        <f>K180-I180</f>
        <v/>
      </c>
      <c r="O180" s="79" t="n">
        <v>21.15</v>
      </c>
      <c r="P180" s="80" t="n">
        <v>3.569</v>
      </c>
      <c r="Q180" s="97">
        <f>K180-P180</f>
        <v/>
      </c>
      <c r="R180" s="80" t="n">
        <v>109.942</v>
      </c>
      <c r="S180" s="97">
        <f>(O180*T180)</f>
        <v/>
      </c>
      <c r="T180" s="79" t="n">
        <v>5.85</v>
      </c>
      <c r="U180" s="80" t="n">
        <v>12027.5</v>
      </c>
      <c r="V180" s="80" t="n">
        <v>26.35</v>
      </c>
      <c r="W180" s="97">
        <f>U180/V180</f>
        <v/>
      </c>
      <c r="X180" s="97">
        <f>(W180/U180)*100</f>
        <v/>
      </c>
      <c r="Y180" s="80" t="n">
        <v>9446.700000000001</v>
      </c>
      <c r="Z180" s="80" t="n">
        <v>19.73</v>
      </c>
      <c r="AA180" s="97">
        <f>Y180/Z180</f>
        <v/>
      </c>
      <c r="AB180" s="97">
        <f>(AA180/Y180)*100</f>
        <v/>
      </c>
    </row>
    <row r="181">
      <c r="A181" s="92" t="n">
        <v>180</v>
      </c>
      <c r="B181" s="99" t="n">
        <v>44826</v>
      </c>
      <c r="C181" s="101" t="n">
        <v>28154729</v>
      </c>
      <c r="D181" s="97">
        <f>C181/E181</f>
        <v/>
      </c>
      <c r="E181" s="97" t="n">
        <v>80.88</v>
      </c>
      <c r="F181" s="97">
        <f>D181/100000</f>
        <v/>
      </c>
      <c r="G181" s="97">
        <f>(F181/DataSheet!$C$9*100)</f>
        <v/>
      </c>
      <c r="H181" s="97">
        <f>K181/I181</f>
        <v/>
      </c>
      <c r="I181" s="97">
        <f>(J181/L181)*100</f>
        <v/>
      </c>
      <c r="J181" s="97">
        <f>L181/O181</f>
        <v/>
      </c>
      <c r="K181" s="97" t="n">
        <v>7.233</v>
      </c>
      <c r="L181" s="97" t="n">
        <v>17629.8</v>
      </c>
      <c r="M181" s="97" t="n">
        <v>4.09</v>
      </c>
      <c r="N181" s="97">
        <f>K181-I181</f>
        <v/>
      </c>
      <c r="O181" s="79" t="n">
        <v>21.05</v>
      </c>
      <c r="P181" s="80" t="n">
        <v>3.534</v>
      </c>
      <c r="Q181" s="97">
        <f>K181-P181</f>
        <v/>
      </c>
      <c r="R181" s="80" t="n">
        <v>110.346</v>
      </c>
      <c r="S181" s="97">
        <f>(O181*T181)</f>
        <v/>
      </c>
      <c r="T181" s="79" t="n">
        <v>5.88</v>
      </c>
      <c r="U181" s="80" t="n">
        <v>12067.4</v>
      </c>
      <c r="V181" s="80" t="n">
        <v>26.44</v>
      </c>
      <c r="W181" s="97">
        <f>U181/V181</f>
        <v/>
      </c>
      <c r="X181" s="97">
        <f>(W181/U181)*100</f>
        <v/>
      </c>
      <c r="Y181" s="80" t="n">
        <v>9500.4</v>
      </c>
      <c r="Z181" s="80" t="n">
        <v>19.84</v>
      </c>
      <c r="AA181" s="97">
        <f>Y181/Z181</f>
        <v/>
      </c>
      <c r="AB181" s="97">
        <f>(AA181/Y181)*100</f>
        <v/>
      </c>
    </row>
    <row r="182">
      <c r="A182" s="92" t="n">
        <v>181</v>
      </c>
      <c r="B182" s="99" t="n">
        <v>44827</v>
      </c>
      <c r="C182" s="103" t="n">
        <v>27664567</v>
      </c>
      <c r="D182" s="97">
        <f>C182/E182</f>
        <v/>
      </c>
      <c r="E182" s="97" t="n">
        <v>81.06</v>
      </c>
      <c r="F182" s="97">
        <f>D182/100000</f>
        <v/>
      </c>
      <c r="G182" s="97">
        <f>(F182/DataSheet!$C$9*100)</f>
        <v/>
      </c>
      <c r="H182" s="97">
        <f>K182/I182</f>
        <v/>
      </c>
      <c r="I182" s="97">
        <f>(J182/L182)*100</f>
        <v/>
      </c>
      <c r="J182" s="97">
        <f>L182/O182</f>
        <v/>
      </c>
      <c r="K182" s="97" t="n">
        <v>7.393</v>
      </c>
      <c r="L182" s="97" t="n">
        <v>17327.35</v>
      </c>
      <c r="M182" s="97" t="n">
        <v>4.02</v>
      </c>
      <c r="N182" s="97">
        <f>K182-I182</f>
        <v/>
      </c>
      <c r="O182" s="79" t="n">
        <v>20.69</v>
      </c>
      <c r="P182" s="80" t="n">
        <v>3.71</v>
      </c>
      <c r="Q182" s="97">
        <f>K182-P182</f>
        <v/>
      </c>
      <c r="R182" s="80" t="n">
        <v>111.105</v>
      </c>
      <c r="S182" s="97">
        <f>(O182*T182)</f>
        <v/>
      </c>
      <c r="T182" s="79" t="n">
        <v>5.9</v>
      </c>
      <c r="U182" s="80" t="n">
        <v>11811.9</v>
      </c>
      <c r="V182" s="80" t="n">
        <v>25.88</v>
      </c>
      <c r="W182" s="97">
        <f>U182/V182</f>
        <v/>
      </c>
      <c r="X182" s="97">
        <f>(W182/U182)*100</f>
        <v/>
      </c>
      <c r="Y182" s="80" t="n">
        <v>9312.450000000001</v>
      </c>
      <c r="Z182" s="80" t="n">
        <v>19.45</v>
      </c>
      <c r="AA182" s="97">
        <f>Y182/Z182</f>
        <v/>
      </c>
      <c r="AB182" s="97">
        <f>(AA182/Y182)*100</f>
        <v/>
      </c>
    </row>
    <row r="183">
      <c r="A183" s="92" t="n">
        <v>182</v>
      </c>
      <c r="B183" s="99" t="n">
        <v>44830</v>
      </c>
      <c r="C183" s="101" t="n">
        <v>27011460</v>
      </c>
      <c r="D183" s="97">
        <f>C183/E183</f>
        <v/>
      </c>
      <c r="E183" s="97" t="n">
        <v>81.59999999999999</v>
      </c>
      <c r="F183" s="97">
        <f>D183/100000</f>
        <v/>
      </c>
      <c r="G183" s="97">
        <f>(F183/DataSheet!$C$9*100)</f>
        <v/>
      </c>
      <c r="H183" s="97">
        <f>K183/I183</f>
        <v/>
      </c>
      <c r="I183" s="97">
        <f>(J183/L183)*100</f>
        <v/>
      </c>
      <c r="J183" s="97">
        <f>L183/O183</f>
        <v/>
      </c>
      <c r="K183" s="97" t="n">
        <v>7.366</v>
      </c>
      <c r="L183" s="97" t="n">
        <v>17016.3</v>
      </c>
      <c r="M183" s="97" t="n">
        <v>3.95</v>
      </c>
      <c r="N183" s="97">
        <f>K183-I183</f>
        <v/>
      </c>
      <c r="O183" s="79" t="n">
        <v>20.31</v>
      </c>
      <c r="P183" s="80" t="n">
        <v>3.687</v>
      </c>
      <c r="Q183" s="97">
        <f>K183-P183</f>
        <v/>
      </c>
      <c r="R183" s="80" t="n">
        <v>112.962</v>
      </c>
      <c r="S183" s="97">
        <f>(O183*T183)</f>
        <v/>
      </c>
      <c r="T183" s="79" t="n">
        <v>5.94</v>
      </c>
      <c r="U183" s="80" t="n">
        <v>11461.7</v>
      </c>
      <c r="V183" s="80" t="n">
        <v>25.11</v>
      </c>
      <c r="W183" s="97">
        <f>U183/V183</f>
        <v/>
      </c>
      <c r="X183" s="97">
        <f>(W183/U183)*100</f>
        <v/>
      </c>
      <c r="Y183" s="80" t="n">
        <v>9001</v>
      </c>
      <c r="Z183" s="80" t="n">
        <v>18.8</v>
      </c>
      <c r="AA183" s="97">
        <f>Y183/Z183</f>
        <v/>
      </c>
      <c r="AB183" s="97">
        <f>(AA183/Y183)*100</f>
        <v/>
      </c>
    </row>
    <row r="184">
      <c r="A184" s="92" t="n">
        <v>183</v>
      </c>
      <c r="B184" s="99" t="n">
        <v>44831</v>
      </c>
      <c r="C184" s="101" t="n">
        <v>27016183</v>
      </c>
      <c r="D184" s="97">
        <f>C184/E184</f>
        <v/>
      </c>
      <c r="E184" s="97" t="n">
        <v>81.56999999999999</v>
      </c>
      <c r="F184" s="97">
        <f>D184/100000</f>
        <v/>
      </c>
      <c r="G184" s="97">
        <f>(F184/DataSheet!$C$9*100)</f>
        <v/>
      </c>
      <c r="H184" s="97">
        <f>K184/I184</f>
        <v/>
      </c>
      <c r="I184" s="97">
        <f>(J184/L184)*100</f>
        <v/>
      </c>
      <c r="J184" s="97">
        <f>L184/O184</f>
        <v/>
      </c>
      <c r="K184" s="97" t="n">
        <v>7.297</v>
      </c>
      <c r="L184" s="97" t="n">
        <v>17007.4</v>
      </c>
      <c r="M184" s="97" t="n">
        <v>3.95</v>
      </c>
      <c r="N184" s="97">
        <f>K184-I184</f>
        <v/>
      </c>
      <c r="O184" s="79" t="n">
        <v>20.3</v>
      </c>
      <c r="P184" s="80" t="n">
        <v>3.928</v>
      </c>
      <c r="Q184" s="97">
        <f>K184-P184</f>
        <v/>
      </c>
      <c r="R184" s="80" t="n">
        <v>114.02</v>
      </c>
      <c r="S184" s="97">
        <f>(O184*T184)</f>
        <v/>
      </c>
      <c r="T184" s="79" t="n">
        <v>5.97</v>
      </c>
      <c r="U184" s="80" t="n">
        <v>11469.75</v>
      </c>
      <c r="V184" s="80" t="n">
        <v>25.13</v>
      </c>
      <c r="W184" s="97">
        <f>U184/V184</f>
        <v/>
      </c>
      <c r="X184" s="97">
        <f>(W184/U184)*100</f>
        <v/>
      </c>
      <c r="Y184" s="80" t="n">
        <v>9048.950000000001</v>
      </c>
      <c r="Z184" s="80" t="n">
        <v>18.9</v>
      </c>
      <c r="AA184" s="97">
        <f>Y184/Z184</f>
        <v/>
      </c>
      <c r="AB184" s="97">
        <f>(AA184/Y184)*100</f>
        <v/>
      </c>
    </row>
    <row r="185">
      <c r="A185" s="92" t="n">
        <v>184</v>
      </c>
      <c r="B185" s="102" t="n">
        <v>44832</v>
      </c>
      <c r="C185" s="101" t="n">
        <v>26842958</v>
      </c>
      <c r="D185" s="97">
        <f>C185/E185</f>
        <v/>
      </c>
      <c r="E185" s="97" t="n">
        <v>81.72</v>
      </c>
      <c r="F185" s="97">
        <f>D185/100000</f>
        <v/>
      </c>
      <c r="G185" s="97">
        <f>(F185/DataSheet!$C$9*100)</f>
        <v/>
      </c>
      <c r="H185" s="97">
        <f>K185/I185</f>
        <v/>
      </c>
      <c r="I185" s="97">
        <f>(J185/L185)*100</f>
        <v/>
      </c>
      <c r="J185" s="97">
        <f>L185/O185</f>
        <v/>
      </c>
      <c r="K185" s="97" t="n">
        <v>7.333</v>
      </c>
      <c r="L185" s="97" t="n">
        <v>16858.6</v>
      </c>
      <c r="M185" s="97" t="n">
        <v>3.91</v>
      </c>
      <c r="N185" s="97">
        <f>K185-I185</f>
        <v/>
      </c>
      <c r="O185" s="97" t="n">
        <v>20.13</v>
      </c>
      <c r="P185" s="80" t="n">
        <v>3.949</v>
      </c>
      <c r="Q185" s="97">
        <f>K185-P185</f>
        <v/>
      </c>
      <c r="R185" s="80" t="n">
        <v>114.047</v>
      </c>
      <c r="S185" s="97">
        <f>(O185*T185)</f>
        <v/>
      </c>
      <c r="T185" s="79" t="n">
        <v>6.1</v>
      </c>
      <c r="U185" s="80" t="n">
        <v>11439.4</v>
      </c>
      <c r="V185" s="80" t="n">
        <v>25.06</v>
      </c>
      <c r="W185" s="97">
        <f>U185/V185</f>
        <v/>
      </c>
      <c r="X185" s="97">
        <f>(W185/U185)*100</f>
        <v/>
      </c>
      <c r="Y185" s="80" t="n">
        <v>9009.049999999999</v>
      </c>
      <c r="Z185" s="80" t="n">
        <v>18.82</v>
      </c>
      <c r="AA185" s="97">
        <f>Y185/Z185</f>
        <v/>
      </c>
      <c r="AB185" s="97">
        <f>(AA185/Y185)*100</f>
        <v/>
      </c>
    </row>
    <row r="186">
      <c r="A186" s="92" t="n">
        <v>185</v>
      </c>
      <c r="B186" s="99" t="n">
        <v>44833</v>
      </c>
      <c r="C186" s="101" t="n">
        <v>26814559</v>
      </c>
      <c r="D186" s="97">
        <f>C186/E186</f>
        <v/>
      </c>
      <c r="E186" s="97" t="n">
        <v>81.75</v>
      </c>
      <c r="F186" s="97">
        <f>D186/100000</f>
        <v/>
      </c>
      <c r="G186" s="97">
        <f>(F186/DataSheet!$C$9*100)</f>
        <v/>
      </c>
      <c r="H186" s="97">
        <f>K186/I186</f>
        <v/>
      </c>
      <c r="I186" s="97">
        <f>(J186/L186)*100</f>
        <v/>
      </c>
      <c r="J186" s="97">
        <f>L186/O186</f>
        <v/>
      </c>
      <c r="K186" s="97" t="n">
        <v>7.34</v>
      </c>
      <c r="L186" s="97" t="n">
        <v>16818.1</v>
      </c>
      <c r="M186" s="97" t="n">
        <v>3.9</v>
      </c>
      <c r="N186" s="97">
        <f>K186-I186</f>
        <v/>
      </c>
      <c r="O186" s="97" t="n">
        <v>20.08</v>
      </c>
      <c r="P186" s="97" t="n">
        <v>3.82</v>
      </c>
      <c r="Q186" s="97">
        <f>K186-P186</f>
        <v/>
      </c>
      <c r="R186" s="80" t="n">
        <v>112.508</v>
      </c>
      <c r="S186" s="97">
        <f>(O186*T186)</f>
        <v/>
      </c>
      <c r="T186" s="79" t="n">
        <v>6.09</v>
      </c>
      <c r="U186" s="80" t="n">
        <v>11488.6</v>
      </c>
      <c r="V186" s="80" t="n">
        <v>25.17</v>
      </c>
      <c r="W186" s="97">
        <f>U186/V186</f>
        <v/>
      </c>
      <c r="X186" s="97">
        <f>(W186/U186)*100</f>
        <v/>
      </c>
      <c r="Y186" s="80" t="n">
        <v>9060.15</v>
      </c>
      <c r="Z186" s="80" t="n">
        <v>18.93</v>
      </c>
      <c r="AA186" s="97">
        <f>Y186/Z186</f>
        <v/>
      </c>
      <c r="AB186" s="97">
        <f>(AA186/Y186)*100</f>
        <v/>
      </c>
    </row>
    <row r="187">
      <c r="A187" s="92" t="n">
        <v>186</v>
      </c>
      <c r="B187" s="99" t="n">
        <v>44834</v>
      </c>
      <c r="C187" s="101" t="n">
        <v>27186899</v>
      </c>
      <c r="D187" s="97">
        <f>C187/E187</f>
        <v/>
      </c>
      <c r="E187" s="97" t="n">
        <v>81.41</v>
      </c>
      <c r="F187" s="97">
        <f>D187/100000</f>
        <v/>
      </c>
      <c r="G187" s="97">
        <f>(F187/DataSheet!$C$9*100)</f>
        <v/>
      </c>
      <c r="H187" s="97">
        <f>K187/I187</f>
        <v/>
      </c>
      <c r="I187" s="97">
        <f>(J187/L187)*100</f>
        <v/>
      </c>
      <c r="J187" s="97">
        <f>L187/O187</f>
        <v/>
      </c>
      <c r="K187" s="97" t="n">
        <v>7.393</v>
      </c>
      <c r="L187" s="97" t="n">
        <v>17094.35</v>
      </c>
      <c r="M187" s="97" t="n">
        <v>4.02</v>
      </c>
      <c r="N187" s="97">
        <f>K187-I187</f>
        <v/>
      </c>
      <c r="O187" s="97" t="n">
        <v>20.64</v>
      </c>
      <c r="P187" s="97" t="n">
        <v>3.686</v>
      </c>
      <c r="Q187" s="97">
        <f>K187-P187</f>
        <v/>
      </c>
      <c r="R187" s="80" t="n">
        <v>112.202</v>
      </c>
      <c r="S187" s="97">
        <f>(O187*T187)</f>
        <v/>
      </c>
      <c r="T187" s="79" t="n">
        <v>6.09</v>
      </c>
      <c r="U187" s="80" t="n">
        <v>11654.45</v>
      </c>
      <c r="V187" s="80" t="n">
        <v>24.69</v>
      </c>
      <c r="W187" s="97">
        <f>U187/V187</f>
        <v/>
      </c>
      <c r="X187" s="97">
        <f>(W187/U187)*100</f>
        <v/>
      </c>
      <c r="Y187" s="80" t="n">
        <v>9198.75</v>
      </c>
      <c r="Z187" s="80" t="n">
        <v>18.82</v>
      </c>
      <c r="AA187" s="97">
        <f>Y187/Z187</f>
        <v/>
      </c>
      <c r="AB187" s="97">
        <f>(AA187/Y187)*100</f>
        <v/>
      </c>
    </row>
    <row r="188">
      <c r="A188" s="92" t="n">
        <v>187</v>
      </c>
      <c r="B188" s="99" t="n">
        <v>44837</v>
      </c>
      <c r="C188" s="101" t="n">
        <v>26826421</v>
      </c>
      <c r="D188" s="97">
        <f>C188/E188</f>
        <v/>
      </c>
      <c r="E188" s="97" t="n">
        <v>81.83</v>
      </c>
      <c r="F188" s="97">
        <f>D188/100000</f>
        <v/>
      </c>
      <c r="G188" s="97">
        <f>(F188/DataSheet!$C$9*100)</f>
        <v/>
      </c>
      <c r="H188" s="97">
        <f>K188/I188</f>
        <v/>
      </c>
      <c r="I188" s="97">
        <f>(J188/L188)*100</f>
        <v/>
      </c>
      <c r="J188" s="97">
        <f>L188/O188</f>
        <v/>
      </c>
      <c r="K188" s="97" t="n">
        <v>7.47</v>
      </c>
      <c r="L188" s="97" t="n">
        <v>16887.35</v>
      </c>
      <c r="M188" s="97" t="n">
        <v>3.97</v>
      </c>
      <c r="N188" s="97">
        <f>K188-I188</f>
        <v/>
      </c>
      <c r="O188" s="97" t="n">
        <v>20.39</v>
      </c>
      <c r="P188" s="97" t="n">
        <v>3.72</v>
      </c>
      <c r="Q188" s="97">
        <f>K188-P188</f>
        <v/>
      </c>
      <c r="R188" s="80" t="n">
        <v>112.084</v>
      </c>
      <c r="S188" s="97">
        <f>(O188*T188)</f>
        <v/>
      </c>
      <c r="T188" s="79" t="n">
        <v>5.98</v>
      </c>
      <c r="U188" s="80" t="n">
        <v>11533.35</v>
      </c>
      <c r="V188" s="80" t="n">
        <v>24.43</v>
      </c>
      <c r="W188" s="97">
        <f>U188/V188</f>
        <v/>
      </c>
      <c r="X188" s="97">
        <f>(W188/U188)*100</f>
        <v/>
      </c>
      <c r="Y188" s="80" t="n">
        <v>9163.950000000001</v>
      </c>
      <c r="Z188" s="80" t="n">
        <v>18.74</v>
      </c>
      <c r="AA188" s="97">
        <f>Y188/Z188</f>
        <v/>
      </c>
      <c r="AB188" s="97">
        <f>(AA188/Y188)*100</f>
        <v/>
      </c>
    </row>
    <row r="189">
      <c r="A189" s="92" t="n">
        <v>188</v>
      </c>
      <c r="B189" s="99" t="n">
        <v>44838</v>
      </c>
      <c r="C189" s="104" t="n">
        <v>27386547</v>
      </c>
      <c r="D189" s="97">
        <f>C189/E189</f>
        <v/>
      </c>
      <c r="E189" s="97" t="n">
        <v>81.55</v>
      </c>
      <c r="F189" s="97">
        <f>D189/100000</f>
        <v/>
      </c>
      <c r="G189" s="97">
        <f>(F189/DataSheet!$C$9*100)</f>
        <v/>
      </c>
      <c r="H189" s="97">
        <f>K189/I189</f>
        <v/>
      </c>
      <c r="I189" s="97">
        <f>(J189/L189)*100</f>
        <v/>
      </c>
      <c r="J189" s="97">
        <f>L189/O189</f>
        <v/>
      </c>
      <c r="K189" s="97" t="n">
        <v>7.362</v>
      </c>
      <c r="L189" s="97" t="n">
        <v>17274.3</v>
      </c>
      <c r="M189" s="97" t="n">
        <v>4.06</v>
      </c>
      <c r="N189" s="97">
        <f>K189-I189</f>
        <v/>
      </c>
      <c r="O189" s="97" t="n">
        <v>20.86</v>
      </c>
      <c r="P189" s="97" t="n">
        <v>3.57</v>
      </c>
      <c r="Q189" s="97">
        <f>K189-P189</f>
        <v/>
      </c>
      <c r="R189" s="80" t="n">
        <v>111.656</v>
      </c>
      <c r="S189" s="97">
        <f>(O189*T189)</f>
        <v/>
      </c>
      <c r="T189" s="79" t="n">
        <v>5.96</v>
      </c>
      <c r="U189" s="80" t="n">
        <v>11794.35</v>
      </c>
      <c r="V189" s="80" t="n">
        <v>24.98</v>
      </c>
      <c r="W189" s="97">
        <f>U189/V189</f>
        <v/>
      </c>
      <c r="X189" s="97">
        <f>(W189/U189)*100</f>
        <v/>
      </c>
      <c r="Y189" s="80" t="n">
        <v>9285.299999999999</v>
      </c>
      <c r="Z189" s="80" t="n">
        <v>18.99</v>
      </c>
      <c r="AA189" s="97">
        <f>Y189/Z189</f>
        <v/>
      </c>
      <c r="AB189" s="97">
        <f>(AA189/Y189)*100</f>
        <v/>
      </c>
    </row>
    <row r="190">
      <c r="A190" s="92" t="n">
        <v>189</v>
      </c>
      <c r="B190" s="99" t="n">
        <v>44840</v>
      </c>
      <c r="C190" s="101" t="n">
        <v>27587301</v>
      </c>
      <c r="D190" s="97">
        <f>C190/E190</f>
        <v/>
      </c>
      <c r="E190" s="97" t="n">
        <v>82.18000000000001</v>
      </c>
      <c r="F190" s="97">
        <f>D190/100000</f>
        <v/>
      </c>
      <c r="G190" s="97">
        <f>(F190/DataSheet!$C$9*100)</f>
        <v/>
      </c>
      <c r="H190" s="97">
        <f>K190/I190</f>
        <v/>
      </c>
      <c r="I190" s="97">
        <f>(J190/L190)*100</f>
        <v/>
      </c>
      <c r="J190" s="97">
        <f>L190/O190</f>
        <v/>
      </c>
      <c r="K190" s="97" t="n">
        <v>7.454</v>
      </c>
      <c r="L190" s="97" t="n">
        <v>17331.8</v>
      </c>
      <c r="M190" s="97" t="n">
        <v>4.07</v>
      </c>
      <c r="N190" s="97">
        <f>K190-I190</f>
        <v/>
      </c>
      <c r="O190" s="97" t="n">
        <v>20.93</v>
      </c>
      <c r="P190" s="97" t="n">
        <v>3.781</v>
      </c>
      <c r="Q190" s="97">
        <f>K190-P190</f>
        <v/>
      </c>
      <c r="R190" s="97" t="n">
        <v>111.34</v>
      </c>
      <c r="S190" s="97">
        <f>(O190*T190)</f>
        <v/>
      </c>
      <c r="T190" s="79" t="n">
        <v>6.09</v>
      </c>
      <c r="U190" s="80" t="n">
        <v>11933.35</v>
      </c>
      <c r="V190" s="80" t="n">
        <v>25.28</v>
      </c>
      <c r="W190" s="97">
        <f>U190/V190</f>
        <v/>
      </c>
      <c r="X190" s="97">
        <f>(W190/U190)*100</f>
        <v/>
      </c>
      <c r="Y190" s="80" t="n">
        <v>9387.200000000001</v>
      </c>
      <c r="Z190" s="80" t="n">
        <v>19.19</v>
      </c>
      <c r="AA190" s="97">
        <f>Y190/Z190</f>
        <v/>
      </c>
      <c r="AB190" s="97">
        <f>(AA190/Y190)*100</f>
        <v/>
      </c>
    </row>
    <row r="191">
      <c r="A191" s="92" t="n">
        <v>190</v>
      </c>
      <c r="B191" s="99" t="n">
        <v>44841</v>
      </c>
      <c r="C191" s="101" t="n">
        <v>27561547</v>
      </c>
      <c r="D191" s="97">
        <f>C191/E191</f>
        <v/>
      </c>
      <c r="E191" s="97" t="n">
        <v>82.23999999999999</v>
      </c>
      <c r="F191" s="97">
        <f>D191/100000</f>
        <v/>
      </c>
      <c r="G191" s="97">
        <f>(F191/DataSheet!$C$9*100)</f>
        <v/>
      </c>
      <c r="H191" s="97">
        <f>K191/I191</f>
        <v/>
      </c>
      <c r="I191" s="97">
        <f>(J191/L191)*100</f>
        <v/>
      </c>
      <c r="J191" s="97">
        <f>L191/O191</f>
        <v/>
      </c>
      <c r="K191" s="97" t="n">
        <v>7.462</v>
      </c>
      <c r="L191" s="97" t="n">
        <v>17314.65</v>
      </c>
      <c r="M191" s="97" t="n">
        <v>4.07</v>
      </c>
      <c r="N191" s="97">
        <f>K191-I191</f>
        <v/>
      </c>
      <c r="O191" s="97" t="n">
        <v>20.9</v>
      </c>
      <c r="P191" s="97" t="n">
        <v>3.841</v>
      </c>
      <c r="Q191" s="97">
        <f>K191-P191</f>
        <v/>
      </c>
      <c r="R191" s="97" t="n">
        <v>111.987</v>
      </c>
      <c r="S191" s="97">
        <f>(O191*T191)</f>
        <v/>
      </c>
      <c r="T191" s="79" t="n">
        <v>6.12</v>
      </c>
      <c r="U191" s="80" t="n">
        <v>11903.05</v>
      </c>
      <c r="V191" s="80" t="n">
        <v>25.22</v>
      </c>
      <c r="W191" s="97">
        <f>U191/V191</f>
        <v/>
      </c>
      <c r="X191" s="97">
        <f>(W191/U191)*100</f>
        <v/>
      </c>
      <c r="Y191" s="80" t="n">
        <v>9417.4</v>
      </c>
      <c r="Z191" s="80" t="n">
        <v>19.26</v>
      </c>
      <c r="AA191" s="97">
        <f>Y191/Z191</f>
        <v/>
      </c>
      <c r="AB191" s="97">
        <f>(AA191/Y191)*100</f>
        <v/>
      </c>
    </row>
    <row r="192">
      <c r="A192" s="92" t="n">
        <v>191</v>
      </c>
      <c r="B192" s="99" t="n">
        <v>44844</v>
      </c>
      <c r="C192" s="101" t="n">
        <v>27427707</v>
      </c>
      <c r="D192" s="97">
        <f>C192/E192</f>
        <v/>
      </c>
      <c r="E192" s="97" t="n">
        <v>82.45</v>
      </c>
      <c r="F192" s="97">
        <f>D192/100000</f>
        <v/>
      </c>
      <c r="G192" s="97">
        <f>(F192/DataSheet!$C$9*100)</f>
        <v/>
      </c>
      <c r="H192" s="97">
        <f>K192/I192</f>
        <v/>
      </c>
      <c r="I192" s="97">
        <f>(J192/L192)*100</f>
        <v/>
      </c>
      <c r="J192" s="97">
        <f>L192/O192</f>
        <v/>
      </c>
      <c r="K192" s="97" t="n">
        <v>7.479</v>
      </c>
      <c r="L192" s="97" t="n">
        <v>17241</v>
      </c>
      <c r="M192" s="97" t="n">
        <v>4.05</v>
      </c>
      <c r="N192" s="97">
        <f>K192-I192</f>
        <v/>
      </c>
      <c r="O192" s="97" t="n">
        <v>20.82</v>
      </c>
      <c r="P192" s="97" t="n">
        <v>3.888</v>
      </c>
      <c r="Q192" s="97">
        <f>K192-P192</f>
        <v/>
      </c>
      <c r="R192" s="97" t="n">
        <v>113.11</v>
      </c>
      <c r="S192" s="97">
        <f>(O192*T192)</f>
        <v/>
      </c>
      <c r="T192" s="79" t="n">
        <v>6.13</v>
      </c>
      <c r="U192" s="80" t="n">
        <v>11796.05</v>
      </c>
      <c r="V192" s="80" t="n">
        <v>24.99</v>
      </c>
      <c r="W192" s="97">
        <f>U192/V192</f>
        <v/>
      </c>
      <c r="X192" s="97">
        <f>(W192/U192)*100</f>
        <v/>
      </c>
      <c r="Y192" s="80" t="n">
        <v>9365.75</v>
      </c>
      <c r="Z192" s="80" t="n">
        <v>19.15</v>
      </c>
      <c r="AA192" s="97">
        <f>Y192/Z192</f>
        <v/>
      </c>
      <c r="AB192" s="97">
        <f>(AA192/Y192)*100</f>
        <v/>
      </c>
    </row>
    <row r="193">
      <c r="A193" s="92" t="n">
        <v>192</v>
      </c>
      <c r="B193" s="99" t="n">
        <v>44845</v>
      </c>
      <c r="C193" s="101" t="n">
        <v>27011275</v>
      </c>
      <c r="D193" s="97">
        <f>C193/E193</f>
        <v/>
      </c>
      <c r="E193" s="97" t="n">
        <v>82.18000000000001</v>
      </c>
      <c r="F193" s="97">
        <f>D193/100000</f>
        <v/>
      </c>
      <c r="G193" s="97">
        <f>(F193/DataSheet!$C$9*100)</f>
        <v/>
      </c>
      <c r="H193" s="97">
        <f>K193/I193</f>
        <v/>
      </c>
      <c r="I193" s="97">
        <f>(J193/L193)*100</f>
        <v/>
      </c>
      <c r="J193" s="97">
        <f>L193/O193</f>
        <v/>
      </c>
      <c r="K193" s="97" t="n">
        <v>7.429</v>
      </c>
      <c r="L193" s="97" t="n">
        <v>16983.55</v>
      </c>
      <c r="M193" s="97" t="n">
        <v>3.99</v>
      </c>
      <c r="N193" s="97">
        <f>K193-I193</f>
        <v/>
      </c>
      <c r="O193" s="97" t="n">
        <v>20.51</v>
      </c>
      <c r="P193" s="97" t="n">
        <v>3.927</v>
      </c>
      <c r="Q193" s="97">
        <f>K193-P193</f>
        <v/>
      </c>
      <c r="R193" s="97" t="n">
        <v>112.875</v>
      </c>
      <c r="S193" s="97">
        <f>(O193*T193)</f>
        <v/>
      </c>
      <c r="T193" s="79" t="n">
        <v>6.2</v>
      </c>
      <c r="U193" s="80" t="n">
        <v>11607</v>
      </c>
      <c r="V193" s="80" t="n">
        <v>24.59</v>
      </c>
      <c r="W193" s="97">
        <f>U193/V193</f>
        <v/>
      </c>
      <c r="X193" s="97">
        <f>(W193/U193)*100</f>
        <v/>
      </c>
      <c r="Y193" s="80" t="n">
        <v>9221.15</v>
      </c>
      <c r="Z193" s="80" t="n">
        <v>18.85</v>
      </c>
      <c r="AA193" s="97">
        <f>Y193/Z193</f>
        <v/>
      </c>
      <c r="AB193" s="97">
        <f>(AA193/Y193)*100</f>
        <v/>
      </c>
    </row>
    <row r="194">
      <c r="A194" s="92" t="n">
        <v>193</v>
      </c>
      <c r="B194" s="99" t="n">
        <v>44846</v>
      </c>
      <c r="C194" s="101" t="n">
        <v>27164340</v>
      </c>
      <c r="D194" s="97">
        <f>C194/E194</f>
        <v/>
      </c>
      <c r="E194" s="97" t="n">
        <v>82.3</v>
      </c>
      <c r="F194" s="97">
        <f>D194/100000</f>
        <v/>
      </c>
      <c r="G194" s="97">
        <f>(F194/DataSheet!$C$9*100)</f>
        <v/>
      </c>
      <c r="H194" s="97">
        <f>K194/I194</f>
        <v/>
      </c>
      <c r="I194" s="97">
        <f>(J194/L194)*100</f>
        <v/>
      </c>
      <c r="J194" s="97">
        <f>L194/O194</f>
        <v/>
      </c>
      <c r="K194" s="97" t="n">
        <v>7.435</v>
      </c>
      <c r="L194" s="97" t="n">
        <v>17123.6</v>
      </c>
      <c r="M194" s="97" t="n">
        <v>4.02</v>
      </c>
      <c r="N194" s="97">
        <f>K194-I194</f>
        <v/>
      </c>
      <c r="O194" s="97" t="n">
        <v>20.67</v>
      </c>
      <c r="P194" s="97" t="n">
        <v>3.951</v>
      </c>
      <c r="Q194" s="97">
        <f>K194-P194</f>
        <v/>
      </c>
      <c r="R194" s="97" t="n">
        <v>113.082</v>
      </c>
      <c r="S194" s="97">
        <f>(O194*T194)</f>
        <v/>
      </c>
      <c r="T194" s="79" t="n">
        <v>6.23</v>
      </c>
      <c r="U194" s="80" t="n">
        <v>11672.45</v>
      </c>
      <c r="V194" s="80" t="n">
        <v>24.73</v>
      </c>
      <c r="W194" s="97">
        <f>U194/V194</f>
        <v/>
      </c>
      <c r="X194" s="97">
        <f>(W194/U194)*100</f>
        <v/>
      </c>
      <c r="Y194" s="80" t="n">
        <v>9261.450000000001</v>
      </c>
      <c r="Z194" s="80" t="n">
        <v>18.94</v>
      </c>
      <c r="AA194" s="97">
        <f>Y194/Z194</f>
        <v/>
      </c>
      <c r="AB194" s="97">
        <f>(AA194/Y194)*100</f>
        <v/>
      </c>
    </row>
    <row r="195">
      <c r="A195" s="92" t="n">
        <v>194</v>
      </c>
      <c r="B195" s="99" t="n">
        <v>44847</v>
      </c>
      <c r="C195" s="101" t="n">
        <v>26985420</v>
      </c>
      <c r="D195" s="97">
        <f>C195/E195</f>
        <v/>
      </c>
      <c r="E195" s="97" t="n">
        <v>82.18000000000001</v>
      </c>
      <c r="F195" s="97">
        <f>D195/100000</f>
        <v/>
      </c>
      <c r="G195" s="97">
        <f>(F195/DataSheet!$C$9*100)</f>
        <v/>
      </c>
      <c r="H195" s="97">
        <f>K195/I195</f>
        <v/>
      </c>
      <c r="I195" s="97">
        <f>(J195/L195)*100</f>
        <v/>
      </c>
      <c r="J195" s="97">
        <f>L195/O195</f>
        <v/>
      </c>
      <c r="K195" s="97" t="n">
        <v>7.422</v>
      </c>
      <c r="L195" s="97" t="n">
        <v>17014.35</v>
      </c>
      <c r="M195" s="97" t="n">
        <v>4</v>
      </c>
      <c r="N195" s="97">
        <f>K195-I195</f>
        <v/>
      </c>
      <c r="O195" s="97" t="n">
        <v>20.53</v>
      </c>
      <c r="P195" s="97" t="n">
        <v>3.858</v>
      </c>
      <c r="Q195" s="97">
        <f>K195-P195</f>
        <v/>
      </c>
      <c r="R195" s="97" t="n">
        <v>112.675</v>
      </c>
      <c r="S195" s="97">
        <f>(O195*T195)</f>
        <v/>
      </c>
      <c r="T195" s="79" t="n">
        <v>6.3</v>
      </c>
      <c r="U195" s="80" t="n">
        <v>11599.7</v>
      </c>
      <c r="V195" s="80" t="n">
        <v>24.57</v>
      </c>
      <c r="W195" s="97">
        <f>U195/V195</f>
        <v/>
      </c>
      <c r="X195" s="97">
        <f>(W195/U195)*100</f>
        <v/>
      </c>
      <c r="Y195" s="80" t="n">
        <v>9212.049999999999</v>
      </c>
      <c r="Z195" s="80" t="n">
        <v>18.81</v>
      </c>
      <c r="AA195" s="97">
        <f>Y195/Z195</f>
        <v/>
      </c>
      <c r="AB195" s="97">
        <f>(AA195/Y195)*100</f>
        <v/>
      </c>
    </row>
    <row r="196">
      <c r="A196" s="92" t="n">
        <v>195</v>
      </c>
      <c r="B196" s="99" t="n">
        <v>44848</v>
      </c>
      <c r="C196" s="101" t="n">
        <v>27028769</v>
      </c>
      <c r="D196" s="97">
        <f>C196/E196</f>
        <v/>
      </c>
      <c r="E196" s="97" t="n">
        <v>82.29000000000001</v>
      </c>
      <c r="F196" s="97">
        <f>D196/100000</f>
        <v/>
      </c>
      <c r="G196" s="97">
        <f>(F196/DataSheet!$C$9*100)</f>
        <v/>
      </c>
      <c r="H196" s="97">
        <f>K196/I196</f>
        <v/>
      </c>
      <c r="I196" s="97">
        <f>(J196/L196)*100</f>
        <v/>
      </c>
      <c r="J196" s="97">
        <f>L196/O196</f>
        <v/>
      </c>
      <c r="K196" s="97" t="n">
        <v>7.47</v>
      </c>
      <c r="L196" s="97" t="n">
        <v>17185.7</v>
      </c>
      <c r="M196" s="97" t="n">
        <v>4.04</v>
      </c>
      <c r="N196" s="97">
        <f>K196-I196</f>
        <v/>
      </c>
      <c r="O196" s="97" t="n">
        <v>20.74</v>
      </c>
      <c r="P196" s="97" t="n">
        <v>3.948</v>
      </c>
      <c r="Q196" s="97">
        <f>K196-P196</f>
        <v/>
      </c>
      <c r="R196" s="97" t="n">
        <v>113.02</v>
      </c>
      <c r="S196" s="97">
        <f>(O196*T196)</f>
        <v/>
      </c>
      <c r="T196" s="79" t="n">
        <v>6.33</v>
      </c>
      <c r="U196" s="80" t="n">
        <v>11591.65</v>
      </c>
      <c r="V196" s="80" t="n">
        <v>24.56</v>
      </c>
      <c r="W196" s="97">
        <f>U196/V196</f>
        <v/>
      </c>
      <c r="X196" s="97">
        <f>(W196/U196)*100</f>
        <v/>
      </c>
      <c r="Y196" s="80" t="n">
        <v>9215.700000000001</v>
      </c>
      <c r="Z196" s="80" t="n">
        <v>18.82</v>
      </c>
      <c r="AA196" s="97">
        <f>Y196/Z196</f>
        <v/>
      </c>
      <c r="AB196" s="97">
        <f>(AA196/Y196)*100</f>
        <v/>
      </c>
    </row>
    <row r="197">
      <c r="A197" s="92" t="n">
        <v>196</v>
      </c>
      <c r="B197" s="99" t="n">
        <v>44851</v>
      </c>
      <c r="C197" s="101" t="n">
        <v>27179781</v>
      </c>
      <c r="D197" s="97">
        <f>C197/E197</f>
        <v/>
      </c>
      <c r="E197" s="97" t="n">
        <v>82.31</v>
      </c>
      <c r="F197" s="97">
        <f>D197/100000</f>
        <v/>
      </c>
      <c r="G197" s="97">
        <f>(F197/DataSheet!$C$9*100)</f>
        <v/>
      </c>
      <c r="H197" s="97">
        <f>K197/I197</f>
        <v/>
      </c>
      <c r="I197" s="97">
        <f>(J197/L197)*100</f>
        <v/>
      </c>
      <c r="J197" s="97">
        <f>L197/O197</f>
        <v/>
      </c>
      <c r="K197" s="97" t="n">
        <v>7.415</v>
      </c>
      <c r="L197" s="97" t="n">
        <v>17311.8</v>
      </c>
      <c r="M197" s="97" t="n">
        <v>4.07</v>
      </c>
      <c r="N197" s="97">
        <f>K197-I197</f>
        <v/>
      </c>
      <c r="O197" s="97" t="n">
        <v>20.86</v>
      </c>
      <c r="P197" s="97" t="n">
        <v>3.95</v>
      </c>
      <c r="Q197" s="97">
        <f>K197-P197</f>
        <v/>
      </c>
      <c r="R197" s="97" t="n">
        <v>112.83</v>
      </c>
      <c r="S197" s="97">
        <f>(O197*T197)</f>
        <v/>
      </c>
      <c r="T197" s="79" t="n">
        <v>6.3</v>
      </c>
      <c r="U197" s="80" t="n">
        <v>11611.65</v>
      </c>
      <c r="V197" s="80" t="n">
        <v>24.6</v>
      </c>
      <c r="W197" s="97">
        <f>U197/V197</f>
        <v/>
      </c>
      <c r="X197" s="97">
        <f>(W197/U197)*100</f>
        <v/>
      </c>
      <c r="Y197" s="80" t="n">
        <v>9239.25</v>
      </c>
      <c r="Z197" s="80" t="n">
        <v>18.86</v>
      </c>
      <c r="AA197" s="97">
        <f>Y197/Z197</f>
        <v/>
      </c>
      <c r="AB197" s="97">
        <f>(AA197/Y197)*100</f>
        <v/>
      </c>
    </row>
    <row r="198">
      <c r="A198" s="92" t="n">
        <v>197</v>
      </c>
      <c r="B198" s="99" t="n">
        <v>44852</v>
      </c>
      <c r="C198" s="101" t="n">
        <v>27447761</v>
      </c>
      <c r="D198" s="97">
        <f>C198/E198</f>
        <v/>
      </c>
      <c r="E198" s="97" t="n">
        <v>82.34999999999999</v>
      </c>
      <c r="F198" s="97">
        <f>D198/100000</f>
        <v/>
      </c>
      <c r="G198" s="97">
        <f>(F198/DataSheet!$C$9*100)</f>
        <v/>
      </c>
      <c r="H198" s="97">
        <f>K198/I198</f>
        <v/>
      </c>
      <c r="I198" s="97">
        <f>(J198/L198)*100</f>
        <v/>
      </c>
      <c r="J198" s="97">
        <f>L198/O198</f>
        <v/>
      </c>
      <c r="K198" s="97" t="n">
        <v>7.427</v>
      </c>
      <c r="L198" s="97" t="n">
        <v>17486.95</v>
      </c>
      <c r="M198" s="97" t="n">
        <v>4.11</v>
      </c>
      <c r="N198" s="97">
        <f>K198-I198</f>
        <v/>
      </c>
      <c r="O198" s="97" t="n">
        <v>20.99</v>
      </c>
      <c r="P198" s="97" t="n">
        <v>3.99</v>
      </c>
      <c r="Q198" s="97">
        <f>K198-P198</f>
        <v/>
      </c>
      <c r="R198" s="97" t="n">
        <v>112.078</v>
      </c>
      <c r="S198" s="97">
        <f>(O198*T198)</f>
        <v/>
      </c>
      <c r="T198" s="79" t="n">
        <v>6.3</v>
      </c>
      <c r="U198" s="80" t="n">
        <v>11727.75</v>
      </c>
      <c r="V198" s="80" t="n">
        <v>24.74</v>
      </c>
      <c r="W198" s="97">
        <f>U198/V198</f>
        <v/>
      </c>
      <c r="X198" s="97">
        <f>(W198/U198)*100</f>
        <v/>
      </c>
      <c r="Y198" s="80" t="n">
        <v>9313.65</v>
      </c>
      <c r="Z198" s="80" t="n">
        <v>19.03</v>
      </c>
      <c r="AA198" s="97">
        <f>Y198/Z198</f>
        <v/>
      </c>
      <c r="AB198" s="97">
        <f>(AA198/Y198)*100</f>
        <v/>
      </c>
    </row>
    <row r="199">
      <c r="A199" s="92" t="n">
        <v>198</v>
      </c>
      <c r="B199" s="99" t="n">
        <v>44853</v>
      </c>
      <c r="C199" s="101" t="n">
        <v>27457936</v>
      </c>
      <c r="D199" s="97">
        <f>C199/E199</f>
        <v/>
      </c>
      <c r="E199" s="97" t="n">
        <v>83</v>
      </c>
      <c r="F199" s="97">
        <f>D199/100000</f>
        <v/>
      </c>
      <c r="G199" s="97">
        <f>(F199/DataSheet!$C$9*100)</f>
        <v/>
      </c>
      <c r="H199" s="97">
        <f>K199/I199</f>
        <v/>
      </c>
      <c r="I199" s="97">
        <f>(J199/L199)*100</f>
        <v/>
      </c>
      <c r="J199" s="97">
        <f>L199/O199</f>
        <v/>
      </c>
      <c r="K199" s="97" t="n">
        <v>7.45</v>
      </c>
      <c r="L199" s="97" t="n">
        <v>17512.25</v>
      </c>
      <c r="M199" s="97" t="n">
        <v>4.12</v>
      </c>
      <c r="N199" s="97">
        <f>K199-I199</f>
        <v/>
      </c>
      <c r="O199" s="97" t="n">
        <v>21.02</v>
      </c>
      <c r="P199" s="97" t="n">
        <v>4.098</v>
      </c>
      <c r="Q199" s="97">
        <f>K199-P199</f>
        <v/>
      </c>
      <c r="R199" s="97" t="n">
        <v>112.75</v>
      </c>
      <c r="S199" s="97">
        <f>(O199*T199)</f>
        <v/>
      </c>
      <c r="T199" s="79" t="n">
        <v>6.33</v>
      </c>
      <c r="U199" s="80" t="n">
        <v>11737.9</v>
      </c>
      <c r="V199" s="80" t="n">
        <v>24.72</v>
      </c>
      <c r="W199" s="97">
        <f>U199/V199</f>
        <v/>
      </c>
      <c r="X199" s="97">
        <f>(W199/U199)*100</f>
        <v/>
      </c>
      <c r="Y199" s="80" t="n">
        <v>9316.4</v>
      </c>
      <c r="Z199" s="80" t="n">
        <v>19.02</v>
      </c>
      <c r="AA199" s="97">
        <f>Y199/Z199</f>
        <v/>
      </c>
      <c r="AB199" s="97">
        <f>(AA199/Y199)*100</f>
        <v/>
      </c>
    </row>
    <row r="200">
      <c r="A200" s="92" t="n">
        <v>199</v>
      </c>
      <c r="B200" s="99" t="n">
        <v>44854</v>
      </c>
      <c r="C200" s="101" t="n">
        <v>27457936</v>
      </c>
      <c r="D200" s="97">
        <f>C200/E200</f>
        <v/>
      </c>
      <c r="E200" s="97" t="n">
        <v>82.63</v>
      </c>
      <c r="F200" s="97">
        <f>D200/100000</f>
        <v/>
      </c>
      <c r="G200" s="97">
        <f>(F200/DataSheet!$C$9*100)</f>
        <v/>
      </c>
      <c r="H200" s="97">
        <f>K200/I200</f>
        <v/>
      </c>
      <c r="I200" s="97">
        <f>(J200/L200)*100</f>
        <v/>
      </c>
      <c r="J200" s="97">
        <f>L200/O200</f>
        <v/>
      </c>
      <c r="K200" s="97" t="n">
        <v>7.477</v>
      </c>
      <c r="L200" s="97" t="n">
        <v>17563.95</v>
      </c>
      <c r="M200" s="97" t="n">
        <v>4.13</v>
      </c>
      <c r="N200" s="97">
        <f>K200-I200</f>
        <v/>
      </c>
      <c r="O200" s="97" t="n">
        <v>21.06</v>
      </c>
      <c r="P200" s="97" t="n">
        <v>4.12</v>
      </c>
      <c r="Q200" s="97">
        <f>K200-P200</f>
        <v/>
      </c>
      <c r="R200" s="97" t="n">
        <v>112.32</v>
      </c>
      <c r="S200" s="97">
        <f>(O200*T200)</f>
        <v/>
      </c>
      <c r="T200" s="79" t="n">
        <v>6.38</v>
      </c>
      <c r="U200" s="80" t="n">
        <v>11706.15</v>
      </c>
      <c r="V200" s="80" t="n">
        <v>24.62</v>
      </c>
      <c r="W200" s="97">
        <f>U200/V200</f>
        <v/>
      </c>
      <c r="X200" s="97">
        <f>(W200/U200)*100</f>
        <v/>
      </c>
      <c r="Y200" s="80" t="n">
        <v>9327</v>
      </c>
      <c r="Z200" s="80" t="n">
        <v>19.03</v>
      </c>
      <c r="AA200" s="97">
        <f>Y200/Z200</f>
        <v/>
      </c>
      <c r="AB200" s="97">
        <f>(AA200/Y200)*100</f>
        <v/>
      </c>
    </row>
    <row r="201">
      <c r="A201" s="92" t="n">
        <v>200</v>
      </c>
      <c r="B201" s="99" t="n">
        <v>44855</v>
      </c>
      <c r="C201" s="101" t="n">
        <v>27458602.15</v>
      </c>
      <c r="D201" s="97">
        <f>C201/E201</f>
        <v/>
      </c>
      <c r="E201" s="97" t="n">
        <v>82.54000000000001</v>
      </c>
      <c r="F201" s="97">
        <f>D201/100000</f>
        <v/>
      </c>
      <c r="G201" s="97">
        <f>(F201/DataSheet!$C$9*100)</f>
        <v/>
      </c>
      <c r="H201" s="97">
        <f>K201/I201</f>
        <v/>
      </c>
      <c r="I201" s="97">
        <f>(J201/L201)*100</f>
        <v/>
      </c>
      <c r="J201" s="97">
        <f>L201/O201</f>
        <v/>
      </c>
      <c r="K201" s="97" t="n">
        <v>7.511</v>
      </c>
      <c r="L201" s="97" t="n">
        <v>17576.3</v>
      </c>
      <c r="M201" s="97" t="n">
        <v>4.13</v>
      </c>
      <c r="N201" s="97">
        <f>K201-I201</f>
        <v/>
      </c>
      <c r="O201" s="97" t="n">
        <v>21.07</v>
      </c>
      <c r="P201" s="97" t="n">
        <v>4.21</v>
      </c>
      <c r="Q201" s="97">
        <f>K201-P201</f>
        <v/>
      </c>
      <c r="R201" s="97" t="n">
        <v>112.01</v>
      </c>
      <c r="S201" s="97">
        <f>(O201*T201)</f>
        <v/>
      </c>
      <c r="T201" s="79" t="n">
        <v>6.38</v>
      </c>
      <c r="U201" s="80" t="n">
        <v>11637.6</v>
      </c>
      <c r="V201" s="80" t="n">
        <v>24.48</v>
      </c>
      <c r="W201" s="97">
        <f>U201/V201</f>
        <v/>
      </c>
      <c r="X201" s="97">
        <f>(W201/U201)*100</f>
        <v/>
      </c>
      <c r="Y201" s="80" t="n">
        <v>9287.35</v>
      </c>
      <c r="Z201" s="80" t="n">
        <v>18.95</v>
      </c>
      <c r="AA201" s="97">
        <f>Y201/Z201</f>
        <v/>
      </c>
      <c r="AB201" s="97">
        <f>(AA201/Y201)*100</f>
        <v/>
      </c>
    </row>
    <row r="202">
      <c r="A202" s="92" t="n">
        <v>201</v>
      </c>
      <c r="B202" s="99" t="n">
        <v>44858</v>
      </c>
      <c r="C202" s="101" t="n">
        <v>27655388.99</v>
      </c>
      <c r="D202" s="97">
        <f>C202/E202</f>
        <v/>
      </c>
      <c r="E202" s="97" t="n">
        <v>82.68000000000001</v>
      </c>
      <c r="F202" s="97">
        <f>D202/100000</f>
        <v/>
      </c>
      <c r="G202" s="97">
        <f>(F202/DataSheet!$C$9*100)</f>
        <v/>
      </c>
      <c r="H202" s="97">
        <f>K202/I202</f>
        <v/>
      </c>
      <c r="I202" s="97">
        <f>(J202/L202)*100</f>
        <v/>
      </c>
      <c r="J202" s="97">
        <f>L202/O202</f>
        <v/>
      </c>
      <c r="K202" s="97" t="n">
        <v>7.511</v>
      </c>
      <c r="L202" s="97" t="n">
        <v>17730.75</v>
      </c>
      <c r="M202" s="97" t="n">
        <v>4.17</v>
      </c>
      <c r="N202" s="97">
        <f>K202-I202</f>
        <v/>
      </c>
      <c r="O202" s="97" t="n">
        <v>21.26</v>
      </c>
      <c r="P202" s="97" t="n">
        <v>4.24</v>
      </c>
      <c r="Q202" s="97">
        <f>K202-P202</f>
        <v/>
      </c>
      <c r="R202" s="97" t="n">
        <v>111.99</v>
      </c>
      <c r="S202" s="97">
        <f>(O202*T202)</f>
        <v/>
      </c>
      <c r="T202" s="79" t="n">
        <v>6.38</v>
      </c>
      <c r="U202" s="80" t="n">
        <v>11703</v>
      </c>
      <c r="V202" s="80" t="n">
        <v>24.62</v>
      </c>
      <c r="W202" s="97">
        <f>U202/V202</f>
        <v/>
      </c>
      <c r="X202" s="97">
        <f>(W202/U202)*100</f>
        <v/>
      </c>
      <c r="Y202" s="80" t="n">
        <v>9374.299999999999</v>
      </c>
      <c r="Z202" s="80" t="n">
        <v>19.13</v>
      </c>
      <c r="AA202" s="97">
        <f>Y202/Z202</f>
        <v/>
      </c>
      <c r="AB202" s="97">
        <f>(AA202/Y202)*100</f>
        <v/>
      </c>
    </row>
    <row r="203">
      <c r="A203" s="92" t="n">
        <v>202</v>
      </c>
      <c r="B203" s="99" t="n">
        <v>44859</v>
      </c>
      <c r="C203" s="101" t="n">
        <v>27586062.02</v>
      </c>
      <c r="D203" s="97">
        <f>C203/E203</f>
        <v/>
      </c>
      <c r="E203" s="97" t="n">
        <v>82.48</v>
      </c>
      <c r="F203" s="97">
        <f>D203/100000</f>
        <v/>
      </c>
      <c r="G203" s="97">
        <f>(F203/DataSheet!$C$9*100)</f>
        <v/>
      </c>
      <c r="H203" s="97">
        <f>K203/I203</f>
        <v/>
      </c>
      <c r="I203" s="97">
        <f>(J203/L203)*100</f>
        <v/>
      </c>
      <c r="J203" s="97">
        <f>L203/O203</f>
        <v/>
      </c>
      <c r="K203" s="97" t="n">
        <v>7.442</v>
      </c>
      <c r="L203" s="97" t="n">
        <v>17656.35</v>
      </c>
      <c r="M203" s="97" t="n">
        <v>4.15</v>
      </c>
      <c r="N203" s="97">
        <f>K203-I203</f>
        <v/>
      </c>
      <c r="O203" s="97" t="n">
        <v>21</v>
      </c>
      <c r="P203" s="97" t="n">
        <v>4.1</v>
      </c>
      <c r="Q203" s="97">
        <f>K203-P203</f>
        <v/>
      </c>
      <c r="R203" s="97" t="n">
        <v>110.95</v>
      </c>
      <c r="S203" s="97">
        <f>(O203*T203)</f>
        <v/>
      </c>
      <c r="T203" s="79" t="n">
        <v>6.36</v>
      </c>
      <c r="U203" s="80" t="n">
        <v>11718.9</v>
      </c>
      <c r="V203" s="80" t="n">
        <v>24.23</v>
      </c>
      <c r="W203" s="97">
        <f>U203/V203</f>
        <v/>
      </c>
      <c r="X203" s="97">
        <f>(W203/U203)*100</f>
        <v/>
      </c>
      <c r="Y203" s="80" t="n">
        <v>9357.25</v>
      </c>
      <c r="Z203" s="80" t="n">
        <v>18.95</v>
      </c>
      <c r="AA203" s="97">
        <f>Y203/Z203</f>
        <v/>
      </c>
      <c r="AB203" s="97">
        <f>(AA203/Y203)*100</f>
        <v/>
      </c>
    </row>
    <row r="204">
      <c r="A204" s="92" t="n">
        <v>203</v>
      </c>
      <c r="B204" s="99" t="n">
        <v>44861</v>
      </c>
      <c r="C204" s="101" t="n">
        <v>27705193</v>
      </c>
      <c r="D204" s="97">
        <f>C204/E204</f>
        <v/>
      </c>
      <c r="E204" s="97" t="n">
        <v>82.43000000000001</v>
      </c>
      <c r="F204" s="97">
        <f>D204/100000</f>
        <v/>
      </c>
      <c r="G204" s="97">
        <f>(F204/DataSheet!$C$9*100)</f>
        <v/>
      </c>
      <c r="H204" s="97">
        <f>K204/I204</f>
        <v/>
      </c>
      <c r="I204" s="97">
        <f>(J204/L204)*100</f>
        <v/>
      </c>
      <c r="J204" s="97">
        <f>L204/O204</f>
        <v/>
      </c>
      <c r="K204" s="97" t="n">
        <v>7.413</v>
      </c>
      <c r="L204" s="97" t="n">
        <v>17736.95</v>
      </c>
      <c r="M204" s="97" t="n">
        <v>4.17</v>
      </c>
      <c r="N204" s="97">
        <f>K204-I204</f>
        <v/>
      </c>
      <c r="O204" s="97" t="n">
        <v>21.1</v>
      </c>
      <c r="P204" s="97" t="n">
        <v>4.06</v>
      </c>
      <c r="Q204" s="97">
        <f>K204-P204</f>
        <v/>
      </c>
      <c r="R204" s="97" t="n">
        <v>110.1</v>
      </c>
      <c r="S204" s="97">
        <f>(O204*T204)</f>
        <v/>
      </c>
      <c r="T204" s="79" t="n">
        <v>6.38</v>
      </c>
      <c r="U204" s="80" t="n">
        <v>11791.8</v>
      </c>
      <c r="V204" s="80" t="n">
        <v>24.38</v>
      </c>
      <c r="W204" s="97">
        <f>U204/V204</f>
        <v/>
      </c>
      <c r="X204" s="97">
        <f>(W204/U204)*100</f>
        <v/>
      </c>
      <c r="Y204" s="80" t="n">
        <v>9394.450000000001</v>
      </c>
      <c r="Z204" s="80" t="n">
        <v>19.03</v>
      </c>
      <c r="AA204" s="97">
        <f>Y204/Z204</f>
        <v/>
      </c>
      <c r="AB204" s="97">
        <f>(AA204/Y204)*100</f>
        <v/>
      </c>
    </row>
    <row r="205">
      <c r="A205" s="92" t="n">
        <v>204</v>
      </c>
      <c r="B205" s="99" t="n">
        <v>44862</v>
      </c>
      <c r="C205" s="101" t="n">
        <v>27688451</v>
      </c>
      <c r="D205" s="97">
        <f>C205/E205</f>
        <v/>
      </c>
      <c r="E205" s="97" t="n">
        <v>82.44</v>
      </c>
      <c r="F205" s="97">
        <f>D205/100000</f>
        <v/>
      </c>
      <c r="G205" s="97">
        <f>(F205/DataSheet!$C$9*100)</f>
        <v/>
      </c>
      <c r="H205" s="97">
        <f>K205/I205</f>
        <v/>
      </c>
      <c r="I205" s="97">
        <f>(J205/L205)*100</f>
        <v/>
      </c>
      <c r="J205" s="97">
        <f>L205/O205</f>
        <v/>
      </c>
      <c r="K205" s="97" t="n">
        <v>7.418</v>
      </c>
      <c r="L205" s="97" t="n">
        <v>17786.8</v>
      </c>
      <c r="M205" s="97" t="n">
        <v>4.18</v>
      </c>
      <c r="N205" s="97">
        <f>K205-I205</f>
        <v/>
      </c>
      <c r="O205" s="97" t="n">
        <v>21.15</v>
      </c>
      <c r="P205" s="97" t="n">
        <v>4</v>
      </c>
      <c r="Q205" s="97">
        <f>K205-P205</f>
        <v/>
      </c>
      <c r="R205" s="97" t="n">
        <v>110.68</v>
      </c>
      <c r="S205" s="97">
        <f>(O205*T205)</f>
        <v/>
      </c>
      <c r="T205" s="79" t="n">
        <v>6.45</v>
      </c>
      <c r="U205" s="80" t="n">
        <v>11715.55</v>
      </c>
      <c r="V205" s="80" t="n">
        <v>24.23</v>
      </c>
      <c r="W205" s="97">
        <f>U205/V205</f>
        <v/>
      </c>
      <c r="X205" s="97">
        <f>(W205/U205)*100</f>
        <v/>
      </c>
      <c r="Y205" s="80" t="n">
        <v>9337</v>
      </c>
      <c r="Z205" s="80" t="n">
        <v>18.96</v>
      </c>
      <c r="AA205" s="97">
        <f>Y205/Z205</f>
        <v/>
      </c>
      <c r="AB205" s="97">
        <f>(AA205/Y205)*100</f>
        <v/>
      </c>
    </row>
    <row r="206">
      <c r="A206" s="92" t="n">
        <v>205</v>
      </c>
      <c r="B206" s="99" t="n">
        <v>44865</v>
      </c>
      <c r="C206" s="101" t="n">
        <v>27994094</v>
      </c>
      <c r="D206" s="97">
        <f>C206/E206</f>
        <v/>
      </c>
      <c r="E206" s="97" t="n">
        <v>82.84</v>
      </c>
      <c r="F206" s="97">
        <f>D206/100000</f>
        <v/>
      </c>
      <c r="G206" s="97">
        <f>(F206/DataSheet!$C$9*100)</f>
        <v/>
      </c>
      <c r="H206" s="97">
        <f>K206/I206</f>
        <v/>
      </c>
      <c r="I206" s="97">
        <f>(J206/L206)*100</f>
        <v/>
      </c>
      <c r="J206" s="97">
        <f>L206/O206</f>
        <v/>
      </c>
      <c r="K206" s="97" t="n">
        <v>7.447</v>
      </c>
      <c r="L206" s="97" t="n">
        <v>18012.2</v>
      </c>
      <c r="M206" s="97" t="n">
        <v>4.23</v>
      </c>
      <c r="N206" s="97">
        <f>K206-I206</f>
        <v/>
      </c>
      <c r="O206" s="97" t="n">
        <v>21.42</v>
      </c>
      <c r="P206" s="97" t="n">
        <v>4.05</v>
      </c>
      <c r="Q206" s="97">
        <f>K206-P206</f>
        <v/>
      </c>
      <c r="R206" s="97" t="n">
        <v>111.08</v>
      </c>
      <c r="S206" s="97">
        <f>(O206*T206)</f>
        <v/>
      </c>
      <c r="T206" s="79" t="n">
        <v>6.44</v>
      </c>
      <c r="U206" s="80" t="n">
        <v>11868.15</v>
      </c>
      <c r="V206" s="80" t="n">
        <v>24.45</v>
      </c>
      <c r="W206" s="97">
        <f>U206/V206</f>
        <v/>
      </c>
      <c r="X206" s="97">
        <f>(W206/U206)*100</f>
        <v/>
      </c>
      <c r="Y206" s="80" t="n">
        <v>9372</v>
      </c>
      <c r="Z206" s="80" t="n">
        <v>19.05</v>
      </c>
      <c r="AA206" s="97">
        <f>Y206/Z206</f>
        <v/>
      </c>
      <c r="AB206" s="97">
        <f>(AA206/Y206)*100</f>
        <v/>
      </c>
    </row>
    <row r="207">
      <c r="A207" s="92" t="n">
        <v>206</v>
      </c>
      <c r="B207" s="99" t="n">
        <v>44866</v>
      </c>
      <c r="C207" s="103" t="n">
        <v>28228225.73</v>
      </c>
      <c r="D207" s="98">
        <f>C207/E207</f>
        <v/>
      </c>
      <c r="E207" s="98" t="n">
        <v>82.65000000000001</v>
      </c>
      <c r="F207" s="98">
        <f>D207/100000</f>
        <v/>
      </c>
      <c r="G207" s="97">
        <f>(F207/DataSheet!$C$9*100)</f>
        <v/>
      </c>
      <c r="H207" s="98">
        <f>K207/I207</f>
        <v/>
      </c>
      <c r="I207" s="98">
        <f>(J207/L207)*100</f>
        <v/>
      </c>
      <c r="J207" s="97">
        <f>L207/O207</f>
        <v/>
      </c>
      <c r="K207" s="98" t="n">
        <v>7.396</v>
      </c>
      <c r="L207" s="98" t="n">
        <v>18145.4</v>
      </c>
      <c r="M207" s="98" t="n">
        <v>4.3</v>
      </c>
      <c r="N207" s="98">
        <f>K207-I207</f>
        <v/>
      </c>
      <c r="O207" s="98" t="n">
        <v>22</v>
      </c>
      <c r="P207" s="98" t="n">
        <v>4.05</v>
      </c>
      <c r="Q207" s="98">
        <f>K207-P207</f>
        <v/>
      </c>
      <c r="R207" s="98" t="n">
        <v>111.35</v>
      </c>
      <c r="S207" s="97">
        <f>(O207*T207)</f>
        <v/>
      </c>
      <c r="T207" s="79" t="n">
        <v>6.45</v>
      </c>
      <c r="U207" s="80" t="n">
        <v>11967.9</v>
      </c>
      <c r="V207" s="80" t="n">
        <v>24.66</v>
      </c>
      <c r="W207" s="97">
        <f>U207/V207</f>
        <v/>
      </c>
      <c r="X207" s="97">
        <f>(W207/U207)*100</f>
        <v/>
      </c>
      <c r="Y207" s="80" t="n">
        <v>9385.299999999999</v>
      </c>
      <c r="Z207" s="80" t="n">
        <v>19.15</v>
      </c>
      <c r="AA207" s="97">
        <f>Y207/Z207</f>
        <v/>
      </c>
      <c r="AB207" s="97">
        <f>(AA207/Y207)*100</f>
        <v/>
      </c>
    </row>
    <row r="208">
      <c r="A208" s="92" t="n">
        <v>207</v>
      </c>
      <c r="B208" s="99" t="n">
        <v>44867</v>
      </c>
      <c r="C208" s="103" t="n">
        <v>28175407.53</v>
      </c>
      <c r="D208" s="98">
        <f>C208/E208</f>
        <v/>
      </c>
      <c r="E208" s="98" t="n">
        <v>82.70999999999999</v>
      </c>
      <c r="F208" s="98">
        <f>D208/100000</f>
        <v/>
      </c>
      <c r="G208" s="97">
        <f>(F208/DataSheet!$C$9*100)</f>
        <v/>
      </c>
      <c r="H208" s="98">
        <f>K208/I208</f>
        <v/>
      </c>
      <c r="I208" s="98">
        <f>(J208/L208)*100</f>
        <v/>
      </c>
      <c r="J208" s="97">
        <f>L208/O208</f>
        <v/>
      </c>
      <c r="K208" s="98" t="n">
        <v>7.404</v>
      </c>
      <c r="L208" s="98" t="n">
        <v>18082.85</v>
      </c>
      <c r="M208" s="98" t="n">
        <v>4.25</v>
      </c>
      <c r="N208" s="98">
        <f>K208-I208</f>
        <v/>
      </c>
      <c r="O208" s="98" t="n">
        <v>21.82</v>
      </c>
      <c r="P208" s="98" t="n">
        <v>4.06</v>
      </c>
      <c r="Q208" s="98">
        <f>K208-P208</f>
        <v/>
      </c>
      <c r="R208" s="98" t="n">
        <v>111.22</v>
      </c>
      <c r="S208" s="97">
        <f>(O208*T208)</f>
        <v/>
      </c>
      <c r="T208" s="79" t="n">
        <v>6.47</v>
      </c>
      <c r="U208" s="80" t="n">
        <v>11965.65</v>
      </c>
      <c r="V208" s="80" t="n">
        <v>24.69</v>
      </c>
      <c r="W208" s="97">
        <f>U208/V208</f>
        <v/>
      </c>
      <c r="X208" s="97">
        <f>(W208/U208)*100</f>
        <v/>
      </c>
      <c r="Y208" s="80" t="n">
        <v>9386.9</v>
      </c>
      <c r="Z208" s="80" t="n">
        <v>19.18</v>
      </c>
      <c r="AA208" s="97">
        <f>Y208/Z208</f>
        <v/>
      </c>
      <c r="AB208" s="97">
        <f>(AA208/Y208)*100</f>
        <v/>
      </c>
    </row>
    <row r="209">
      <c r="A209" s="92" t="n">
        <v>208</v>
      </c>
      <c r="B209" s="99" t="n">
        <v>44868</v>
      </c>
      <c r="C209" s="103" t="n">
        <v>28157664</v>
      </c>
      <c r="D209" s="98">
        <f>C209/E209</f>
        <v/>
      </c>
      <c r="E209" s="98" t="n">
        <v>82.89</v>
      </c>
      <c r="F209" s="98">
        <f>D209/100000</f>
        <v/>
      </c>
      <c r="G209" s="97">
        <f>(F209/DataSheet!$C$9*100)</f>
        <v/>
      </c>
      <c r="H209" s="98">
        <f>K209/I209</f>
        <v/>
      </c>
      <c r="I209" s="98">
        <f>(J209/L209)*100</f>
        <v/>
      </c>
      <c r="J209" s="97">
        <f>L209/O209</f>
        <v/>
      </c>
      <c r="K209" s="98" t="n">
        <v>7.483</v>
      </c>
      <c r="L209" s="98" t="n">
        <v>18052.7</v>
      </c>
      <c r="M209" s="98" t="n">
        <v>4.24</v>
      </c>
      <c r="N209" s="98">
        <f>K209-I209</f>
        <v/>
      </c>
      <c r="O209" s="98" t="n">
        <v>21.79</v>
      </c>
      <c r="P209" s="98" t="n">
        <v>4.19</v>
      </c>
      <c r="Q209" s="98">
        <f>K209-P209</f>
        <v/>
      </c>
      <c r="R209" s="98" t="n">
        <v>112.82</v>
      </c>
      <c r="S209" s="97">
        <f>(O209*T209)</f>
        <v/>
      </c>
      <c r="T209" s="79" t="n">
        <v>6.46</v>
      </c>
      <c r="U209" s="80" t="n">
        <v>11984.75</v>
      </c>
      <c r="V209" s="80" t="n">
        <v>24.81</v>
      </c>
      <c r="W209" s="97">
        <f>U209/V209</f>
        <v/>
      </c>
      <c r="X209" s="97">
        <f>(W209/U209)*100</f>
        <v/>
      </c>
      <c r="Y209" s="80" t="n">
        <v>9398.75</v>
      </c>
      <c r="Z209" s="80" t="n">
        <v>19.21</v>
      </c>
      <c r="AA209" s="97">
        <f>Y209/Z209</f>
        <v/>
      </c>
      <c r="AB209" s="97">
        <f>(AA209/Y209)*100</f>
        <v/>
      </c>
    </row>
    <row r="210">
      <c r="A210" s="92" t="n">
        <v>209</v>
      </c>
      <c r="B210" s="99" t="n">
        <v>44869</v>
      </c>
      <c r="C210" s="101" t="n">
        <v>28324925.35</v>
      </c>
      <c r="D210" s="97">
        <f>C210/E210</f>
        <v/>
      </c>
      <c r="E210" s="97" t="n">
        <v>81.95999999999999</v>
      </c>
      <c r="F210" s="97">
        <f>D210/100000</f>
        <v/>
      </c>
      <c r="G210" s="97">
        <f>(F210/DataSheet!$C$9*100)</f>
        <v/>
      </c>
      <c r="H210" s="97">
        <f>K210/I210</f>
        <v/>
      </c>
      <c r="I210" s="98">
        <f>(J210/L210)*100</f>
        <v/>
      </c>
      <c r="J210" s="97">
        <f>L210/O210</f>
        <v/>
      </c>
      <c r="K210" s="98" t="n">
        <v>7.469</v>
      </c>
      <c r="L210" s="98" t="n">
        <v>18117.25</v>
      </c>
      <c r="M210" s="98" t="n">
        <v>4.26</v>
      </c>
      <c r="N210" s="98">
        <f>K210-I210</f>
        <v/>
      </c>
      <c r="O210" s="98" t="n">
        <v>21.77</v>
      </c>
      <c r="P210" s="98" t="n">
        <v>4.15</v>
      </c>
      <c r="Q210" s="98">
        <f>K210-P210</f>
        <v/>
      </c>
      <c r="R210" s="98" t="n">
        <v>110.774</v>
      </c>
      <c r="S210" s="97">
        <f>(O210*T210)</f>
        <v/>
      </c>
      <c r="T210" s="79" t="n">
        <v>6.48</v>
      </c>
      <c r="U210" s="80" t="n">
        <v>11978.15</v>
      </c>
      <c r="V210" s="80" t="n">
        <v>25.66</v>
      </c>
      <c r="W210" s="97">
        <f>U210/V210</f>
        <v/>
      </c>
      <c r="X210" s="97">
        <f>(W210/U210)*100</f>
        <v/>
      </c>
      <c r="Y210" s="80" t="n">
        <v>9442.1</v>
      </c>
      <c r="Z210" s="80" t="n">
        <v>19.25</v>
      </c>
      <c r="AA210" s="97">
        <f>Y210/Z210</f>
        <v/>
      </c>
      <c r="AB210" s="97">
        <f>(AA210/Y210)*100</f>
        <v/>
      </c>
    </row>
    <row r="211">
      <c r="A211" s="92" t="n">
        <v>210</v>
      </c>
      <c r="B211" s="102" t="n">
        <v>44872</v>
      </c>
      <c r="C211" s="103" t="n">
        <v>28477828</v>
      </c>
      <c r="D211" s="98">
        <f>C211/E211</f>
        <v/>
      </c>
      <c r="E211" s="98" t="n">
        <v>81.92</v>
      </c>
      <c r="F211" s="98">
        <f>D211/100000</f>
        <v/>
      </c>
      <c r="G211" s="97">
        <f>(F211/DataSheet!$C$9*100)</f>
        <v/>
      </c>
      <c r="H211" s="98">
        <f>K211/I211</f>
        <v/>
      </c>
      <c r="I211" s="98">
        <f>(J211/L211)*100</f>
        <v/>
      </c>
      <c r="J211" s="97">
        <f>L211/O211</f>
        <v/>
      </c>
      <c r="K211" s="98" t="n">
        <v>7.437</v>
      </c>
      <c r="L211" s="98" t="n">
        <v>18202.8</v>
      </c>
      <c r="M211" s="98" t="n">
        <v>4.28</v>
      </c>
      <c r="N211" s="98">
        <f>K211-I211</f>
        <v/>
      </c>
      <c r="O211" s="98" t="n">
        <v>21.71</v>
      </c>
      <c r="P211" s="98" t="n">
        <v>4.13</v>
      </c>
      <c r="Q211" s="98">
        <f>K211-P211</f>
        <v/>
      </c>
      <c r="R211" s="98" t="n">
        <v>110.37</v>
      </c>
      <c r="S211" s="97">
        <f>(O211*T211)</f>
        <v/>
      </c>
      <c r="T211" s="79" t="n">
        <v>6.47</v>
      </c>
      <c r="U211" s="80" t="n">
        <v>12066.05</v>
      </c>
      <c r="V211" s="80" t="n">
        <v>25.83</v>
      </c>
      <c r="W211" s="97">
        <f>U211/V211</f>
        <v/>
      </c>
      <c r="X211" s="97">
        <f>(W211/U211)*100</f>
        <v/>
      </c>
      <c r="Y211" s="80" t="n">
        <v>9512.799999999999</v>
      </c>
      <c r="Z211" s="80" t="n">
        <v>19.23</v>
      </c>
      <c r="AA211" s="97">
        <f>Y211/Z211</f>
        <v/>
      </c>
      <c r="AB211" s="97">
        <f>(AA211/Y211)*100</f>
        <v/>
      </c>
    </row>
    <row r="212">
      <c r="A212" s="92" t="n">
        <v>211</v>
      </c>
      <c r="B212" s="99" t="n">
        <v>44874</v>
      </c>
      <c r="C212" s="101" t="n">
        <v>28401452</v>
      </c>
      <c r="D212" s="97">
        <f>C212/E212</f>
        <v/>
      </c>
      <c r="E212" s="97" t="n">
        <v>81.38</v>
      </c>
      <c r="F212" s="97">
        <f>D212/100000</f>
        <v/>
      </c>
      <c r="G212" s="97">
        <f>(F212/DataSheet!$C$9*100)</f>
        <v/>
      </c>
      <c r="H212" s="97">
        <f>K212/I212</f>
        <v/>
      </c>
      <c r="I212" s="97">
        <f>(J212/L212)*100</f>
        <v/>
      </c>
      <c r="J212" s="97">
        <f>L212/O212</f>
        <v/>
      </c>
      <c r="K212" s="97" t="n">
        <v>7.387</v>
      </c>
      <c r="L212" s="97" t="n">
        <v>18157</v>
      </c>
      <c r="M212" s="97" t="n">
        <v>4.27</v>
      </c>
      <c r="N212" s="98">
        <f>K212-I212</f>
        <v/>
      </c>
      <c r="O212" s="97" t="n">
        <v>21.66</v>
      </c>
      <c r="P212" s="97" t="n">
        <v>4.13</v>
      </c>
      <c r="Q212" s="97">
        <f>K212-P212</f>
        <v/>
      </c>
      <c r="R212" s="97" t="n">
        <v>109.83</v>
      </c>
      <c r="S212" s="97">
        <f>(O212*T212)</f>
        <v/>
      </c>
      <c r="T212" s="79" t="n">
        <v>6.45</v>
      </c>
      <c r="U212" s="80" t="n">
        <v>11991.25</v>
      </c>
      <c r="V212" s="80" t="n">
        <v>25.67</v>
      </c>
      <c r="W212" s="97">
        <f>U212/V212</f>
        <v/>
      </c>
      <c r="X212" s="97">
        <f>(W212/U212)*100</f>
        <v/>
      </c>
      <c r="Y212" s="80" t="n">
        <v>9475.85</v>
      </c>
      <c r="Z212" s="80" t="n">
        <v>19.16</v>
      </c>
      <c r="AA212" s="97">
        <f>Y212/Z212</f>
        <v/>
      </c>
      <c r="AB212" s="97">
        <f>(AA212/Y212)*100</f>
        <v/>
      </c>
    </row>
    <row r="213">
      <c r="A213" s="92" t="n">
        <v>212</v>
      </c>
      <c r="B213" s="99" t="n">
        <v>44875</v>
      </c>
      <c r="C213" s="101" t="n">
        <v>28159222</v>
      </c>
      <c r="D213" s="97">
        <f>C213/E213</f>
        <v/>
      </c>
      <c r="E213" s="97" t="n">
        <v>81.70999999999999</v>
      </c>
      <c r="F213" s="97">
        <f>D213/100000</f>
        <v/>
      </c>
      <c r="G213" s="97">
        <f>(F213/DataSheet!$C$9*100)</f>
        <v/>
      </c>
      <c r="H213" s="97">
        <f>K213/I213</f>
        <v/>
      </c>
      <c r="I213" s="97">
        <f>(J213/L213)*100</f>
        <v/>
      </c>
      <c r="J213" s="97">
        <f>L213/O213</f>
        <v/>
      </c>
      <c r="K213" s="97" t="n">
        <v>7.349</v>
      </c>
      <c r="L213" s="97" t="n">
        <v>18028.2</v>
      </c>
      <c r="M213" s="97" t="n">
        <v>4.24</v>
      </c>
      <c r="N213" s="98">
        <f>K213-I213</f>
        <v/>
      </c>
      <c r="O213" s="97" t="n">
        <v>21.53</v>
      </c>
      <c r="P213" s="97" t="n">
        <v>4.1</v>
      </c>
      <c r="Q213" s="97">
        <f>K213-P213</f>
        <v/>
      </c>
      <c r="R213" s="97" t="n">
        <v>110.73</v>
      </c>
      <c r="S213" s="97">
        <f>(O213*T213)</f>
        <v/>
      </c>
      <c r="T213" s="79" t="n">
        <v>6.45</v>
      </c>
      <c r="U213" s="80" t="n">
        <v>11881.95</v>
      </c>
      <c r="V213" s="80" t="n">
        <v>25.41</v>
      </c>
      <c r="W213" s="97">
        <f>U213/V213</f>
        <v/>
      </c>
      <c r="X213" s="97">
        <f>(W213/U213)*100</f>
        <v/>
      </c>
      <c r="Y213" s="80" t="n">
        <v>9359.5</v>
      </c>
      <c r="Z213" s="80" t="n">
        <v>18.98</v>
      </c>
      <c r="AA213" s="97">
        <f>Y213/Z213</f>
        <v/>
      </c>
      <c r="AB213" s="97">
        <f>(AA213/Y213)*100</f>
        <v/>
      </c>
    </row>
    <row r="214">
      <c r="A214" s="92" t="n">
        <v>213</v>
      </c>
      <c r="B214" s="99" t="n">
        <v>44876</v>
      </c>
      <c r="C214" s="103" t="n">
        <v>28480625.64</v>
      </c>
      <c r="D214" s="97">
        <f>C214/E214</f>
        <v/>
      </c>
      <c r="E214" s="98" t="n">
        <v>80.47</v>
      </c>
      <c r="F214" s="97">
        <f>D214/100000</f>
        <v/>
      </c>
      <c r="G214" s="97">
        <f>(F214/DataSheet!$C$9*100)</f>
        <v/>
      </c>
      <c r="H214" s="97">
        <f>K214/I214</f>
        <v/>
      </c>
      <c r="I214" s="97">
        <f>(J214/L214)*100</f>
        <v/>
      </c>
      <c r="J214" s="97">
        <f>L214/O214</f>
        <v/>
      </c>
      <c r="K214" s="98" t="n">
        <v>7.307</v>
      </c>
      <c r="L214" s="98" t="n">
        <v>18349.7</v>
      </c>
      <c r="M214" s="98" t="n">
        <v>4.31</v>
      </c>
      <c r="N214" s="98">
        <f>K214-I214</f>
        <v/>
      </c>
      <c r="O214" s="98" t="n">
        <v>21.92</v>
      </c>
      <c r="P214" s="97" t="n">
        <v>3.81</v>
      </c>
      <c r="Q214" s="97">
        <f>K214-P214</f>
        <v/>
      </c>
      <c r="R214" s="97" t="n">
        <v>106.29</v>
      </c>
      <c r="S214" s="97">
        <f>(O214*T214)</f>
        <v/>
      </c>
      <c r="T214" s="79" t="n">
        <v>6.43</v>
      </c>
      <c r="U214" s="80" t="n">
        <v>11898.55</v>
      </c>
      <c r="V214" s="80" t="n">
        <v>25.42</v>
      </c>
      <c r="W214" s="97">
        <f>U214/V214</f>
        <v/>
      </c>
      <c r="X214" s="97">
        <f>(W214/U214)*100</f>
        <v/>
      </c>
      <c r="Y214" s="80" t="n">
        <v>9391.1</v>
      </c>
      <c r="Z214" s="80" t="n">
        <v>19.1</v>
      </c>
      <c r="AA214" s="97">
        <f>Y214/Z214</f>
        <v/>
      </c>
      <c r="AB214" s="97">
        <f>(AA214/Y214)*100</f>
        <v/>
      </c>
    </row>
    <row r="215">
      <c r="A215" s="92" t="n">
        <v>214</v>
      </c>
      <c r="B215" s="99" t="n">
        <v>44879</v>
      </c>
      <c r="C215" s="103" t="n">
        <v>28498815.4</v>
      </c>
      <c r="D215" s="97">
        <f>C215/E215</f>
        <v/>
      </c>
      <c r="E215" s="98" t="n">
        <v>80.95999999999999</v>
      </c>
      <c r="F215" s="97">
        <f>D215/100000</f>
        <v/>
      </c>
      <c r="G215" s="97">
        <f>(F215/DataSheet!$C$9*100)</f>
        <v/>
      </c>
      <c r="H215" s="97">
        <f>K215/I215</f>
        <v/>
      </c>
      <c r="I215" s="97">
        <f>(J215/L215)*100</f>
        <v/>
      </c>
      <c r="J215" s="97">
        <f>L215/O215</f>
        <v/>
      </c>
      <c r="K215" s="98" t="n">
        <v>7.287</v>
      </c>
      <c r="L215" s="98" t="n">
        <v>18329.15</v>
      </c>
      <c r="M215" s="98" t="n">
        <v>4.31</v>
      </c>
      <c r="N215" s="98">
        <f>K215-I215</f>
        <v/>
      </c>
      <c r="O215" s="98" t="n">
        <v>21.79</v>
      </c>
      <c r="P215" s="97" t="n">
        <v>3.89</v>
      </c>
      <c r="Q215" s="97">
        <f>K215-P215</f>
        <v/>
      </c>
      <c r="R215" s="97" t="n">
        <v>106.66</v>
      </c>
      <c r="S215" s="97">
        <f>(O215*T215)</f>
        <v/>
      </c>
      <c r="T215" s="79" t="n">
        <v>6.48</v>
      </c>
      <c r="U215" s="80" t="n">
        <v>11893.6</v>
      </c>
      <c r="V215" s="80" t="n">
        <v>25.88</v>
      </c>
      <c r="W215" s="97">
        <f>U215/V215</f>
        <v/>
      </c>
      <c r="X215" s="97">
        <f>(W215/U215)*100</f>
        <v/>
      </c>
      <c r="Y215" s="80" t="n">
        <v>9433.700000000001</v>
      </c>
      <c r="Z215" s="80" t="n">
        <v>19.12</v>
      </c>
      <c r="AA215" s="97">
        <f>Y215/Z215</f>
        <v/>
      </c>
      <c r="AB215" s="97">
        <f>(AA215/Y215)*100</f>
        <v/>
      </c>
    </row>
    <row r="216">
      <c r="A216" s="92" t="n">
        <v>215</v>
      </c>
      <c r="B216" s="99" t="n">
        <v>44880</v>
      </c>
      <c r="C216" s="103" t="n">
        <v>28541003.57</v>
      </c>
      <c r="D216" s="97">
        <f>C216/E216</f>
        <v/>
      </c>
      <c r="E216" s="98" t="n">
        <v>81.06</v>
      </c>
      <c r="F216" s="97">
        <f>D216/100000</f>
        <v/>
      </c>
      <c r="G216" s="97">
        <f>(F216/DataSheet!$C$9*100)</f>
        <v/>
      </c>
      <c r="H216" s="97">
        <f>K216/I216</f>
        <v/>
      </c>
      <c r="I216" s="97">
        <f>(J216/L216)*100</f>
        <v/>
      </c>
      <c r="J216" s="97">
        <f>L216/O216</f>
        <v/>
      </c>
      <c r="K216" s="98" t="n">
        <v>7.261</v>
      </c>
      <c r="L216" s="98" t="n">
        <v>18403.4</v>
      </c>
      <c r="M216" s="98" t="n">
        <v>4.32</v>
      </c>
      <c r="N216" s="98">
        <f>K216-I216</f>
        <v/>
      </c>
      <c r="O216" s="98" t="n">
        <v>21.89</v>
      </c>
      <c r="P216" s="97" t="n">
        <v>3.86</v>
      </c>
      <c r="Q216" s="97">
        <f>K216-P216</f>
        <v/>
      </c>
      <c r="R216" s="97" t="n">
        <v>106.4</v>
      </c>
      <c r="S216" s="97">
        <f>(O216*T216)</f>
        <v/>
      </c>
      <c r="T216" s="79" t="n">
        <v>6.48</v>
      </c>
      <c r="U216" s="80" t="n">
        <v>11888.25</v>
      </c>
      <c r="V216" s="80" t="n">
        <v>26</v>
      </c>
      <c r="W216" s="97">
        <f>U216/V216</f>
        <v/>
      </c>
      <c r="X216" s="97">
        <f>(W216/U216)*100</f>
        <v/>
      </c>
      <c r="Y216" s="80" t="n">
        <v>9439</v>
      </c>
      <c r="Z216" s="80" t="n">
        <v>18.82</v>
      </c>
      <c r="AA216" s="97">
        <f>Y216/Z216</f>
        <v/>
      </c>
      <c r="AB216" s="97">
        <f>(AA216/Y216)*100</f>
        <v/>
      </c>
    </row>
    <row r="217">
      <c r="A217" s="92" t="n">
        <v>216</v>
      </c>
      <c r="B217" s="99" t="n">
        <v>44881</v>
      </c>
      <c r="C217" s="103" t="n">
        <v>28458400.38</v>
      </c>
      <c r="D217" s="97">
        <f>C217/E217</f>
        <v/>
      </c>
      <c r="E217" s="98" t="n">
        <v>81.48</v>
      </c>
      <c r="F217" s="97">
        <f>D217/100000</f>
        <v/>
      </c>
      <c r="G217" s="97">
        <f>(F217/DataSheet!$C$9*100)</f>
        <v/>
      </c>
      <c r="H217" s="97">
        <f>K217/I217</f>
        <v/>
      </c>
      <c r="I217" s="97">
        <f>(J217/L217)*100</f>
        <v/>
      </c>
      <c r="J217" s="97">
        <f>L217/O217</f>
        <v/>
      </c>
      <c r="K217" s="98" t="n">
        <v>7.274</v>
      </c>
      <c r="L217" s="98" t="n">
        <v>18409.65</v>
      </c>
      <c r="M217" s="98" t="n">
        <v>4.32</v>
      </c>
      <c r="N217" s="98">
        <f>K217-I217</f>
        <v/>
      </c>
      <c r="O217" s="98" t="n">
        <v>21.91</v>
      </c>
      <c r="P217" s="97" t="n">
        <v>3.77</v>
      </c>
      <c r="Q217" s="97">
        <f>K217-P217</f>
        <v/>
      </c>
      <c r="R217" s="97" t="n">
        <v>106.28</v>
      </c>
      <c r="S217" s="97">
        <f>(O217*T217)</f>
        <v/>
      </c>
      <c r="T217" s="79" t="n">
        <v>6.45</v>
      </c>
      <c r="U217" s="80" t="n">
        <v>11816.55</v>
      </c>
      <c r="V217" s="80" t="n">
        <v>25.85</v>
      </c>
      <c r="W217" s="97">
        <f>U217/V217</f>
        <v/>
      </c>
      <c r="X217" s="97">
        <f>(W217/U217)*100</f>
        <v/>
      </c>
      <c r="Y217" s="80" t="n">
        <v>9407.6</v>
      </c>
      <c r="Z217" s="80" t="n">
        <v>18.61</v>
      </c>
      <c r="AA217" s="97">
        <f>Y217/Z217</f>
        <v/>
      </c>
      <c r="AB217" s="97">
        <f>(AA217/Y217)*100</f>
        <v/>
      </c>
    </row>
    <row r="218">
      <c r="A218" s="92" t="n">
        <v>217</v>
      </c>
      <c r="B218" s="99" t="n">
        <v>44882</v>
      </c>
      <c r="C218" s="103" t="n">
        <v>28344662.25</v>
      </c>
      <c r="D218" s="97">
        <f>C218/E218</f>
        <v/>
      </c>
      <c r="E218" s="98" t="n">
        <v>81.51000000000001</v>
      </c>
      <c r="F218" s="97">
        <f>D218/100000</f>
        <v/>
      </c>
      <c r="G218" s="97">
        <f>(F218/DataSheet!$C$9*100)</f>
        <v/>
      </c>
      <c r="H218" s="97">
        <f>K218/I218</f>
        <v/>
      </c>
      <c r="I218" s="97">
        <f>(J218/L218)*100</f>
        <v/>
      </c>
      <c r="J218" s="97">
        <f>L218/O218</f>
        <v/>
      </c>
      <c r="K218" s="98" t="n">
        <v>7.281</v>
      </c>
      <c r="L218" s="98" t="n">
        <v>18434.9</v>
      </c>
      <c r="M218" s="98" t="n">
        <v>4.31</v>
      </c>
      <c r="N218" s="98">
        <f>K218-I218</f>
        <v/>
      </c>
      <c r="O218" s="98" t="n">
        <v>21.83</v>
      </c>
      <c r="P218" s="97" t="n">
        <v>3.69</v>
      </c>
      <c r="Q218" s="97">
        <f>K218-P218</f>
        <v/>
      </c>
      <c r="R218" s="97" t="n">
        <v>106.69</v>
      </c>
      <c r="S218" s="97">
        <f>(O218*T218)</f>
        <v/>
      </c>
      <c r="T218" s="79" t="n">
        <v>6.43</v>
      </c>
      <c r="U218" s="80" t="n">
        <v>11767.05</v>
      </c>
      <c r="V218" s="80" t="n">
        <v>25.73</v>
      </c>
      <c r="W218" s="97">
        <f>U218/V218</f>
        <v/>
      </c>
      <c r="X218" s="97">
        <f>(W218/U218)*100</f>
        <v/>
      </c>
      <c r="Y218" s="80" t="n">
        <v>9395.75</v>
      </c>
      <c r="Z218" s="80" t="n">
        <v>18.58</v>
      </c>
      <c r="AA218" s="97">
        <f>Y218/Z218</f>
        <v/>
      </c>
      <c r="AB218" s="97">
        <f>(AA218/Y218)*100</f>
        <v/>
      </c>
    </row>
    <row r="219">
      <c r="A219" s="92" t="n">
        <v>218</v>
      </c>
      <c r="B219" s="99" t="n">
        <v>44883</v>
      </c>
      <c r="C219" s="103" t="n">
        <v>28254867.39</v>
      </c>
      <c r="D219" s="97">
        <f>C219/E219</f>
        <v/>
      </c>
      <c r="E219" s="98" t="n">
        <v>81.61</v>
      </c>
      <c r="F219" s="97">
        <f>D219/100000</f>
        <v/>
      </c>
      <c r="G219" s="97">
        <f>(F219/DataSheet!$C$9*100)</f>
        <v/>
      </c>
      <c r="H219" s="97">
        <f>K219/I219</f>
        <v/>
      </c>
      <c r="I219" s="97">
        <f>(J219/L219)*100</f>
        <v/>
      </c>
      <c r="J219" s="97">
        <f>L219/O219</f>
        <v/>
      </c>
      <c r="K219" s="98" t="n">
        <v>7.307</v>
      </c>
      <c r="L219" s="98" t="n">
        <v>18307.65</v>
      </c>
      <c r="M219" s="98" t="n">
        <v>4.3</v>
      </c>
      <c r="N219" s="98">
        <f>K219-I219</f>
        <v/>
      </c>
      <c r="O219" s="98" t="n">
        <v>21.79</v>
      </c>
      <c r="P219" s="97" t="n">
        <v>3.76</v>
      </c>
      <c r="Q219" s="97">
        <f>K219-P219</f>
        <v/>
      </c>
      <c r="R219" s="97" t="n">
        <v>106.97</v>
      </c>
      <c r="S219" s="97">
        <f>(O219*T219)</f>
        <v/>
      </c>
      <c r="T219" s="79" t="n">
        <v>6.43</v>
      </c>
      <c r="U219" s="80" t="n">
        <v>11719.95</v>
      </c>
      <c r="V219" s="80" t="n">
        <v>25.57</v>
      </c>
      <c r="W219" s="97">
        <f>U219/V219</f>
        <v/>
      </c>
      <c r="X219" s="97">
        <f>(W219/U219)*100</f>
        <v/>
      </c>
      <c r="Y219" s="80" t="n">
        <v>9353.5</v>
      </c>
      <c r="Z219" s="80" t="n">
        <v>18.48</v>
      </c>
      <c r="AA219" s="97">
        <f>Y219/Z219</f>
        <v/>
      </c>
      <c r="AB219" s="97">
        <f>(AA219/Y219)*100</f>
        <v/>
      </c>
    </row>
    <row r="220">
      <c r="A220" s="92" t="n">
        <v>219</v>
      </c>
      <c r="B220" s="99" t="n">
        <v>44886</v>
      </c>
      <c r="C220" s="103" t="n">
        <v>28116258.97</v>
      </c>
      <c r="D220" s="97">
        <f>C220/E220</f>
        <v/>
      </c>
      <c r="E220" s="98" t="n">
        <v>81.72</v>
      </c>
      <c r="F220" s="97">
        <f>D220/100000</f>
        <v/>
      </c>
      <c r="G220" s="97">
        <f>(F220/DataSheet!$C$9*100)</f>
        <v/>
      </c>
      <c r="H220" s="97">
        <f>K220/I220</f>
        <v/>
      </c>
      <c r="I220" s="97">
        <f>(J220/L220)*100</f>
        <v/>
      </c>
      <c r="J220" s="97">
        <f>L220/O220</f>
        <v/>
      </c>
      <c r="K220" s="98" t="n">
        <v>7.32</v>
      </c>
      <c r="L220" s="98" t="n">
        <v>18159.95</v>
      </c>
      <c r="M220" s="98" t="n">
        <v>4.26</v>
      </c>
      <c r="N220" s="98">
        <f>K220-I220</f>
        <v/>
      </c>
      <c r="O220" s="98" t="n">
        <v>21.82</v>
      </c>
      <c r="P220" s="97" t="n">
        <v>3.83</v>
      </c>
      <c r="Q220" s="97">
        <f>K220-P220</f>
        <v/>
      </c>
      <c r="R220" s="97" t="n">
        <v>107.78</v>
      </c>
      <c r="S220" s="97">
        <f>(O220*T220)</f>
        <v/>
      </c>
      <c r="T220" s="79" t="n">
        <v>6.43</v>
      </c>
      <c r="U220" s="80" t="n">
        <v>11719.55</v>
      </c>
      <c r="V220" s="80" t="n">
        <v>25.56</v>
      </c>
      <c r="W220" s="97">
        <f>U220/V220</f>
        <v/>
      </c>
      <c r="X220" s="97">
        <f>(W220/U220)*100</f>
        <v/>
      </c>
      <c r="Y220" s="80" t="n">
        <v>9363.65</v>
      </c>
      <c r="Z220" s="80" t="n">
        <v>18.5</v>
      </c>
      <c r="AA220" s="97">
        <f>Y220/Z220</f>
        <v/>
      </c>
      <c r="AB220" s="97">
        <f>(AA220/Y220)*100</f>
        <v/>
      </c>
    </row>
    <row r="221">
      <c r="A221" s="92" t="n">
        <v>220</v>
      </c>
      <c r="B221" s="99" t="n">
        <v>44887</v>
      </c>
      <c r="C221" s="103" t="n">
        <v>28185214</v>
      </c>
      <c r="D221" s="97">
        <f>C221/E221</f>
        <v/>
      </c>
      <c r="E221" s="98" t="n">
        <v>81.70999999999999</v>
      </c>
      <c r="F221" s="97">
        <f>D221/100000</f>
        <v/>
      </c>
      <c r="G221" s="97">
        <f>(F221/DataSheet!$C$9*100)</f>
        <v/>
      </c>
      <c r="H221" s="97">
        <f>K221/I221</f>
        <v/>
      </c>
      <c r="I221" s="97">
        <f>(J221/L221)*100</f>
        <v/>
      </c>
      <c r="J221" s="97">
        <f>L221/O221</f>
        <v/>
      </c>
      <c r="K221" s="98" t="n">
        <v>7.285</v>
      </c>
      <c r="L221" s="98" t="n">
        <v>18244.2</v>
      </c>
      <c r="M221" s="98" t="n">
        <v>4.28</v>
      </c>
      <c r="N221" s="98">
        <f>K221-I221</f>
        <v/>
      </c>
      <c r="O221" s="98" t="n">
        <v>21.93</v>
      </c>
      <c r="P221" s="97" t="n">
        <v>3.75</v>
      </c>
      <c r="Q221" s="97">
        <f>K221-P221</f>
        <v/>
      </c>
      <c r="R221" s="97" t="n">
        <v>107.15</v>
      </c>
      <c r="S221" s="97">
        <f>(O221*T221)</f>
        <v/>
      </c>
      <c r="T221" s="79" t="n">
        <v>6.43</v>
      </c>
      <c r="U221" s="80" t="n">
        <v>11762.55</v>
      </c>
      <c r="V221" s="80" t="n">
        <v>25.65</v>
      </c>
      <c r="W221" s="97">
        <f>U221/V221</f>
        <v/>
      </c>
      <c r="X221" s="97">
        <f>(W221/U221)*100</f>
        <v/>
      </c>
      <c r="Y221" s="80" t="n">
        <v>9355.35</v>
      </c>
      <c r="Z221" s="80" t="n">
        <v>18.48</v>
      </c>
      <c r="AA221" s="97">
        <f>Y221/Z221</f>
        <v/>
      </c>
      <c r="AB221" s="97">
        <f>(AA221/Y221)*100</f>
        <v/>
      </c>
    </row>
    <row r="222">
      <c r="A222" s="92" t="n">
        <v>221</v>
      </c>
      <c r="B222" s="99" t="n">
        <v>44888</v>
      </c>
      <c r="C222" s="103" t="n">
        <v>28225366.32</v>
      </c>
      <c r="D222" s="97">
        <f>C222/E222</f>
        <v/>
      </c>
      <c r="E222" s="98" t="n">
        <v>81.63</v>
      </c>
      <c r="F222" s="97">
        <f>D222/100000</f>
        <v/>
      </c>
      <c r="G222" s="97">
        <f>(F222/DataSheet!$C$9*100)</f>
        <v/>
      </c>
      <c r="H222" s="97">
        <f>K222/I222</f>
        <v/>
      </c>
      <c r="I222" s="97">
        <f>(J222/L222)*100</f>
        <v/>
      </c>
      <c r="J222" s="97">
        <f>L222/O222</f>
        <v/>
      </c>
      <c r="K222" s="98" t="n">
        <v>7.291</v>
      </c>
      <c r="L222" s="98" t="n">
        <v>18267.25</v>
      </c>
      <c r="M222" s="98" t="n">
        <v>4.29</v>
      </c>
      <c r="N222" s="98">
        <f>K222-I222</f>
        <v/>
      </c>
      <c r="O222" s="98" t="n">
        <v>21.95</v>
      </c>
      <c r="P222" s="97" t="n">
        <v>3.68</v>
      </c>
      <c r="Q222" s="97">
        <f>K222-P222</f>
        <v/>
      </c>
      <c r="R222" s="97" t="n">
        <v>106.1</v>
      </c>
      <c r="S222" s="97">
        <f>(O222*T222)</f>
        <v/>
      </c>
      <c r="T222" s="79" t="n">
        <v>6.44</v>
      </c>
      <c r="U222" s="80" t="n">
        <v>11790.2</v>
      </c>
      <c r="V222" s="80" t="n">
        <v>25.7</v>
      </c>
      <c r="W222" s="97">
        <f>U222/V222</f>
        <v/>
      </c>
      <c r="X222" s="97">
        <f>(W222/U222)*100</f>
        <v/>
      </c>
      <c r="Y222" s="80" t="n">
        <v>9410</v>
      </c>
      <c r="Z222" s="80" t="n">
        <v>18.59</v>
      </c>
      <c r="AA222" s="97">
        <f>Y222/Z222</f>
        <v/>
      </c>
      <c r="AB222" s="97">
        <f>(AA222/Y222)*100</f>
        <v/>
      </c>
    </row>
    <row r="223">
      <c r="A223" s="92" t="n">
        <v>222</v>
      </c>
      <c r="B223" s="99" t="n">
        <v>44889</v>
      </c>
      <c r="C223" s="103" t="n">
        <v>28370058</v>
      </c>
      <c r="D223" s="98">
        <f>C223/E223</f>
        <v/>
      </c>
      <c r="E223" s="98" t="n">
        <v>81.67</v>
      </c>
      <c r="F223" s="98">
        <f>D223/100000</f>
        <v/>
      </c>
      <c r="G223" s="97">
        <f>(F223/DataSheet!$C$9*100)</f>
        <v/>
      </c>
      <c r="H223" s="98">
        <f>K223/I223</f>
        <v/>
      </c>
      <c r="I223" s="97">
        <f>(J223/L223)*100</f>
        <v/>
      </c>
      <c r="J223" s="97">
        <f>L223/O223</f>
        <v/>
      </c>
      <c r="K223" s="98" t="n">
        <v>7.25</v>
      </c>
      <c r="L223" s="98" t="n">
        <v>18484.1</v>
      </c>
      <c r="M223" s="98" t="n">
        <v>4.34</v>
      </c>
      <c r="N223" s="98">
        <f>K223-I223</f>
        <v/>
      </c>
      <c r="O223" s="98" t="n">
        <v>22.21</v>
      </c>
      <c r="P223" s="98" t="n">
        <v>3.68</v>
      </c>
      <c r="Q223" s="98">
        <f>K223-P223</f>
        <v/>
      </c>
      <c r="R223" s="98" t="n">
        <v>105.88</v>
      </c>
      <c r="S223" s="97">
        <f>(O223*T223)</f>
        <v/>
      </c>
      <c r="T223" s="79" t="n">
        <v>6.42</v>
      </c>
      <c r="U223" s="80" t="n">
        <v>11837.6</v>
      </c>
      <c r="V223" s="80" t="n">
        <v>25.8</v>
      </c>
      <c r="W223" s="97">
        <f>U223/V223</f>
        <v/>
      </c>
      <c r="X223" s="97">
        <f>(W223/U223)*100</f>
        <v/>
      </c>
      <c r="Y223" s="80" t="n">
        <v>9461.299999999999</v>
      </c>
      <c r="Z223" s="80" t="n">
        <v>18.69</v>
      </c>
      <c r="AA223" s="97">
        <f>Y223/Z223</f>
        <v/>
      </c>
      <c r="AB223" s="97">
        <f>(AA223/Y223)*100</f>
        <v/>
      </c>
    </row>
    <row r="224">
      <c r="A224" s="92" t="n">
        <v>223</v>
      </c>
      <c r="B224" s="102" t="n">
        <v>44890</v>
      </c>
      <c r="C224" s="103" t="n">
        <v>28456423</v>
      </c>
      <c r="D224" s="98">
        <f>C224/E224</f>
        <v/>
      </c>
      <c r="E224" s="98" t="n">
        <v>81.63</v>
      </c>
      <c r="F224" s="98">
        <f>D224/100000</f>
        <v/>
      </c>
      <c r="G224" s="97">
        <f>(F224/DataSheet!$C$9*100)</f>
        <v/>
      </c>
      <c r="H224" s="98">
        <f>K224/I224</f>
        <v/>
      </c>
      <c r="I224" s="98">
        <f>(J224/L224)*100</f>
        <v/>
      </c>
      <c r="J224" s="97">
        <f>L224/O224</f>
        <v/>
      </c>
      <c r="K224" s="98" t="n">
        <v>7.3</v>
      </c>
      <c r="L224" s="98" t="n">
        <v>18512.75</v>
      </c>
      <c r="M224" s="98" t="n">
        <v>4.35</v>
      </c>
      <c r="N224" s="98">
        <f>K224-I224</f>
        <v/>
      </c>
      <c r="O224" s="98" t="n">
        <v>22.25</v>
      </c>
      <c r="P224" s="98" t="n">
        <v>3.71</v>
      </c>
      <c r="Q224" s="98">
        <f>K224-P224</f>
        <v/>
      </c>
      <c r="R224" s="98" t="n">
        <v>106</v>
      </c>
      <c r="S224" s="97">
        <f>(O224*T224)</f>
        <v/>
      </c>
      <c r="T224" s="79" t="n">
        <v>6.45</v>
      </c>
      <c r="U224" s="80" t="n">
        <v>11943.55</v>
      </c>
      <c r="V224" s="80" t="n">
        <v>26.03</v>
      </c>
      <c r="W224" s="97">
        <f>U224/V224</f>
        <v/>
      </c>
      <c r="X224" s="97">
        <f>(W224/U224)*100</f>
        <v/>
      </c>
      <c r="Y224" s="80" t="n">
        <v>9534.549999999999</v>
      </c>
      <c r="Z224" s="80" t="n">
        <v>18.84</v>
      </c>
      <c r="AA224" s="97">
        <f>Y224/Z224</f>
        <v/>
      </c>
      <c r="AB224" s="97">
        <f>(AA224/Y224)*100</f>
        <v/>
      </c>
    </row>
    <row r="225">
      <c r="A225" s="92" t="n">
        <v>224</v>
      </c>
      <c r="B225" s="102" t="n">
        <v>44893</v>
      </c>
      <c r="C225" s="103" t="n">
        <v>28659078.46</v>
      </c>
      <c r="D225" s="98">
        <f>C225/E225</f>
        <v/>
      </c>
      <c r="E225" s="98" t="n">
        <v>81.64</v>
      </c>
      <c r="F225" s="98">
        <f>D225/100000</f>
        <v/>
      </c>
      <c r="G225" s="97">
        <f>(F225/DataSheet!$C$9*100)</f>
        <v/>
      </c>
      <c r="H225" s="98">
        <f>K225/I225</f>
        <v/>
      </c>
      <c r="I225" s="98">
        <f>(J225/L225)*100</f>
        <v/>
      </c>
      <c r="J225" s="97">
        <f>L225/O225</f>
        <v/>
      </c>
      <c r="K225" s="98" t="n">
        <v>7.27</v>
      </c>
      <c r="L225" s="98" t="n">
        <v>18562.75</v>
      </c>
      <c r="M225" s="98" t="n">
        <v>4.36</v>
      </c>
      <c r="N225" s="98">
        <f>K225-I225</f>
        <v/>
      </c>
      <c r="O225" s="98" t="n">
        <v>22.31</v>
      </c>
      <c r="P225" s="98" t="n">
        <v>3.7</v>
      </c>
      <c r="Q225" s="98">
        <f>K225-P225</f>
        <v/>
      </c>
      <c r="R225" s="98" t="n">
        <v>106.63</v>
      </c>
      <c r="S225" s="97">
        <f>(O225*T225)</f>
        <v/>
      </c>
      <c r="T225" s="79" t="n">
        <v>6.42</v>
      </c>
      <c r="U225" s="80" t="n">
        <v>12025.95</v>
      </c>
      <c r="V225" s="80" t="n">
        <v>26.21</v>
      </c>
      <c r="W225" s="97">
        <f>U225/V225</f>
        <v/>
      </c>
      <c r="X225" s="97">
        <f>(W225/U225)*100</f>
        <v/>
      </c>
      <c r="Y225" s="80" t="n">
        <v>9636.6</v>
      </c>
      <c r="Z225" s="80" t="n">
        <v>19.04</v>
      </c>
      <c r="AA225" s="97">
        <f>Y225/Z225</f>
        <v/>
      </c>
      <c r="AB225" s="97">
        <f>(AA225/Y225)*100</f>
        <v/>
      </c>
    </row>
    <row r="226">
      <c r="A226" s="92" t="n">
        <v>225</v>
      </c>
      <c r="B226" s="102" t="n">
        <v>44894</v>
      </c>
      <c r="C226" s="101" t="n">
        <v>28711500.84</v>
      </c>
      <c r="D226" s="97">
        <f>C226/E226</f>
        <v/>
      </c>
      <c r="E226" s="97" t="n">
        <v>81.62</v>
      </c>
      <c r="F226" s="97">
        <f>D226/100000</f>
        <v/>
      </c>
      <c r="G226" s="97">
        <f>(F226/DataSheet!$C$9*100)</f>
        <v/>
      </c>
      <c r="H226" s="97">
        <f>K226/I226</f>
        <v/>
      </c>
      <c r="I226" s="98">
        <f>(J226/L226)*100</f>
        <v/>
      </c>
      <c r="J226" s="97">
        <f>L226/O226</f>
        <v/>
      </c>
      <c r="K226" s="97" t="n">
        <v>7.27</v>
      </c>
      <c r="L226" s="97" t="n">
        <v>18618.05</v>
      </c>
      <c r="M226" s="97" t="n">
        <v>4.37</v>
      </c>
      <c r="N226" s="97">
        <f>K226-I226</f>
        <v/>
      </c>
      <c r="O226" s="97" t="n">
        <v>22.37</v>
      </c>
      <c r="P226" s="97" t="n">
        <v>3.75</v>
      </c>
      <c r="Q226" s="97">
        <f>K226-P226</f>
        <v/>
      </c>
      <c r="R226" s="97" t="n">
        <v>106.82</v>
      </c>
      <c r="S226" s="97">
        <f>(O226*T226)</f>
        <v/>
      </c>
      <c r="T226" s="79" t="n">
        <v>6.42</v>
      </c>
      <c r="U226" s="80" t="n">
        <v>11983.1</v>
      </c>
      <c r="V226" s="80" t="n">
        <v>26.07</v>
      </c>
      <c r="W226" s="97">
        <f>U226/V226</f>
        <v/>
      </c>
      <c r="X226" s="97">
        <f>(W226/U226)*100</f>
        <v/>
      </c>
      <c r="Y226" s="80" t="n">
        <v>9602.200000000001</v>
      </c>
      <c r="Z226" s="80" t="n">
        <v>18.97</v>
      </c>
      <c r="AA226" s="97">
        <f>Y226/Z226</f>
        <v/>
      </c>
      <c r="AB226" s="97">
        <f>(AA226/Y226)*100</f>
        <v/>
      </c>
    </row>
    <row r="227">
      <c r="A227" s="92" t="n">
        <v>226</v>
      </c>
      <c r="B227" s="99" t="n">
        <v>44895</v>
      </c>
      <c r="C227" s="101" t="n">
        <v>28938267.36</v>
      </c>
      <c r="D227" s="97">
        <f>C227/E227</f>
        <v/>
      </c>
      <c r="E227" s="97" t="n">
        <v>81.37</v>
      </c>
      <c r="F227" s="97">
        <f>D227/100000</f>
        <v/>
      </c>
      <c r="G227" s="97">
        <f>(F227/DataSheet!$C$9*100)</f>
        <v/>
      </c>
      <c r="H227" s="97">
        <f>K227/I227</f>
        <v/>
      </c>
      <c r="I227" s="98">
        <f>(J227/L227)*100</f>
        <v/>
      </c>
      <c r="J227" s="97">
        <f>L227/O227</f>
        <v/>
      </c>
      <c r="K227" s="97" t="n">
        <v>7.28</v>
      </c>
      <c r="L227" s="97" t="n">
        <v>18758.35</v>
      </c>
      <c r="M227" s="97" t="n">
        <v>4.4</v>
      </c>
      <c r="N227" s="97">
        <f>K227-I227</f>
        <v/>
      </c>
      <c r="O227" s="97" t="n">
        <v>22.54</v>
      </c>
      <c r="P227" s="97" t="n">
        <v>3.61</v>
      </c>
      <c r="Q227" s="97">
        <f>K227-P227</f>
        <v/>
      </c>
      <c r="R227" s="97" t="n">
        <v>105.95</v>
      </c>
      <c r="S227" s="97">
        <f>(O227*T227)</f>
        <v/>
      </c>
      <c r="T227" s="79" t="n">
        <v>6.41</v>
      </c>
      <c r="U227" s="80" t="n">
        <v>12093.5</v>
      </c>
      <c r="V227" s="80" t="n">
        <v>26.31</v>
      </c>
      <c r="W227" s="97">
        <f>U227/V227</f>
        <v/>
      </c>
      <c r="X227" s="97">
        <f>(W227/U227)*100</f>
        <v/>
      </c>
      <c r="Y227" s="80" t="n">
        <v>9651.049999999999</v>
      </c>
      <c r="Z227" s="80" t="n">
        <v>19.07</v>
      </c>
      <c r="AA227" s="97">
        <f>Y227/Z227</f>
        <v/>
      </c>
      <c r="AB227" s="97">
        <f>(AA227/Y227)*100</f>
        <v/>
      </c>
    </row>
    <row r="228">
      <c r="A228" s="92" t="n">
        <v>227</v>
      </c>
      <c r="B228" s="99" t="n">
        <v>44896</v>
      </c>
      <c r="C228" s="101" t="n">
        <v>29075831.84</v>
      </c>
      <c r="D228" s="97">
        <f>C228/E228</f>
        <v/>
      </c>
      <c r="E228" s="97" t="n">
        <v>81.12</v>
      </c>
      <c r="F228" s="97">
        <f>D228/100000</f>
        <v/>
      </c>
      <c r="G228" s="97">
        <f>(F228/DataSheet!$C$9*100)</f>
        <v/>
      </c>
      <c r="H228" s="97">
        <f>K228/I228</f>
        <v/>
      </c>
      <c r="I228" s="97">
        <f>(J228/L228)*100</f>
        <v/>
      </c>
      <c r="J228" s="97">
        <f>L228/O228</f>
        <v/>
      </c>
      <c r="K228" s="97" t="n">
        <v>7.21</v>
      </c>
      <c r="L228" s="97" t="n">
        <v>18812.5</v>
      </c>
      <c r="M228" s="97" t="n">
        <v>4.42</v>
      </c>
      <c r="N228" s="97">
        <f>K228-I228</f>
        <v/>
      </c>
      <c r="O228" s="97" t="n">
        <v>22.61</v>
      </c>
      <c r="P228" s="97" t="n">
        <v>3.51</v>
      </c>
      <c r="Q228" s="97">
        <f>K228-P228</f>
        <v/>
      </c>
      <c r="R228" s="97" t="n">
        <v>104.73</v>
      </c>
      <c r="S228" s="97">
        <f>(O228*T228)</f>
        <v/>
      </c>
      <c r="T228" s="79" t="n">
        <v>6.39</v>
      </c>
      <c r="U228" s="80" t="n">
        <v>12185.25</v>
      </c>
      <c r="V228" s="80" t="n">
        <v>26.51</v>
      </c>
      <c r="W228" s="97">
        <f>U228/V228</f>
        <v/>
      </c>
      <c r="X228" s="97">
        <f>(W228/U228)*100</f>
        <v/>
      </c>
      <c r="Y228" s="80" t="n">
        <v>9693.85</v>
      </c>
      <c r="Z228" s="80" t="n">
        <v>19.15</v>
      </c>
      <c r="AA228" s="97">
        <f>Y228/Z228</f>
        <v/>
      </c>
      <c r="AB228" s="97">
        <f>(AA228/Y228)*100</f>
        <v/>
      </c>
    </row>
    <row r="229">
      <c r="A229" s="92" t="n">
        <v>228</v>
      </c>
      <c r="B229" s="99" t="n">
        <v>44897</v>
      </c>
      <c r="C229" s="101" t="n">
        <v>29042825.88</v>
      </c>
      <c r="D229" s="97">
        <f>C229/E229</f>
        <v/>
      </c>
      <c r="E229" s="97" t="n">
        <v>81.41</v>
      </c>
      <c r="F229" s="97">
        <f>D229/100000</f>
        <v/>
      </c>
      <c r="G229" s="97">
        <f>(F229/DataSheet!$C$9*100)</f>
        <v/>
      </c>
      <c r="H229" s="97">
        <f>K229/I229</f>
        <v/>
      </c>
      <c r="I229" s="97">
        <f>(J229/L229)*100</f>
        <v/>
      </c>
      <c r="J229" s="97">
        <f>L229/O229</f>
        <v/>
      </c>
      <c r="K229" s="97" t="n">
        <v>7.22</v>
      </c>
      <c r="L229" s="97" t="n">
        <v>18781.95</v>
      </c>
      <c r="M229" s="97" t="n">
        <v>4.39</v>
      </c>
      <c r="N229" s="97">
        <f>K229-I229</f>
        <v/>
      </c>
      <c r="O229" s="97" t="n">
        <v>22.47</v>
      </c>
      <c r="P229" s="97" t="n">
        <v>3.49</v>
      </c>
      <c r="Q229" s="97">
        <f>K229-P229</f>
        <v/>
      </c>
      <c r="R229" s="97" t="n">
        <v>104.55</v>
      </c>
      <c r="S229" s="97">
        <f>(O229*T229)</f>
        <v/>
      </c>
      <c r="T229" s="79" t="n">
        <v>6.37</v>
      </c>
      <c r="U229" s="80" t="n">
        <v>12289.6</v>
      </c>
      <c r="V229" s="80" t="n">
        <v>26.73</v>
      </c>
      <c r="W229" s="97">
        <f>U229/V229</f>
        <v/>
      </c>
      <c r="X229" s="97">
        <f>(W229/U229)*100</f>
        <v/>
      </c>
      <c r="Y229" s="80" t="n">
        <v>9758.15</v>
      </c>
      <c r="Z229" s="80" t="n">
        <v>19.28</v>
      </c>
      <c r="AA229" s="97">
        <f>Y229/Z229</f>
        <v/>
      </c>
      <c r="AB229" s="97">
        <f>(AA229/Y229)*100</f>
        <v/>
      </c>
    </row>
    <row r="230">
      <c r="A230" s="92" t="n">
        <v>229</v>
      </c>
      <c r="B230" s="99" t="n">
        <v>44900</v>
      </c>
      <c r="C230" s="101" t="n">
        <v>29121652.07</v>
      </c>
      <c r="D230" s="97">
        <f>C230/E230</f>
        <v/>
      </c>
      <c r="E230" s="97" t="n">
        <v>81.89</v>
      </c>
      <c r="F230" s="97">
        <f>D230/100000</f>
        <v/>
      </c>
      <c r="G230" s="97">
        <f>(F230/DataSheet!$C$9*100)</f>
        <v/>
      </c>
      <c r="H230" s="97">
        <f>K230/I230</f>
        <v/>
      </c>
      <c r="I230" s="97">
        <f>(J230/L230)*100</f>
        <v/>
      </c>
      <c r="J230" s="97">
        <f>L230/O230</f>
        <v/>
      </c>
      <c r="K230" s="97" t="n">
        <v>7.22</v>
      </c>
      <c r="L230" s="97" t="n">
        <v>18701.05</v>
      </c>
      <c r="M230" s="97" t="n">
        <v>4.39</v>
      </c>
      <c r="N230" s="97">
        <f>K230-I230</f>
        <v/>
      </c>
      <c r="O230" s="97" t="n">
        <v>22.47</v>
      </c>
      <c r="P230" s="97" t="n">
        <v>3.58</v>
      </c>
      <c r="Q230" s="97">
        <f>K230-P230</f>
        <v/>
      </c>
      <c r="R230" s="97" t="n">
        <v>105.29</v>
      </c>
      <c r="S230" s="97">
        <f>(O230*T230)</f>
        <v/>
      </c>
      <c r="T230" s="79" t="n">
        <v>6.36</v>
      </c>
      <c r="U230" s="80" t="n">
        <v>12298.5</v>
      </c>
      <c r="V230" s="80" t="n">
        <v>26.75</v>
      </c>
      <c r="W230" s="97">
        <f>U230/V230</f>
        <v/>
      </c>
      <c r="X230" s="97">
        <f>(W230/U230)*100</f>
        <v/>
      </c>
      <c r="Y230" s="80" t="n">
        <v>9790.5</v>
      </c>
      <c r="Z230" s="80" t="n">
        <v>19.34</v>
      </c>
      <c r="AA230" s="97">
        <f>Y230/Z230</f>
        <v/>
      </c>
      <c r="AB230" s="97">
        <f>(AA230/Y230)*100</f>
        <v/>
      </c>
    </row>
    <row r="231">
      <c r="A231" s="92" t="n">
        <v>230</v>
      </c>
      <c r="B231" s="99" t="n">
        <v>44901</v>
      </c>
      <c r="C231" s="101" t="n">
        <v>29079423.52</v>
      </c>
      <c r="D231" s="97">
        <f>C231/E231</f>
        <v/>
      </c>
      <c r="E231" s="97" t="n">
        <v>82.48</v>
      </c>
      <c r="F231" s="97">
        <f>D231/100000</f>
        <v/>
      </c>
      <c r="G231" s="97">
        <f>(F231/DataSheet!$C$9*100)</f>
        <v/>
      </c>
      <c r="H231" s="97">
        <f>K231/I231</f>
        <v/>
      </c>
      <c r="I231" s="97">
        <f>(J231/L231)*100</f>
        <v/>
      </c>
      <c r="J231" s="97">
        <f>L231/O231</f>
        <v/>
      </c>
      <c r="K231" s="97" t="n">
        <v>7.24</v>
      </c>
      <c r="L231" s="97" t="n">
        <v>18642.75</v>
      </c>
      <c r="M231" s="97" t="n">
        <v>4.38</v>
      </c>
      <c r="N231" s="97">
        <f>K231-I231</f>
        <v/>
      </c>
      <c r="O231" s="97" t="n">
        <v>22.4</v>
      </c>
      <c r="P231" s="97" t="n">
        <v>3.53</v>
      </c>
      <c r="Q231" s="97">
        <f>K231-P231</f>
        <v/>
      </c>
      <c r="R231" s="97" t="n">
        <v>105.58</v>
      </c>
      <c r="S231" s="97">
        <f>(O231*T231)</f>
        <v/>
      </c>
      <c r="T231" s="79" t="n">
        <v>6.36</v>
      </c>
      <c r="U231" s="80" t="n">
        <v>12239.3</v>
      </c>
      <c r="V231" s="80" t="n">
        <v>26.62</v>
      </c>
      <c r="W231" s="97">
        <f>U231/V231</f>
        <v/>
      </c>
      <c r="X231" s="97">
        <f>(W231/U231)*100</f>
        <v/>
      </c>
      <c r="Y231" s="80" t="n">
        <v>9767.5</v>
      </c>
      <c r="Z231" s="80" t="n">
        <v>19.3</v>
      </c>
      <c r="AA231" s="97">
        <f>Y231/Z231</f>
        <v/>
      </c>
      <c r="AB231" s="97">
        <f>(AA231/Y231)*100</f>
        <v/>
      </c>
    </row>
    <row r="232">
      <c r="A232" s="92" t="n">
        <v>231</v>
      </c>
      <c r="B232" s="99" t="n">
        <v>44902</v>
      </c>
      <c r="C232" s="101" t="n">
        <v>28983371.75</v>
      </c>
      <c r="D232" s="97">
        <f>C232/E232</f>
        <v/>
      </c>
      <c r="E232" s="97" t="n">
        <v>82.2</v>
      </c>
      <c r="F232" s="97">
        <f>D232/100000</f>
        <v/>
      </c>
      <c r="G232" s="97">
        <f>(F232/DataSheet!$C$9*100)</f>
        <v/>
      </c>
      <c r="H232" s="97">
        <f>K232/I232</f>
        <v/>
      </c>
      <c r="I232" s="97">
        <f>(J232/L232)*100</f>
        <v/>
      </c>
      <c r="J232" s="97">
        <f>L232/O232</f>
        <v/>
      </c>
      <c r="K232" s="97" t="n">
        <v>7.26</v>
      </c>
      <c r="L232" s="97" t="n">
        <v>18560.5</v>
      </c>
      <c r="M232" s="97" t="n">
        <v>4.36</v>
      </c>
      <c r="N232" s="97">
        <f>K232-I232</f>
        <v/>
      </c>
      <c r="O232" s="97" t="n">
        <v>22.31</v>
      </c>
      <c r="P232" s="97" t="n">
        <v>3.42</v>
      </c>
      <c r="Q232" s="97">
        <f>K232-P232</f>
        <v/>
      </c>
      <c r="R232" s="97" t="n">
        <v>105.1</v>
      </c>
      <c r="S232" s="97">
        <f>(O232*T232)</f>
        <v/>
      </c>
      <c r="T232" s="79" t="n">
        <v>6.4</v>
      </c>
      <c r="U232" s="80" t="n">
        <v>12178.85</v>
      </c>
      <c r="V232" s="80" t="n">
        <v>26.49</v>
      </c>
      <c r="W232" s="97">
        <f>U232/V232</f>
        <v/>
      </c>
      <c r="X232" s="97">
        <f>(W232/U232)*100</f>
        <v/>
      </c>
      <c r="Y232" s="80" t="n">
        <v>9729.65</v>
      </c>
      <c r="Z232" s="80" t="n">
        <v>19.22</v>
      </c>
      <c r="AA232" s="97">
        <f>Y232/Z232</f>
        <v/>
      </c>
      <c r="AB232" s="97">
        <f>(AA232/Y232)*100</f>
        <v/>
      </c>
    </row>
    <row r="233">
      <c r="A233" s="92" t="n">
        <v>232</v>
      </c>
      <c r="B233" s="99" t="n">
        <v>44903</v>
      </c>
      <c r="C233" s="101" t="n">
        <v>29056039.68</v>
      </c>
      <c r="D233" s="97">
        <f>C233/E233</f>
        <v/>
      </c>
      <c r="E233" s="97" t="n">
        <v>82.28</v>
      </c>
      <c r="F233" s="97">
        <f>D233/100000</f>
        <v/>
      </c>
      <c r="G233" s="97">
        <f>(F233/DataSheet!$C$9*100)</f>
        <v/>
      </c>
      <c r="H233" s="97">
        <f>K233/I233</f>
        <v/>
      </c>
      <c r="I233" s="97">
        <f>(J233/L233)*100</f>
        <v/>
      </c>
      <c r="J233" s="97">
        <f>L233/O233</f>
        <v/>
      </c>
      <c r="K233" s="97" t="n">
        <v>7.28</v>
      </c>
      <c r="L233" s="97" t="n">
        <v>18609.35</v>
      </c>
      <c r="M233" s="97" t="n">
        <v>4.37</v>
      </c>
      <c r="N233" s="97">
        <f>K233-I233</f>
        <v/>
      </c>
      <c r="O233" s="97" t="n">
        <v>22.36</v>
      </c>
      <c r="P233" s="97" t="n">
        <v>3.48</v>
      </c>
      <c r="Q233" s="97">
        <f>K233-P233</f>
        <v/>
      </c>
      <c r="R233" s="97" t="n">
        <v>104.77</v>
      </c>
      <c r="S233" s="97">
        <f>(O233*T233)</f>
        <v/>
      </c>
      <c r="T233" s="79" t="n">
        <v>6.4</v>
      </c>
      <c r="U233" s="80" t="n">
        <v>12237.05</v>
      </c>
      <c r="V233" s="80" t="n">
        <v>26.62</v>
      </c>
      <c r="W233" s="97">
        <f>U233/V233</f>
        <v/>
      </c>
      <c r="X233" s="97">
        <f>(W233/U233)*100</f>
        <v/>
      </c>
      <c r="Y233" s="80" t="n">
        <v>9783.200000000001</v>
      </c>
      <c r="Z233" s="80" t="n">
        <v>19.33</v>
      </c>
      <c r="AA233" s="97">
        <f>Y233/Z233</f>
        <v/>
      </c>
      <c r="AB233" s="97">
        <f>(AA233/Y233)*100</f>
        <v/>
      </c>
    </row>
    <row r="234">
      <c r="A234" s="92" t="n">
        <v>233</v>
      </c>
      <c r="B234" s="99" t="n">
        <v>44904</v>
      </c>
      <c r="C234" s="101" t="n">
        <v>28918266.54</v>
      </c>
      <c r="D234" s="97">
        <f>C234/E234</f>
        <v/>
      </c>
      <c r="E234" s="97" t="n">
        <v>82.41</v>
      </c>
      <c r="F234" s="97">
        <f>D234/100000</f>
        <v/>
      </c>
      <c r="G234" s="97">
        <f>(F234/DataSheet!$C$9*100)</f>
        <v/>
      </c>
      <c r="H234" s="97">
        <f>K234/I234</f>
        <v/>
      </c>
      <c r="I234" s="97">
        <f>(J234/L234)*100</f>
        <v/>
      </c>
      <c r="J234" s="97">
        <f>L234/O234</f>
        <v/>
      </c>
      <c r="K234" s="97" t="n">
        <v>7.29</v>
      </c>
      <c r="L234" s="97" t="n">
        <v>18496.6</v>
      </c>
      <c r="M234" s="97" t="n">
        <v>4.34</v>
      </c>
      <c r="N234" s="97">
        <f>K234-I234</f>
        <v/>
      </c>
      <c r="O234" s="97" t="n">
        <v>22.23</v>
      </c>
      <c r="P234" s="97" t="n">
        <v>3.58</v>
      </c>
      <c r="Q234" s="97">
        <f>K234-P234</f>
        <v/>
      </c>
      <c r="R234" s="97" t="n">
        <v>104.81</v>
      </c>
      <c r="S234" s="97">
        <f>(O234*T234)</f>
        <v/>
      </c>
      <c r="T234" s="79" t="n">
        <v>6.38</v>
      </c>
      <c r="U234" s="80" t="n">
        <v>12181.6</v>
      </c>
      <c r="V234" s="80" t="n">
        <v>26.5</v>
      </c>
      <c r="W234" s="97">
        <f>U234/V234</f>
        <v/>
      </c>
      <c r="X234" s="97">
        <f>(W234/U234)*100</f>
        <v/>
      </c>
      <c r="Y234" s="80" t="n">
        <v>9681.799999999999</v>
      </c>
      <c r="Z234" s="80" t="n">
        <v>19.13</v>
      </c>
      <c r="AA234" s="97">
        <f>Y234/Z234</f>
        <v/>
      </c>
      <c r="AB234" s="97">
        <f>(AA234/Y234)*100</f>
        <v/>
      </c>
    </row>
    <row r="235">
      <c r="A235" s="92" t="n">
        <v>234</v>
      </c>
      <c r="B235" s="99" t="n">
        <v>44907</v>
      </c>
      <c r="C235" s="101" t="n">
        <v>28917889.93</v>
      </c>
      <c r="D235" s="97">
        <f>C235/E235</f>
        <v/>
      </c>
      <c r="E235" s="97" t="n">
        <v>82.63</v>
      </c>
      <c r="F235" s="97">
        <f>D235/100000</f>
        <v/>
      </c>
      <c r="G235" s="97">
        <f>(F235/DataSheet!$C$9*100)</f>
        <v/>
      </c>
      <c r="H235" s="97">
        <f>K235/I235</f>
        <v/>
      </c>
      <c r="I235" s="97">
        <f>(J235/L235)*100</f>
        <v/>
      </c>
      <c r="J235" s="97">
        <f>L235/O235</f>
        <v/>
      </c>
      <c r="K235" s="97" t="n">
        <v>7.29</v>
      </c>
      <c r="L235" s="97" t="n">
        <v>18497.15</v>
      </c>
      <c r="M235" s="97" t="n">
        <v>4.34</v>
      </c>
      <c r="N235" s="97">
        <f>K235-I235</f>
        <v/>
      </c>
      <c r="O235" s="97" t="n">
        <v>22.23</v>
      </c>
      <c r="P235" s="97" t="n">
        <v>3.61</v>
      </c>
      <c r="Q235" s="97">
        <f>K235-P235</f>
        <v/>
      </c>
      <c r="R235" s="97" t="n">
        <v>105.13</v>
      </c>
      <c r="S235" s="97">
        <f>(O235*T235)</f>
        <v/>
      </c>
      <c r="T235" s="79" t="n">
        <v>6.4</v>
      </c>
      <c r="U235" s="80" t="n">
        <v>12218.95</v>
      </c>
      <c r="V235" s="80" t="n">
        <v>26.58</v>
      </c>
      <c r="W235" s="97">
        <f>U235/V235</f>
        <v/>
      </c>
      <c r="X235" s="97">
        <f>(W235/U235)*100</f>
        <v/>
      </c>
      <c r="Y235" s="80" t="n">
        <v>9733.25</v>
      </c>
      <c r="Z235" s="80" t="n">
        <v>19.23</v>
      </c>
      <c r="AA235" s="97">
        <f>Y235/Z235</f>
        <v/>
      </c>
      <c r="AB235" s="97">
        <f>(AA235/Y235)*100</f>
        <v/>
      </c>
    </row>
    <row r="236">
      <c r="A236" s="92" t="n">
        <v>235</v>
      </c>
      <c r="B236" s="99" t="n">
        <v>44908</v>
      </c>
      <c r="C236" s="101" t="n">
        <v>29087813.71</v>
      </c>
      <c r="D236" s="97">
        <f>C236/E236</f>
        <v/>
      </c>
      <c r="E236" s="97" t="n">
        <v>82.37</v>
      </c>
      <c r="F236" s="97">
        <f>D236/100000</f>
        <v/>
      </c>
      <c r="G236" s="97">
        <f>(F236/DataSheet!$C$9*100)</f>
        <v/>
      </c>
      <c r="H236" s="97">
        <f>K236/I236</f>
        <v/>
      </c>
      <c r="I236" s="97">
        <f>(J236/L236)*100</f>
        <v/>
      </c>
      <c r="J236" s="97">
        <f>L236/O236</f>
        <v/>
      </c>
      <c r="K236" s="97" t="n">
        <v>7.26</v>
      </c>
      <c r="L236" s="97" t="n">
        <v>18608</v>
      </c>
      <c r="M236" s="97" t="n">
        <v>4.37</v>
      </c>
      <c r="N236" s="97">
        <f>K236-I236</f>
        <v/>
      </c>
      <c r="O236" s="97" t="n">
        <v>22.36</v>
      </c>
      <c r="P236" s="97" t="n">
        <v>3.5</v>
      </c>
      <c r="Q236" s="97">
        <f>K236-P236</f>
        <v/>
      </c>
      <c r="R236" s="97" t="n">
        <v>103.98</v>
      </c>
      <c r="S236" s="97">
        <f>(O236*T236)</f>
        <v/>
      </c>
      <c r="T236" s="79" t="n">
        <v>6.37</v>
      </c>
      <c r="U236" s="80" t="n">
        <v>12270.45</v>
      </c>
      <c r="V236" s="80" t="n">
        <v>26.69</v>
      </c>
      <c r="W236" s="97">
        <f>U236/V236</f>
        <v/>
      </c>
      <c r="X236" s="97">
        <f>(W236/U236)*100</f>
        <v/>
      </c>
      <c r="Y236" s="80" t="n">
        <v>9788.700000000001</v>
      </c>
      <c r="Z236" s="80" t="n">
        <v>19.34</v>
      </c>
      <c r="AA236" s="97">
        <f>Y236/Z236</f>
        <v/>
      </c>
      <c r="AB236" s="97">
        <f>(AA236/Y236)*100</f>
        <v/>
      </c>
    </row>
    <row r="237">
      <c r="A237" s="92" t="n">
        <v>236</v>
      </c>
      <c r="B237" s="99" t="n">
        <v>44909</v>
      </c>
      <c r="C237" s="101" t="n">
        <v>29211638.35</v>
      </c>
      <c r="D237" s="97">
        <f>C237/E237</f>
        <v/>
      </c>
      <c r="E237" s="97" t="n">
        <v>82.47</v>
      </c>
      <c r="F237" s="97">
        <f>D237/100000</f>
        <v/>
      </c>
      <c r="G237" s="97">
        <f>(F237/DataSheet!$C$9*100)</f>
        <v/>
      </c>
      <c r="H237" s="97">
        <f>K237/I237</f>
        <v/>
      </c>
      <c r="I237" s="97">
        <f>(J237/L237)*100</f>
        <v/>
      </c>
      <c r="J237" s="97">
        <f>L237/O237</f>
        <v/>
      </c>
      <c r="K237" s="97" t="n">
        <v>7.22</v>
      </c>
      <c r="L237" s="97" t="n">
        <v>18660.3</v>
      </c>
      <c r="M237" s="97" t="n">
        <v>4.38</v>
      </c>
      <c r="N237" s="97">
        <f>K237-I237</f>
        <v/>
      </c>
      <c r="O237" s="97" t="n">
        <v>22.43</v>
      </c>
      <c r="P237" s="97" t="n">
        <v>3.47</v>
      </c>
      <c r="Q237" s="97">
        <f>K237-P237</f>
        <v/>
      </c>
      <c r="R237" s="97" t="n">
        <v>103.77</v>
      </c>
      <c r="S237" s="97">
        <f>(O237*T237)</f>
        <v/>
      </c>
      <c r="T237" s="79" t="n">
        <v>6.41</v>
      </c>
      <c r="U237" s="80" t="n">
        <v>12349.7</v>
      </c>
      <c r="V237" s="80" t="n">
        <v>26.86</v>
      </c>
      <c r="W237" s="97">
        <f>U237/V237</f>
        <v/>
      </c>
      <c r="X237" s="97">
        <f>(W237/U237)*100</f>
        <v/>
      </c>
      <c r="Y237" s="80" t="n">
        <v>9852.65</v>
      </c>
      <c r="Z237" s="80" t="n">
        <v>19.47</v>
      </c>
      <c r="AA237" s="97">
        <f>Y237/Z237</f>
        <v/>
      </c>
      <c r="AB237" s="97">
        <f>(AA237/Y237)*100</f>
        <v/>
      </c>
    </row>
    <row r="238">
      <c r="A238" s="92" t="n">
        <v>237</v>
      </c>
      <c r="B238" s="99" t="n">
        <v>44910</v>
      </c>
      <c r="C238" s="101" t="n">
        <v>28934812.59</v>
      </c>
      <c r="D238" s="97">
        <f>C238/E238</f>
        <v/>
      </c>
      <c r="E238" s="97" t="n">
        <v>82.84</v>
      </c>
      <c r="F238" s="97">
        <f>D238/100000</f>
        <v/>
      </c>
      <c r="G238" s="97">
        <f>(F238/DataSheet!$C$9*100)</f>
        <v/>
      </c>
      <c r="H238" s="97">
        <f>K238/I238</f>
        <v/>
      </c>
      <c r="I238" s="97">
        <f>(J238/L238)*100</f>
        <v/>
      </c>
      <c r="J238" s="97">
        <f>L238/O238</f>
        <v/>
      </c>
      <c r="K238" s="97" t="n">
        <v>7.26</v>
      </c>
      <c r="L238" s="97" t="n">
        <v>18414.9</v>
      </c>
      <c r="M238" s="97" t="n">
        <v>4.32</v>
      </c>
      <c r="N238" s="97">
        <f>K238-I238</f>
        <v/>
      </c>
      <c r="O238" s="97" t="n">
        <v>22.13</v>
      </c>
      <c r="P238" s="97" t="n">
        <v>3.45</v>
      </c>
      <c r="Q238" s="97">
        <f>K238-P238</f>
        <v/>
      </c>
      <c r="R238" s="97" t="n">
        <v>104.56</v>
      </c>
      <c r="S238" s="97">
        <f>(O238*T238)</f>
        <v/>
      </c>
      <c r="T238" s="79" t="n">
        <v>6.42</v>
      </c>
      <c r="U238" s="80" t="n">
        <v>12237.9</v>
      </c>
      <c r="V238" s="80" t="n">
        <v>26.62</v>
      </c>
      <c r="W238" s="97">
        <f>U238/V238</f>
        <v/>
      </c>
      <c r="X238" s="97">
        <f>(W238/U238)*100</f>
        <v/>
      </c>
      <c r="Y238" s="80" t="n">
        <v>9810.200000000001</v>
      </c>
      <c r="Z238" s="80" t="n">
        <v>19.38</v>
      </c>
      <c r="AA238" s="97">
        <f>Y238/Z238</f>
        <v/>
      </c>
      <c r="AB238" s="97">
        <f>(AA238/Y238)*100</f>
        <v/>
      </c>
    </row>
    <row r="239">
      <c r="A239" s="92" t="n">
        <v>238</v>
      </c>
      <c r="B239" s="99" t="n">
        <v>44911</v>
      </c>
      <c r="C239" s="101" t="n">
        <v>28634300.27</v>
      </c>
      <c r="D239" s="97">
        <f>C239/E239</f>
        <v/>
      </c>
      <c r="E239" s="97" t="n">
        <v>82.7</v>
      </c>
      <c r="F239" s="97">
        <f>D239/100000</f>
        <v/>
      </c>
      <c r="G239" s="97">
        <f>(F239/DataSheet!$C$9*100)</f>
        <v/>
      </c>
      <c r="H239" s="97">
        <f>K239/I239</f>
        <v/>
      </c>
      <c r="I239" s="97">
        <f>(J239/L239)*100</f>
        <v/>
      </c>
      <c r="J239" s="97">
        <f>L239/O239</f>
        <v/>
      </c>
      <c r="K239" s="97" t="n">
        <v>7.27</v>
      </c>
      <c r="L239" s="97" t="n">
        <v>18269</v>
      </c>
      <c r="M239" s="97" t="n">
        <v>4.29</v>
      </c>
      <c r="N239" s="97">
        <f>K239-I239</f>
        <v/>
      </c>
      <c r="O239" s="97" t="n">
        <v>21.96</v>
      </c>
      <c r="P239" s="97" t="n">
        <v>3.48</v>
      </c>
      <c r="Q239" s="97">
        <f>K239-P239</f>
        <v/>
      </c>
      <c r="R239" s="97" t="n">
        <v>104.7</v>
      </c>
      <c r="S239" s="97">
        <f>(O239*T239)</f>
        <v/>
      </c>
      <c r="T239" s="79" t="n">
        <v>6.42</v>
      </c>
      <c r="U239" s="80" t="n">
        <v>12061.25</v>
      </c>
      <c r="V239" s="80" t="n">
        <v>26.24</v>
      </c>
      <c r="W239" s="97">
        <f>U239/V239</f>
        <v/>
      </c>
      <c r="X239" s="97">
        <f>(W239/U239)*100</f>
        <v/>
      </c>
      <c r="Y239" s="80" t="n">
        <v>9732.299999999999</v>
      </c>
      <c r="Z239" s="80" t="n">
        <v>19.23</v>
      </c>
      <c r="AA239" s="97">
        <f>Y239/Z239</f>
        <v/>
      </c>
      <c r="AB239" s="97">
        <f>(AA239/Y239)*100</f>
        <v/>
      </c>
    </row>
    <row r="240">
      <c r="A240" s="92" t="n">
        <v>239</v>
      </c>
      <c r="B240" s="99" t="n">
        <v>44914</v>
      </c>
      <c r="C240" s="103" t="n">
        <v>28863824.61</v>
      </c>
      <c r="D240" s="98">
        <f>C240/E240</f>
        <v/>
      </c>
      <c r="E240" s="98" t="n">
        <v>82.64</v>
      </c>
      <c r="F240" s="98">
        <f>D240/100000</f>
        <v/>
      </c>
      <c r="G240" s="97">
        <f>(F240/DataSheet!$C$9*100)</f>
        <v/>
      </c>
      <c r="H240" s="98">
        <f>K240/I240</f>
        <v/>
      </c>
      <c r="I240" s="98">
        <f>(J240/L240)*100</f>
        <v/>
      </c>
      <c r="J240" s="97">
        <f>L240/O240</f>
        <v/>
      </c>
      <c r="K240" s="98" t="n">
        <v>7.29</v>
      </c>
      <c r="L240" s="98" t="n">
        <v>18420.45</v>
      </c>
      <c r="M240" s="98" t="n">
        <v>4.32</v>
      </c>
      <c r="N240" s="98">
        <f>K240-I240</f>
        <v/>
      </c>
      <c r="O240" s="98" t="n">
        <v>22.14</v>
      </c>
      <c r="P240" s="98" t="n">
        <v>3.59</v>
      </c>
      <c r="Q240" s="98">
        <f>K240-P240</f>
        <v/>
      </c>
      <c r="R240" s="98" t="n">
        <v>104.59</v>
      </c>
      <c r="S240" s="97">
        <f>(O240*T240)</f>
        <v/>
      </c>
      <c r="T240" s="79" t="n">
        <v>6.43</v>
      </c>
      <c r="U240" s="80" t="n">
        <v>12118.95</v>
      </c>
      <c r="V240" s="80" t="n">
        <v>26.36</v>
      </c>
      <c r="W240" s="97">
        <f>U240/V240</f>
        <v/>
      </c>
      <c r="X240" s="97">
        <f>(W240/U240)*100</f>
        <v/>
      </c>
      <c r="Y240" s="80" t="n">
        <v>9761.450000000001</v>
      </c>
      <c r="Z240" s="80" t="n">
        <v>19.28</v>
      </c>
      <c r="AA240" s="97">
        <f>Y240/Z240</f>
        <v/>
      </c>
      <c r="AB240" s="97">
        <f>(AA240/Y240)*100</f>
        <v/>
      </c>
    </row>
    <row r="241">
      <c r="A241" s="92" t="n">
        <v>240</v>
      </c>
      <c r="B241" s="99" t="n">
        <v>44915</v>
      </c>
      <c r="C241" s="103" t="n">
        <v>28827518.88</v>
      </c>
      <c r="D241" s="98">
        <f>C241/E241</f>
        <v/>
      </c>
      <c r="E241" s="98" t="n">
        <v>82.59999999999999</v>
      </c>
      <c r="F241" s="98">
        <f>D241/100000</f>
        <v/>
      </c>
      <c r="G241" s="97">
        <f>(F241/DataSheet!$C$9*100)</f>
        <v/>
      </c>
      <c r="H241" s="98">
        <f>K241/I241</f>
        <v/>
      </c>
      <c r="I241" s="98">
        <f>(J241/L241)*100</f>
        <v/>
      </c>
      <c r="J241" s="97">
        <f>L241/O241</f>
        <v/>
      </c>
      <c r="K241" s="98" t="n">
        <v>7.29</v>
      </c>
      <c r="L241" s="98" t="n">
        <v>18385.3</v>
      </c>
      <c r="M241" s="98" t="n">
        <v>4.32</v>
      </c>
      <c r="N241" s="98">
        <f>K241-I241</f>
        <v/>
      </c>
      <c r="O241" s="98" t="n">
        <v>22.1</v>
      </c>
      <c r="P241" s="98" t="n">
        <v>3.69</v>
      </c>
      <c r="Q241" s="98">
        <f>K241-P241</f>
        <v/>
      </c>
      <c r="R241" s="98" t="n">
        <v>103.6</v>
      </c>
      <c r="S241" s="97">
        <f>(O241*T241)</f>
        <v/>
      </c>
      <c r="T241" s="79" t="n">
        <v>6.43</v>
      </c>
      <c r="U241" s="80" t="n">
        <v>12098.55</v>
      </c>
      <c r="V241" s="80" t="n">
        <v>26.32</v>
      </c>
      <c r="W241" s="97">
        <f>U241/V241</f>
        <v/>
      </c>
      <c r="X241" s="97">
        <f>(W241/U241)*100</f>
        <v/>
      </c>
      <c r="Y241" s="80" t="n">
        <v>9741.25</v>
      </c>
      <c r="Z241" s="80" t="n">
        <v>19.24</v>
      </c>
      <c r="AA241" s="97">
        <f>Y241/Z241</f>
        <v/>
      </c>
      <c r="AB241" s="97">
        <f>(AA241/Y241)*100</f>
        <v/>
      </c>
    </row>
    <row r="242">
      <c r="A242" s="92" t="n">
        <v>241</v>
      </c>
      <c r="B242" s="99" t="n">
        <v>44916</v>
      </c>
      <c r="C242" s="103" t="n">
        <v>28382083.09</v>
      </c>
      <c r="D242" s="98">
        <f>C242/E242</f>
        <v/>
      </c>
      <c r="E242" s="98" t="n">
        <v>82.88</v>
      </c>
      <c r="F242" s="98">
        <f>D242/100000</f>
        <v/>
      </c>
      <c r="G242" s="97">
        <f>(F242/DataSheet!$C$9*100)</f>
        <v/>
      </c>
      <c r="H242" s="98">
        <f>K242/I242</f>
        <v/>
      </c>
      <c r="I242" s="98">
        <f>(J242/L242)*100</f>
        <v/>
      </c>
      <c r="J242" s="97">
        <f>L242/O242</f>
        <v/>
      </c>
      <c r="K242" s="98" t="n">
        <v>7.28</v>
      </c>
      <c r="L242" s="98" t="n">
        <v>18199.1</v>
      </c>
      <c r="M242" s="98" t="n">
        <v>4.27</v>
      </c>
      <c r="N242" s="98">
        <f>K242-I242</f>
        <v/>
      </c>
      <c r="O242" s="98" t="n">
        <v>21.87</v>
      </c>
      <c r="P242" s="98" t="n">
        <v>3.67</v>
      </c>
      <c r="Q242" s="98">
        <f>K242-P242</f>
        <v/>
      </c>
      <c r="R242" s="98" t="n">
        <v>103.84</v>
      </c>
      <c r="S242" s="97">
        <f>(O242*T242)</f>
        <v/>
      </c>
      <c r="T242" s="79" t="n">
        <v>6.46</v>
      </c>
      <c r="U242" s="80" t="n">
        <v>11908.15</v>
      </c>
      <c r="V242" s="80" t="n">
        <v>25.9</v>
      </c>
      <c r="W242" s="97">
        <f>U242/V242</f>
        <v/>
      </c>
      <c r="X242" s="97">
        <f>(W242/U242)*100</f>
        <v/>
      </c>
      <c r="Y242" s="80" t="n">
        <v>9540</v>
      </c>
      <c r="Z242" s="80" t="n">
        <v>18.85</v>
      </c>
      <c r="AA242" s="97">
        <f>Y242/Z242</f>
        <v/>
      </c>
      <c r="AB242" s="97">
        <f>(AA242/Y242)*100</f>
        <v/>
      </c>
    </row>
    <row r="243">
      <c r="A243" s="92" t="n">
        <v>242</v>
      </c>
      <c r="B243" s="99" t="n">
        <v>44917</v>
      </c>
      <c r="C243" s="103" t="n">
        <v>28142937.85</v>
      </c>
      <c r="D243" s="98">
        <f>C243/E243</f>
        <v/>
      </c>
      <c r="E243" s="98" t="n">
        <v>82.95999999999999</v>
      </c>
      <c r="F243" s="98">
        <f>D243/100000</f>
        <v/>
      </c>
      <c r="G243" s="97">
        <f>(F243/DataSheet!$C$9*100)</f>
        <v/>
      </c>
      <c r="H243" s="98">
        <f>K243/I243</f>
        <v/>
      </c>
      <c r="I243" s="98">
        <f>(J243/L243)*100</f>
        <v/>
      </c>
      <c r="J243" s="97">
        <f>L243/O243</f>
        <v/>
      </c>
      <c r="K243" s="98" t="n">
        <v>7.31</v>
      </c>
      <c r="L243" s="98" t="n">
        <v>18127.35</v>
      </c>
      <c r="M243" s="98" t="n">
        <v>4.26</v>
      </c>
      <c r="N243" s="98">
        <f>K243-I243</f>
        <v/>
      </c>
      <c r="O243" s="98" t="n">
        <v>21.79</v>
      </c>
      <c r="P243" s="98" t="n">
        <v>3.68</v>
      </c>
      <c r="Q243" s="98">
        <f>K243-P243</f>
        <v/>
      </c>
      <c r="R243" s="98" t="n">
        <v>104.12</v>
      </c>
      <c r="S243" s="97">
        <f>(O243*T243)</f>
        <v/>
      </c>
      <c r="T243" s="79" t="n">
        <v>6.38</v>
      </c>
      <c r="U243" s="80" t="n">
        <v>11797.05</v>
      </c>
      <c r="V243" s="80" t="n">
        <v>25.66</v>
      </c>
      <c r="W243" s="97">
        <f>U243/V243</f>
        <v/>
      </c>
      <c r="X243" s="97">
        <f>(W243/U243)*100</f>
        <v/>
      </c>
      <c r="Y243" s="80" t="n">
        <v>9373.85</v>
      </c>
      <c r="Z243" s="80" t="n">
        <v>18.52</v>
      </c>
      <c r="AA243" s="97">
        <f>Y243/Z243</f>
        <v/>
      </c>
      <c r="AB243" s="97">
        <f>(AA243/Y243)*100</f>
        <v/>
      </c>
    </row>
    <row r="244">
      <c r="A244" s="92" t="n">
        <v>243</v>
      </c>
      <c r="B244" s="99" t="n">
        <v>44918</v>
      </c>
      <c r="C244" s="103" t="n">
        <v>27298446.79</v>
      </c>
      <c r="D244" s="98">
        <f>C244/E244</f>
        <v/>
      </c>
      <c r="E244" s="98" t="n">
        <v>82.78</v>
      </c>
      <c r="F244" s="98">
        <f>D244/100000</f>
        <v/>
      </c>
      <c r="G244" s="97">
        <f>(F244/DataSheet!$C$9*100)</f>
        <v/>
      </c>
      <c r="H244" s="98">
        <f>K244/I244</f>
        <v/>
      </c>
      <c r="I244" s="98">
        <f>(J244/L244)*100</f>
        <v/>
      </c>
      <c r="J244" s="97">
        <f>L244/O244</f>
        <v/>
      </c>
      <c r="K244" s="98" t="n">
        <v>7.31</v>
      </c>
      <c r="L244" s="98" t="n">
        <v>17806.8</v>
      </c>
      <c r="M244" s="98" t="n">
        <v>4.18</v>
      </c>
      <c r="N244" s="98">
        <f>K244-I244</f>
        <v/>
      </c>
      <c r="O244" s="98" t="n">
        <v>21.4</v>
      </c>
      <c r="P244" s="98" t="n">
        <v>3.71</v>
      </c>
      <c r="Q244" s="98">
        <f>K244-P244</f>
        <v/>
      </c>
      <c r="R244" s="98" t="n">
        <v>103.95</v>
      </c>
      <c r="S244" s="97">
        <f>(O244*T244)</f>
        <v/>
      </c>
      <c r="T244" s="79" t="n">
        <v>6.39</v>
      </c>
      <c r="U244" s="80" t="n">
        <v>11383.05</v>
      </c>
      <c r="V244" s="80" t="n">
        <v>24.76</v>
      </c>
      <c r="W244" s="97">
        <f>U244/V244</f>
        <v/>
      </c>
      <c r="X244" s="97">
        <f>(W244/U244)*100</f>
        <v/>
      </c>
      <c r="Y244" s="80" t="n">
        <v>8962.5</v>
      </c>
      <c r="Z244" s="80" t="n">
        <v>17.71</v>
      </c>
      <c r="AA244" s="97">
        <f>Y244/Z244</f>
        <v/>
      </c>
      <c r="AB244" s="97">
        <f>(AA244/Y244)*100</f>
        <v/>
      </c>
    </row>
    <row r="245">
      <c r="A245" s="92" t="n">
        <v>244</v>
      </c>
      <c r="B245" s="99" t="n">
        <v>44921</v>
      </c>
      <c r="C245" s="101" t="n">
        <v>27859586.2</v>
      </c>
      <c r="D245" s="97">
        <f>C245/E245</f>
        <v/>
      </c>
      <c r="E245" s="97" t="n">
        <v>82.65000000000001</v>
      </c>
      <c r="F245" s="97">
        <f>D245/100000</f>
        <v/>
      </c>
      <c r="G245" s="97">
        <f>(F245/DataSheet!$C$9*100)</f>
        <v/>
      </c>
      <c r="H245" s="97">
        <f>K245/I245</f>
        <v/>
      </c>
      <c r="I245" s="98">
        <f>(J245/L245)*100</f>
        <v/>
      </c>
      <c r="J245" s="97">
        <f>L245/O245</f>
        <v/>
      </c>
      <c r="K245" s="98" t="n">
        <v>7.31</v>
      </c>
      <c r="L245" s="98" t="n">
        <v>18014.6</v>
      </c>
      <c r="M245" s="98" t="n">
        <v>4.23</v>
      </c>
      <c r="N245" s="98">
        <f>K245-I245</f>
        <v/>
      </c>
      <c r="O245" s="98" t="n">
        <v>21.65</v>
      </c>
      <c r="P245" s="98" t="n">
        <v>3.74</v>
      </c>
      <c r="Q245" s="98">
        <f>K245-P245</f>
        <v/>
      </c>
      <c r="R245" s="98" t="n">
        <v>104.33</v>
      </c>
      <c r="S245" s="97">
        <f>(O245*T245)</f>
        <v/>
      </c>
      <c r="T245" s="79" t="n">
        <v>6.37</v>
      </c>
      <c r="U245" s="80" t="n">
        <v>11665.3</v>
      </c>
      <c r="V245" s="80" t="n">
        <v>25.38</v>
      </c>
      <c r="W245" s="97">
        <f>U245/V245</f>
        <v/>
      </c>
      <c r="X245" s="97">
        <f>(W245/U245)*100</f>
        <v/>
      </c>
      <c r="Y245" s="80" t="n">
        <v>9262.700000000001</v>
      </c>
      <c r="Z245" s="80" t="n">
        <v>18.3</v>
      </c>
      <c r="AA245" s="97">
        <f>Y245/Z245</f>
        <v/>
      </c>
      <c r="AB245" s="97">
        <f>(AA245/Y245)*100</f>
        <v/>
      </c>
    </row>
    <row r="246">
      <c r="A246" s="92" t="n">
        <v>245</v>
      </c>
      <c r="B246" s="99" t="n">
        <v>44922</v>
      </c>
      <c r="C246" s="101" t="n">
        <v>28128814.01</v>
      </c>
      <c r="D246" s="97">
        <f>C246/E246</f>
        <v/>
      </c>
      <c r="E246" s="97" t="n">
        <v>82.83</v>
      </c>
      <c r="F246" s="97">
        <f>D246/100000</f>
        <v/>
      </c>
      <c r="G246" s="97">
        <f>(F246/DataSheet!$C$9*100)</f>
        <v/>
      </c>
      <c r="H246" s="97">
        <f>K246/I246</f>
        <v/>
      </c>
      <c r="I246" s="98">
        <f>(J246/L246)*100</f>
        <v/>
      </c>
      <c r="J246" s="97">
        <f>L246/O246</f>
        <v/>
      </c>
      <c r="K246" s="98" t="n">
        <v>7.3</v>
      </c>
      <c r="L246" s="98" t="n">
        <v>18132.3</v>
      </c>
      <c r="M246" s="98" t="n">
        <v>4.26</v>
      </c>
      <c r="N246" s="98">
        <f>K246-I246</f>
        <v/>
      </c>
      <c r="O246" s="98" t="n">
        <v>21.79</v>
      </c>
      <c r="P246" s="98" t="n">
        <v>3.84</v>
      </c>
      <c r="Q246" s="98">
        <f>K246-P246</f>
        <v/>
      </c>
      <c r="R246" s="98" t="n">
        <v>104.19</v>
      </c>
      <c r="S246" s="97">
        <f>(O246*T246)</f>
        <v/>
      </c>
      <c r="T246" s="79" t="n">
        <v>6.38</v>
      </c>
      <c r="U246" s="80" t="n">
        <v>11774.15</v>
      </c>
      <c r="V246" s="80" t="n">
        <v>25.61</v>
      </c>
      <c r="W246" s="97">
        <f>U246/V246</f>
        <v/>
      </c>
      <c r="X246" s="97">
        <f>(W246/U246)*100</f>
        <v/>
      </c>
      <c r="Y246" s="80" t="n">
        <v>9377.049999999999</v>
      </c>
      <c r="Z246" s="80" t="n">
        <v>18.52</v>
      </c>
      <c r="AA246" s="97">
        <f>Y246/Z246</f>
        <v/>
      </c>
      <c r="AB246" s="97">
        <f>(AA246/Y246)*100</f>
        <v/>
      </c>
    </row>
    <row r="247">
      <c r="A247" s="92" t="n">
        <v>246</v>
      </c>
      <c r="B247" s="99" t="n">
        <v>44923</v>
      </c>
      <c r="C247" s="101" t="n">
        <v>28197413.06</v>
      </c>
      <c r="D247" s="97">
        <f>C247/E247</f>
        <v/>
      </c>
      <c r="E247" s="97" t="n">
        <v>82.73</v>
      </c>
      <c r="F247" s="97">
        <f>D247/100000</f>
        <v/>
      </c>
      <c r="G247" s="97">
        <f>(F247/DataSheet!$C$9*100)</f>
        <v/>
      </c>
      <c r="H247" s="97">
        <f>K247/I247</f>
        <v/>
      </c>
      <c r="I247" s="97">
        <f>(J247/L247)*100</f>
        <v/>
      </c>
      <c r="J247" s="97">
        <f>L247/O247</f>
        <v/>
      </c>
      <c r="K247" s="97" t="n">
        <v>7.31</v>
      </c>
      <c r="L247" s="97" t="n">
        <v>18122.5</v>
      </c>
      <c r="M247" s="97" t="n">
        <v>4.25</v>
      </c>
      <c r="N247" s="97">
        <f>K247-I247</f>
        <v/>
      </c>
      <c r="O247" s="97" t="n">
        <v>21.78</v>
      </c>
      <c r="P247" s="97" t="n">
        <v>3.88</v>
      </c>
      <c r="Q247" s="97">
        <f>K247-P247</f>
        <v/>
      </c>
      <c r="R247" s="97" t="n">
        <v>104.18</v>
      </c>
      <c r="S247" s="97">
        <f>(O247*T247)</f>
        <v/>
      </c>
      <c r="T247" s="79" t="n">
        <v>6.34</v>
      </c>
      <c r="U247" s="80" t="n">
        <v>11812.2</v>
      </c>
      <c r="V247" s="80" t="n">
        <v>25.7</v>
      </c>
      <c r="W247" s="97">
        <f>U247/V247</f>
        <v/>
      </c>
      <c r="X247" s="97">
        <f>(W247/U247)*100</f>
        <v/>
      </c>
      <c r="Y247" s="80" t="n">
        <v>9397.049999999999</v>
      </c>
      <c r="Z247" s="80" t="n">
        <v>18.56</v>
      </c>
      <c r="AA247" s="97">
        <f>Y247/Z247</f>
        <v/>
      </c>
      <c r="AB247" s="97">
        <f>(AA247/Y247)*100</f>
        <v/>
      </c>
    </row>
    <row r="248">
      <c r="A248" s="92" t="n">
        <v>247</v>
      </c>
      <c r="B248" s="99" t="n">
        <v>44924</v>
      </c>
      <c r="C248" s="101" t="n">
        <v>28320834.65</v>
      </c>
      <c r="D248" s="97">
        <f>C248/E248</f>
        <v/>
      </c>
      <c r="E248" s="97" t="n">
        <v>82.75</v>
      </c>
      <c r="F248" s="97">
        <f>D248/100000</f>
        <v/>
      </c>
      <c r="G248" s="97">
        <f>(F248/DataSheet!$C$9*100)</f>
        <v/>
      </c>
      <c r="H248" s="97">
        <f>K248/I248</f>
        <v/>
      </c>
      <c r="I248" s="97">
        <f>(J248/L248)*100</f>
        <v/>
      </c>
      <c r="J248" s="97">
        <f>L248/O248</f>
        <v/>
      </c>
      <c r="K248" s="97" t="n">
        <v>7.31</v>
      </c>
      <c r="L248" s="97" t="n">
        <v>18191</v>
      </c>
      <c r="M248" s="97" t="n">
        <v>4.27</v>
      </c>
      <c r="N248" s="97">
        <f>K248-I248</f>
        <v/>
      </c>
      <c r="O248" s="97" t="n">
        <v>21.86</v>
      </c>
      <c r="P248" s="97" t="n">
        <v>3.82</v>
      </c>
      <c r="Q248" s="97">
        <f>K248-P248</f>
        <v/>
      </c>
      <c r="R248" s="97" t="n">
        <v>103.58</v>
      </c>
      <c r="S248" s="97">
        <f>(O248*T248)</f>
        <v/>
      </c>
      <c r="T248" s="79" t="n">
        <v>6.31</v>
      </c>
      <c r="U248" s="80" t="n">
        <v>11829.25</v>
      </c>
      <c r="V248" s="80" t="n">
        <v>25.73</v>
      </c>
      <c r="W248" s="97">
        <f>U248/V248</f>
        <v/>
      </c>
      <c r="X248" s="97">
        <f>(W248/U248)*100</f>
        <v/>
      </c>
      <c r="Y248" s="80" t="n">
        <v>9408.35</v>
      </c>
      <c r="Z248" s="80" t="n">
        <v>18.59</v>
      </c>
      <c r="AA248" s="97">
        <f>Y248/Z248</f>
        <v/>
      </c>
      <c r="AB248" s="97">
        <f>(AA248/Y248)*100</f>
        <v/>
      </c>
    </row>
    <row r="249">
      <c r="A249" s="92" t="n">
        <v>248</v>
      </c>
      <c r="B249" s="99" t="n">
        <v>44925</v>
      </c>
      <c r="C249" s="101" t="n">
        <v>28323372.4</v>
      </c>
      <c r="D249" s="97">
        <f>C249/E249</f>
        <v/>
      </c>
      <c r="E249" s="97" t="n">
        <v>82.70999999999999</v>
      </c>
      <c r="F249" s="97">
        <f>D249/100000</f>
        <v/>
      </c>
      <c r="G249" s="97">
        <f>(F249/DataSheet!$C$9*100)</f>
        <v/>
      </c>
      <c r="H249" s="97">
        <f>K249/I249</f>
        <v/>
      </c>
      <c r="I249" s="97">
        <f>(J249/L249)*100</f>
        <v/>
      </c>
      <c r="J249" s="97">
        <f>L249/O249</f>
        <v/>
      </c>
      <c r="K249" s="97" t="n">
        <v>7.32</v>
      </c>
      <c r="L249" s="97" t="n">
        <v>18105.3</v>
      </c>
      <c r="M249" s="97" t="n">
        <v>4.25</v>
      </c>
      <c r="N249" s="97">
        <f>K249-I249</f>
        <v/>
      </c>
      <c r="O249" s="97" t="n">
        <v>21.79</v>
      </c>
      <c r="P249" s="97" t="n">
        <v>3.87</v>
      </c>
      <c r="Q249" s="97">
        <f>K249-P249</f>
        <v/>
      </c>
      <c r="R249" s="97" t="n">
        <v>103.26</v>
      </c>
      <c r="S249" s="97">
        <f>(O249*T249)</f>
        <v/>
      </c>
      <c r="T249" s="79" t="n">
        <v>6.34</v>
      </c>
      <c r="U249" s="80" t="n">
        <v>11885.75</v>
      </c>
      <c r="V249" s="80" t="n">
        <v>26.12</v>
      </c>
      <c r="W249" s="97">
        <f>U249/V249</f>
        <v/>
      </c>
      <c r="X249" s="97">
        <f>(W249/U249)*100</f>
        <v/>
      </c>
      <c r="Y249" s="80" t="n">
        <v>9481.25</v>
      </c>
      <c r="Z249" s="80" t="n">
        <v>19.04</v>
      </c>
      <c r="AA249" s="97">
        <f>Y249/Z249</f>
        <v/>
      </c>
      <c r="AB249" s="97">
        <f>(AA249/Y249)*100</f>
        <v/>
      </c>
    </row>
    <row r="250" customFormat="1" s="91">
      <c r="A250" s="86" t="n">
        <v>249</v>
      </c>
      <c r="B250" s="105" t="n">
        <v>44928</v>
      </c>
      <c r="C250" s="106" t="n">
        <v>28454959.14</v>
      </c>
      <c r="D250" s="89">
        <f>C250/E250</f>
        <v/>
      </c>
      <c r="E250" s="89" t="n">
        <v>82.73999999999999</v>
      </c>
      <c r="F250" s="89">
        <f>D250/100000</f>
        <v/>
      </c>
      <c r="G250" s="89">
        <f>(F250/DataSheet!$C$10*100)</f>
        <v/>
      </c>
      <c r="H250" s="89">
        <f>K250/I250</f>
        <v/>
      </c>
      <c r="I250" s="89">
        <f>(J250/L250)*100</f>
        <v/>
      </c>
      <c r="J250" s="89">
        <f>L250/O250</f>
        <v/>
      </c>
      <c r="K250" s="89" t="n">
        <v>7.34</v>
      </c>
      <c r="L250" s="89" t="n">
        <v>18197.45</v>
      </c>
      <c r="M250" s="89" t="n">
        <v>4.27</v>
      </c>
      <c r="N250" s="89">
        <f>K250-I250</f>
        <v/>
      </c>
      <c r="O250" s="89" t="n">
        <v>21.9</v>
      </c>
      <c r="P250" s="89" t="n">
        <v>3.87</v>
      </c>
      <c r="Q250" s="89">
        <f>K250-P250</f>
        <v/>
      </c>
      <c r="R250" s="89" t="n">
        <v>104.41</v>
      </c>
      <c r="S250" s="89">
        <f>(O250*T250)</f>
        <v/>
      </c>
      <c r="T250" s="89" t="n">
        <v>6.29</v>
      </c>
      <c r="U250" s="90" t="n">
        <v>11970.3</v>
      </c>
      <c r="V250" s="90" t="n">
        <v>26.31</v>
      </c>
      <c r="W250" s="89">
        <f>U250/V250</f>
        <v/>
      </c>
      <c r="X250" s="89">
        <f>(W250/U250)*100</f>
        <v/>
      </c>
      <c r="Y250" s="90" t="n">
        <v>9552.799999999999</v>
      </c>
      <c r="Z250" s="90" t="n">
        <v>19.18</v>
      </c>
      <c r="AA250" s="89">
        <f>Y250/Z250</f>
        <v/>
      </c>
      <c r="AB250" s="89">
        <f>(AA250/Y250)*100</f>
        <v/>
      </c>
    </row>
    <row r="251">
      <c r="A251" s="92" t="n">
        <v>250</v>
      </c>
      <c r="B251" s="99" t="n">
        <v>44929</v>
      </c>
      <c r="C251" s="103" t="n">
        <v>28548825.78</v>
      </c>
      <c r="D251" s="98">
        <f>C251/E251</f>
        <v/>
      </c>
      <c r="E251" s="98" t="n">
        <v>82.77</v>
      </c>
      <c r="F251" s="98">
        <f>D251/100000</f>
        <v/>
      </c>
      <c r="G251" s="97">
        <f>(F251/DataSheet!$C$10*100)</f>
        <v/>
      </c>
      <c r="H251" s="98">
        <f>K251/I251</f>
        <v/>
      </c>
      <c r="I251" s="98">
        <f>(J251/L251)*100</f>
        <v/>
      </c>
      <c r="J251" s="97">
        <f>L251/O251</f>
        <v/>
      </c>
      <c r="K251" s="98" t="n">
        <v>7.32</v>
      </c>
      <c r="L251" s="98" t="n">
        <v>18232.55</v>
      </c>
      <c r="M251" s="98" t="n">
        <v>4.28</v>
      </c>
      <c r="N251" s="98">
        <f>K251-I251</f>
        <v/>
      </c>
      <c r="O251" s="98" t="n">
        <v>21.94</v>
      </c>
      <c r="P251" s="98" t="n">
        <v>3.75</v>
      </c>
      <c r="Q251" s="98">
        <f>K251-P251</f>
        <v/>
      </c>
      <c r="R251" s="98" t="n">
        <v>104.31</v>
      </c>
      <c r="S251" s="97">
        <f>(O251*T251)</f>
        <v/>
      </c>
      <c r="T251" s="79" t="n">
        <v>6.3</v>
      </c>
      <c r="U251" s="80" t="n">
        <v>11994.4</v>
      </c>
      <c r="V251" s="80" t="n">
        <v>26.36</v>
      </c>
      <c r="W251" s="97">
        <f>U251/V251</f>
        <v/>
      </c>
      <c r="X251" s="97">
        <f>(W251/U251)*100</f>
        <v/>
      </c>
      <c r="Y251" s="80" t="n">
        <v>9566.549999999999</v>
      </c>
      <c r="Z251" s="80" t="n">
        <v>19.21</v>
      </c>
      <c r="AA251" s="97">
        <f>Y251/Z251</f>
        <v/>
      </c>
      <c r="AB251" s="97">
        <f>(AA251/Y251)*100</f>
        <v/>
      </c>
    </row>
    <row r="252">
      <c r="A252" s="92" t="n">
        <v>251</v>
      </c>
      <c r="B252" s="99" t="n">
        <v>44930</v>
      </c>
      <c r="C252" s="103" t="n">
        <v>28257665.92</v>
      </c>
      <c r="D252" s="98">
        <f>C252/E252</f>
        <v/>
      </c>
      <c r="E252" s="98" t="n">
        <v>82.64</v>
      </c>
      <c r="F252" s="98">
        <f>D252/100000</f>
        <v/>
      </c>
      <c r="G252" s="97">
        <f>(F252/DataSheet!$C$10*100)</f>
        <v/>
      </c>
      <c r="H252" s="98">
        <f>K252/I252</f>
        <v/>
      </c>
      <c r="I252" s="98">
        <f>(J252/L252)*100</f>
        <v/>
      </c>
      <c r="J252" s="97">
        <f>L252/O252</f>
        <v/>
      </c>
      <c r="K252" s="98" t="n">
        <v>7.32</v>
      </c>
      <c r="L252" s="98" t="n">
        <v>18042.95</v>
      </c>
      <c r="M252" s="98" t="n">
        <v>4.23</v>
      </c>
      <c r="N252" s="98">
        <f>K252-I252</f>
        <v/>
      </c>
      <c r="O252" s="98" t="n">
        <v>21.71</v>
      </c>
      <c r="P252" s="98" t="n">
        <v>3.69</v>
      </c>
      <c r="Q252" s="98">
        <f>K252-P252</f>
        <v/>
      </c>
      <c r="R252" s="98" t="n">
        <v>104.02</v>
      </c>
      <c r="S252" s="97">
        <f>(O252*T252)</f>
        <v/>
      </c>
      <c r="T252" s="79" t="n">
        <v>6.36</v>
      </c>
      <c r="U252" s="80" t="n">
        <v>11886.95</v>
      </c>
      <c r="V252" s="80" t="n">
        <v>26.12</v>
      </c>
      <c r="W252" s="97">
        <f>U252/V252</f>
        <v/>
      </c>
      <c r="X252" s="97">
        <f>(W252/U252)*100</f>
        <v/>
      </c>
      <c r="Y252" s="80" t="n">
        <v>9480.9</v>
      </c>
      <c r="Z252" s="80" t="n">
        <v>19.04</v>
      </c>
      <c r="AA252" s="97">
        <f>Y252/Z252</f>
        <v/>
      </c>
      <c r="AB252" s="97">
        <f>(AA252/Y252)*100</f>
        <v/>
      </c>
    </row>
    <row r="253">
      <c r="A253" s="92" t="n">
        <v>252</v>
      </c>
      <c r="B253" s="99" t="n">
        <v>44931</v>
      </c>
      <c r="C253" s="103" t="n">
        <v>28279705.52</v>
      </c>
      <c r="D253" s="98">
        <f>C253/E253</f>
        <v/>
      </c>
      <c r="E253" s="98" t="n">
        <v>82.56</v>
      </c>
      <c r="F253" s="98">
        <f>D253/100000</f>
        <v/>
      </c>
      <c r="G253" s="97">
        <f>(F253/DataSheet!$C$10*100)</f>
        <v/>
      </c>
      <c r="H253" s="98">
        <f>K253/I253</f>
        <v/>
      </c>
      <c r="I253" s="98">
        <f>(J253/L253)*100</f>
        <v/>
      </c>
      <c r="J253" s="97">
        <f>L253/O253</f>
        <v/>
      </c>
      <c r="K253" s="98" t="n">
        <v>7.32</v>
      </c>
      <c r="L253" s="98" t="n">
        <v>17992.15</v>
      </c>
      <c r="M253" s="98" t="n">
        <v>4.22</v>
      </c>
      <c r="N253" s="98">
        <f>K253-I253</f>
        <v/>
      </c>
      <c r="O253" s="98" t="n">
        <v>21.65</v>
      </c>
      <c r="P253" s="98" t="n">
        <v>3.72</v>
      </c>
      <c r="Q253" s="98">
        <f>K253-P253</f>
        <v/>
      </c>
      <c r="R253" s="98" t="n">
        <v>104.82</v>
      </c>
      <c r="S253" s="97">
        <f>(O253*T253)</f>
        <v/>
      </c>
      <c r="T253" s="79" t="n">
        <v>6.37</v>
      </c>
      <c r="U253" s="80" t="n">
        <v>11932.85</v>
      </c>
      <c r="V253" s="80" t="n">
        <v>26.22</v>
      </c>
      <c r="W253" s="97">
        <f>U253/V253</f>
        <v/>
      </c>
      <c r="X253" s="97">
        <f>(W253/U253)*100</f>
        <v/>
      </c>
      <c r="Y253" s="80" t="n">
        <v>9479.5</v>
      </c>
      <c r="Z253" s="80" t="n">
        <v>19.03</v>
      </c>
      <c r="AA253" s="97">
        <f>Y253/Z253</f>
        <v/>
      </c>
      <c r="AB253" s="97">
        <f>(AA253/Y253)*100</f>
        <v/>
      </c>
    </row>
    <row r="254">
      <c r="A254" s="92" t="n">
        <v>253</v>
      </c>
      <c r="B254" s="99" t="n">
        <v>44932</v>
      </c>
      <c r="C254" s="103" t="n">
        <v>28057696.47</v>
      </c>
      <c r="D254" s="98">
        <f>C254/E254</f>
        <v/>
      </c>
      <c r="E254" s="98" t="n">
        <v>82.27</v>
      </c>
      <c r="F254" s="98">
        <f>D254/100000</f>
        <v/>
      </c>
      <c r="G254" s="97">
        <f>(F254/DataSheet!$C$10*100)</f>
        <v/>
      </c>
      <c r="H254" s="98">
        <f>K254/I254</f>
        <v/>
      </c>
      <c r="I254" s="98">
        <f>(J254/L254)*100</f>
        <v/>
      </c>
      <c r="J254" s="97">
        <f>L254/O254</f>
        <v/>
      </c>
      <c r="K254" s="98" t="n">
        <v>7.37</v>
      </c>
      <c r="L254" s="98" t="n">
        <v>17859.45</v>
      </c>
      <c r="M254" s="98" t="n">
        <v>4.19</v>
      </c>
      <c r="N254" s="98">
        <f>K254-I254</f>
        <v/>
      </c>
      <c r="O254" s="98" t="n">
        <v>21.49</v>
      </c>
      <c r="P254" s="98" t="n">
        <v>3.56</v>
      </c>
      <c r="Q254" s="98">
        <f>K254-P254</f>
        <v/>
      </c>
      <c r="R254" s="98" t="n">
        <v>103.64</v>
      </c>
      <c r="S254" s="97">
        <f>(O254*T254)</f>
        <v/>
      </c>
      <c r="T254" s="79" t="n">
        <v>6.37</v>
      </c>
      <c r="U254" s="80" t="n">
        <v>11850.6</v>
      </c>
      <c r="V254" s="80" t="n">
        <v>26.04</v>
      </c>
      <c r="W254" s="97">
        <f>U254/V254</f>
        <v/>
      </c>
      <c r="X254" s="97">
        <f>(W254/U254)*100</f>
        <v/>
      </c>
      <c r="Y254" s="80" t="n">
        <v>9406.75</v>
      </c>
      <c r="Z254" s="80" t="n">
        <v>18.89</v>
      </c>
      <c r="AA254" s="97">
        <f>Y254/Z254</f>
        <v/>
      </c>
      <c r="AB254" s="97">
        <f>(AA254/Y254)*100</f>
        <v/>
      </c>
    </row>
    <row r="255">
      <c r="A255" s="92" t="n">
        <v>254</v>
      </c>
      <c r="B255" s="102" t="n">
        <v>44935</v>
      </c>
      <c r="C255" s="103" t="n">
        <v>28374278.26</v>
      </c>
      <c r="D255" s="98">
        <f>C255/E255</f>
        <v/>
      </c>
      <c r="E255" s="98" t="n">
        <v>82.17</v>
      </c>
      <c r="F255" s="98">
        <f>D255/100000</f>
        <v/>
      </c>
      <c r="G255" s="97">
        <f>(F255/DataSheet!$C$10*100)</f>
        <v/>
      </c>
      <c r="H255" s="98">
        <f>K255/I255</f>
        <v/>
      </c>
      <c r="I255" s="98">
        <f>(J255/L255)*100</f>
        <v/>
      </c>
      <c r="J255" s="97">
        <f>L255/O255</f>
        <v/>
      </c>
      <c r="K255" s="98" t="n">
        <v>7.34</v>
      </c>
      <c r="L255" s="98" t="n">
        <v>18101.2</v>
      </c>
      <c r="M255" s="98" t="n">
        <v>4.25</v>
      </c>
      <c r="N255" s="98">
        <f>K255-I255</f>
        <v/>
      </c>
      <c r="O255" s="98" t="n">
        <v>21.78</v>
      </c>
      <c r="P255" s="98" t="n">
        <v>3.52</v>
      </c>
      <c r="Q255" s="98">
        <f>K255-P255</f>
        <v/>
      </c>
      <c r="R255" s="98" t="n">
        <v>102.73</v>
      </c>
      <c r="S255" s="97">
        <f>(O255*T255)</f>
        <v/>
      </c>
      <c r="T255" s="79" t="n">
        <v>6.38</v>
      </c>
      <c r="U255" s="80" t="n">
        <v>11948.9</v>
      </c>
      <c r="V255" s="80" t="n">
        <v>26.26</v>
      </c>
      <c r="W255" s="97">
        <f>U255/V255</f>
        <v/>
      </c>
      <c r="X255" s="97">
        <f>(W255/U255)*100</f>
        <v/>
      </c>
      <c r="Y255" s="80" t="n">
        <v>9444.15</v>
      </c>
      <c r="Z255" s="80" t="n">
        <v>18.96</v>
      </c>
      <c r="AA255" s="97">
        <f>Y255/Z255</f>
        <v/>
      </c>
      <c r="AB255" s="97">
        <f>(AA255/Y255)*100</f>
        <v/>
      </c>
    </row>
    <row r="256">
      <c r="A256" s="92" t="n">
        <v>255</v>
      </c>
      <c r="B256" s="102" t="n">
        <v>44936</v>
      </c>
      <c r="C256" s="103" t="n">
        <v>28164222.44</v>
      </c>
      <c r="D256" s="98">
        <f>C256/E256</f>
        <v/>
      </c>
      <c r="E256" s="98" t="n">
        <v>81.59999999999999</v>
      </c>
      <c r="F256" s="98">
        <f>D256/100000</f>
        <v/>
      </c>
      <c r="G256" s="97">
        <f>(F256/DataSheet!$C$10*100)</f>
        <v/>
      </c>
      <c r="H256" s="98">
        <f>K256/I256</f>
        <v/>
      </c>
      <c r="I256" s="98">
        <f>(J256/L256)*100</f>
        <v/>
      </c>
      <c r="J256" s="97">
        <f>L256/O256</f>
        <v/>
      </c>
      <c r="K256" s="98" t="n">
        <v>7.31</v>
      </c>
      <c r="L256" s="98" t="n">
        <v>17914.15</v>
      </c>
      <c r="M256" s="98" t="n">
        <v>4.2</v>
      </c>
      <c r="N256" s="98">
        <f>K256-I256</f>
        <v/>
      </c>
      <c r="O256" s="98" t="n">
        <v>21.56</v>
      </c>
      <c r="P256" s="98" t="n">
        <v>3.61</v>
      </c>
      <c r="Q256" s="98">
        <f>K256-P256</f>
        <v/>
      </c>
      <c r="R256" s="98" t="n">
        <v>102.98</v>
      </c>
      <c r="S256" s="97">
        <f>(O256*T256)</f>
        <v/>
      </c>
      <c r="T256" s="79" t="n">
        <v>6.38</v>
      </c>
      <c r="U256" s="80" t="n">
        <v>11899.55</v>
      </c>
      <c r="V256" s="80" t="n">
        <v>26.15</v>
      </c>
      <c r="W256" s="97">
        <f>U256/V256</f>
        <v/>
      </c>
      <c r="X256" s="97">
        <f>(W256/U256)*100</f>
        <v/>
      </c>
      <c r="Y256" s="80" t="n">
        <v>9398</v>
      </c>
      <c r="Z256" s="80" t="n">
        <v>18.87</v>
      </c>
      <c r="AA256" s="97">
        <f>Y256/Z256</f>
        <v/>
      </c>
      <c r="AB256" s="97">
        <f>(AA256/Y256)*100</f>
        <v/>
      </c>
    </row>
    <row r="257">
      <c r="A257" s="92" t="n">
        <v>256</v>
      </c>
      <c r="B257" s="102" t="n">
        <v>44937</v>
      </c>
      <c r="C257" s="103" t="n">
        <v>28116864.29</v>
      </c>
      <c r="D257" s="98">
        <f>C257/E257</f>
        <v/>
      </c>
      <c r="E257" s="98" t="n">
        <v>81.63</v>
      </c>
      <c r="F257" s="98">
        <f>D257/100000</f>
        <v/>
      </c>
      <c r="G257" s="97">
        <f>(F257/DataSheet!$C$10*100)</f>
        <v/>
      </c>
      <c r="H257" s="98">
        <f>K257/I257</f>
        <v/>
      </c>
      <c r="I257" s="98">
        <f>(J257/L257)*100</f>
        <v/>
      </c>
      <c r="J257" s="97">
        <f>L257/O257</f>
        <v/>
      </c>
      <c r="K257" s="98" t="n">
        <v>7.29</v>
      </c>
      <c r="L257" s="98" t="n">
        <v>17895.7</v>
      </c>
      <c r="M257" s="98" t="n">
        <v>4.2</v>
      </c>
      <c r="N257" s="98">
        <f>K257-I257</f>
        <v/>
      </c>
      <c r="O257" s="98" t="n">
        <v>21.52</v>
      </c>
      <c r="P257" s="98" t="n">
        <v>3.54</v>
      </c>
      <c r="Q257" s="98">
        <f>K257-P257</f>
        <v/>
      </c>
      <c r="R257" s="98" t="n">
        <v>102.92</v>
      </c>
      <c r="S257" s="97">
        <f>(O257*T257)</f>
        <v/>
      </c>
      <c r="T257" s="79" t="n">
        <v>6.4</v>
      </c>
      <c r="U257" s="80" t="n">
        <v>11862.85</v>
      </c>
      <c r="V257" s="80" t="n">
        <v>26.07</v>
      </c>
      <c r="W257" s="97">
        <f>U257/V257</f>
        <v/>
      </c>
      <c r="X257" s="97">
        <f>(W257/U257)*100</f>
        <v/>
      </c>
      <c r="Y257" s="80" t="n">
        <v>9403.200000000001</v>
      </c>
      <c r="Z257" s="80" t="n">
        <v>18.88</v>
      </c>
      <c r="AA257" s="97">
        <f>Y257/Z257</f>
        <v/>
      </c>
      <c r="AB257" s="97">
        <f>(AA257/Y257)*100</f>
        <v/>
      </c>
    </row>
    <row r="258">
      <c r="A258" s="92" t="n">
        <v>257</v>
      </c>
      <c r="B258" s="102" t="n">
        <v>44938</v>
      </c>
      <c r="C258" s="103" t="n">
        <v>28079394.95</v>
      </c>
      <c r="D258" s="98">
        <f>C258/E258</f>
        <v/>
      </c>
      <c r="E258" s="98" t="n">
        <v>81.09999999999999</v>
      </c>
      <c r="F258" s="98">
        <f>D258/100000</f>
        <v/>
      </c>
      <c r="G258" s="97">
        <f>(F258/DataSheet!$C$10*100)</f>
        <v/>
      </c>
      <c r="H258" s="98">
        <f>K258/I258</f>
        <v/>
      </c>
      <c r="I258" s="98">
        <f>(J258/L258)*100</f>
        <v/>
      </c>
      <c r="J258" s="97">
        <f>L258/O258</f>
        <v/>
      </c>
      <c r="K258" s="98" t="n">
        <v>7.28</v>
      </c>
      <c r="L258" s="98" t="n">
        <v>17858.2</v>
      </c>
      <c r="M258" s="98" t="n">
        <v>4.19</v>
      </c>
      <c r="N258" s="98">
        <f>K258-I258</f>
        <v/>
      </c>
      <c r="O258" s="98" t="n">
        <v>21.47</v>
      </c>
      <c r="P258" s="98" t="n">
        <v>3.44</v>
      </c>
      <c r="Q258" s="98">
        <f>K258-P258</f>
        <v/>
      </c>
      <c r="R258" s="98" t="n">
        <v>101.99</v>
      </c>
      <c r="S258" s="97">
        <f>(O258*T258)</f>
        <v/>
      </c>
      <c r="T258" s="79" t="n">
        <v>6.42</v>
      </c>
      <c r="U258" s="80" t="n">
        <v>11836.4</v>
      </c>
      <c r="V258" s="80" t="n">
        <v>26.01</v>
      </c>
      <c r="W258" s="97">
        <f>U258/V258</f>
        <v/>
      </c>
      <c r="X258" s="97">
        <f>(W258/U258)*100</f>
        <v/>
      </c>
      <c r="Y258" s="80" t="n">
        <v>9409.4</v>
      </c>
      <c r="Z258" s="80" t="n">
        <v>18.89</v>
      </c>
      <c r="AA258" s="97">
        <f>Y258/Z258</f>
        <v/>
      </c>
      <c r="AB258" s="97">
        <f>(AA258/Y258)*100</f>
        <v/>
      </c>
    </row>
    <row r="259">
      <c r="A259" s="92" t="n">
        <v>258</v>
      </c>
      <c r="B259" s="102" t="n">
        <v>44939</v>
      </c>
      <c r="C259" s="103" t="n">
        <v>28213564.25</v>
      </c>
      <c r="D259" s="98">
        <f>C259/E259</f>
        <v/>
      </c>
      <c r="E259" s="98" t="n">
        <v>81.28</v>
      </c>
      <c r="F259" s="98">
        <f>D259/100000</f>
        <v/>
      </c>
      <c r="G259" s="97">
        <f>(F259/DataSheet!$C$10*100)</f>
        <v/>
      </c>
      <c r="H259" s="98">
        <f>K259/I259</f>
        <v/>
      </c>
      <c r="I259" s="98">
        <f>(J259/L259)*100</f>
        <v/>
      </c>
      <c r="J259" s="97">
        <f>L259/O259</f>
        <v/>
      </c>
      <c r="K259" s="98" t="n">
        <v>7.29</v>
      </c>
      <c r="L259" s="98" t="n">
        <v>17956.6</v>
      </c>
      <c r="M259" s="98" t="n">
        <v>4.21</v>
      </c>
      <c r="N259" s="98">
        <f>K259-I259</f>
        <v/>
      </c>
      <c r="O259" s="98" t="n">
        <v>21.54</v>
      </c>
      <c r="P259" s="98" t="n">
        <v>3.49</v>
      </c>
      <c r="Q259" s="98">
        <f>K259-P259</f>
        <v/>
      </c>
      <c r="R259" s="98" t="n">
        <v>101.94</v>
      </c>
      <c r="S259" s="97">
        <f>(O259*T259)</f>
        <v/>
      </c>
      <c r="T259" s="79" t="n">
        <v>6.42</v>
      </c>
      <c r="U259" s="80" t="n">
        <v>11830.4</v>
      </c>
      <c r="V259" s="80" t="n">
        <v>26</v>
      </c>
      <c r="W259" s="97">
        <f>U259/V259</f>
        <v/>
      </c>
      <c r="X259" s="97">
        <f>(W259/U259)*100</f>
        <v/>
      </c>
      <c r="Y259" s="80" t="n">
        <v>9436.25</v>
      </c>
      <c r="Z259" s="80" t="n">
        <v>18.94</v>
      </c>
      <c r="AA259" s="97">
        <f>Y259/Z259</f>
        <v/>
      </c>
      <c r="AB259" s="97">
        <f>(AA259/Y259)*100</f>
        <v/>
      </c>
    </row>
    <row r="260">
      <c r="A260" s="92" t="n">
        <v>259</v>
      </c>
      <c r="B260" s="102" t="n">
        <v>44942</v>
      </c>
      <c r="C260" s="103" t="n">
        <v>28147293.2</v>
      </c>
      <c r="D260" s="98">
        <f>C260/E260</f>
        <v/>
      </c>
      <c r="E260" s="98" t="n">
        <v>81.62</v>
      </c>
      <c r="F260" s="98">
        <f>D260/100000</f>
        <v/>
      </c>
      <c r="G260" s="97">
        <f>(F260/DataSheet!$C$10*100)</f>
        <v/>
      </c>
      <c r="H260" s="98">
        <f>K260/I260</f>
        <v/>
      </c>
      <c r="I260" s="98">
        <f>(J260/L260)*100</f>
        <v/>
      </c>
      <c r="J260" s="97">
        <f>L260/O260</f>
        <v/>
      </c>
      <c r="K260" s="98" t="n">
        <v>7.32</v>
      </c>
      <c r="L260" s="98" t="n">
        <v>17894.85</v>
      </c>
      <c r="M260" s="98" t="n">
        <v>4.19</v>
      </c>
      <c r="N260" s="98">
        <f>K260-I260</f>
        <v/>
      </c>
      <c r="O260" s="98" t="n">
        <v>21.34</v>
      </c>
      <c r="P260" s="98" t="n">
        <v>3.52</v>
      </c>
      <c r="Q260" s="98">
        <f>K260-P260</f>
        <v/>
      </c>
      <c r="R260" s="98" t="n">
        <v>101.94</v>
      </c>
      <c r="S260" s="97">
        <f>(O260*T260)</f>
        <v/>
      </c>
      <c r="T260" s="79" t="n">
        <v>6.43</v>
      </c>
      <c r="U260" s="80" t="n">
        <v>11800.3</v>
      </c>
      <c r="V260" s="80" t="n">
        <v>26.16</v>
      </c>
      <c r="W260" s="97">
        <f>U260/V260</f>
        <v/>
      </c>
      <c r="X260" s="97">
        <f>(W260/U260)*100</f>
        <v/>
      </c>
      <c r="Y260" s="80" t="n">
        <v>9431.25</v>
      </c>
      <c r="Z260" s="80" t="n">
        <v>18.93</v>
      </c>
      <c r="AA260" s="97">
        <f>Y260/Z260</f>
        <v/>
      </c>
      <c r="AB260" s="97">
        <f>(AA260/Y260)*100</f>
        <v/>
      </c>
    </row>
    <row r="261">
      <c r="A261" s="92" t="n">
        <v>260</v>
      </c>
      <c r="B261" s="102" t="n">
        <v>44943</v>
      </c>
      <c r="C261" s="103" t="n">
        <v>28272804.64</v>
      </c>
      <c r="D261" s="98">
        <f>C261/E261</f>
        <v/>
      </c>
      <c r="E261" s="98" t="n">
        <v>81.63</v>
      </c>
      <c r="F261" s="98">
        <f>D261/100000</f>
        <v/>
      </c>
      <c r="G261" s="97">
        <f>(F261/DataSheet!$C$10*100)</f>
        <v/>
      </c>
      <c r="H261" s="98">
        <f>K261/I261</f>
        <v/>
      </c>
      <c r="I261" s="98">
        <f>(J261/L261)*100</f>
        <v/>
      </c>
      <c r="J261" s="97">
        <f>L261/O261</f>
        <v/>
      </c>
      <c r="K261" s="98" t="n">
        <v>7.33</v>
      </c>
      <c r="L261" s="98" t="n">
        <v>18053.3</v>
      </c>
      <c r="M261" s="98" t="n">
        <v>4.23</v>
      </c>
      <c r="N261" s="98">
        <f>K261-I261</f>
        <v/>
      </c>
      <c r="O261" s="98" t="n">
        <v>21.53</v>
      </c>
      <c r="P261" s="98" t="n">
        <v>3.54</v>
      </c>
      <c r="Q261" s="98">
        <f>K261-P261</f>
        <v/>
      </c>
      <c r="R261" s="98" t="n">
        <v>102.14</v>
      </c>
      <c r="S261" s="97">
        <f>(O261*T261)</f>
        <v/>
      </c>
      <c r="T261" s="79" t="n">
        <v>6.43</v>
      </c>
      <c r="U261" s="80" t="n">
        <v>11793.6</v>
      </c>
      <c r="V261" s="80" t="n">
        <v>26.03</v>
      </c>
      <c r="W261" s="97">
        <f>U261/V261</f>
        <v/>
      </c>
      <c r="X261" s="97">
        <f>(W261/U261)*100</f>
        <v/>
      </c>
      <c r="Y261" s="80" t="n">
        <v>9417.950000000001</v>
      </c>
      <c r="Z261" s="80" t="n">
        <v>18.87</v>
      </c>
      <c r="AA261" s="97">
        <f>Y261/Z261</f>
        <v/>
      </c>
      <c r="AB261" s="97">
        <f>(AA261/Y261)*100</f>
        <v/>
      </c>
    </row>
    <row r="262">
      <c r="A262" s="92" t="n">
        <v>261</v>
      </c>
      <c r="B262" s="102" t="n">
        <v>44944</v>
      </c>
      <c r="C262" s="103" t="n">
        <v>28363289.33</v>
      </c>
      <c r="D262" s="98">
        <f>C262/E262</f>
        <v/>
      </c>
      <c r="E262" s="98" t="n">
        <v>81.44</v>
      </c>
      <c r="F262" s="98">
        <f>D262/100000</f>
        <v/>
      </c>
      <c r="G262" s="97">
        <f>(F262/DataSheet!$C$10*100)</f>
        <v/>
      </c>
      <c r="H262" s="98">
        <f>K262/I262</f>
        <v/>
      </c>
      <c r="I262" s="98">
        <f>(J262/L262)*100</f>
        <v/>
      </c>
      <c r="J262" s="97">
        <f>L262/O262</f>
        <v/>
      </c>
      <c r="K262" s="98" t="n">
        <v>7.32</v>
      </c>
      <c r="L262" s="98" t="n">
        <v>18165.35</v>
      </c>
      <c r="M262" s="98" t="n">
        <v>4.26</v>
      </c>
      <c r="N262" s="98">
        <f>K262-I262</f>
        <v/>
      </c>
      <c r="O262" s="98" t="n">
        <v>21.67</v>
      </c>
      <c r="P262" s="98" t="n">
        <v>3.37</v>
      </c>
      <c r="Q262" s="98">
        <f>K262-P262</f>
        <v/>
      </c>
      <c r="R262" s="98" t="n">
        <v>102.1</v>
      </c>
      <c r="S262" s="97">
        <f>(O262*T262)</f>
        <v/>
      </c>
      <c r="T262" s="79" t="n">
        <v>6.46</v>
      </c>
      <c r="U262" s="80" t="n">
        <v>11843.7</v>
      </c>
      <c r="V262" s="80" t="n">
        <v>26.14</v>
      </c>
      <c r="W262" s="97">
        <f>U262/V262</f>
        <v/>
      </c>
      <c r="X262" s="97">
        <f>(W262/U262)*100</f>
        <v/>
      </c>
      <c r="Y262" s="80" t="n">
        <v>9424.049999999999</v>
      </c>
      <c r="Z262" s="80" t="n">
        <v>18.95</v>
      </c>
      <c r="AA262" s="97">
        <f>Y262/Z262</f>
        <v/>
      </c>
      <c r="AB262" s="97">
        <f>(AA262/Y262)*100</f>
        <v/>
      </c>
    </row>
    <row r="263">
      <c r="A263" s="92" t="n">
        <v>262</v>
      </c>
      <c r="B263" s="102" t="n">
        <v>44945</v>
      </c>
      <c r="C263" s="103" t="n">
        <v>28269497.64</v>
      </c>
      <c r="D263" s="98">
        <f>C263/E263</f>
        <v/>
      </c>
      <c r="E263" s="98" t="n">
        <v>81.23999999999999</v>
      </c>
      <c r="F263" s="98">
        <f>D263/100000</f>
        <v/>
      </c>
      <c r="G263" s="97">
        <f>(F263/DataSheet!$C$10*100)</f>
        <v/>
      </c>
      <c r="H263" s="98">
        <f>K263/I263</f>
        <v/>
      </c>
      <c r="I263" s="98">
        <f>(J263/L263)*100</f>
        <v/>
      </c>
      <c r="J263" s="97">
        <f>L263/O263</f>
        <v/>
      </c>
      <c r="K263" s="98" t="n">
        <v>7.31</v>
      </c>
      <c r="L263" s="98" t="n">
        <v>18107.85</v>
      </c>
      <c r="M263" s="98" t="n">
        <v>4.24</v>
      </c>
      <c r="N263" s="98">
        <f>K263-I263</f>
        <v/>
      </c>
      <c r="O263" s="98" t="n">
        <v>21.56</v>
      </c>
      <c r="P263" s="98" t="n">
        <v>3.39</v>
      </c>
      <c r="Q263" s="98">
        <f>K263-P263</f>
        <v/>
      </c>
      <c r="R263" s="98" t="n">
        <v>101.83</v>
      </c>
      <c r="S263" s="97">
        <f>(O263*T263)</f>
        <v/>
      </c>
      <c r="T263" s="79" t="n">
        <v>6.43</v>
      </c>
      <c r="U263" s="80" t="n">
        <v>11832.35</v>
      </c>
      <c r="V263" s="80" t="n">
        <v>26.1</v>
      </c>
      <c r="W263" s="97">
        <f>U263/V263</f>
        <v/>
      </c>
      <c r="X263" s="97">
        <f>(W263/U263)*100</f>
        <v/>
      </c>
      <c r="Y263" s="80" t="n">
        <v>9396.9</v>
      </c>
      <c r="Z263" s="80" t="n">
        <v>18.91</v>
      </c>
      <c r="AA263" s="97">
        <f>Y263/Z263</f>
        <v/>
      </c>
      <c r="AB263" s="97">
        <f>(AA263/Y263)*100</f>
        <v/>
      </c>
    </row>
    <row r="264">
      <c r="A264" s="92" t="n">
        <v>263</v>
      </c>
      <c r="B264" s="102" t="n">
        <v>44946</v>
      </c>
      <c r="C264" s="103" t="n">
        <v>28114163.94</v>
      </c>
      <c r="D264" s="98">
        <f>C264/E264</f>
        <v/>
      </c>
      <c r="E264" s="98" t="n">
        <v>80.97</v>
      </c>
      <c r="F264" s="98">
        <f>D264/100000</f>
        <v/>
      </c>
      <c r="G264" s="97">
        <f>(F264/DataSheet!$C$10*100)</f>
        <v/>
      </c>
      <c r="H264" s="98">
        <f>K264/I264</f>
        <v/>
      </c>
      <c r="I264" s="98">
        <f>(J264/L264)*100</f>
        <v/>
      </c>
      <c r="J264" s="97">
        <f>L264/O264</f>
        <v/>
      </c>
      <c r="K264" s="98" t="n">
        <v>7.34</v>
      </c>
      <c r="L264" s="98" t="n">
        <v>18027.65</v>
      </c>
      <c r="M264" s="98" t="n">
        <v>4.23</v>
      </c>
      <c r="N264" s="98">
        <f>K264-I264</f>
        <v/>
      </c>
      <c r="O264" s="98" t="n">
        <v>21.46</v>
      </c>
      <c r="P264" s="98" t="n">
        <v>3.48</v>
      </c>
      <c r="Q264" s="98">
        <f>K264-P264</f>
        <v/>
      </c>
      <c r="R264" s="98" t="n">
        <v>101.78</v>
      </c>
      <c r="S264" s="97">
        <f>(O264*T264)</f>
        <v/>
      </c>
      <c r="T264" s="79" t="n">
        <v>6.45</v>
      </c>
      <c r="U264" s="80" t="n">
        <v>11748.95</v>
      </c>
      <c r="V264" s="80" t="n">
        <v>25.89</v>
      </c>
      <c r="W264" s="97">
        <f>U264/V264</f>
        <v/>
      </c>
      <c r="X264" s="97">
        <f>(W264/U264)*100</f>
        <v/>
      </c>
      <c r="Y264" s="80" t="n">
        <v>9344.950000000001</v>
      </c>
      <c r="Z264" s="80" t="n">
        <v>18.75</v>
      </c>
      <c r="AA264" s="97">
        <f>Y264/Z264</f>
        <v/>
      </c>
      <c r="AB264" s="97">
        <f>(AA264/Y264)*100</f>
        <v/>
      </c>
    </row>
    <row r="265">
      <c r="A265" s="92" t="n">
        <v>264</v>
      </c>
      <c r="B265" s="99" t="n">
        <v>44949</v>
      </c>
      <c r="C265" s="101" t="n">
        <v>28167739.33</v>
      </c>
      <c r="D265" s="97">
        <f>C265/E265</f>
        <v/>
      </c>
      <c r="E265" s="97" t="n">
        <v>81.47</v>
      </c>
      <c r="F265" s="97">
        <f>D265/100000</f>
        <v/>
      </c>
      <c r="G265" s="97">
        <f>(F265/DataSheet!$C$10*100)</f>
        <v/>
      </c>
      <c r="H265" s="97">
        <f>K265/I265</f>
        <v/>
      </c>
      <c r="I265" s="98">
        <f>(J265/L265)*100</f>
        <v/>
      </c>
      <c r="J265" s="97">
        <f>L265/O265</f>
        <v/>
      </c>
      <c r="K265" s="97" t="n">
        <v>7.35</v>
      </c>
      <c r="L265" s="97" t="n">
        <v>18118.55</v>
      </c>
      <c r="M265" s="97" t="n">
        <v>4.25</v>
      </c>
      <c r="N265" s="98">
        <f>K265-I265</f>
        <v/>
      </c>
      <c r="O265" s="97" t="n">
        <v>21.6</v>
      </c>
      <c r="P265" s="97" t="n">
        <v>3.52</v>
      </c>
      <c r="Q265" s="98">
        <f>K265-P265</f>
        <v/>
      </c>
      <c r="R265" s="97" t="n">
        <v>101.91</v>
      </c>
      <c r="S265" s="97">
        <f>(O265*T265)</f>
        <v/>
      </c>
      <c r="T265" s="79" t="n">
        <v>6.43</v>
      </c>
      <c r="U265" s="80" t="n">
        <v>11771.05</v>
      </c>
      <c r="V265" s="80" t="n">
        <v>25.84</v>
      </c>
      <c r="W265" s="97">
        <f>U265/V265</f>
        <v/>
      </c>
      <c r="X265" s="97">
        <f>(W265/U265)*100</f>
        <v/>
      </c>
      <c r="Y265" s="80" t="n">
        <v>9331.9</v>
      </c>
      <c r="Z265" s="80" t="n">
        <v>18.7</v>
      </c>
      <c r="AA265" s="97">
        <f>Y265/Z265</f>
        <v/>
      </c>
      <c r="AB265" s="97">
        <f>(AA265/Y265)*100</f>
        <v/>
      </c>
    </row>
    <row r="266">
      <c r="A266" s="92" t="n">
        <v>265</v>
      </c>
      <c r="B266" s="99" t="n">
        <v>44950</v>
      </c>
      <c r="C266" s="101" t="n">
        <v>28128809.69</v>
      </c>
      <c r="D266" s="97">
        <f>C266/E266</f>
        <v/>
      </c>
      <c r="E266" s="97" t="n">
        <v>81.59</v>
      </c>
      <c r="F266" s="97">
        <f>D266/100000</f>
        <v/>
      </c>
      <c r="G266" s="97">
        <f>(F266/DataSheet!$C$10*100)</f>
        <v/>
      </c>
      <c r="H266" s="97">
        <f>K266/I266</f>
        <v/>
      </c>
      <c r="I266" s="98">
        <f>(J266/L266)*100</f>
        <v/>
      </c>
      <c r="J266" s="97">
        <f>L266/O266</f>
        <v/>
      </c>
      <c r="K266" s="97" t="n">
        <v>7.34</v>
      </c>
      <c r="L266" s="97" t="n">
        <v>18118.3</v>
      </c>
      <c r="M266" s="97" t="n">
        <v>4.25</v>
      </c>
      <c r="N266" s="98">
        <f>K266-I266</f>
        <v/>
      </c>
      <c r="O266" s="97" t="n">
        <v>21.49</v>
      </c>
      <c r="P266" s="97" t="n">
        <v>3.45</v>
      </c>
      <c r="Q266" s="98">
        <f>K266-P266</f>
        <v/>
      </c>
      <c r="R266" s="97" t="n">
        <v>101.67</v>
      </c>
      <c r="S266" s="97">
        <f>(O266*T266)</f>
        <v/>
      </c>
      <c r="T266" s="79" t="n">
        <v>6.42</v>
      </c>
      <c r="U266" s="80" t="n">
        <v>11729.9</v>
      </c>
      <c r="V266" s="80" t="n">
        <v>25.55</v>
      </c>
      <c r="W266" s="97">
        <f>U266/V266</f>
        <v/>
      </c>
      <c r="X266" s="97">
        <f>(W266/U266)*100</f>
        <v/>
      </c>
      <c r="Y266" s="80" t="n">
        <v>9294.450000000001</v>
      </c>
      <c r="Z266" s="80" t="n">
        <v>18.58</v>
      </c>
      <c r="AA266" s="97">
        <f>Y266/Z266</f>
        <v/>
      </c>
      <c r="AB266" s="97">
        <f>(AA266/Y266)*100</f>
        <v/>
      </c>
    </row>
    <row r="267">
      <c r="A267" s="92" t="n">
        <v>266</v>
      </c>
      <c r="B267" s="99" t="n">
        <v>44951</v>
      </c>
      <c r="C267" s="103" t="n">
        <v>27733829.37</v>
      </c>
      <c r="D267" s="98">
        <f>C267/E267</f>
        <v/>
      </c>
      <c r="E267" s="98" t="n">
        <v>81.48999999999999</v>
      </c>
      <c r="F267" s="98">
        <f>D267/100000</f>
        <v/>
      </c>
      <c r="G267" s="97">
        <f>(F267/DataSheet!$C$10*100)</f>
        <v/>
      </c>
      <c r="H267" s="98">
        <f>K267/I267</f>
        <v/>
      </c>
      <c r="I267" s="98">
        <f>(J267/L267)*100</f>
        <v/>
      </c>
      <c r="J267" s="97">
        <f>L267/O267</f>
        <v/>
      </c>
      <c r="K267" s="98" t="n">
        <v>7.34</v>
      </c>
      <c r="L267" s="98" t="n">
        <v>17891.95</v>
      </c>
      <c r="M267" s="98" t="n">
        <v>4.19</v>
      </c>
      <c r="N267" s="98">
        <f>K267-I267</f>
        <v/>
      </c>
      <c r="O267" s="98" t="n">
        <v>21.19</v>
      </c>
      <c r="P267" s="98" t="n">
        <v>3.44</v>
      </c>
      <c r="Q267" s="98">
        <f>K267-P267</f>
        <v/>
      </c>
      <c r="R267" s="98" t="n">
        <v>101.41</v>
      </c>
      <c r="S267" s="97">
        <f>(O267*T267)</f>
        <v/>
      </c>
      <c r="T267" s="79" t="n">
        <v>6.45</v>
      </c>
      <c r="U267" s="80" t="n">
        <v>11583.2</v>
      </c>
      <c r="V267" s="80" t="n">
        <v>25.26</v>
      </c>
      <c r="W267" s="97">
        <f>U267/V267</f>
        <v/>
      </c>
      <c r="X267" s="97">
        <f>(W267/U267)*100</f>
        <v/>
      </c>
      <c r="Y267" s="80" t="n">
        <v>9211.9</v>
      </c>
      <c r="Z267" s="80" t="n">
        <v>18.38</v>
      </c>
      <c r="AA267" s="97">
        <f>Y267/Z267</f>
        <v/>
      </c>
      <c r="AB267" s="97">
        <f>(AA267/Y267)*100</f>
        <v/>
      </c>
    </row>
    <row r="268">
      <c r="A268" s="92" t="n">
        <v>267</v>
      </c>
      <c r="B268" s="102" t="n">
        <v>44953</v>
      </c>
      <c r="C268" s="103" t="n">
        <v>27050860.65</v>
      </c>
      <c r="D268" s="98">
        <f>C268/E268</f>
        <v/>
      </c>
      <c r="E268" s="98" t="n">
        <v>81.51000000000001</v>
      </c>
      <c r="F268" s="98">
        <f>D268/100000</f>
        <v/>
      </c>
      <c r="G268" s="97">
        <f>(F268/DataSheet!$C$10*100)</f>
        <v/>
      </c>
      <c r="H268" s="98">
        <f>K268/I268</f>
        <v/>
      </c>
      <c r="I268" s="98">
        <f>(J268/L268)*100</f>
        <v/>
      </c>
      <c r="J268" s="97">
        <f>L268/O268</f>
        <v/>
      </c>
      <c r="K268" s="98" t="n">
        <v>7.38</v>
      </c>
      <c r="L268" s="98" t="n">
        <v>17604.35</v>
      </c>
      <c r="M268" s="98" t="n">
        <v>4.13</v>
      </c>
      <c r="N268" s="98">
        <f>K268-I268</f>
        <v/>
      </c>
      <c r="O268" s="98" t="n">
        <v>20.7</v>
      </c>
      <c r="P268" s="98" t="n">
        <v>3.5</v>
      </c>
      <c r="Q268" s="98">
        <f>K268-P268</f>
        <v/>
      </c>
      <c r="R268" s="98" t="n">
        <v>101.72</v>
      </c>
      <c r="S268" s="97">
        <f>(O268*T268)</f>
        <v/>
      </c>
      <c r="T268" s="79" t="n">
        <v>6.48</v>
      </c>
      <c r="U268" s="80" t="n">
        <v>11439.6</v>
      </c>
      <c r="V268" s="80" t="n">
        <v>24.88</v>
      </c>
      <c r="W268" s="97">
        <f>U268/V268</f>
        <v/>
      </c>
      <c r="X268" s="97">
        <f>(W268/U268)*100</f>
        <v/>
      </c>
      <c r="Y268" s="80" t="n">
        <v>9043.65</v>
      </c>
      <c r="Z268" s="80" t="n">
        <v>18.06</v>
      </c>
      <c r="AA268" s="97">
        <f>Y268/Z268</f>
        <v/>
      </c>
      <c r="AB268" s="97">
        <f>(AA268/Y268)*100</f>
        <v/>
      </c>
    </row>
    <row r="269">
      <c r="A269" s="92" t="n">
        <v>268</v>
      </c>
      <c r="B269" s="102" t="n">
        <v>44956</v>
      </c>
      <c r="C269" s="103" t="n">
        <v>26928726.69</v>
      </c>
      <c r="D269" s="98">
        <f>C269/E269</f>
        <v/>
      </c>
      <c r="E269" s="98" t="n">
        <v>81.52</v>
      </c>
      <c r="F269" s="98">
        <f>D269/100000</f>
        <v/>
      </c>
      <c r="G269" s="97">
        <f>(F269/DataSheet!$C$10*100)</f>
        <v/>
      </c>
      <c r="H269" s="98">
        <f>K269/I269</f>
        <v/>
      </c>
      <c r="I269" s="98">
        <f>(J269/L269)*100</f>
        <v/>
      </c>
      <c r="J269" s="97">
        <f>L269/O269</f>
        <v/>
      </c>
      <c r="K269" s="98" t="n">
        <v>7.4</v>
      </c>
      <c r="L269" s="98" t="n">
        <v>17648.95</v>
      </c>
      <c r="M269" s="98" t="n">
        <v>4.14</v>
      </c>
      <c r="N269" s="98">
        <f>K269-I269</f>
        <v/>
      </c>
      <c r="O269" s="98" t="n">
        <v>20.73</v>
      </c>
      <c r="P269" s="98" t="n">
        <v>3.54</v>
      </c>
      <c r="Q269" s="98">
        <f>K269-P269</f>
        <v/>
      </c>
      <c r="R269" s="98" t="n">
        <v>102.08</v>
      </c>
      <c r="S269" s="97">
        <f>(O269*T269)</f>
        <v/>
      </c>
      <c r="T269" s="79" t="n">
        <v>6.49</v>
      </c>
      <c r="U269" s="80" t="n">
        <v>11422.3</v>
      </c>
      <c r="V269" s="80" t="n">
        <v>24.82</v>
      </c>
      <c r="W269" s="97">
        <f>U269/V269</f>
        <v/>
      </c>
      <c r="X269" s="97">
        <f>(W269/U269)*100</f>
        <v/>
      </c>
      <c r="Y269" s="80" t="n">
        <v>9024.75</v>
      </c>
      <c r="Z269" s="80" t="n">
        <v>17.98</v>
      </c>
      <c r="AA269" s="97">
        <f>Y269/Z269</f>
        <v/>
      </c>
      <c r="AB269" s="97">
        <f>(AA269/Y269)*100</f>
        <v/>
      </c>
    </row>
    <row r="270">
      <c r="A270" s="92" t="n">
        <v>269</v>
      </c>
      <c r="B270" s="102" t="n">
        <v>44957</v>
      </c>
      <c r="C270" s="103" t="n">
        <v>27111145.75</v>
      </c>
      <c r="D270" s="98">
        <f>C270/E270</f>
        <v/>
      </c>
      <c r="E270" s="98" t="n">
        <v>81.73</v>
      </c>
      <c r="F270" s="98">
        <f>D270/100000</f>
        <v/>
      </c>
      <c r="G270" s="97">
        <f>(F270/DataSheet!$C$10*100)</f>
        <v/>
      </c>
      <c r="H270" s="98">
        <f>K270/I270</f>
        <v/>
      </c>
      <c r="I270" s="98">
        <f>(J270/L270)*100</f>
        <v/>
      </c>
      <c r="J270" s="97">
        <f>L270/O270</f>
        <v/>
      </c>
      <c r="K270" s="98" t="n">
        <v>7.34</v>
      </c>
      <c r="L270" s="98" t="n">
        <v>17662.15</v>
      </c>
      <c r="M270" s="98" t="n">
        <v>4.14</v>
      </c>
      <c r="N270" s="98">
        <f>K270-I270</f>
        <v/>
      </c>
      <c r="O270" s="98" t="n">
        <v>20.73</v>
      </c>
      <c r="P270" s="98" t="n">
        <v>3.51</v>
      </c>
      <c r="Q270" s="98">
        <f>K270-P270</f>
        <v/>
      </c>
      <c r="R270" s="98" t="n">
        <v>101.91</v>
      </c>
      <c r="S270" s="97">
        <f>(O270*T270)</f>
        <v/>
      </c>
      <c r="T270" s="79" t="n">
        <v>6.48</v>
      </c>
      <c r="U270" s="80" t="n">
        <v>11596.65</v>
      </c>
      <c r="V270" s="80" t="n">
        <v>25.21</v>
      </c>
      <c r="W270" s="97">
        <f>U270/V270</f>
        <v/>
      </c>
      <c r="X270" s="97">
        <f>(W270/U270)*100</f>
        <v/>
      </c>
      <c r="Y270" s="80" t="n">
        <v>9261.700000000001</v>
      </c>
      <c r="Z270" s="80" t="n">
        <v>18.48</v>
      </c>
      <c r="AA270" s="97">
        <f>Y270/Z270</f>
        <v/>
      </c>
      <c r="AB270" s="97">
        <f>(AA270/Y270)*100</f>
        <v/>
      </c>
    </row>
    <row r="271">
      <c r="A271" s="92" t="n">
        <v>270</v>
      </c>
      <c r="B271" s="102" t="n">
        <v>44958</v>
      </c>
      <c r="C271" s="103" t="n">
        <v>26746400.52</v>
      </c>
      <c r="D271" s="98">
        <f>C271/E271</f>
        <v/>
      </c>
      <c r="E271" s="98" t="n">
        <v>81.73</v>
      </c>
      <c r="F271" s="98">
        <f>D271/100000</f>
        <v/>
      </c>
      <c r="G271" s="97">
        <f>(F271/DataSheet!$C$10*100)</f>
        <v/>
      </c>
      <c r="H271" s="98">
        <f>K271/I271</f>
        <v/>
      </c>
      <c r="I271" s="98">
        <f>(J271/L271)*100</f>
        <v/>
      </c>
      <c r="J271" s="97">
        <f>L271/O271</f>
        <v/>
      </c>
      <c r="K271" s="98" t="n">
        <v>7.27</v>
      </c>
      <c r="L271" s="98" t="n">
        <v>17616.3</v>
      </c>
      <c r="M271" s="98" t="n">
        <v>4.13</v>
      </c>
      <c r="N271" s="98">
        <f>K271-I271</f>
        <v/>
      </c>
      <c r="O271" s="98" t="n">
        <v>20.68</v>
      </c>
      <c r="P271" s="98" t="n">
        <v>3.41</v>
      </c>
      <c r="Q271" s="98">
        <f>K271-P271</f>
        <v/>
      </c>
      <c r="R271" s="98" t="n">
        <v>101.02</v>
      </c>
      <c r="S271" s="97">
        <f>(O271*T271)</f>
        <v/>
      </c>
      <c r="T271" s="79" t="n">
        <v>6.51</v>
      </c>
      <c r="U271" s="80" t="n">
        <v>11497.65</v>
      </c>
      <c r="V271" s="80" t="n">
        <v>25</v>
      </c>
      <c r="W271" s="97">
        <f>U271/V271</f>
        <v/>
      </c>
      <c r="X271" s="97">
        <f>(W271/U271)*100</f>
        <v/>
      </c>
      <c r="Y271" s="80" t="n">
        <v>9155.6</v>
      </c>
      <c r="Z271" s="80" t="n">
        <v>18.27</v>
      </c>
      <c r="AA271" s="97">
        <f>Y271/Z271</f>
        <v/>
      </c>
      <c r="AB271" s="97">
        <f>(AA271/Y271)*100</f>
        <v/>
      </c>
    </row>
    <row r="272">
      <c r="A272" s="92" t="n">
        <v>271</v>
      </c>
      <c r="B272" s="102" t="n">
        <v>44959</v>
      </c>
      <c r="C272" s="103" t="n">
        <v>26661814.81</v>
      </c>
      <c r="D272" s="98">
        <f>C272/E272</f>
        <v/>
      </c>
      <c r="E272" s="98" t="n">
        <v>82.03</v>
      </c>
      <c r="F272" s="98">
        <f>D272/100000</f>
        <v/>
      </c>
      <c r="G272" s="97">
        <f>(F272/DataSheet!$C$10*100)</f>
        <v/>
      </c>
      <c r="H272" s="98">
        <f>K272/I272</f>
        <v/>
      </c>
      <c r="I272" s="98">
        <f>(J272/L272)*100</f>
        <v/>
      </c>
      <c r="J272" s="97">
        <f>L272/O272</f>
        <v/>
      </c>
      <c r="K272" s="98" t="n">
        <v>7.29</v>
      </c>
      <c r="L272" s="98" t="n">
        <v>17610.4</v>
      </c>
      <c r="M272" s="98" t="n">
        <v>4.13</v>
      </c>
      <c r="N272" s="98">
        <f>K272-I272</f>
        <v/>
      </c>
      <c r="O272" s="98" t="n">
        <v>20.59</v>
      </c>
      <c r="P272" s="98" t="n">
        <v>3.4</v>
      </c>
      <c r="Q272" s="98">
        <f>K272-P272</f>
        <v/>
      </c>
      <c r="R272" s="98" t="n">
        <v>101.57</v>
      </c>
      <c r="S272" s="97">
        <f>(O272*T272)</f>
        <v/>
      </c>
      <c r="T272" s="79" t="n">
        <v>6.56</v>
      </c>
      <c r="U272" s="80" t="n">
        <v>11518.05</v>
      </c>
      <c r="V272" s="80" t="n">
        <v>24.78</v>
      </c>
      <c r="W272" s="97">
        <f>U272/V272</f>
        <v/>
      </c>
      <c r="X272" s="97">
        <f>(W272/U272)*100</f>
        <v/>
      </c>
      <c r="Y272" s="80" t="n">
        <v>9195.6</v>
      </c>
      <c r="Z272" s="80" t="n">
        <v>18.24</v>
      </c>
      <c r="AA272" s="97">
        <f>Y272/Z272</f>
        <v/>
      </c>
      <c r="AB272" s="97">
        <f>(AA272/Y272)*100</f>
        <v/>
      </c>
    </row>
    <row r="273">
      <c r="A273" s="92" t="n">
        <v>272</v>
      </c>
      <c r="B273" s="102" t="n">
        <v>44960</v>
      </c>
      <c r="C273" s="103" t="n">
        <v>26765509.93</v>
      </c>
      <c r="D273" s="98">
        <f>C273/E273</f>
        <v/>
      </c>
      <c r="E273" s="98" t="n">
        <v>82.2</v>
      </c>
      <c r="F273" s="98">
        <f>D273/100000</f>
        <v/>
      </c>
      <c r="G273" s="97">
        <f>(F273/DataSheet!$C$10*100)</f>
        <v/>
      </c>
      <c r="H273" s="98">
        <f>K273/I273</f>
        <v/>
      </c>
      <c r="I273" s="98">
        <f>(J273/L273)*100</f>
        <v/>
      </c>
      <c r="J273" s="97">
        <f>L273/O273</f>
        <v/>
      </c>
      <c r="K273" s="98" t="n">
        <v>7.27</v>
      </c>
      <c r="L273" s="98" t="n">
        <v>17854.05</v>
      </c>
      <c r="M273" s="98" t="n">
        <v>4.18</v>
      </c>
      <c r="N273" s="98">
        <f>K273-I273</f>
        <v/>
      </c>
      <c r="O273" s="98" t="n">
        <v>20.86</v>
      </c>
      <c r="P273" s="98" t="n">
        <v>3.51</v>
      </c>
      <c r="Q273" s="98">
        <f>K273-P273</f>
        <v/>
      </c>
      <c r="R273" s="98" t="n">
        <v>102.75</v>
      </c>
      <c r="S273" s="97">
        <f>(O273*T273)</f>
        <v/>
      </c>
      <c r="T273" s="79" t="n">
        <v>6.57</v>
      </c>
      <c r="U273" s="80" t="n">
        <v>11504.7</v>
      </c>
      <c r="V273" s="80" t="n">
        <v>24.67</v>
      </c>
      <c r="W273" s="97">
        <f>U273/V273</f>
        <v/>
      </c>
      <c r="X273" s="97">
        <f>(W273/U273)*100</f>
        <v/>
      </c>
      <c r="Y273" s="80" t="n">
        <v>9161.549999999999</v>
      </c>
      <c r="Z273" s="80" t="n">
        <v>18.13</v>
      </c>
      <c r="AA273" s="97">
        <f>Y273/Z273</f>
        <v/>
      </c>
      <c r="AB273" s="97">
        <f>(AA273/Y273)*100</f>
        <v/>
      </c>
    </row>
    <row r="274">
      <c r="A274" s="92" t="n">
        <v>273</v>
      </c>
      <c r="B274" s="102" t="n">
        <v>44963</v>
      </c>
      <c r="C274" s="101" t="n">
        <v>26741660.66</v>
      </c>
      <c r="D274" s="97">
        <f>C274/E274</f>
        <v/>
      </c>
      <c r="E274" s="97" t="n">
        <v>82.73999999999999</v>
      </c>
      <c r="F274" s="97">
        <f>D274/100000</f>
        <v/>
      </c>
      <c r="G274" s="97">
        <f>(F274/DataSheet!$C$10*100)</f>
        <v/>
      </c>
      <c r="H274" s="97">
        <f>K274/I274</f>
        <v/>
      </c>
      <c r="I274" s="97">
        <f>(J274/L274)*100</f>
        <v/>
      </c>
      <c r="J274" s="97">
        <f>L274/O274</f>
        <v/>
      </c>
      <c r="K274" s="97" t="n">
        <v>7.32</v>
      </c>
      <c r="L274" s="97" t="n">
        <v>17764.6</v>
      </c>
      <c r="M274" s="97" t="n">
        <v>4.16</v>
      </c>
      <c r="N274" s="97">
        <f>K274-I274</f>
        <v/>
      </c>
      <c r="O274" s="97" t="n">
        <v>20.71</v>
      </c>
      <c r="P274" s="97" t="n">
        <v>3.64</v>
      </c>
      <c r="Q274" s="97">
        <f>K274-P274</f>
        <v/>
      </c>
      <c r="R274" s="97" t="n">
        <v>103.49</v>
      </c>
      <c r="S274" s="97">
        <f>(O274*T274)</f>
        <v/>
      </c>
      <c r="T274" s="79" t="n">
        <v>6.54</v>
      </c>
      <c r="U274" s="80" t="n">
        <v>11602.95</v>
      </c>
      <c r="V274" s="80" t="n">
        <v>24.59</v>
      </c>
      <c r="W274" s="97">
        <f>U274/V274</f>
        <v/>
      </c>
      <c r="X274" s="97">
        <f>(W274/U274)*100</f>
        <v/>
      </c>
      <c r="Y274" s="80" t="n">
        <v>9185.15</v>
      </c>
      <c r="Z274" s="80" t="n">
        <v>18.15</v>
      </c>
      <c r="AA274" s="97">
        <f>Y274/Z274</f>
        <v/>
      </c>
      <c r="AB274" s="97">
        <f>(AA274/Y274)*100</f>
        <v/>
      </c>
    </row>
    <row r="275">
      <c r="A275" s="92" t="n">
        <v>274</v>
      </c>
      <c r="B275" s="102" t="n">
        <v>44964</v>
      </c>
      <c r="C275" s="101" t="n">
        <v>26700115.29</v>
      </c>
      <c r="D275" s="97">
        <f>C275/E275</f>
        <v/>
      </c>
      <c r="E275" s="97" t="n">
        <v>82.86</v>
      </c>
      <c r="F275" s="97">
        <f>D275/100000</f>
        <v/>
      </c>
      <c r="G275" s="97">
        <f>(F275/DataSheet!$C$10*100)</f>
        <v/>
      </c>
      <c r="H275" s="97">
        <f>K275/I275</f>
        <v/>
      </c>
      <c r="I275" s="97">
        <f>(J275/L275)*100</f>
        <v/>
      </c>
      <c r="J275" s="97">
        <f>L275/O275</f>
        <v/>
      </c>
      <c r="K275" s="97" t="n">
        <v>7.3</v>
      </c>
      <c r="L275" s="97" t="n">
        <v>17721.5</v>
      </c>
      <c r="M275" s="97" t="n">
        <v>4.15</v>
      </c>
      <c r="N275" s="97">
        <f>K275-I275</f>
        <v/>
      </c>
      <c r="O275" s="97" t="n">
        <v>20.5</v>
      </c>
      <c r="P275" s="97" t="n">
        <v>3.67</v>
      </c>
      <c r="Q275" s="97">
        <f>K275-P275</f>
        <v/>
      </c>
      <c r="R275" s="97" t="n">
        <v>103.29</v>
      </c>
      <c r="S275" s="97">
        <f>(O275*T275)</f>
        <v/>
      </c>
      <c r="T275" s="79" t="n">
        <v>6.56</v>
      </c>
      <c r="U275" s="80" t="n">
        <v>11601.6</v>
      </c>
      <c r="V275" s="80" t="n">
        <v>24.67</v>
      </c>
      <c r="W275" s="97">
        <f>U275/V275</f>
        <v/>
      </c>
      <c r="X275" s="97">
        <f>(W275/U275)*100</f>
        <v/>
      </c>
      <c r="Y275" s="80" t="n">
        <v>9151.35</v>
      </c>
      <c r="Z275" s="80" t="n">
        <v>18.01</v>
      </c>
      <c r="AA275" s="97">
        <f>Y275/Z275</f>
        <v/>
      </c>
      <c r="AB275" s="97">
        <f>(AA275/Y275)*100</f>
        <v/>
      </c>
    </row>
    <row r="276">
      <c r="A276" s="92" t="n">
        <v>275</v>
      </c>
      <c r="B276" s="102" t="n">
        <v>44965</v>
      </c>
      <c r="C276" s="101" t="n">
        <v>26957063.47</v>
      </c>
      <c r="D276" s="97">
        <f>C276/E276</f>
        <v/>
      </c>
      <c r="E276" s="97" t="n">
        <v>82.65000000000001</v>
      </c>
      <c r="F276" s="97">
        <f>D276/100000</f>
        <v/>
      </c>
      <c r="G276" s="97">
        <f>(F276/DataSheet!$C$10*100)</f>
        <v/>
      </c>
      <c r="H276" s="97">
        <f>K276/I276</f>
        <v/>
      </c>
      <c r="I276" s="97">
        <f>(J276/L276)*100</f>
        <v/>
      </c>
      <c r="J276" s="97">
        <f>L276/O276</f>
        <v/>
      </c>
      <c r="K276" s="97" t="n">
        <v>7.34</v>
      </c>
      <c r="L276" s="97" t="n">
        <v>17871.7</v>
      </c>
      <c r="M276" s="97" t="n">
        <v>4.19</v>
      </c>
      <c r="N276" s="97">
        <f>K276-I276</f>
        <v/>
      </c>
      <c r="O276" s="97" t="n">
        <v>21.1</v>
      </c>
      <c r="P276" s="97" t="n">
        <v>3.61</v>
      </c>
      <c r="Q276" s="97">
        <f>K276-P276</f>
        <v/>
      </c>
      <c r="R276" s="97" t="n">
        <v>103.27</v>
      </c>
      <c r="S276" s="97">
        <f>(O276*T276)</f>
        <v/>
      </c>
      <c r="T276" s="79" t="n">
        <v>6.58</v>
      </c>
      <c r="U276" s="80" t="n">
        <v>11699.35</v>
      </c>
      <c r="V276" s="80" t="n">
        <v>24.91</v>
      </c>
      <c r="W276" s="97">
        <f>U276/V276</f>
        <v/>
      </c>
      <c r="X276" s="97">
        <f>(W276/U276)*100</f>
        <v/>
      </c>
      <c r="Y276" s="80" t="n">
        <v>9222.15</v>
      </c>
      <c r="Z276" s="80" t="n">
        <v>18.13</v>
      </c>
      <c r="AA276" s="97">
        <f>Y276/Z276</f>
        <v/>
      </c>
      <c r="AB276" s="97">
        <f>(AA276/Y276)*100</f>
        <v/>
      </c>
    </row>
    <row r="277">
      <c r="A277" s="92" t="n">
        <v>276</v>
      </c>
      <c r="B277" s="102" t="n">
        <v>44966</v>
      </c>
      <c r="C277" s="101" t="n">
        <v>26930932.71</v>
      </c>
      <c r="D277" s="97">
        <f>C277/E277</f>
        <v/>
      </c>
      <c r="E277" s="97" t="n">
        <v>82.51000000000001</v>
      </c>
      <c r="F277" s="97">
        <f>D277/100000</f>
        <v/>
      </c>
      <c r="G277" s="97">
        <f>(F277/DataSheet!$C$10*100)</f>
        <v/>
      </c>
      <c r="H277" s="97">
        <f>K277/I277</f>
        <v/>
      </c>
      <c r="I277" s="97">
        <f>(J277/L277)*100</f>
        <v/>
      </c>
      <c r="J277" s="97">
        <f>L277/O277</f>
        <v/>
      </c>
      <c r="K277" s="97" t="n">
        <v>7.34</v>
      </c>
      <c r="L277" s="97" t="n">
        <v>17893.45</v>
      </c>
      <c r="M277" s="97" t="n">
        <v>4.19</v>
      </c>
      <c r="N277" s="97">
        <f>K277-I277</f>
        <v/>
      </c>
      <c r="O277" s="97" t="n">
        <v>21.11</v>
      </c>
      <c r="P277" s="97" t="n">
        <v>3.66</v>
      </c>
      <c r="Q277" s="97">
        <f>K277-P277</f>
        <v/>
      </c>
      <c r="R277" s="97" t="n">
        <v>103.1</v>
      </c>
      <c r="S277" s="97">
        <f>(O277*T277)</f>
        <v/>
      </c>
      <c r="T277" s="79" t="n">
        <v>6.69</v>
      </c>
      <c r="U277" s="80" t="n">
        <v>11709.45</v>
      </c>
      <c r="V277" s="80" t="n">
        <v>24.92</v>
      </c>
      <c r="W277" s="97">
        <f>U277/V277</f>
        <v/>
      </c>
      <c r="X277" s="97">
        <f>(W277/U277)*100</f>
        <v/>
      </c>
      <c r="Y277" s="80" t="n">
        <v>9198.85</v>
      </c>
      <c r="Z277" s="80" t="n">
        <v>18.1</v>
      </c>
      <c r="AA277" s="97">
        <f>Y277/Z277</f>
        <v/>
      </c>
      <c r="AB277" s="97">
        <f>(AA277/Y277)*100</f>
        <v/>
      </c>
    </row>
    <row r="278">
      <c r="A278" s="92" t="n">
        <v>277</v>
      </c>
      <c r="B278" s="102" t="n">
        <v>44967</v>
      </c>
      <c r="C278" s="101" t="n">
        <v>26915279.02</v>
      </c>
      <c r="D278" s="97">
        <f>C278/E278</f>
        <v/>
      </c>
      <c r="E278" s="97" t="n">
        <v>82.51000000000001</v>
      </c>
      <c r="F278" s="97">
        <f>D278/100000</f>
        <v/>
      </c>
      <c r="G278" s="97">
        <f>(F278/DataSheet!$C$10*100)</f>
        <v/>
      </c>
      <c r="H278" s="97">
        <f>K278/I278</f>
        <v/>
      </c>
      <c r="I278" s="97">
        <f>(J278/L278)*100</f>
        <v/>
      </c>
      <c r="J278" s="97">
        <f>L278/O278</f>
        <v/>
      </c>
      <c r="K278" s="97" t="n">
        <v>7.36</v>
      </c>
      <c r="L278" s="97" t="n">
        <v>17856.5</v>
      </c>
      <c r="M278" s="97" t="n">
        <v>4.18</v>
      </c>
      <c r="N278" s="97">
        <f>K278-I278</f>
        <v/>
      </c>
      <c r="O278" s="97" t="n">
        <v>21.06</v>
      </c>
      <c r="P278" s="97" t="n">
        <v>3.74</v>
      </c>
      <c r="Q278" s="97">
        <f>K278-P278</f>
        <v/>
      </c>
      <c r="R278" s="97" t="n">
        <v>103.53</v>
      </c>
      <c r="S278" s="97">
        <f>(O278*T278)</f>
        <v/>
      </c>
      <c r="T278" s="79" t="n">
        <v>6.69</v>
      </c>
      <c r="U278" s="80" t="n">
        <v>11738.3</v>
      </c>
      <c r="V278" s="80" t="n">
        <v>24.91</v>
      </c>
      <c r="W278" s="97">
        <f>U278/V278</f>
        <v/>
      </c>
      <c r="X278" s="97">
        <f>(W278/U278)*100</f>
        <v/>
      </c>
      <c r="Y278" s="80" t="n">
        <v>9243.6</v>
      </c>
      <c r="Z278" s="80" t="n">
        <v>18.15</v>
      </c>
      <c r="AA278" s="97">
        <f>Y278/Z278</f>
        <v/>
      </c>
      <c r="AB278" s="97">
        <f>(AA278/Y278)*100</f>
        <v/>
      </c>
    </row>
    <row r="279">
      <c r="A279" s="92" t="n">
        <v>278</v>
      </c>
      <c r="B279" s="102" t="n">
        <v>44970</v>
      </c>
      <c r="C279" s="101" t="n">
        <v>26664344.36</v>
      </c>
      <c r="D279" s="97">
        <f>C279/E279</f>
        <v/>
      </c>
      <c r="E279" s="97" t="n">
        <v>82.59</v>
      </c>
      <c r="F279" s="97">
        <f>D279/100000</f>
        <v/>
      </c>
      <c r="G279" s="97">
        <f>(F279/DataSheet!$C$10*100)</f>
        <v/>
      </c>
      <c r="H279" s="97">
        <f>K279/I279</f>
        <v/>
      </c>
      <c r="I279" s="97">
        <f>(J279/L279)*100</f>
        <v/>
      </c>
      <c r="J279" s="97">
        <f>L279/O279</f>
        <v/>
      </c>
      <c r="K279" s="97" t="n">
        <v>7.36</v>
      </c>
      <c r="L279" s="97" t="n">
        <v>17770.9</v>
      </c>
      <c r="M279" s="97" t="n">
        <v>4.16</v>
      </c>
      <c r="N279" s="97">
        <f>K279-I279</f>
        <v/>
      </c>
      <c r="O279" s="97" t="n">
        <v>21.05</v>
      </c>
      <c r="P279" s="97" t="n">
        <v>3.7</v>
      </c>
      <c r="Q279" s="97">
        <f>K279-P279</f>
        <v/>
      </c>
      <c r="R279" s="97" t="n">
        <v>103.24</v>
      </c>
      <c r="S279" s="97">
        <f>(O279*T279)</f>
        <v/>
      </c>
      <c r="T279" s="79" t="n">
        <v>6.68</v>
      </c>
      <c r="U279" s="80" t="n">
        <v>11584.95</v>
      </c>
      <c r="V279" s="80" t="n">
        <v>24.81</v>
      </c>
      <c r="W279" s="97">
        <f>U279/V279</f>
        <v/>
      </c>
      <c r="X279" s="97">
        <f>(W279/U279)*100</f>
        <v/>
      </c>
      <c r="Y279" s="80" t="n">
        <v>9133.700000000001</v>
      </c>
      <c r="Z279" s="80" t="n">
        <v>17.87</v>
      </c>
      <c r="AA279" s="97">
        <f>Y279/Z279</f>
        <v/>
      </c>
      <c r="AB279" s="97">
        <f>(AA279/Y279)*100</f>
        <v/>
      </c>
    </row>
    <row r="280">
      <c r="A280" s="92" t="n">
        <v>279</v>
      </c>
      <c r="B280" s="102" t="n">
        <v>44971</v>
      </c>
      <c r="C280" s="101" t="n">
        <v>26694006.67</v>
      </c>
      <c r="D280" s="97">
        <f>C280/E280</f>
        <v/>
      </c>
      <c r="E280" s="97" t="n">
        <v>82.91</v>
      </c>
      <c r="F280" s="97">
        <f>D280/100000</f>
        <v/>
      </c>
      <c r="G280" s="97">
        <f>(F280/DataSheet!$C$10*100)</f>
        <v/>
      </c>
      <c r="H280" s="97">
        <f>K280/I280</f>
        <v/>
      </c>
      <c r="I280" s="97">
        <f>(J280/L280)*100</f>
        <v/>
      </c>
      <c r="J280" s="97">
        <f>L280/O280</f>
        <v/>
      </c>
      <c r="K280" s="97" t="n">
        <v>7.37</v>
      </c>
      <c r="L280" s="97" t="n">
        <v>17929.85</v>
      </c>
      <c r="M280" s="97" t="n">
        <v>4.2</v>
      </c>
      <c r="N280" s="97">
        <f>K280-I280</f>
        <v/>
      </c>
      <c r="O280" s="97" t="n">
        <v>21.21</v>
      </c>
      <c r="P280" s="97" t="n">
        <v>3.75</v>
      </c>
      <c r="Q280" s="97">
        <f>K280-P280</f>
        <v/>
      </c>
      <c r="R280" s="97" t="n">
        <v>103.12</v>
      </c>
      <c r="S280" s="97">
        <f>(O280*T280)</f>
        <v/>
      </c>
      <c r="T280" s="79" t="n">
        <v>6.7</v>
      </c>
      <c r="U280" s="80" t="n">
        <v>11535</v>
      </c>
      <c r="V280" s="80" t="n">
        <v>24.78</v>
      </c>
      <c r="W280" s="97">
        <f>U280/V280</f>
        <v/>
      </c>
      <c r="X280" s="97">
        <f>(W280/U280)*100</f>
        <v/>
      </c>
      <c r="Y280" s="80" t="n">
        <v>9085.450000000001</v>
      </c>
      <c r="Z280" s="80" t="n">
        <v>17.76</v>
      </c>
      <c r="AA280" s="97">
        <f>Y280/Z280</f>
        <v/>
      </c>
      <c r="AB280" s="97">
        <f>(AA280/Y280)*100</f>
        <v/>
      </c>
    </row>
    <row r="281">
      <c r="A281" s="92" t="n">
        <v>280</v>
      </c>
      <c r="B281" s="102" t="n">
        <v>44972</v>
      </c>
      <c r="C281" s="101" t="n">
        <v>26818616</v>
      </c>
      <c r="D281" s="97">
        <f>C281/E281</f>
        <v/>
      </c>
      <c r="E281" s="97" t="n">
        <v>82.75</v>
      </c>
      <c r="F281" s="97">
        <f>D281/100000</f>
        <v/>
      </c>
      <c r="G281" s="97">
        <f>(F281/DataSheet!$C$10*100)</f>
        <v/>
      </c>
      <c r="H281" s="97">
        <f>K281/I281</f>
        <v/>
      </c>
      <c r="I281" s="97">
        <f>(J281/L281)*100</f>
        <v/>
      </c>
      <c r="J281" s="97">
        <f>L281/O281</f>
        <v/>
      </c>
      <c r="K281" s="97" t="n">
        <v>7.34</v>
      </c>
      <c r="L281" s="97" t="n">
        <v>18015.85</v>
      </c>
      <c r="M281" s="97" t="n">
        <v>4.22</v>
      </c>
      <c r="N281" s="97">
        <f>K281-I281</f>
        <v/>
      </c>
      <c r="O281" s="97" t="n">
        <v>21.31</v>
      </c>
      <c r="P281" s="97" t="n">
        <v>3.8</v>
      </c>
      <c r="Q281" s="97">
        <f>K281-P281</f>
        <v/>
      </c>
      <c r="R281" s="97" t="n">
        <v>103.83</v>
      </c>
      <c r="S281" s="97">
        <f>(O281*T281)</f>
        <v/>
      </c>
      <c r="T281" s="79" t="n">
        <v>6.72</v>
      </c>
      <c r="U281" s="80" t="n">
        <v>11590.35</v>
      </c>
      <c r="V281" s="80" t="n">
        <v>25.04</v>
      </c>
      <c r="W281" s="97">
        <f>U281/V281</f>
        <v/>
      </c>
      <c r="X281" s="97">
        <f>(W281/U281)*100</f>
        <v/>
      </c>
      <c r="Y281" s="80" t="n">
        <v>9121.450000000001</v>
      </c>
      <c r="Z281" s="80" t="n">
        <v>17.88</v>
      </c>
      <c r="AA281" s="97">
        <f>Y281/Z281</f>
        <v/>
      </c>
      <c r="AB281" s="97">
        <f>(AA281/Y281)*100</f>
        <v/>
      </c>
    </row>
    <row r="282">
      <c r="A282" s="92" t="n">
        <v>281</v>
      </c>
      <c r="B282" s="102" t="n">
        <v>44973</v>
      </c>
      <c r="C282" s="101" t="n">
        <v>26922333.53</v>
      </c>
      <c r="D282" s="97">
        <f>C282/E282</f>
        <v/>
      </c>
      <c r="E282" s="97" t="n">
        <v>82.70999999999999</v>
      </c>
      <c r="F282" s="97">
        <f>D282/100000</f>
        <v/>
      </c>
      <c r="G282" s="97">
        <f>(F282/DataSheet!$C$10*100)</f>
        <v/>
      </c>
      <c r="H282" s="97">
        <f>K282/I282</f>
        <v/>
      </c>
      <c r="I282" s="97">
        <f>(J282/L282)*100</f>
        <v/>
      </c>
      <c r="J282" s="97">
        <f>L282/O282</f>
        <v/>
      </c>
      <c r="K282" s="97" t="n">
        <v>7.34</v>
      </c>
      <c r="L282" s="97" t="n">
        <v>18035.85</v>
      </c>
      <c r="M282" s="97" t="n">
        <v>4.23</v>
      </c>
      <c r="N282" s="97">
        <f>K282-I282</f>
        <v/>
      </c>
      <c r="O282" s="97" t="n">
        <v>21.26</v>
      </c>
      <c r="P282" s="97" t="n">
        <v>3.86</v>
      </c>
      <c r="Q282" s="97">
        <f>K282-P282</f>
        <v/>
      </c>
      <c r="R282" s="97" t="n">
        <v>103.79</v>
      </c>
      <c r="S282" s="97">
        <f>(O282*T282)</f>
        <v/>
      </c>
      <c r="T282" s="79" t="n">
        <v>6.75</v>
      </c>
      <c r="U282" s="80" t="n">
        <v>11679.2</v>
      </c>
      <c r="V282" s="80" t="n">
        <v>25.26</v>
      </c>
      <c r="W282" s="97">
        <f>U282/V282</f>
        <v/>
      </c>
      <c r="X282" s="97">
        <f>(W282/U282)*100</f>
        <v/>
      </c>
      <c r="Y282" s="80" t="n">
        <v>9194.35</v>
      </c>
      <c r="Z282" s="80" t="n">
        <v>18.11</v>
      </c>
      <c r="AA282" s="97">
        <f>Y282/Z282</f>
        <v/>
      </c>
      <c r="AB282" s="97">
        <f>(AA282/Y282)*100</f>
        <v/>
      </c>
    </row>
    <row r="283">
      <c r="A283" s="92" t="n">
        <v>282</v>
      </c>
      <c r="B283" s="102" t="n">
        <v>44974</v>
      </c>
      <c r="C283" s="101" t="n">
        <v>26785333.57</v>
      </c>
      <c r="D283" s="97">
        <f>C283/E283</f>
        <v/>
      </c>
      <c r="E283" s="97" t="n">
        <v>82.75</v>
      </c>
      <c r="F283" s="97">
        <f>D283/100000</f>
        <v/>
      </c>
      <c r="G283" s="97">
        <f>(F283/DataSheet!$C$10*100)</f>
        <v/>
      </c>
      <c r="H283" s="97">
        <f>K283/I283</f>
        <v/>
      </c>
      <c r="I283" s="97">
        <f>(J283/L283)*100</f>
        <v/>
      </c>
      <c r="J283" s="97">
        <f>L283/O283</f>
        <v/>
      </c>
      <c r="K283" s="97" t="n">
        <v>7.38</v>
      </c>
      <c r="L283" s="97" t="n">
        <v>17944.2</v>
      </c>
      <c r="M283" s="97" t="n">
        <v>4.2</v>
      </c>
      <c r="N283" s="97">
        <f>K283-I283</f>
        <v/>
      </c>
      <c r="O283" s="97" t="n">
        <v>21.15</v>
      </c>
      <c r="P283" s="97" t="n">
        <v>3.81</v>
      </c>
      <c r="Q283" s="97">
        <f>K283-P283</f>
        <v/>
      </c>
      <c r="R283" s="97" t="n">
        <v>103.78</v>
      </c>
      <c r="S283" s="97">
        <f>(O283*T283)</f>
        <v/>
      </c>
      <c r="T283" s="79" t="n">
        <v>6.79</v>
      </c>
      <c r="U283" s="80" t="n">
        <v>11605.65</v>
      </c>
      <c r="V283" s="80" t="n">
        <v>24.42</v>
      </c>
      <c r="W283" s="97">
        <f>U283/V283</f>
        <v/>
      </c>
      <c r="X283" s="97">
        <f>(W283/U283)*100</f>
        <v/>
      </c>
      <c r="Y283" s="80" t="n">
        <v>9162.4</v>
      </c>
      <c r="Z283" s="80" t="n">
        <v>18.26</v>
      </c>
      <c r="AA283" s="97">
        <f>Y283/Z283</f>
        <v/>
      </c>
      <c r="AB283" s="97">
        <f>(AA283/Y283)*100</f>
        <v/>
      </c>
    </row>
    <row r="284">
      <c r="A284" s="92" t="n">
        <v>283</v>
      </c>
      <c r="B284" s="102" t="n">
        <v>44977</v>
      </c>
      <c r="C284" s="101" t="n">
        <v>26684476.87</v>
      </c>
      <c r="D284" s="97">
        <f>C284/E284</f>
        <v/>
      </c>
      <c r="E284" s="97" t="n">
        <v>82.69</v>
      </c>
      <c r="F284" s="97">
        <f>D284/100000</f>
        <v/>
      </c>
      <c r="G284" s="97">
        <f>(F284/DataSheet!$C$10*100)</f>
        <v/>
      </c>
      <c r="H284" s="97">
        <f>K284/I284</f>
        <v/>
      </c>
      <c r="I284" s="97">
        <f>(J284/L284)*100</f>
        <v/>
      </c>
      <c r="J284" s="97">
        <f>L284/O284</f>
        <v/>
      </c>
      <c r="K284" s="97" t="n">
        <v>7.37</v>
      </c>
      <c r="L284" s="97" t="n">
        <v>17844.6</v>
      </c>
      <c r="M284" s="97" t="n">
        <v>4.18</v>
      </c>
      <c r="N284" s="97">
        <f>K284-I284</f>
        <v/>
      </c>
      <c r="O284" s="97" t="n">
        <v>21.04</v>
      </c>
      <c r="P284" s="97" t="n">
        <v>3.85</v>
      </c>
      <c r="Q284" s="97">
        <f>K284-P284</f>
        <v/>
      </c>
      <c r="R284" s="97" t="n">
        <v>103.78</v>
      </c>
      <c r="S284" s="97">
        <f>(O284*T284)</f>
        <v/>
      </c>
      <c r="T284" s="79" t="n">
        <v>6.78</v>
      </c>
      <c r="U284" s="80" t="n">
        <v>11606.15</v>
      </c>
      <c r="V284" s="80" t="n">
        <v>24.31</v>
      </c>
      <c r="W284" s="97">
        <f>U284/V284</f>
        <v/>
      </c>
      <c r="X284" s="97">
        <f>(W284/U284)*100</f>
        <v/>
      </c>
      <c r="Y284" s="80" t="n">
        <v>9133.15</v>
      </c>
      <c r="Z284" s="80" t="n">
        <v>18.2</v>
      </c>
      <c r="AA284" s="97">
        <f>Y284/Z284</f>
        <v/>
      </c>
      <c r="AB284" s="97">
        <f>(AA284/Y284)*100</f>
        <v/>
      </c>
    </row>
    <row r="285">
      <c r="A285" s="92" t="n">
        <v>284</v>
      </c>
      <c r="B285" s="102" t="n">
        <v>44978</v>
      </c>
      <c r="C285" s="101" t="n">
        <v>26617539.13</v>
      </c>
      <c r="D285" s="97">
        <f>C285/E285</f>
        <v/>
      </c>
      <c r="E285" s="97" t="n">
        <v>82.86</v>
      </c>
      <c r="F285" s="97">
        <f>D285/100000</f>
        <v/>
      </c>
      <c r="G285" s="97">
        <f>(F285/DataSheet!$C$10*100)</f>
        <v/>
      </c>
      <c r="H285" s="97">
        <f>K285/I285</f>
        <v/>
      </c>
      <c r="I285" s="97">
        <f>(J285/L285)*100</f>
        <v/>
      </c>
      <c r="J285" s="97">
        <f>L285/O285</f>
        <v/>
      </c>
      <c r="K285" s="97" t="n">
        <v>7.39</v>
      </c>
      <c r="L285" s="97" t="n">
        <v>17826.7</v>
      </c>
      <c r="M285" s="97" t="n">
        <v>4.18</v>
      </c>
      <c r="N285" s="97">
        <f>K285-I285</f>
        <v/>
      </c>
      <c r="O285" s="97" t="n">
        <v>21.01</v>
      </c>
      <c r="P285" s="97" t="n">
        <v>3.95</v>
      </c>
      <c r="Q285" s="97">
        <f>K285-P285</f>
        <v/>
      </c>
      <c r="R285" s="97" t="n">
        <v>104.11</v>
      </c>
      <c r="S285" s="97">
        <f>(O285*T285)</f>
        <v/>
      </c>
      <c r="T285" s="79" t="n">
        <v>6.8</v>
      </c>
      <c r="U285" s="80" t="n">
        <v>11575.1</v>
      </c>
      <c r="V285" s="80" t="n">
        <v>24.25</v>
      </c>
      <c r="W285" s="97">
        <f>U285/V285</f>
        <v/>
      </c>
      <c r="X285" s="97">
        <f>(W285/U285)*100</f>
        <v/>
      </c>
      <c r="Y285" s="80" t="n">
        <v>9101.25</v>
      </c>
      <c r="Z285" s="80" t="n">
        <v>18.14</v>
      </c>
      <c r="AA285" s="97">
        <f>Y285/Z285</f>
        <v/>
      </c>
      <c r="AB285" s="97">
        <f>(AA285/Y285)*100</f>
        <v/>
      </c>
    </row>
    <row r="286">
      <c r="A286" s="92" t="n">
        <v>285</v>
      </c>
      <c r="B286" s="102" t="n">
        <v>44979</v>
      </c>
      <c r="C286" s="101" t="n">
        <v>26357865.24</v>
      </c>
      <c r="D286" s="97">
        <f>C286/E286</f>
        <v/>
      </c>
      <c r="E286" s="97" t="n">
        <v>82.83</v>
      </c>
      <c r="F286" s="97">
        <f>D286/100000</f>
        <v/>
      </c>
      <c r="G286" s="97">
        <f>(F286/DataSheet!$C$10*100)</f>
        <v/>
      </c>
      <c r="H286" s="97">
        <f>K286/I286</f>
        <v/>
      </c>
      <c r="I286" s="97">
        <f>(J286/L286)*100</f>
        <v/>
      </c>
      <c r="J286" s="97">
        <f>L286/O286</f>
        <v/>
      </c>
      <c r="K286" s="97" t="n">
        <v>7.42</v>
      </c>
      <c r="L286" s="97" t="n">
        <v>17554.3</v>
      </c>
      <c r="M286" s="97" t="n">
        <v>4.11</v>
      </c>
      <c r="N286" s="97">
        <f>K286-I286</f>
        <v/>
      </c>
      <c r="O286" s="97" t="n">
        <v>20.69</v>
      </c>
      <c r="P286" s="97" t="n">
        <v>3.92</v>
      </c>
      <c r="Q286" s="97">
        <f>K286-P286</f>
        <v/>
      </c>
      <c r="R286" s="97" t="n">
        <v>104.52</v>
      </c>
      <c r="S286" s="97">
        <f>(O286*T286)</f>
        <v/>
      </c>
      <c r="T286" s="79" t="n">
        <v>6.82</v>
      </c>
      <c r="U286" s="80" t="n">
        <v>11459.2</v>
      </c>
      <c r="V286" s="80" t="n">
        <v>24</v>
      </c>
      <c r="W286" s="97">
        <f>U286/V286</f>
        <v/>
      </c>
      <c r="X286" s="97">
        <f>(W286/U286)*100</f>
        <v/>
      </c>
      <c r="Y286" s="80" t="n">
        <v>8998.4</v>
      </c>
      <c r="Z286" s="80" t="n">
        <v>17.94</v>
      </c>
      <c r="AA286" s="97">
        <f>Y286/Z286</f>
        <v/>
      </c>
      <c r="AB286" s="97">
        <f>(AA286/Y286)*100</f>
        <v/>
      </c>
    </row>
    <row r="287">
      <c r="A287" s="92" t="n">
        <v>286</v>
      </c>
      <c r="B287" s="102" t="n">
        <v>44980</v>
      </c>
      <c r="C287" s="101" t="n">
        <v>26175144.27</v>
      </c>
      <c r="D287" s="97">
        <f>C287/E287</f>
        <v/>
      </c>
      <c r="E287" s="97" t="n">
        <v>82.73999999999999</v>
      </c>
      <c r="F287" s="97">
        <f>D287/100000</f>
        <v/>
      </c>
      <c r="G287" s="97">
        <f>(F287/DataSheet!$C$10*100)</f>
        <v/>
      </c>
      <c r="H287" s="97">
        <f>K287/I287</f>
        <v/>
      </c>
      <c r="I287" s="97">
        <f>(J287/L287)*100</f>
        <v/>
      </c>
      <c r="J287" s="97">
        <f>L287/O287</f>
        <v/>
      </c>
      <c r="K287" s="97" t="n">
        <v>7.39</v>
      </c>
      <c r="L287" s="97" t="n">
        <v>17511.25</v>
      </c>
      <c r="M287" s="97" t="n">
        <v>4.1</v>
      </c>
      <c r="N287" s="97">
        <f>K287-I287</f>
        <v/>
      </c>
      <c r="O287" s="97" t="n">
        <v>20.64</v>
      </c>
      <c r="P287" s="97" t="n">
        <v>3.89</v>
      </c>
      <c r="Q287" s="97">
        <f>K287-P287</f>
        <v/>
      </c>
      <c r="R287" s="97" t="n">
        <v>104.55</v>
      </c>
      <c r="S287" s="97">
        <f>(O287*T287)</f>
        <v/>
      </c>
      <c r="T287" s="79" t="n">
        <v>6.86</v>
      </c>
      <c r="U287" s="80" t="n">
        <v>11431.25</v>
      </c>
      <c r="V287" s="80" t="n">
        <v>23.94</v>
      </c>
      <c r="W287" s="97">
        <f>U287/V287</f>
        <v/>
      </c>
      <c r="X287" s="97">
        <f>(W287/U287)*100</f>
        <v/>
      </c>
      <c r="Y287" s="80" t="n">
        <v>9014.799999999999</v>
      </c>
      <c r="Z287" s="80" t="n">
        <v>17.97</v>
      </c>
      <c r="AA287" s="97">
        <f>Y287/Z287</f>
        <v/>
      </c>
      <c r="AB287" s="97">
        <f>(AA287/Y287)*100</f>
        <v/>
      </c>
    </row>
    <row r="288">
      <c r="A288" s="92" t="n">
        <v>287</v>
      </c>
      <c r="B288" s="102" t="n">
        <v>44981</v>
      </c>
      <c r="C288" s="103" t="n">
        <v>26094987.69</v>
      </c>
      <c r="D288" s="98">
        <f>C288/E288</f>
        <v/>
      </c>
      <c r="E288" s="98" t="n">
        <v>82.89</v>
      </c>
      <c r="F288" s="98">
        <f>D288/100000</f>
        <v/>
      </c>
      <c r="G288" s="97">
        <f>(F288/DataSheet!$C$10*100)</f>
        <v/>
      </c>
      <c r="H288" s="98">
        <f>K288/I288</f>
        <v/>
      </c>
      <c r="I288" s="98">
        <f>(J288/L288)*100</f>
        <v/>
      </c>
      <c r="J288" s="97">
        <f>L288/O288</f>
        <v/>
      </c>
      <c r="K288" s="98" t="n">
        <v>7.41</v>
      </c>
      <c r="L288" s="98" t="n">
        <v>17465.8</v>
      </c>
      <c r="M288" s="98" t="n">
        <v>4.09</v>
      </c>
      <c r="N288" s="98">
        <f>K288-I288</f>
        <v/>
      </c>
      <c r="O288" s="98" t="n">
        <v>20.58</v>
      </c>
      <c r="P288" s="98" t="n">
        <v>3.94</v>
      </c>
      <c r="Q288" s="97">
        <f>K288-P288</f>
        <v/>
      </c>
      <c r="R288" s="98" t="n">
        <v>105.15</v>
      </c>
      <c r="S288" s="97">
        <f>(O288*T288)</f>
        <v/>
      </c>
      <c r="T288" s="79" t="n">
        <v>6.91</v>
      </c>
      <c r="U288" s="80" t="n">
        <v>11403.35</v>
      </c>
      <c r="V288" s="80" t="n">
        <v>23.87</v>
      </c>
      <c r="W288" s="97">
        <f>U288/V288</f>
        <v/>
      </c>
      <c r="X288" s="97">
        <f>(W288/U288)*100</f>
        <v/>
      </c>
      <c r="Y288" s="80" t="n">
        <v>8999.1</v>
      </c>
      <c r="Z288" s="80" t="n">
        <v>17.92</v>
      </c>
      <c r="AA288" s="97">
        <f>Y288/Z288</f>
        <v/>
      </c>
      <c r="AB288" s="97">
        <f>(AA288/Y288)*100</f>
        <v/>
      </c>
    </row>
    <row r="289">
      <c r="A289" s="92" t="n">
        <v>288</v>
      </c>
      <c r="B289" s="102" t="n">
        <v>44984</v>
      </c>
      <c r="C289" s="103" t="n">
        <v>25877397.68</v>
      </c>
      <c r="D289" s="98">
        <f>C289/E289</f>
        <v/>
      </c>
      <c r="E289" s="98" t="n">
        <v>82.65000000000001</v>
      </c>
      <c r="F289" s="98">
        <f>D289/100000</f>
        <v/>
      </c>
      <c r="G289" s="97">
        <f>(F289/DataSheet!$C$10*100)</f>
        <v/>
      </c>
      <c r="H289" s="98">
        <f>K289/I289</f>
        <v/>
      </c>
      <c r="I289" s="98">
        <f>(J289/L289)*100</f>
        <v/>
      </c>
      <c r="J289" s="97">
        <f>L289/O289</f>
        <v/>
      </c>
      <c r="K289" s="98" t="n">
        <v>7.44</v>
      </c>
      <c r="L289" s="98" t="n">
        <v>17392.7</v>
      </c>
      <c r="M289" s="98" t="n">
        <v>4.07</v>
      </c>
      <c r="N289" s="98">
        <f>K289-I289</f>
        <v/>
      </c>
      <c r="O289" s="98" t="n">
        <v>20.49</v>
      </c>
      <c r="P289" s="98" t="n">
        <v>3.92</v>
      </c>
      <c r="Q289" s="97">
        <f>K289-P289</f>
        <v/>
      </c>
      <c r="R289" s="98" t="n">
        <v>104.6</v>
      </c>
      <c r="S289" s="97">
        <f>(O289*T289)</f>
        <v/>
      </c>
      <c r="T289" s="79" t="n">
        <v>6.9</v>
      </c>
      <c r="U289" s="80" t="n">
        <v>11339.85</v>
      </c>
      <c r="V289" s="80" t="n">
        <v>23.74</v>
      </c>
      <c r="W289" s="97">
        <f>U289/V289</f>
        <v/>
      </c>
      <c r="X289" s="97">
        <f>(W289/U289)*100</f>
        <v/>
      </c>
      <c r="Y289" s="80" t="n">
        <v>8893.299999999999</v>
      </c>
      <c r="Z289" s="80" t="n">
        <v>17.71</v>
      </c>
      <c r="AA289" s="97">
        <f>Y289/Z289</f>
        <v/>
      </c>
      <c r="AB289" s="97">
        <f>(AA289/Y289)*100</f>
        <v/>
      </c>
    </row>
    <row r="290">
      <c r="A290" s="92" t="n">
        <v>289</v>
      </c>
      <c r="B290" s="102" t="n">
        <v>44985</v>
      </c>
      <c r="C290" s="103" t="n">
        <v>25868361.12</v>
      </c>
      <c r="D290" s="98">
        <f>C290/E290</f>
        <v/>
      </c>
      <c r="E290" s="98" t="n">
        <v>82.64</v>
      </c>
      <c r="F290" s="98">
        <f>D290/100000</f>
        <v/>
      </c>
      <c r="G290" s="97">
        <f>(F290/DataSheet!$C$10*100)</f>
        <v/>
      </c>
      <c r="H290" s="98">
        <f>K290/I290</f>
        <v/>
      </c>
      <c r="I290" s="98">
        <f>(J290/L290)*100</f>
        <v/>
      </c>
      <c r="J290" s="97">
        <f>L290/O290</f>
        <v/>
      </c>
      <c r="K290" s="98" t="n">
        <v>7.45</v>
      </c>
      <c r="L290" s="98" t="n">
        <v>17303.95</v>
      </c>
      <c r="M290" s="98" t="n">
        <v>4.05</v>
      </c>
      <c r="N290" s="98">
        <f>K290-I290</f>
        <v/>
      </c>
      <c r="O290" s="98" t="n">
        <v>20.39</v>
      </c>
      <c r="P290" s="98" t="n">
        <v>3.93</v>
      </c>
      <c r="Q290" s="97">
        <f>K290-P290</f>
        <v/>
      </c>
      <c r="R290" s="98" t="n">
        <v>104.93</v>
      </c>
      <c r="S290" s="97">
        <f>(O290*T290)</f>
        <v/>
      </c>
      <c r="T290" s="79" t="n">
        <v>6.91</v>
      </c>
      <c r="U290" s="80" t="n">
        <v>11411.25</v>
      </c>
      <c r="V290" s="80" t="n">
        <v>23.88</v>
      </c>
      <c r="W290" s="97">
        <f>U290/V290</f>
        <v/>
      </c>
      <c r="X290" s="97">
        <f>(W290/U290)*100</f>
        <v/>
      </c>
      <c r="Y290" s="80" t="n">
        <v>8924.15</v>
      </c>
      <c r="Z290" s="80" t="n">
        <v>17.77</v>
      </c>
      <c r="AA290" s="97">
        <f>Y290/Z290</f>
        <v/>
      </c>
      <c r="AB290" s="97">
        <f>(AA290/Y290)*100</f>
        <v/>
      </c>
    </row>
    <row r="291">
      <c r="A291" s="92" t="n">
        <v>290</v>
      </c>
      <c r="B291" s="102" t="n">
        <v>44986</v>
      </c>
      <c r="C291" s="103" t="n">
        <v>26188931.89</v>
      </c>
      <c r="D291" s="98">
        <f>C291/E291</f>
        <v/>
      </c>
      <c r="E291" s="98" t="n">
        <v>82.43000000000001</v>
      </c>
      <c r="F291" s="98">
        <f>D291/100000</f>
        <v/>
      </c>
      <c r="G291" s="97">
        <f>(F291/DataSheet!$C$10*100)</f>
        <v/>
      </c>
      <c r="H291" s="98">
        <f>K291/I291</f>
        <v/>
      </c>
      <c r="I291" s="98">
        <f>(J291/L291)*100</f>
        <v/>
      </c>
      <c r="J291" s="97">
        <f>L291/O291</f>
        <v/>
      </c>
      <c r="K291" s="98" t="n">
        <v>7.45</v>
      </c>
      <c r="L291" s="98" t="n">
        <v>17450.9</v>
      </c>
      <c r="M291" s="98" t="n">
        <v>4.09</v>
      </c>
      <c r="N291" s="98">
        <f>K291-I291</f>
        <v/>
      </c>
      <c r="O291" s="98" t="n">
        <v>20.56</v>
      </c>
      <c r="P291" s="98" t="n">
        <v>3.99</v>
      </c>
      <c r="Q291" s="97">
        <f>K291-P291</f>
        <v/>
      </c>
      <c r="R291" s="98" t="n">
        <v>104.43</v>
      </c>
      <c r="S291" s="97">
        <f>(O291*T291)</f>
        <v/>
      </c>
      <c r="T291" s="79" t="n">
        <v>6.94</v>
      </c>
      <c r="U291" s="80" t="n">
        <v>11572.2</v>
      </c>
      <c r="V291" s="80" t="n">
        <v>24.22</v>
      </c>
      <c r="W291" s="97">
        <f>U291/V291</f>
        <v/>
      </c>
      <c r="X291" s="97">
        <f>(W291/U291)*100</f>
        <v/>
      </c>
      <c r="Y291" s="80" t="n">
        <v>9035.049999999999</v>
      </c>
      <c r="Z291" s="80" t="n">
        <v>17.99</v>
      </c>
      <c r="AA291" s="97">
        <f>Y291/Z291</f>
        <v/>
      </c>
      <c r="AB291" s="97">
        <f>(AA291/Y291)*100</f>
        <v/>
      </c>
    </row>
    <row r="292">
      <c r="A292" s="92" t="n">
        <v>291</v>
      </c>
      <c r="B292" s="102" t="n">
        <v>44987</v>
      </c>
      <c r="C292" s="103" t="n">
        <v>26093404.38</v>
      </c>
      <c r="D292" s="98">
        <f>C292/E292</f>
        <v/>
      </c>
      <c r="E292" s="98" t="n">
        <v>82.34999999999999</v>
      </c>
      <c r="F292" s="98">
        <f>D292/100000</f>
        <v/>
      </c>
      <c r="G292" s="97">
        <f>(F292/DataSheet!$C$10*100)</f>
        <v/>
      </c>
      <c r="H292" s="98">
        <f>K292/I292</f>
        <v/>
      </c>
      <c r="I292" s="98">
        <f>(J292/L292)*100</f>
        <v/>
      </c>
      <c r="J292" s="97">
        <f>L292/O292</f>
        <v/>
      </c>
      <c r="K292" s="98" t="n">
        <v>7.43</v>
      </c>
      <c r="L292" s="98" t="n">
        <v>17321.9</v>
      </c>
      <c r="M292" s="98" t="n">
        <v>4.06</v>
      </c>
      <c r="N292" s="98">
        <f>K292-I292</f>
        <v/>
      </c>
      <c r="O292" s="98" t="n">
        <v>20.41</v>
      </c>
      <c r="P292" s="98" t="n">
        <v>4.06</v>
      </c>
      <c r="Q292" s="97">
        <f>K292-P292</f>
        <v/>
      </c>
      <c r="R292" s="98" t="n">
        <v>104.99</v>
      </c>
      <c r="S292" s="97">
        <f>(O292*T292)</f>
        <v/>
      </c>
      <c r="T292" s="79" t="n">
        <v>6.94</v>
      </c>
      <c r="U292" s="80" t="n">
        <v>11547.05</v>
      </c>
      <c r="V292" s="80" t="n">
        <v>24.17</v>
      </c>
      <c r="W292" s="97">
        <f>U292/V292</f>
        <v/>
      </c>
      <c r="X292" s="97">
        <f>(W292/U292)*100</f>
        <v/>
      </c>
      <c r="Y292" s="80" t="n">
        <v>9027.1</v>
      </c>
      <c r="Z292" s="80" t="n">
        <v>17.93</v>
      </c>
      <c r="AA292" s="97">
        <f>Y292/Z292</f>
        <v/>
      </c>
      <c r="AB292" s="97">
        <f>(AA292/Y292)*100</f>
        <v/>
      </c>
    </row>
    <row r="293">
      <c r="A293" s="92" t="n">
        <v>292</v>
      </c>
      <c r="B293" s="102" t="n">
        <v>44988</v>
      </c>
      <c r="C293" s="101" t="n">
        <v>26437737.79</v>
      </c>
      <c r="D293" s="97">
        <f>C293/E293</f>
        <v/>
      </c>
      <c r="E293" s="97" t="n">
        <v>81.68000000000001</v>
      </c>
      <c r="F293" s="97">
        <f>D293/100000</f>
        <v/>
      </c>
      <c r="G293" s="97">
        <f>(F293/DataSheet!$C$10*100)</f>
        <v/>
      </c>
      <c r="H293" s="97">
        <f>K293/I293</f>
        <v/>
      </c>
      <c r="I293" s="97">
        <f>(J293/L293)*100</f>
        <v/>
      </c>
      <c r="J293" s="97">
        <f>L293/O293</f>
        <v/>
      </c>
      <c r="K293" s="97" t="n">
        <v>7.41</v>
      </c>
      <c r="L293" s="97" t="n">
        <v>17594.35</v>
      </c>
      <c r="M293" s="97" t="n">
        <v>4.12</v>
      </c>
      <c r="N293" s="97">
        <f>K293-I293</f>
        <v/>
      </c>
      <c r="O293" s="97" t="n">
        <v>20.73</v>
      </c>
      <c r="P293" s="97" t="n">
        <v>3.95</v>
      </c>
      <c r="Q293" s="97">
        <f>K293-P293</f>
        <v/>
      </c>
      <c r="R293" s="97" t="n">
        <v>104.48</v>
      </c>
      <c r="S293" s="97">
        <f>(O293*T293)</f>
        <v/>
      </c>
      <c r="T293" s="79" t="n">
        <v>6.95</v>
      </c>
      <c r="U293" s="80" t="n">
        <v>11605.2</v>
      </c>
      <c r="V293" s="80" t="n">
        <v>24.29</v>
      </c>
      <c r="W293" s="97">
        <f>U293/V293</f>
        <v/>
      </c>
      <c r="X293" s="97">
        <f>(W293/U293)*100</f>
        <v/>
      </c>
      <c r="Y293" s="80" t="n">
        <v>9090.65</v>
      </c>
      <c r="Z293" s="80" t="n">
        <v>18.06</v>
      </c>
      <c r="AA293" s="97">
        <f>Y293/Z293</f>
        <v/>
      </c>
      <c r="AB293" s="97">
        <f>(AA293/Y293)*100</f>
        <v/>
      </c>
    </row>
    <row r="294">
      <c r="A294" s="92" t="n">
        <v>293</v>
      </c>
      <c r="B294" s="102" t="n">
        <v>44991</v>
      </c>
      <c r="C294" s="103" t="n">
        <v>26633874.88</v>
      </c>
      <c r="D294" s="98">
        <f>C294/E294</f>
        <v/>
      </c>
      <c r="E294" s="98" t="n">
        <v>81.81</v>
      </c>
      <c r="F294" s="98">
        <f>D294/100000</f>
        <v/>
      </c>
      <c r="G294" s="97">
        <f>(F294/DataSheet!$C$10*100)</f>
        <v/>
      </c>
      <c r="H294" s="98">
        <f>K294/I294</f>
        <v/>
      </c>
      <c r="I294" s="98">
        <f>(J294/L294)*100</f>
        <v/>
      </c>
      <c r="J294" s="97">
        <f>L294/O294</f>
        <v/>
      </c>
      <c r="K294" s="98" t="n">
        <v>7.41</v>
      </c>
      <c r="L294" s="98" t="n">
        <v>17711.45</v>
      </c>
      <c r="M294" s="98" t="n">
        <v>4.15</v>
      </c>
      <c r="N294" s="98">
        <f>K294-I294</f>
        <v/>
      </c>
      <c r="O294" s="98" t="n">
        <v>20.87</v>
      </c>
      <c r="P294" s="98" t="n">
        <v>3.96</v>
      </c>
      <c r="Q294" s="97">
        <f>K294-P294</f>
        <v/>
      </c>
      <c r="R294" s="98" t="n">
        <v>104.24</v>
      </c>
      <c r="S294" s="97">
        <f>(O294*T294)</f>
        <v/>
      </c>
      <c r="T294" s="79" t="n">
        <v>6.92</v>
      </c>
      <c r="U294" s="80" t="n">
        <v>11686.9</v>
      </c>
      <c r="V294" s="80" t="n">
        <v>24.46</v>
      </c>
      <c r="W294" s="97">
        <f>U294/V294</f>
        <v/>
      </c>
      <c r="X294" s="97">
        <f>(W294/U294)*100</f>
        <v/>
      </c>
      <c r="Y294" s="80" t="n">
        <v>9184.1</v>
      </c>
      <c r="Z294" s="80" t="n">
        <v>18.24</v>
      </c>
      <c r="AA294" s="97">
        <f>Y294/Z294</f>
        <v/>
      </c>
      <c r="AB294" s="97">
        <f>(AA294/Y294)*100</f>
        <v/>
      </c>
    </row>
    <row r="295">
      <c r="A295" s="92" t="n">
        <v>294</v>
      </c>
      <c r="B295" s="102" t="n">
        <v>44993</v>
      </c>
      <c r="C295" s="103" t="n">
        <v>26721005.23</v>
      </c>
      <c r="D295" s="98">
        <f>C295/E295</f>
        <v/>
      </c>
      <c r="E295" s="98" t="n">
        <v>81.95</v>
      </c>
      <c r="F295" s="98">
        <f>D295/100000</f>
        <v/>
      </c>
      <c r="G295" s="97">
        <f>(F295/DataSheet!$C$10*100)</f>
        <v/>
      </c>
      <c r="H295" s="98">
        <f>K295/I295</f>
        <v/>
      </c>
      <c r="I295" s="98">
        <f>(J295/L295)*100</f>
        <v/>
      </c>
      <c r="J295" s="97">
        <f>L295/O295</f>
        <v/>
      </c>
      <c r="K295" s="98" t="n">
        <v>7.45</v>
      </c>
      <c r="L295" s="98" t="n">
        <v>17754.4</v>
      </c>
      <c r="M295" s="98" t="n">
        <v>4.16</v>
      </c>
      <c r="N295" s="98">
        <f>K295-I295</f>
        <v/>
      </c>
      <c r="O295" s="98" t="n">
        <v>20.92</v>
      </c>
      <c r="P295" s="98" t="n">
        <v>3.98</v>
      </c>
      <c r="Q295" s="97">
        <f>K295-P295</f>
        <v/>
      </c>
      <c r="R295" s="98" t="n">
        <v>105.63</v>
      </c>
      <c r="S295" s="97">
        <f>(O295*T295)</f>
        <v/>
      </c>
      <c r="T295" s="79" t="n">
        <v>6.95</v>
      </c>
      <c r="U295" s="80" t="n">
        <v>11724.6</v>
      </c>
      <c r="V295" s="80" t="n">
        <v>24.54</v>
      </c>
      <c r="W295" s="97">
        <f>U295/V295</f>
        <v/>
      </c>
      <c r="X295" s="97">
        <f>(W295/U295)*100</f>
        <v/>
      </c>
      <c r="Y295" s="80" t="n">
        <v>9208.75</v>
      </c>
      <c r="Z295" s="80" t="n">
        <v>18.29</v>
      </c>
      <c r="AA295" s="97">
        <f>Y295/Z295</f>
        <v/>
      </c>
      <c r="AB295" s="97">
        <f>(AA295/Y295)*100</f>
        <v/>
      </c>
    </row>
    <row r="296">
      <c r="A296" s="92" t="n">
        <v>295</v>
      </c>
      <c r="B296" s="102" t="n">
        <v>44994</v>
      </c>
      <c r="C296" s="103" t="n">
        <v>26536568.51</v>
      </c>
      <c r="D296" s="98">
        <f>C296/E296</f>
        <v/>
      </c>
      <c r="E296" s="98" t="n">
        <v>82.02</v>
      </c>
      <c r="F296" s="98">
        <f>D296/100000</f>
        <v/>
      </c>
      <c r="G296" s="97">
        <f>(F296/DataSheet!$C$10*100)</f>
        <v/>
      </c>
      <c r="H296" s="98">
        <f>K296/I296</f>
        <v/>
      </c>
      <c r="I296" s="98">
        <f>(J296/L296)*100</f>
        <v/>
      </c>
      <c r="J296" s="97">
        <f>L296/O296</f>
        <v/>
      </c>
      <c r="K296" s="98" t="n">
        <v>7.44</v>
      </c>
      <c r="L296" s="98" t="n">
        <v>17589.6</v>
      </c>
      <c r="M296" s="98" t="n">
        <v>4.12</v>
      </c>
      <c r="N296" s="98">
        <f>K296-I296</f>
        <v/>
      </c>
      <c r="O296" s="98" t="n">
        <v>20.73</v>
      </c>
      <c r="P296" s="98" t="n">
        <v>3.9</v>
      </c>
      <c r="Q296" s="97">
        <f>K296-P296</f>
        <v/>
      </c>
      <c r="R296" s="98" t="n">
        <v>105.3</v>
      </c>
      <c r="S296" s="97">
        <f>(O296*T296)</f>
        <v/>
      </c>
      <c r="T296" s="79" t="n">
        <v>6.97</v>
      </c>
      <c r="U296" s="80" t="n">
        <v>11660</v>
      </c>
      <c r="V296" s="80" t="n">
        <v>24.41</v>
      </c>
      <c r="W296" s="97">
        <f>U296/V296</f>
        <v/>
      </c>
      <c r="X296" s="97">
        <f>(W296/U296)*100</f>
        <v/>
      </c>
      <c r="Y296" s="80" t="n">
        <v>9178.200000000001</v>
      </c>
      <c r="Z296" s="80" t="n">
        <v>18.23</v>
      </c>
      <c r="AA296" s="97">
        <f>Y296/Z296</f>
        <v/>
      </c>
      <c r="AB296" s="97">
        <f>(AA296/Y296)*100</f>
        <v/>
      </c>
    </row>
    <row r="297">
      <c r="A297" s="92" t="n">
        <v>296</v>
      </c>
      <c r="B297" s="102" t="n">
        <v>44995</v>
      </c>
      <c r="C297" s="103" t="n">
        <v>26402869.56</v>
      </c>
      <c r="D297" s="98">
        <f>C297/E297</f>
        <v/>
      </c>
      <c r="E297" s="98" t="n">
        <v>81.95999999999999</v>
      </c>
      <c r="F297" s="98">
        <f>D297/100000</f>
        <v/>
      </c>
      <c r="G297" s="97">
        <f>(F297/DataSheet!$C$10*100)</f>
        <v/>
      </c>
      <c r="H297" s="98">
        <f>K297/I297</f>
        <v/>
      </c>
      <c r="I297" s="98">
        <f>(J297/L297)*100</f>
        <v/>
      </c>
      <c r="J297" s="97">
        <f>L297/O297</f>
        <v/>
      </c>
      <c r="K297" s="98" t="n">
        <v>7.42</v>
      </c>
      <c r="L297" s="98" t="n">
        <v>17412.9</v>
      </c>
      <c r="M297" s="98" t="n">
        <v>4.08</v>
      </c>
      <c r="N297" s="98">
        <f>K297-I297</f>
        <v/>
      </c>
      <c r="O297" s="98" t="n">
        <v>20.52</v>
      </c>
      <c r="P297" s="98" t="n">
        <v>3.7</v>
      </c>
      <c r="Q297" s="97">
        <f>K297-P297</f>
        <v/>
      </c>
      <c r="R297" s="98" t="n">
        <v>104.55</v>
      </c>
      <c r="S297" s="97">
        <f>(O297*T297)</f>
        <v/>
      </c>
      <c r="T297" s="79" t="n">
        <v>6.9</v>
      </c>
      <c r="U297" s="80" t="n">
        <v>11582.15</v>
      </c>
      <c r="V297" s="80" t="n">
        <v>24.24</v>
      </c>
      <c r="W297" s="97">
        <f>U297/V297</f>
        <v/>
      </c>
      <c r="X297" s="97">
        <f>(W297/U297)*100</f>
        <v/>
      </c>
      <c r="Y297" s="80" t="n">
        <v>9112.4</v>
      </c>
      <c r="Z297" s="80" t="n">
        <v>18.1</v>
      </c>
      <c r="AA297" s="97">
        <f>Y297/Z297</f>
        <v/>
      </c>
      <c r="AB297" s="97">
        <f>(AA297/Y297)*100</f>
        <v/>
      </c>
    </row>
    <row r="298">
      <c r="A298" s="92" t="n">
        <v>297</v>
      </c>
      <c r="B298" s="102" t="n">
        <v>44998</v>
      </c>
      <c r="C298" s="103" t="n">
        <v>25959096.38</v>
      </c>
      <c r="D298" s="98">
        <f>C298/E298</f>
        <v/>
      </c>
      <c r="E298" s="98" t="n">
        <v>82.23</v>
      </c>
      <c r="F298" s="98">
        <f>D298/100000</f>
        <v/>
      </c>
      <c r="G298" s="97">
        <f>(F298/DataSheet!$C$10*100)</f>
        <v/>
      </c>
      <c r="H298" s="98">
        <f>K298/I298</f>
        <v/>
      </c>
      <c r="I298" s="98">
        <f>(J298/L298)*100</f>
        <v/>
      </c>
      <c r="J298" s="97">
        <f>L298/O298</f>
        <v/>
      </c>
      <c r="K298" s="98" t="n">
        <v>7.36</v>
      </c>
      <c r="L298" s="98" t="n">
        <v>17154.3</v>
      </c>
      <c r="M298" s="98" t="n">
        <v>4.02</v>
      </c>
      <c r="N298" s="98">
        <f>K298-I298</f>
        <v/>
      </c>
      <c r="O298" s="98" t="n">
        <v>20.21</v>
      </c>
      <c r="P298" s="98" t="n">
        <v>3.54</v>
      </c>
      <c r="Q298" s="97">
        <f>K298-P298</f>
        <v/>
      </c>
      <c r="R298" s="98" t="n">
        <v>103.71</v>
      </c>
      <c r="S298" s="97">
        <f>(O298*T298)</f>
        <v/>
      </c>
      <c r="T298" s="79" t="n">
        <v>6.87</v>
      </c>
      <c r="U298" s="80" t="n">
        <v>11375.2</v>
      </c>
      <c r="V298" s="80" t="n">
        <v>23.81</v>
      </c>
      <c r="W298" s="97">
        <f>U298/V298</f>
        <v/>
      </c>
      <c r="X298" s="97">
        <f>(W298/U298)*100</f>
        <v/>
      </c>
      <c r="Y298" s="80" t="n">
        <v>8922.799999999999</v>
      </c>
      <c r="Z298" s="80" t="n">
        <v>17.72</v>
      </c>
      <c r="AA298" s="97">
        <f>Y298/Z298</f>
        <v/>
      </c>
      <c r="AB298" s="97">
        <f>(AA298/Y298)*100</f>
        <v/>
      </c>
    </row>
    <row r="299">
      <c r="A299" s="92" t="n">
        <v>298</v>
      </c>
      <c r="B299" s="102" t="n">
        <v>44999</v>
      </c>
      <c r="C299" s="103" t="n">
        <v>25743073.08</v>
      </c>
      <c r="D299" s="98">
        <f>C299/E299</f>
        <v/>
      </c>
      <c r="E299" s="98" t="n">
        <v>82.23999999999999</v>
      </c>
      <c r="F299" s="98">
        <f>D299/100000</f>
        <v/>
      </c>
      <c r="G299" s="97">
        <f>(F299/DataSheet!$C$10*100)</f>
        <v/>
      </c>
      <c r="H299" s="98">
        <f>K299/I299</f>
        <v/>
      </c>
      <c r="I299" s="98">
        <f>(J299/L299)*100</f>
        <v/>
      </c>
      <c r="J299" s="97">
        <f>L299/O299</f>
        <v/>
      </c>
      <c r="K299" s="98" t="n">
        <v>7.37</v>
      </c>
      <c r="L299" s="98" t="n">
        <v>17043.3</v>
      </c>
      <c r="M299" s="98" t="n">
        <v>3.99</v>
      </c>
      <c r="N299" s="98">
        <f>K299-I299</f>
        <v/>
      </c>
      <c r="O299" s="98" t="n">
        <v>20.08</v>
      </c>
      <c r="P299" s="98" t="n">
        <v>3.68</v>
      </c>
      <c r="Q299" s="97">
        <f>K299-P299</f>
        <v/>
      </c>
      <c r="R299" s="98" t="n">
        <v>103.21</v>
      </c>
      <c r="S299" s="97">
        <f>(O299*T299)</f>
        <v/>
      </c>
      <c r="T299" s="79" t="n">
        <v>6.9</v>
      </c>
      <c r="U299" s="80" t="n">
        <v>11304.7</v>
      </c>
      <c r="V299" s="80" t="n">
        <v>23.66</v>
      </c>
      <c r="W299" s="97">
        <f>U299/V299</f>
        <v/>
      </c>
      <c r="X299" s="97">
        <f>(W299/U299)*100</f>
        <v/>
      </c>
      <c r="Y299" s="80" t="n">
        <v>8843</v>
      </c>
      <c r="Z299" s="80" t="n">
        <v>17.57</v>
      </c>
      <c r="AA299" s="97">
        <f>Y299/Z299</f>
        <v/>
      </c>
      <c r="AB299" s="97">
        <f>(AA299/Y299)*100</f>
        <v/>
      </c>
    </row>
    <row r="300">
      <c r="A300" s="92" t="n">
        <v>299</v>
      </c>
      <c r="B300" s="102" t="n">
        <v>45000</v>
      </c>
      <c r="C300" s="103" t="n">
        <v>25697974.78</v>
      </c>
      <c r="D300" s="98">
        <f>C300/E300</f>
        <v/>
      </c>
      <c r="E300" s="98" t="n">
        <v>82.88</v>
      </c>
      <c r="F300" s="98">
        <f>D300/100000</f>
        <v/>
      </c>
      <c r="G300" s="97">
        <f>(F300/DataSheet!$C$10*100)</f>
        <v/>
      </c>
      <c r="H300" s="98">
        <f>K300/I300</f>
        <v/>
      </c>
      <c r="I300" s="98">
        <f>(J300/L300)*100</f>
        <v/>
      </c>
      <c r="J300" s="97">
        <f>L300/O300</f>
        <v/>
      </c>
      <c r="K300" s="98" t="n">
        <v>7.36</v>
      </c>
      <c r="L300" s="98" t="n">
        <v>16972.15</v>
      </c>
      <c r="M300" s="98" t="n">
        <v>3.97</v>
      </c>
      <c r="N300" s="98">
        <f>K300-I300</f>
        <v/>
      </c>
      <c r="O300" s="98" t="n">
        <v>20</v>
      </c>
      <c r="P300" s="98" t="n">
        <v>3.46</v>
      </c>
      <c r="Q300" s="97">
        <f>K300-P300</f>
        <v/>
      </c>
      <c r="R300" s="98" t="n">
        <v>104.27</v>
      </c>
      <c r="S300" s="97">
        <f>(O300*T300)</f>
        <v/>
      </c>
      <c r="T300" s="79" t="n">
        <v>6.87</v>
      </c>
      <c r="U300" s="80" t="n">
        <v>11308.8</v>
      </c>
      <c r="V300" s="80" t="n">
        <v>23.67</v>
      </c>
      <c r="W300" s="97">
        <f>U300/V300</f>
        <v/>
      </c>
      <c r="X300" s="97">
        <f>(W300/U300)*100</f>
        <v/>
      </c>
      <c r="Y300" s="80" t="n">
        <v>8859.200000000001</v>
      </c>
      <c r="Z300" s="80" t="n">
        <v>17.6</v>
      </c>
      <c r="AA300" s="97">
        <f>Y300/Z300</f>
        <v/>
      </c>
      <c r="AB300" s="97">
        <f>(AA300/Y300)*100</f>
        <v/>
      </c>
    </row>
    <row r="301">
      <c r="A301" s="92" t="n">
        <v>300</v>
      </c>
      <c r="B301" s="102" t="n">
        <v>45001</v>
      </c>
      <c r="C301" s="103" t="n">
        <v>25708611.52</v>
      </c>
      <c r="D301" s="98">
        <f>C301/E301</f>
        <v/>
      </c>
      <c r="E301" s="98" t="n">
        <v>82.62</v>
      </c>
      <c r="F301" s="98">
        <f>D301/100000</f>
        <v/>
      </c>
      <c r="G301" s="97">
        <f>(F301/DataSheet!$C$10*100)</f>
        <v/>
      </c>
      <c r="H301" s="98">
        <f>K301/I301</f>
        <v/>
      </c>
      <c r="I301" s="98">
        <f>(J301/L301)*100</f>
        <v/>
      </c>
      <c r="J301" s="97">
        <f>L301/O301</f>
        <v/>
      </c>
      <c r="K301" s="98" t="n">
        <v>7.35</v>
      </c>
      <c r="L301" s="98" t="n">
        <v>16985.6</v>
      </c>
      <c r="M301" s="98" t="n">
        <v>3.98</v>
      </c>
      <c r="N301" s="98">
        <f>K301-I301</f>
        <v/>
      </c>
      <c r="O301" s="98" t="n">
        <v>20.01</v>
      </c>
      <c r="P301" s="98" t="n">
        <v>3.57</v>
      </c>
      <c r="Q301" s="97">
        <f>K301-P301</f>
        <v/>
      </c>
      <c r="R301" s="98" t="n">
        <v>104.09</v>
      </c>
      <c r="S301" s="97">
        <f>(O301*T301)</f>
        <v/>
      </c>
      <c r="T301" s="79" t="n">
        <v>6.81</v>
      </c>
      <c r="U301" s="80" t="n">
        <v>11305.2</v>
      </c>
      <c r="V301" s="80" t="n">
        <v>23.66</v>
      </c>
      <c r="W301" s="97">
        <f>U301/V301</f>
        <v/>
      </c>
      <c r="X301" s="97">
        <f>(W301/U301)*100</f>
        <v/>
      </c>
      <c r="Y301" s="80" t="n">
        <v>8797.299999999999</v>
      </c>
      <c r="Z301" s="80" t="n">
        <v>17.48</v>
      </c>
      <c r="AA301" s="97">
        <f>Y301/Z301</f>
        <v/>
      </c>
      <c r="AB301" s="97">
        <f>(AA301/Y301)*100</f>
        <v/>
      </c>
    </row>
    <row r="302">
      <c r="A302" s="92" t="n">
        <v>301</v>
      </c>
      <c r="B302" s="102" t="n">
        <v>45002</v>
      </c>
      <c r="C302" s="103" t="n">
        <v>25858831.17</v>
      </c>
      <c r="D302" s="98">
        <f>C302/E302</f>
        <v/>
      </c>
      <c r="E302" s="98" t="n">
        <v>82.52</v>
      </c>
      <c r="F302" s="98">
        <f>D302/100000</f>
        <v/>
      </c>
      <c r="G302" s="97">
        <f>(F302/DataSheet!$C$10*100)</f>
        <v/>
      </c>
      <c r="H302" s="98">
        <f>K302/I302</f>
        <v/>
      </c>
      <c r="I302" s="98">
        <f>(J302/L302)*100</f>
        <v/>
      </c>
      <c r="J302" s="97">
        <f>L302/O302</f>
        <v/>
      </c>
      <c r="K302" s="98" t="n">
        <v>7.35</v>
      </c>
      <c r="L302" s="98" t="n">
        <v>17100.05</v>
      </c>
      <c r="M302" s="98" t="n">
        <v>4</v>
      </c>
      <c r="N302" s="98">
        <f>K302-I302</f>
        <v/>
      </c>
      <c r="O302" s="98" t="n">
        <v>20.15</v>
      </c>
      <c r="P302" s="98" t="n">
        <v>3.43</v>
      </c>
      <c r="Q302" s="97">
        <f>K302-P302</f>
        <v/>
      </c>
      <c r="R302" s="98" t="n">
        <v>103.36</v>
      </c>
      <c r="S302" s="97">
        <f>(O302*T302)</f>
        <v/>
      </c>
      <c r="T302" s="79" t="n">
        <v>6.81</v>
      </c>
      <c r="U302" s="80" t="n">
        <v>11354.25</v>
      </c>
      <c r="V302" s="80" t="n">
        <v>23.77</v>
      </c>
      <c r="W302" s="97">
        <f>U302/V302</f>
        <v/>
      </c>
      <c r="X302" s="97">
        <f>(W302/U302)*100</f>
        <v/>
      </c>
      <c r="Y302" s="80" t="n">
        <v>8855.6</v>
      </c>
      <c r="Z302" s="80" t="n">
        <v>17.59</v>
      </c>
      <c r="AA302" s="97">
        <f>Y302/Z302</f>
        <v/>
      </c>
      <c r="AB302" s="97">
        <f>(AA302/Y302)*100</f>
        <v/>
      </c>
    </row>
    <row r="303">
      <c r="A303" s="92" t="n">
        <v>302</v>
      </c>
      <c r="B303" s="102" t="n">
        <v>45005</v>
      </c>
      <c r="C303" s="103" t="n">
        <v>25644938</v>
      </c>
      <c r="D303" s="98">
        <f>C303/E303</f>
        <v/>
      </c>
      <c r="E303" s="98" t="n">
        <v>82.51000000000001</v>
      </c>
      <c r="F303" s="98">
        <f>D303/100000</f>
        <v/>
      </c>
      <c r="G303" s="97">
        <f>(F303/DataSheet!$C$10*100)</f>
        <v/>
      </c>
      <c r="H303" s="98">
        <f>K303/I303</f>
        <v/>
      </c>
      <c r="I303" s="98">
        <f>(J303/L303)*100</f>
        <v/>
      </c>
      <c r="J303" s="97">
        <f>L303/O303</f>
        <v/>
      </c>
      <c r="K303" s="98" t="n">
        <v>7.33</v>
      </c>
      <c r="L303" s="98" t="n">
        <v>16988.4</v>
      </c>
      <c r="M303" s="98" t="n">
        <v>3.98</v>
      </c>
      <c r="N303" s="98">
        <f>K303-I303</f>
        <v/>
      </c>
      <c r="O303" s="98" t="n">
        <v>20.02</v>
      </c>
      <c r="P303" s="98" t="n">
        <v>3.48</v>
      </c>
      <c r="Q303" s="97">
        <f>K303-P303</f>
        <v/>
      </c>
      <c r="R303" s="98" t="n">
        <v>102.93</v>
      </c>
      <c r="S303" s="97">
        <f>(O303*T303)</f>
        <v/>
      </c>
      <c r="T303" s="79" t="n">
        <v>6.81</v>
      </c>
      <c r="U303" s="80" t="n">
        <v>11245.6</v>
      </c>
      <c r="V303" s="80" t="n">
        <v>23.54</v>
      </c>
      <c r="W303" s="97">
        <f>U303/V303</f>
        <v/>
      </c>
      <c r="X303" s="97">
        <f>(W303/U303)*100</f>
        <v/>
      </c>
      <c r="Y303" s="80" t="n">
        <v>8779.799999999999</v>
      </c>
      <c r="Z303" s="80" t="n">
        <v>17.44</v>
      </c>
      <c r="AA303" s="97">
        <f>Y303/Z303</f>
        <v/>
      </c>
      <c r="AB303" s="97">
        <f>(AA303/Y303)*100</f>
        <v/>
      </c>
    </row>
    <row r="304">
      <c r="A304" s="92" t="n">
        <v>303</v>
      </c>
      <c r="B304" s="102" t="n">
        <v>45006</v>
      </c>
      <c r="C304" s="103" t="n">
        <v>25795566.99</v>
      </c>
      <c r="D304" s="98">
        <f>C304/E304</f>
        <v/>
      </c>
      <c r="E304" s="98" t="n">
        <v>82.67</v>
      </c>
      <c r="F304" s="98">
        <f>D304/100000</f>
        <v/>
      </c>
      <c r="G304" s="97">
        <f>(F304/DataSheet!$C$10*100)</f>
        <v/>
      </c>
      <c r="H304" s="98">
        <f>K304/I304</f>
        <v/>
      </c>
      <c r="I304" s="98">
        <f>(J304/L304)*100</f>
        <v/>
      </c>
      <c r="J304" s="97">
        <f>L304/O304</f>
        <v/>
      </c>
      <c r="K304" s="98" t="n">
        <v>7.35</v>
      </c>
      <c r="L304" s="98" t="n">
        <v>17107.5</v>
      </c>
      <c r="M304" s="98" t="n">
        <v>4.01</v>
      </c>
      <c r="N304" s="98">
        <f>K304-I304</f>
        <v/>
      </c>
      <c r="O304" s="98" t="n">
        <v>20.16</v>
      </c>
      <c r="P304" s="98" t="n">
        <v>3.6</v>
      </c>
      <c r="Q304" s="97">
        <f>K304-P304</f>
        <v/>
      </c>
      <c r="R304" s="98" t="n">
        <v>102.89</v>
      </c>
      <c r="S304" s="97">
        <f>(O304*T304)</f>
        <v/>
      </c>
      <c r="T304" s="79" t="n">
        <v>6.78</v>
      </c>
      <c r="U304" s="80" t="n">
        <v>11308.1</v>
      </c>
      <c r="V304" s="80" t="n">
        <v>23.67</v>
      </c>
      <c r="W304" s="97">
        <f>U304/V304</f>
        <v/>
      </c>
      <c r="X304" s="97">
        <f>(W304/U304)*100</f>
        <v/>
      </c>
      <c r="Y304" s="80" t="n">
        <v>8820.25</v>
      </c>
      <c r="Z304" s="80" t="n">
        <v>17.52</v>
      </c>
      <c r="AA304" s="97">
        <f>Y304/Z304</f>
        <v/>
      </c>
      <c r="AB304" s="97">
        <f>(AA304/Y304)*100</f>
        <v/>
      </c>
    </row>
    <row r="305">
      <c r="A305" s="92" t="n">
        <v>304</v>
      </c>
      <c r="B305" s="102" t="n">
        <v>45007</v>
      </c>
      <c r="C305" s="103" t="n">
        <v>25904836.19</v>
      </c>
      <c r="D305" s="98">
        <f>C305/E305</f>
        <v/>
      </c>
      <c r="E305" s="98" t="n">
        <v>82.5</v>
      </c>
      <c r="F305" s="98">
        <f>D305/100000</f>
        <v/>
      </c>
      <c r="G305" s="97">
        <f>(F305/DataSheet!$C$10*100)</f>
        <v/>
      </c>
      <c r="H305" s="98">
        <f>K305/I305</f>
        <v/>
      </c>
      <c r="I305" s="98">
        <f>(J305/L305)*100</f>
        <v/>
      </c>
      <c r="J305" s="97">
        <f>L305/O305</f>
        <v/>
      </c>
      <c r="K305" s="98" t="n">
        <v>7.35</v>
      </c>
      <c r="L305" s="98" t="n">
        <v>17151.9</v>
      </c>
      <c r="M305" s="98" t="n">
        <v>4.02</v>
      </c>
      <c r="N305" s="98">
        <f>K305-I305</f>
        <v/>
      </c>
      <c r="O305" s="98" t="n">
        <v>20.21</v>
      </c>
      <c r="P305" s="98" t="n">
        <v>3.45</v>
      </c>
      <c r="Q305" s="97">
        <f>K305-P305</f>
        <v/>
      </c>
      <c r="R305" s="98" t="n">
        <v>101.97</v>
      </c>
      <c r="S305" s="97">
        <f>(O305*T305)</f>
        <v/>
      </c>
      <c r="T305" s="79" t="n">
        <v>6.78</v>
      </c>
      <c r="U305" s="80" t="n">
        <v>11339.2</v>
      </c>
      <c r="V305" s="80" t="n">
        <v>23.73</v>
      </c>
      <c r="W305" s="97">
        <f>U305/V305</f>
        <v/>
      </c>
      <c r="X305" s="97">
        <f>(W305/U305)*100</f>
        <v/>
      </c>
      <c r="Y305" s="80" t="n">
        <v>8869.450000000001</v>
      </c>
      <c r="Z305" s="80" t="n">
        <v>17.62</v>
      </c>
      <c r="AA305" s="97">
        <f>Y305/Z305</f>
        <v/>
      </c>
      <c r="AB305" s="97">
        <f>(AA305/Y305)*100</f>
        <v/>
      </c>
    </row>
    <row r="306">
      <c r="A306" s="92" t="n">
        <v>305</v>
      </c>
      <c r="B306" s="102" t="n">
        <v>45008</v>
      </c>
      <c r="C306" s="103" t="n">
        <v>25820157.54</v>
      </c>
      <c r="D306" s="98">
        <f>C306/E306</f>
        <v/>
      </c>
      <c r="E306" s="98" t="n">
        <v>82.23</v>
      </c>
      <c r="F306" s="98">
        <f>D306/100000</f>
        <v/>
      </c>
      <c r="G306" s="97">
        <f>(F306/DataSheet!$C$10*100)</f>
        <v/>
      </c>
      <c r="H306" s="98">
        <f>K306/I306</f>
        <v/>
      </c>
      <c r="I306" s="98">
        <f>(J306/L306)*100</f>
        <v/>
      </c>
      <c r="J306" s="97">
        <f>L306/O306</f>
        <v/>
      </c>
      <c r="K306" s="98" t="n">
        <v>7.34</v>
      </c>
      <c r="L306" s="98" t="n">
        <v>17076.9</v>
      </c>
      <c r="M306" s="98" t="n">
        <v>4</v>
      </c>
      <c r="N306" s="98">
        <f>K306-I306</f>
        <v/>
      </c>
      <c r="O306" s="98" t="n">
        <v>20.12</v>
      </c>
      <c r="P306" s="98" t="n">
        <v>3.41</v>
      </c>
      <c r="Q306" s="97">
        <f>K306-P306</f>
        <v/>
      </c>
      <c r="R306" s="98" t="n">
        <v>102.2</v>
      </c>
      <c r="S306" s="97">
        <f>(O306*T306)</f>
        <v/>
      </c>
      <c r="T306" s="79" t="n">
        <v>6.78</v>
      </c>
      <c r="U306" s="80" t="n">
        <v>11295.8</v>
      </c>
      <c r="V306" s="80" t="n">
        <v>23.64</v>
      </c>
      <c r="W306" s="97">
        <f>U306/V306</f>
        <v/>
      </c>
      <c r="X306" s="97">
        <f>(W306/U306)*100</f>
        <v/>
      </c>
      <c r="Y306" s="80" t="n">
        <v>8842.299999999999</v>
      </c>
      <c r="Z306" s="80" t="n">
        <v>17.56</v>
      </c>
      <c r="AA306" s="97">
        <f>Y306/Z306</f>
        <v/>
      </c>
      <c r="AB306" s="97">
        <f>(AA306/Y306)*100</f>
        <v/>
      </c>
    </row>
    <row r="307">
      <c r="A307" s="92" t="n">
        <v>306</v>
      </c>
      <c r="B307" s="102" t="n">
        <v>45009</v>
      </c>
      <c r="C307" s="103" t="n">
        <v>25564724.41</v>
      </c>
      <c r="D307" s="98">
        <f>C307/E307</f>
        <v/>
      </c>
      <c r="E307" s="98" t="n">
        <v>82.33</v>
      </c>
      <c r="F307" s="98">
        <f>D307/100000</f>
        <v/>
      </c>
      <c r="G307" s="97">
        <f>(F307/DataSheet!$C$10*100)</f>
        <v/>
      </c>
      <c r="H307" s="98">
        <f>K307/I307</f>
        <v/>
      </c>
      <c r="I307" s="98">
        <f>(J307/L307)*100</f>
        <v/>
      </c>
      <c r="J307" s="97">
        <f>L307/O307</f>
        <v/>
      </c>
      <c r="K307" s="98" t="n">
        <v>7.31</v>
      </c>
      <c r="L307" s="98" t="n">
        <v>16945.05</v>
      </c>
      <c r="M307" s="98" t="n">
        <v>3.97</v>
      </c>
      <c r="N307" s="98">
        <f>K307-I307</f>
        <v/>
      </c>
      <c r="O307" s="98" t="n">
        <v>19.97</v>
      </c>
      <c r="P307" s="98" t="n">
        <v>3.37</v>
      </c>
      <c r="Q307" s="97">
        <f>K307-P307</f>
        <v/>
      </c>
      <c r="R307" s="98" t="n">
        <v>102.76</v>
      </c>
      <c r="S307" s="97">
        <f>(O307*T307)</f>
        <v/>
      </c>
      <c r="T307" s="79" t="n">
        <v>6.76</v>
      </c>
      <c r="U307" s="80" t="n">
        <v>11164.65</v>
      </c>
      <c r="V307" s="80" t="n">
        <v>23.37</v>
      </c>
      <c r="W307" s="97">
        <f>U307/V307</f>
        <v/>
      </c>
      <c r="X307" s="97">
        <f>(W307/U307)*100</f>
        <v/>
      </c>
      <c r="Y307" s="80" t="n">
        <v>8707.950000000001</v>
      </c>
      <c r="Z307" s="80" t="n">
        <v>17.3</v>
      </c>
      <c r="AA307" s="97">
        <f>Y307/Z307</f>
        <v/>
      </c>
      <c r="AB307" s="97">
        <f>(AA307/Y307)*100</f>
        <v/>
      </c>
    </row>
    <row r="308">
      <c r="A308" s="92" t="n">
        <v>307</v>
      </c>
      <c r="B308" s="102" t="n">
        <v>45012</v>
      </c>
      <c r="C308" s="103" t="n">
        <v>25359102</v>
      </c>
      <c r="D308" s="98">
        <f>C308/E308</f>
        <v/>
      </c>
      <c r="E308" s="98" t="n">
        <v>82.37</v>
      </c>
      <c r="F308" s="98">
        <f>D308/100000</f>
        <v/>
      </c>
      <c r="G308" s="97">
        <f>(F308/DataSheet!$C$10*100)</f>
        <v/>
      </c>
      <c r="H308" s="98">
        <f>K308/I308</f>
        <v/>
      </c>
      <c r="I308" s="98">
        <f>(J308/L308)*100</f>
        <v/>
      </c>
      <c r="J308" s="97">
        <f>L308/O308</f>
        <v/>
      </c>
      <c r="K308" s="98" t="n">
        <v>7.3</v>
      </c>
      <c r="L308" s="98" t="n">
        <v>16985.7</v>
      </c>
      <c r="M308" s="98" t="n">
        <v>4</v>
      </c>
      <c r="N308" s="98">
        <f>K308-I308</f>
        <v/>
      </c>
      <c r="O308" s="98" t="n">
        <v>20</v>
      </c>
      <c r="P308" s="98" t="n">
        <v>3.47</v>
      </c>
      <c r="Q308" s="97">
        <f>K308-P308</f>
        <v/>
      </c>
      <c r="R308" s="98" t="n">
        <v>102.69</v>
      </c>
      <c r="S308" s="97">
        <f>(O308*T308)</f>
        <v/>
      </c>
      <c r="T308" s="79" t="n">
        <v>6.78</v>
      </c>
      <c r="U308" s="80" t="n">
        <v>11102.1</v>
      </c>
      <c r="V308" s="80" t="n">
        <v>23.23</v>
      </c>
      <c r="W308" s="97">
        <f>U308/V308</f>
        <v/>
      </c>
      <c r="X308" s="97">
        <f>(W308/U308)*100</f>
        <v/>
      </c>
      <c r="Y308" s="80" t="n">
        <v>8577.75</v>
      </c>
      <c r="Z308" s="80" t="n">
        <v>17.04</v>
      </c>
      <c r="AA308" s="97">
        <f>Y308/Z308</f>
        <v/>
      </c>
      <c r="AB308" s="97">
        <f>(AA308/Y308)*100</f>
        <v/>
      </c>
    </row>
    <row r="309">
      <c r="A309" s="92" t="n">
        <v>308</v>
      </c>
      <c r="B309" s="102" t="n">
        <v>45013</v>
      </c>
      <c r="C309" s="103" t="n">
        <v>25301383.41</v>
      </c>
      <c r="D309" s="98">
        <f>C309/E309</f>
        <v/>
      </c>
      <c r="E309" s="98" t="n">
        <v>82.17</v>
      </c>
      <c r="F309" s="98">
        <f>D309/100000</f>
        <v/>
      </c>
      <c r="G309" s="97">
        <f>(F309/DataSheet!$C$10*100)</f>
        <v/>
      </c>
      <c r="H309" s="98">
        <f>K309/I309</f>
        <v/>
      </c>
      <c r="I309" s="98">
        <f>(J309/L309)*100</f>
        <v/>
      </c>
      <c r="J309" s="97">
        <f>L309/O309</f>
        <v/>
      </c>
      <c r="K309" s="98" t="n">
        <v>7.32</v>
      </c>
      <c r="L309" s="98" t="n">
        <v>16951.7</v>
      </c>
      <c r="M309" s="98" t="n">
        <v>3.97</v>
      </c>
      <c r="N309" s="98">
        <f>K309-I309</f>
        <v/>
      </c>
      <c r="O309" s="98" t="n">
        <v>19.97</v>
      </c>
      <c r="P309" s="98" t="n">
        <v>3.57</v>
      </c>
      <c r="Q309" s="97">
        <f>K309-P309</f>
        <v/>
      </c>
      <c r="R309" s="98" t="n">
        <v>102.1</v>
      </c>
      <c r="S309" s="97">
        <f>(O309*T309)</f>
        <v/>
      </c>
      <c r="T309" s="79" t="n">
        <v>7.03</v>
      </c>
      <c r="U309" s="80" t="n">
        <v>11065.65</v>
      </c>
      <c r="V309" s="80" t="n">
        <v>23.16</v>
      </c>
      <c r="W309" s="97">
        <f>U309/V309</f>
        <v/>
      </c>
      <c r="X309" s="97">
        <f>(W309/U309)*100</f>
        <v/>
      </c>
      <c r="Y309" s="80" t="n">
        <v>8509.9</v>
      </c>
      <c r="Z309" s="80" t="n">
        <v>16.9</v>
      </c>
      <c r="AA309" s="97">
        <f>Y309/Z309</f>
        <v/>
      </c>
      <c r="AB309" s="97">
        <f>(AA309/Y309)*100</f>
        <v/>
      </c>
    </row>
    <row r="310">
      <c r="A310" s="92" t="n">
        <v>309</v>
      </c>
      <c r="B310" s="102" t="n">
        <v>45014</v>
      </c>
      <c r="C310" s="103" t="n">
        <v>25576707.37</v>
      </c>
      <c r="D310" s="98">
        <f>C310/E310</f>
        <v/>
      </c>
      <c r="E310" s="98" t="n">
        <v>82.31999999999999</v>
      </c>
      <c r="F310" s="98">
        <f>D310/100000</f>
        <v/>
      </c>
      <c r="G310" s="97">
        <f>(F310/DataSheet!$C$10*100)</f>
        <v/>
      </c>
      <c r="H310" s="98">
        <f>K310/I310</f>
        <v/>
      </c>
      <c r="I310" s="98">
        <f>(J310/L310)*100</f>
        <v/>
      </c>
      <c r="J310" s="97">
        <f>L310/O310</f>
        <v/>
      </c>
      <c r="K310" s="98" t="n">
        <v>7.29</v>
      </c>
      <c r="L310" s="98" t="n">
        <v>17080.7</v>
      </c>
      <c r="M310" s="98" t="n">
        <v>4</v>
      </c>
      <c r="N310" s="98">
        <f>K310-I310</f>
        <v/>
      </c>
      <c r="O310" s="98" t="n">
        <v>20.13</v>
      </c>
      <c r="P310" s="98" t="n">
        <v>3.59</v>
      </c>
      <c r="Q310" s="97">
        <f>K310-P310</f>
        <v/>
      </c>
      <c r="R310" s="98" t="n">
        <v>102.31</v>
      </c>
      <c r="S310" s="97">
        <f>(O310*T310)</f>
        <v/>
      </c>
      <c r="T310" s="79" t="n">
        <v>7.18</v>
      </c>
      <c r="U310" s="80" t="n">
        <v>11250.7</v>
      </c>
      <c r="V310" s="80" t="n">
        <v>23.54</v>
      </c>
      <c r="W310" s="97">
        <f>U310/V310</f>
        <v/>
      </c>
      <c r="X310" s="97">
        <f>(W310/U310)*100</f>
        <v/>
      </c>
      <c r="Y310" s="80" t="n">
        <v>8654.9</v>
      </c>
      <c r="Z310" s="80" t="n">
        <v>17.19</v>
      </c>
      <c r="AA310" s="97">
        <f>Y310/Z310</f>
        <v/>
      </c>
      <c r="AB310" s="97">
        <f>(AA310/Y310)*100</f>
        <v/>
      </c>
    </row>
    <row r="311">
      <c r="A311" s="92" t="n">
        <v>310</v>
      </c>
      <c r="B311" s="102" t="n">
        <v>45016</v>
      </c>
      <c r="C311" s="103" t="n">
        <v>25828863.53</v>
      </c>
      <c r="D311" s="98">
        <f>C311/E311</f>
        <v/>
      </c>
      <c r="E311" s="98" t="n">
        <v>82.16</v>
      </c>
      <c r="F311" s="98">
        <f>D311/100000</f>
        <v/>
      </c>
      <c r="G311" s="97">
        <f>(F311/DataSheet!$C$10*100)</f>
        <v/>
      </c>
      <c r="H311" s="98">
        <f>K311/I311</f>
        <v/>
      </c>
      <c r="I311" s="98">
        <f>(J311/L311)*100</f>
        <v/>
      </c>
      <c r="J311" s="97">
        <f>L311/O311</f>
        <v/>
      </c>
      <c r="K311" s="98" t="n">
        <v>7.31</v>
      </c>
      <c r="L311" s="98" t="n">
        <v>17359.75</v>
      </c>
      <c r="M311" s="98" t="n">
        <v>4.05</v>
      </c>
      <c r="N311" s="98">
        <f>K311-I311</f>
        <v/>
      </c>
      <c r="O311" s="98" t="n">
        <v>20.44</v>
      </c>
      <c r="P311" s="98" t="n">
        <v>3.47</v>
      </c>
      <c r="Q311" s="97">
        <f>K311-P311</f>
        <v/>
      </c>
      <c r="R311" s="98" t="n">
        <v>102.18</v>
      </c>
      <c r="S311" s="97">
        <f>(O311*T311)</f>
        <v/>
      </c>
      <c r="T311" s="79" t="n">
        <v>7.03</v>
      </c>
      <c r="U311" s="80" t="n">
        <v>11352.25</v>
      </c>
      <c r="V311" s="80" t="n">
        <v>23.47</v>
      </c>
      <c r="W311" s="97">
        <f>U311/V311</f>
        <v/>
      </c>
      <c r="X311" s="97">
        <f>(W311/U311)*100</f>
        <v/>
      </c>
      <c r="Y311" s="80" t="n">
        <v>8787.9</v>
      </c>
      <c r="Z311" s="80" t="n">
        <v>16.94</v>
      </c>
      <c r="AA311" s="97">
        <f>Y311/Z311</f>
        <v/>
      </c>
      <c r="AB311" s="97">
        <f>(AA311/Y311)*100</f>
        <v/>
      </c>
    </row>
    <row r="312">
      <c r="A312" s="92" t="n">
        <v>311</v>
      </c>
      <c r="B312" s="102" t="n">
        <v>45019</v>
      </c>
      <c r="C312" s="103" t="n">
        <v>25981915.61</v>
      </c>
      <c r="D312" s="98">
        <f>C312/E312</f>
        <v/>
      </c>
      <c r="E312" s="98" t="n">
        <v>82.19</v>
      </c>
      <c r="F312" s="98">
        <f>D312/100000</f>
        <v/>
      </c>
      <c r="G312" s="97">
        <f>(F312/DataSheet!$C$10*100)</f>
        <v/>
      </c>
      <c r="H312" s="98">
        <f>K312/I312</f>
        <v/>
      </c>
      <c r="I312" s="98">
        <f>(J312/L312)*100</f>
        <v/>
      </c>
      <c r="J312" s="97">
        <f>L312/O312</f>
        <v/>
      </c>
      <c r="K312" s="98" t="n">
        <v>7.31</v>
      </c>
      <c r="L312" s="98" t="n">
        <v>17398.05</v>
      </c>
      <c r="M312" s="98" t="n">
        <v>4.06</v>
      </c>
      <c r="N312" s="98">
        <f>K312-I312</f>
        <v/>
      </c>
      <c r="O312" s="98" t="n">
        <v>20.48</v>
      </c>
      <c r="P312" s="98" t="n">
        <v>3.41</v>
      </c>
      <c r="Q312" s="97">
        <f>K312-P312</f>
        <v/>
      </c>
      <c r="R312" s="98" t="n">
        <v>101.78</v>
      </c>
      <c r="S312" s="97">
        <f>(O312*T312)</f>
        <v/>
      </c>
      <c r="T312" s="79" t="n">
        <v>6.9</v>
      </c>
      <c r="U312" s="80" t="n">
        <v>11404.35</v>
      </c>
      <c r="V312" s="80" t="n">
        <v>23.58</v>
      </c>
      <c r="W312" s="97">
        <f>U312/V312</f>
        <v/>
      </c>
      <c r="X312" s="97">
        <f>(W312/U312)*100</f>
        <v/>
      </c>
      <c r="Y312" s="80" t="n">
        <v>8857.299999999999</v>
      </c>
      <c r="Z312" s="80" t="n">
        <v>17.07</v>
      </c>
      <c r="AA312" s="97">
        <f>Y312/Z312</f>
        <v/>
      </c>
      <c r="AB312" s="97">
        <f>(AA312/Y312)*100</f>
        <v/>
      </c>
    </row>
    <row r="313">
      <c r="A313" s="92" t="n">
        <v>312</v>
      </c>
      <c r="B313" s="102" t="n">
        <v>45021</v>
      </c>
      <c r="C313" s="103" t="n">
        <v>26161744.23</v>
      </c>
      <c r="D313" s="98">
        <f>C313/E313</f>
        <v/>
      </c>
      <c r="E313" s="98" t="n">
        <v>82.09</v>
      </c>
      <c r="F313" s="98">
        <f>D313/100000</f>
        <v/>
      </c>
      <c r="G313" s="97">
        <f>(F313/DataSheet!$C$10*100)</f>
        <v/>
      </c>
      <c r="H313" s="98">
        <f>K313/I313</f>
        <v/>
      </c>
      <c r="I313" s="98">
        <f>(J313/L313)*100</f>
        <v/>
      </c>
      <c r="J313" s="97">
        <f>L313/O313</f>
        <v/>
      </c>
      <c r="K313" s="98" t="n">
        <v>7.27</v>
      </c>
      <c r="L313" s="98" t="n">
        <v>17557.05</v>
      </c>
      <c r="M313" s="98" t="n">
        <v>4.1</v>
      </c>
      <c r="N313" s="98">
        <f>K313-I313</f>
        <v/>
      </c>
      <c r="O313" s="98" t="n">
        <v>20.67</v>
      </c>
      <c r="P313" s="98" t="n">
        <v>3.3</v>
      </c>
      <c r="Q313" s="97">
        <f>K313-P313</f>
        <v/>
      </c>
      <c r="R313" s="98" t="n">
        <v>101.54</v>
      </c>
      <c r="S313" s="97">
        <f>(O313*T313)</f>
        <v/>
      </c>
      <c r="T313" s="79" t="n">
        <v>6.83</v>
      </c>
      <c r="U313" s="80" t="n">
        <v>11415.75</v>
      </c>
      <c r="V313" s="80" t="n">
        <v>23.61</v>
      </c>
      <c r="W313" s="97">
        <f>U313/V313</f>
        <v/>
      </c>
      <c r="X313" s="97">
        <f>(W313/U313)*100</f>
        <v/>
      </c>
      <c r="Y313" s="80" t="n">
        <v>8916.9</v>
      </c>
      <c r="Z313" s="80" t="n">
        <v>17.2</v>
      </c>
      <c r="AA313" s="97">
        <f>Y313/Z313</f>
        <v/>
      </c>
      <c r="AB313" s="97">
        <f>(AA313/Y313)*100</f>
        <v/>
      </c>
    </row>
    <row r="314">
      <c r="A314" s="92" t="n">
        <v>313</v>
      </c>
      <c r="B314" s="102" t="n">
        <v>45022</v>
      </c>
      <c r="C314" s="103" t="n">
        <v>26265589.79</v>
      </c>
      <c r="D314" s="98">
        <f>C314/E314</f>
        <v/>
      </c>
      <c r="E314" s="98" t="n">
        <v>81.92</v>
      </c>
      <c r="F314" s="98">
        <f>D314/100000</f>
        <v/>
      </c>
      <c r="G314" s="97">
        <f>(F314/DataSheet!$C$10*100)</f>
        <v/>
      </c>
      <c r="H314" s="98">
        <f>K314/I314</f>
        <v/>
      </c>
      <c r="I314" s="98">
        <f>(J314/L314)*100</f>
        <v/>
      </c>
      <c r="J314" s="97">
        <f>L314/O314</f>
        <v/>
      </c>
      <c r="K314" s="98" t="n">
        <v>7.21</v>
      </c>
      <c r="L314" s="98" t="n">
        <v>17599.15</v>
      </c>
      <c r="M314" s="98" t="n">
        <v>4.12</v>
      </c>
      <c r="N314" s="98">
        <f>K314-I314</f>
        <v/>
      </c>
      <c r="O314" s="98" t="n">
        <v>20.72</v>
      </c>
      <c r="P314" s="98" t="n">
        <v>3.3</v>
      </c>
      <c r="Q314" s="97">
        <f>K314-P314</f>
        <v/>
      </c>
      <c r="R314" s="98" t="n">
        <v>101.51</v>
      </c>
      <c r="S314" s="97">
        <f>(O314*T314)</f>
        <v/>
      </c>
      <c r="T314" s="79" t="n">
        <v>6.78</v>
      </c>
      <c r="U314" s="80" t="n">
        <v>11491.2</v>
      </c>
      <c r="V314" s="80" t="n">
        <v>23.76</v>
      </c>
      <c r="W314" s="97">
        <f>U314/V314</f>
        <v/>
      </c>
      <c r="X314" s="97">
        <f>(W314/U314)*100</f>
        <v/>
      </c>
      <c r="Y314" s="80" t="n">
        <v>8983.15</v>
      </c>
      <c r="Z314" s="80" t="n">
        <v>17.33</v>
      </c>
      <c r="AA314" s="97">
        <f>Y314/Z314</f>
        <v/>
      </c>
      <c r="AB314" s="97">
        <f>(AA314/Y314)*100</f>
        <v/>
      </c>
    </row>
    <row r="315">
      <c r="A315" s="92" t="n">
        <v>314</v>
      </c>
      <c r="B315" s="102" t="n">
        <v>45026</v>
      </c>
      <c r="C315" s="103" t="n">
        <v>26341480.46</v>
      </c>
      <c r="D315" s="98">
        <f>C315/E315</f>
        <v/>
      </c>
      <c r="E315" s="98" t="n">
        <v>81.98</v>
      </c>
      <c r="F315" s="98">
        <f>D315/100000</f>
        <v/>
      </c>
      <c r="G315" s="97">
        <f>(F315/DataSheet!$C$10*100)</f>
        <v/>
      </c>
      <c r="H315" s="98">
        <f>K315/I315</f>
        <v/>
      </c>
      <c r="I315" s="98">
        <f>(J315/L315)*100</f>
        <v/>
      </c>
      <c r="J315" s="97">
        <f>L315/O315</f>
        <v/>
      </c>
      <c r="K315" s="98" t="n">
        <v>7.22</v>
      </c>
      <c r="L315" s="98" t="n">
        <v>17624.05</v>
      </c>
      <c r="M315" s="98" t="n">
        <v>4.13</v>
      </c>
      <c r="N315" s="98">
        <f>K315-I315</f>
        <v/>
      </c>
      <c r="O315" s="98" t="n">
        <v>20.75</v>
      </c>
      <c r="P315" s="98" t="n">
        <v>3.41</v>
      </c>
      <c r="Q315" s="97">
        <f>K315-P315</f>
        <v/>
      </c>
      <c r="R315" s="98" t="n">
        <v>102.22</v>
      </c>
      <c r="S315" s="97">
        <f>(O315*T315)</f>
        <v/>
      </c>
      <c r="T315" s="79" t="n">
        <v>6.75</v>
      </c>
      <c r="U315" s="80" t="n">
        <v>11532.85</v>
      </c>
      <c r="V315" s="80" t="n">
        <v>23.85</v>
      </c>
      <c r="W315" s="97">
        <f>U315/V315</f>
        <v/>
      </c>
      <c r="X315" s="97">
        <f>(W315/U315)*100</f>
        <v/>
      </c>
      <c r="Y315" s="80" t="n">
        <v>8998.700000000001</v>
      </c>
      <c r="Z315" s="80" t="n">
        <v>17.36</v>
      </c>
      <c r="AA315" s="97">
        <f>Y315/Z315</f>
        <v/>
      </c>
      <c r="AB315" s="97">
        <f>(AA315/Y315)*100</f>
        <v/>
      </c>
    </row>
    <row r="316">
      <c r="A316" s="92" t="n">
        <v>315</v>
      </c>
      <c r="B316" s="102" t="n">
        <v>45027</v>
      </c>
      <c r="C316" s="103" t="n">
        <v>26478054.34</v>
      </c>
      <c r="D316" s="98">
        <f>C316/E316</f>
        <v/>
      </c>
      <c r="E316" s="98" t="n">
        <v>82.04000000000001</v>
      </c>
      <c r="F316" s="98">
        <f>D316/100000</f>
        <v/>
      </c>
      <c r="G316" s="97">
        <f>(F316/DataSheet!$C$10*100)</f>
        <v/>
      </c>
      <c r="H316" s="98">
        <f>K316/I316</f>
        <v/>
      </c>
      <c r="I316" s="98">
        <f>(J316/L316)*100</f>
        <v/>
      </c>
      <c r="J316" s="97">
        <f>L316/O316</f>
        <v/>
      </c>
      <c r="K316" s="98" t="n">
        <v>7.22</v>
      </c>
      <c r="L316" s="98" t="n">
        <v>17722.3</v>
      </c>
      <c r="M316" s="98" t="n">
        <v>4.15</v>
      </c>
      <c r="N316" s="98">
        <f>K316-I316</f>
        <v/>
      </c>
      <c r="O316" s="98" t="n">
        <v>20.86</v>
      </c>
      <c r="P316" s="98" t="n">
        <v>3.43</v>
      </c>
      <c r="Q316" s="97">
        <f>K316-P316</f>
        <v/>
      </c>
      <c r="R316" s="98" t="n">
        <v>101.88</v>
      </c>
      <c r="S316" s="97">
        <f>(O316*T316)</f>
        <v/>
      </c>
      <c r="T316" s="79" t="n">
        <v>6.7</v>
      </c>
      <c r="U316" s="80" t="n">
        <v>11582.8</v>
      </c>
      <c r="V316" s="80" t="n">
        <v>23.95</v>
      </c>
      <c r="W316" s="97">
        <f>U316/V316</f>
        <v/>
      </c>
      <c r="X316" s="97">
        <f>(W316/U316)*100</f>
        <v/>
      </c>
      <c r="Y316" s="80" t="n">
        <v>9040.049999999999</v>
      </c>
      <c r="Z316" s="80" t="n">
        <v>17.44</v>
      </c>
      <c r="AA316" s="97">
        <f>Y316/Z316</f>
        <v/>
      </c>
      <c r="AB316" s="97">
        <f>(AA316/Y316)*100</f>
        <v/>
      </c>
    </row>
    <row r="317">
      <c r="A317" s="92" t="n">
        <v>316</v>
      </c>
      <c r="B317" s="102" t="n">
        <v>45028</v>
      </c>
      <c r="C317" s="103" t="n">
        <v>26594725.69</v>
      </c>
      <c r="D317" s="98">
        <f>C317/E317</f>
        <v/>
      </c>
      <c r="E317" s="98" t="n">
        <v>81.93000000000001</v>
      </c>
      <c r="F317" s="98">
        <f>D317/100000</f>
        <v/>
      </c>
      <c r="G317" s="97">
        <f>(F317/DataSheet!$C$10*100)</f>
        <v/>
      </c>
      <c r="H317" s="98">
        <f>K317/I317</f>
        <v/>
      </c>
      <c r="I317" s="98">
        <f>(J317/L317)*100</f>
        <v/>
      </c>
      <c r="J317" s="97">
        <f>L317/O317</f>
        <v/>
      </c>
      <c r="K317" s="98" t="n">
        <v>7.21</v>
      </c>
      <c r="L317" s="98" t="n">
        <v>17812.4</v>
      </c>
      <c r="M317" s="98" t="n">
        <v>4.17</v>
      </c>
      <c r="N317" s="98">
        <f>K317-I317</f>
        <v/>
      </c>
      <c r="O317" s="98" t="n">
        <v>20.97</v>
      </c>
      <c r="P317" s="98" t="n">
        <v>3.4</v>
      </c>
      <c r="Q317" s="97">
        <f>K317-P317</f>
        <v/>
      </c>
      <c r="R317" s="98" t="n">
        <v>101.17</v>
      </c>
      <c r="S317" s="97">
        <f>(O317*T317)</f>
        <v/>
      </c>
      <c r="T317" s="79" t="n">
        <v>6.68</v>
      </c>
      <c r="U317" s="80" t="n">
        <v>11652.3</v>
      </c>
      <c r="V317" s="80" t="n">
        <v>24.09</v>
      </c>
      <c r="W317" s="97">
        <f>U317/V317</f>
        <v/>
      </c>
      <c r="X317" s="97">
        <f>(W317/U317)*100</f>
        <v/>
      </c>
      <c r="Y317" s="80" t="n">
        <v>9074.5</v>
      </c>
      <c r="Z317" s="80" t="n">
        <v>17.5</v>
      </c>
      <c r="AA317" s="97">
        <f>Y317/Z317</f>
        <v/>
      </c>
      <c r="AB317" s="97">
        <f>(AA317/Y317)*100</f>
        <v/>
      </c>
    </row>
    <row r="318">
      <c r="A318" s="92" t="n">
        <v>317</v>
      </c>
      <c r="B318" s="102" t="n">
        <v>45029</v>
      </c>
      <c r="C318" s="103" t="n">
        <v>26632065.83</v>
      </c>
      <c r="D318" s="98">
        <f>C318/E318</f>
        <v/>
      </c>
      <c r="E318" s="98" t="n">
        <v>81.65000000000001</v>
      </c>
      <c r="F318" s="98">
        <f>D318/100000</f>
        <v/>
      </c>
      <c r="G318" s="97">
        <f>(F318/DataSheet!$C$10*100)</f>
        <v/>
      </c>
      <c r="H318" s="98">
        <f>K318/I318</f>
        <v/>
      </c>
      <c r="I318" s="98">
        <f>(J318/L318)*100</f>
        <v/>
      </c>
      <c r="J318" s="97">
        <f>L318/O318</f>
        <v/>
      </c>
      <c r="K318" s="98" t="n">
        <v>7.22</v>
      </c>
      <c r="L318" s="98" t="n">
        <v>17828</v>
      </c>
      <c r="M318" s="98" t="n">
        <v>4.17</v>
      </c>
      <c r="N318" s="98">
        <f>K318-I318</f>
        <v/>
      </c>
      <c r="O318" s="98" t="n">
        <v>20.99</v>
      </c>
      <c r="P318" s="98" t="n">
        <v>3.44</v>
      </c>
      <c r="Q318" s="97">
        <f>K318-P318</f>
        <v/>
      </c>
      <c r="R318" s="98" t="n">
        <v>100.7</v>
      </c>
      <c r="S318" s="97">
        <f>(O318*T318)</f>
        <v/>
      </c>
      <c r="T318" s="79" t="n">
        <v>6.73</v>
      </c>
      <c r="U318" s="80" t="n">
        <v>11671.2</v>
      </c>
      <c r="V318" s="80" t="n">
        <v>24.13</v>
      </c>
      <c r="W318" s="97">
        <f>U318/V318</f>
        <v/>
      </c>
      <c r="X318" s="97">
        <f>(W318/U318)*100</f>
        <v/>
      </c>
      <c r="Y318" s="80" t="n">
        <v>9102.5</v>
      </c>
      <c r="Z318" s="80" t="n">
        <v>17.56</v>
      </c>
      <c r="AA318" s="97">
        <f>Y318/Z318</f>
        <v/>
      </c>
      <c r="AB318" s="97">
        <f>(AA318/Y318)*100</f>
        <v/>
      </c>
    </row>
    <row r="319">
      <c r="A319" s="92" t="n">
        <v>318</v>
      </c>
      <c r="B319" s="102" t="n">
        <v>45033</v>
      </c>
      <c r="C319" s="103" t="n">
        <v>26616826.3</v>
      </c>
      <c r="D319" s="98">
        <f>C319/E319</f>
        <v/>
      </c>
      <c r="E319" s="98" t="n">
        <v>82</v>
      </c>
      <c r="F319" s="98">
        <f>D319/100000</f>
        <v/>
      </c>
      <c r="G319" s="97">
        <f>(F319/DataSheet!$C$10*100)</f>
        <v/>
      </c>
      <c r="H319" s="98">
        <f>K319/I319</f>
        <v/>
      </c>
      <c r="I319" s="98">
        <f>(J319/L319)*100</f>
        <v/>
      </c>
      <c r="J319" s="97">
        <f>L319/O319</f>
        <v/>
      </c>
      <c r="K319" s="98" t="n">
        <v>7.24</v>
      </c>
      <c r="L319" s="98" t="n">
        <v>17706.85</v>
      </c>
      <c r="M319" s="98" t="n">
        <v>4.14</v>
      </c>
      <c r="N319" s="98">
        <f>K319-I319</f>
        <v/>
      </c>
      <c r="O319" s="98" t="n">
        <v>20.82</v>
      </c>
      <c r="P319" s="98" t="n">
        <v>3.6</v>
      </c>
      <c r="Q319" s="97">
        <f>K319-P319</f>
        <v/>
      </c>
      <c r="R319" s="98" t="n">
        <v>101.79</v>
      </c>
      <c r="S319" s="97">
        <f>(O319*T319)</f>
        <v/>
      </c>
      <c r="T319" s="79" t="n">
        <v>6.72</v>
      </c>
      <c r="U319" s="80" t="n">
        <v>11714.45</v>
      </c>
      <c r="V319" s="80" t="n">
        <v>24.22</v>
      </c>
      <c r="W319" s="97">
        <f>U319/V319</f>
        <v/>
      </c>
      <c r="X319" s="97">
        <f>(W319/U319)*100</f>
        <v/>
      </c>
      <c r="Y319" s="80" t="n">
        <v>9116.799999999999</v>
      </c>
      <c r="Z319" s="80" t="n">
        <v>17.59</v>
      </c>
      <c r="AA319" s="97">
        <f>Y319/Z319</f>
        <v/>
      </c>
      <c r="AB319" s="97">
        <f>(AA319/Y319)*100</f>
        <v/>
      </c>
    </row>
    <row r="320">
      <c r="A320" s="92" t="n">
        <v>319</v>
      </c>
      <c r="B320" s="102" t="n">
        <v>45034</v>
      </c>
      <c r="C320" s="103" t="n">
        <v>26625115.99</v>
      </c>
      <c r="D320" s="98">
        <f>C320/E320</f>
        <v/>
      </c>
      <c r="E320" s="98" t="n">
        <v>82.08</v>
      </c>
      <c r="F320" s="98">
        <f>D320/100000</f>
        <v/>
      </c>
      <c r="G320" s="97">
        <f>(F320/DataSheet!$C$10*100)</f>
        <v/>
      </c>
      <c r="H320" s="98">
        <f>K320/I320</f>
        <v/>
      </c>
      <c r="I320" s="98">
        <f>(J320/L320)*100</f>
        <v/>
      </c>
      <c r="J320" s="97">
        <f>L320/O320</f>
        <v/>
      </c>
      <c r="K320" s="98" t="n">
        <v>7.22</v>
      </c>
      <c r="L320" s="98" t="n">
        <v>17660.15</v>
      </c>
      <c r="M320" s="98" t="n">
        <v>4.13</v>
      </c>
      <c r="N320" s="98">
        <f>K320-I320</f>
        <v/>
      </c>
      <c r="O320" s="98" t="n">
        <v>20.65</v>
      </c>
      <c r="P320" s="98" t="n">
        <v>3.57</v>
      </c>
      <c r="Q320" s="97">
        <f>K320-P320</f>
        <v/>
      </c>
      <c r="R320" s="98" t="n">
        <v>101.44</v>
      </c>
      <c r="S320" s="97">
        <f>(O320*T320)</f>
        <v/>
      </c>
      <c r="T320" s="79" t="n">
        <v>6.73</v>
      </c>
      <c r="U320" s="80" t="n">
        <v>11783.35</v>
      </c>
      <c r="V320" s="80" t="n">
        <v>24.37</v>
      </c>
      <c r="W320" s="97">
        <f>U320/V320</f>
        <v/>
      </c>
      <c r="X320" s="97">
        <f>(W320/U320)*100</f>
        <v/>
      </c>
      <c r="Y320" s="80" t="n">
        <v>9123.35</v>
      </c>
      <c r="Z320" s="80" t="n">
        <v>17.6</v>
      </c>
      <c r="AA320" s="97">
        <f>Y320/Z320</f>
        <v/>
      </c>
      <c r="AB320" s="97">
        <f>(AA320/Y320)*100</f>
        <v/>
      </c>
    </row>
    <row r="321">
      <c r="A321" s="92" t="n">
        <v>320</v>
      </c>
      <c r="B321" s="102" t="n">
        <v>45035</v>
      </c>
      <c r="C321" s="103" t="n">
        <v>26553982.36</v>
      </c>
      <c r="D321" s="98">
        <f>C321/E321</f>
        <v/>
      </c>
      <c r="E321" s="98" t="n">
        <v>82.26000000000001</v>
      </c>
      <c r="F321" s="98">
        <f>D321/100000</f>
        <v/>
      </c>
      <c r="G321" s="97">
        <f>(F321/DataSheet!$C$10*100)</f>
        <v/>
      </c>
      <c r="H321" s="98">
        <f>K321/I321</f>
        <v/>
      </c>
      <c r="I321" s="98">
        <f>(J321/L321)*100</f>
        <v/>
      </c>
      <c r="J321" s="97">
        <f>L321/O321</f>
        <v/>
      </c>
      <c r="K321" s="98" t="n">
        <v>7.22</v>
      </c>
      <c r="L321" s="98" t="n">
        <v>17618.75</v>
      </c>
      <c r="M321" s="98" t="n">
        <v>4.12</v>
      </c>
      <c r="N321" s="98">
        <f>K321-I321</f>
        <v/>
      </c>
      <c r="O321" s="98" t="n">
        <v>20.6</v>
      </c>
      <c r="P321" s="98" t="n">
        <v>3.59</v>
      </c>
      <c r="Q321" s="97">
        <f>K321-P321</f>
        <v/>
      </c>
      <c r="R321" s="98" t="n">
        <v>101.66</v>
      </c>
      <c r="S321" s="97">
        <f>(O321*T321)</f>
        <v/>
      </c>
      <c r="T321" s="79" t="n">
        <v>6.73</v>
      </c>
      <c r="U321" s="80" t="n">
        <v>11763.95</v>
      </c>
      <c r="V321" s="80" t="n">
        <v>24.33</v>
      </c>
      <c r="W321" s="97">
        <f>U321/V321</f>
        <v/>
      </c>
      <c r="X321" s="97">
        <f>(W321/U321)*100</f>
        <v/>
      </c>
      <c r="Y321" s="80" t="n">
        <v>9123.4</v>
      </c>
      <c r="Z321" s="80" t="n">
        <v>17.59</v>
      </c>
      <c r="AA321" s="97">
        <f>Y321/Z321</f>
        <v/>
      </c>
      <c r="AB321" s="97">
        <f>(AA321/Y321)*100</f>
        <v/>
      </c>
    </row>
    <row r="322">
      <c r="A322" s="92" t="n">
        <v>321</v>
      </c>
      <c r="B322" s="102" t="n">
        <v>45036</v>
      </c>
      <c r="C322" s="103" t="n">
        <v>26565903.83</v>
      </c>
      <c r="D322" s="98">
        <f>C322/E322</f>
        <v/>
      </c>
      <c r="E322" s="98" t="n">
        <v>82.12</v>
      </c>
      <c r="F322" s="98">
        <f>D322/100000</f>
        <v/>
      </c>
      <c r="G322" s="97">
        <f>(F322/DataSheet!$C$10*100)</f>
        <v/>
      </c>
      <c r="H322" s="98">
        <f>K322/I322</f>
        <v/>
      </c>
      <c r="I322" s="98">
        <f>(J322/L322)*100</f>
        <v/>
      </c>
      <c r="J322" s="97">
        <f>L322/O322</f>
        <v/>
      </c>
      <c r="K322" s="98" t="n">
        <v>7.22</v>
      </c>
      <c r="L322" s="98" t="n">
        <v>17624.45</v>
      </c>
      <c r="M322" s="98" t="n">
        <v>4.13</v>
      </c>
      <c r="N322" s="98">
        <f>K322-I322</f>
        <v/>
      </c>
      <c r="O322" s="98" t="n">
        <v>20.61</v>
      </c>
      <c r="P322" s="98" t="n">
        <v>3.53</v>
      </c>
      <c r="Q322" s="97">
        <f>K322-P322</f>
        <v/>
      </c>
      <c r="R322" s="98" t="n">
        <v>101.56</v>
      </c>
      <c r="S322" s="97">
        <f>(O322*T322)</f>
        <v/>
      </c>
      <c r="T322" s="79" t="n">
        <v>6.78</v>
      </c>
      <c r="U322" s="80" t="n">
        <v>11755.95</v>
      </c>
      <c r="V322" s="80" t="n">
        <v>24.31</v>
      </c>
      <c r="W322" s="97">
        <f>U322/V322</f>
        <v/>
      </c>
      <c r="X322" s="97">
        <f>(W322/U322)*100</f>
        <v/>
      </c>
      <c r="Y322" s="80" t="n">
        <v>9148.299999999999</v>
      </c>
      <c r="Z322" s="80" t="n">
        <v>17.68</v>
      </c>
      <c r="AA322" s="97">
        <f>Y322/Z322</f>
        <v/>
      </c>
      <c r="AB322" s="97">
        <f>(AA322/Y322)*100</f>
        <v/>
      </c>
    </row>
    <row r="323">
      <c r="A323" s="92" t="n">
        <v>322</v>
      </c>
      <c r="B323" s="102" t="n">
        <v>45037</v>
      </c>
      <c r="C323" s="103" t="n">
        <v>26529050.19</v>
      </c>
      <c r="D323" s="98">
        <f>C323/E323</f>
        <v/>
      </c>
      <c r="E323" s="98" t="n">
        <v>82.03</v>
      </c>
      <c r="F323" s="98">
        <f>D323/100000</f>
        <v/>
      </c>
      <c r="G323" s="97">
        <f>(F323/DataSheet!$C$10*100)</f>
        <v/>
      </c>
      <c r="H323" s="98">
        <f>K323/I323</f>
        <v/>
      </c>
      <c r="I323" s="98">
        <f>(J323/L323)*100</f>
        <v/>
      </c>
      <c r="J323" s="97">
        <f>L323/O323</f>
        <v/>
      </c>
      <c r="K323" s="98" t="n">
        <v>7.18</v>
      </c>
      <c r="L323" s="98" t="n">
        <v>17624.05</v>
      </c>
      <c r="M323" s="98" t="n">
        <v>4.13</v>
      </c>
      <c r="N323" s="98">
        <f>K323-I323</f>
        <v/>
      </c>
      <c r="O323" s="98" t="n">
        <v>20.61</v>
      </c>
      <c r="P323" s="98" t="n">
        <v>3.56</v>
      </c>
      <c r="Q323" s="97">
        <f>K323-P323</f>
        <v/>
      </c>
      <c r="R323" s="98" t="n">
        <v>101.55</v>
      </c>
      <c r="S323" s="97">
        <f>(O323*T323)</f>
        <v/>
      </c>
      <c r="T323" s="79" t="n">
        <v>6.78</v>
      </c>
      <c r="U323" s="80" t="n">
        <v>11707.55</v>
      </c>
      <c r="V323" s="80" t="n">
        <v>24.22</v>
      </c>
      <c r="W323" s="97">
        <f>U323/V323</f>
        <v/>
      </c>
      <c r="X323" s="97">
        <f>(W323/U323)*100</f>
        <v/>
      </c>
      <c r="Y323" s="80" t="n">
        <v>9130.799999999999</v>
      </c>
      <c r="Z323" s="80" t="n">
        <v>17.65</v>
      </c>
      <c r="AA323" s="97">
        <f>Y323/Z323</f>
        <v/>
      </c>
      <c r="AB323" s="97">
        <f>(AA323/Y323)*100</f>
        <v/>
      </c>
    </row>
    <row r="324">
      <c r="A324" s="92" t="n">
        <v>323</v>
      </c>
      <c r="B324" s="102" t="n">
        <v>45040</v>
      </c>
      <c r="C324" s="103" t="n">
        <v>26656946.52</v>
      </c>
      <c r="D324" s="98">
        <f>C324/E324</f>
        <v/>
      </c>
      <c r="E324" s="98" t="n">
        <v>81.95</v>
      </c>
      <c r="F324" s="98">
        <f>D324/100000</f>
        <v/>
      </c>
      <c r="G324" s="97">
        <f>(F324/DataSheet!$C$10*100)</f>
        <v/>
      </c>
      <c r="H324" s="98">
        <f>K324/I324</f>
        <v/>
      </c>
      <c r="I324" s="98">
        <f>(J324/L324)*100</f>
        <v/>
      </c>
      <c r="J324" s="97">
        <f>L324/O324</f>
        <v/>
      </c>
      <c r="K324" s="98" t="n">
        <v>7.11</v>
      </c>
      <c r="L324" s="98" t="n">
        <v>17743.4</v>
      </c>
      <c r="M324" s="98" t="n">
        <v>4.15</v>
      </c>
      <c r="N324" s="98">
        <f>K324-I324</f>
        <v/>
      </c>
      <c r="O324" s="98" t="n">
        <v>20.74</v>
      </c>
      <c r="P324" s="98" t="n">
        <v>3.49</v>
      </c>
      <c r="Q324" s="97">
        <f>K324-P324</f>
        <v/>
      </c>
      <c r="R324" s="98" t="n">
        <v>101.07</v>
      </c>
      <c r="S324" s="97">
        <f>(O324*T324)</f>
        <v/>
      </c>
      <c r="T324" s="79" t="n">
        <v>6.75</v>
      </c>
      <c r="U324" s="80" t="n">
        <v>11738.6</v>
      </c>
      <c r="V324" s="80" t="n">
        <v>24.28</v>
      </c>
      <c r="W324" s="97">
        <f>U324/V324</f>
        <v/>
      </c>
      <c r="X324" s="97">
        <f>(W324/U324)*100</f>
        <v/>
      </c>
      <c r="Y324" s="80" t="n">
        <v>9174.1</v>
      </c>
      <c r="Z324" s="80" t="n">
        <v>17.76</v>
      </c>
      <c r="AA324" s="97">
        <f>Y324/Z324</f>
        <v/>
      </c>
      <c r="AB324" s="97">
        <f>(AA324/Y324)*100</f>
        <v/>
      </c>
    </row>
    <row r="325">
      <c r="A325" s="92" t="n">
        <v>324</v>
      </c>
      <c r="B325" s="102" t="n">
        <v>45041</v>
      </c>
      <c r="C325" s="103" t="n">
        <v>26734894.24</v>
      </c>
      <c r="D325" s="98">
        <f>C325/E325</f>
        <v/>
      </c>
      <c r="E325" s="98" t="n">
        <v>81.95999999999999</v>
      </c>
      <c r="F325" s="98">
        <f>D325/100000</f>
        <v/>
      </c>
      <c r="G325" s="97">
        <f>(F325/DataSheet!$C$10*100)</f>
        <v/>
      </c>
      <c r="H325" s="98">
        <f>K325/I325</f>
        <v/>
      </c>
      <c r="I325" s="98">
        <f>(J325/L325)*100</f>
        <v/>
      </c>
      <c r="J325" s="97">
        <f>L325/O325</f>
        <v/>
      </c>
      <c r="K325" s="98" t="n">
        <v>7.11</v>
      </c>
      <c r="L325" s="98" t="n">
        <v>17769.25</v>
      </c>
      <c r="M325" s="98" t="n">
        <v>4.16</v>
      </c>
      <c r="N325" s="98">
        <f>K325-I325</f>
        <v/>
      </c>
      <c r="O325" s="98" t="n">
        <v>20.56</v>
      </c>
      <c r="P325" s="98" t="n">
        <v>3.4</v>
      </c>
      <c r="Q325" s="97">
        <f>K325-P325</f>
        <v/>
      </c>
      <c r="R325" s="98" t="n">
        <v>101.59</v>
      </c>
      <c r="S325" s="97">
        <f>(O325*T325)</f>
        <v/>
      </c>
      <c r="T325" s="79" t="n">
        <v>6.75</v>
      </c>
      <c r="U325" s="80" t="n">
        <v>11730.6</v>
      </c>
      <c r="V325" s="80" t="n">
        <v>24.28</v>
      </c>
      <c r="W325" s="97">
        <f>U325/V325</f>
        <v/>
      </c>
      <c r="X325" s="97">
        <f>(W325/U325)*100</f>
        <v/>
      </c>
      <c r="Y325" s="80" t="n">
        <v>9205.049999999999</v>
      </c>
      <c r="Z325" s="80" t="n">
        <v>17.81</v>
      </c>
      <c r="AA325" s="97">
        <f>Y325/Z325</f>
        <v/>
      </c>
      <c r="AB325" s="97">
        <f>(AA325/Y325)*100</f>
        <v/>
      </c>
    </row>
    <row r="326">
      <c r="A326" s="92" t="n">
        <v>325</v>
      </c>
      <c r="B326" s="102" t="n">
        <v>45042</v>
      </c>
      <c r="C326" s="103" t="n">
        <v>26806227.49</v>
      </c>
      <c r="D326" s="98">
        <f>C326/E326</f>
        <v/>
      </c>
      <c r="E326" s="98" t="n">
        <v>81.73999999999999</v>
      </c>
      <c r="F326" s="98">
        <f>D326/100000</f>
        <v/>
      </c>
      <c r="G326" s="97">
        <f>(F326/DataSheet!$C$10*100)</f>
        <v/>
      </c>
      <c r="H326" s="98">
        <f>K326/I326</f>
        <v/>
      </c>
      <c r="I326" s="98">
        <f>(J326/L326)*100</f>
        <v/>
      </c>
      <c r="J326" s="97">
        <f>L326/O326</f>
        <v/>
      </c>
      <c r="K326" s="98" t="n">
        <v>7.11</v>
      </c>
      <c r="L326" s="98" t="n">
        <v>17813.6</v>
      </c>
      <c r="M326" s="98" t="n">
        <v>4.17</v>
      </c>
      <c r="N326" s="98">
        <f>K326-I326</f>
        <v/>
      </c>
      <c r="O326" s="98" t="n">
        <v>20.59</v>
      </c>
      <c r="P326" s="98" t="n">
        <v>3.44</v>
      </c>
      <c r="Q326" s="97">
        <f>K326-P326</f>
        <v/>
      </c>
      <c r="R326" s="98" t="n">
        <v>101.2</v>
      </c>
      <c r="S326" s="97">
        <f>(O326*T326)</f>
        <v/>
      </c>
      <c r="T326" s="79" t="n">
        <v>6.82</v>
      </c>
      <c r="U326" s="80" t="n">
        <v>11743.1</v>
      </c>
      <c r="V326" s="80" t="n">
        <v>24.3</v>
      </c>
      <c r="W326" s="97">
        <f>U326/V326</f>
        <v/>
      </c>
      <c r="X326" s="97">
        <f>(W326/U326)*100</f>
        <v/>
      </c>
      <c r="Y326" s="80" t="n">
        <v>9255.549999999999</v>
      </c>
      <c r="Z326" s="80" t="n">
        <v>17.88</v>
      </c>
      <c r="AA326" s="97">
        <f>Y326/Z326</f>
        <v/>
      </c>
      <c r="AB326" s="97">
        <f>(AA326/Y326)*100</f>
        <v/>
      </c>
    </row>
    <row r="327">
      <c r="A327" s="92" t="n">
        <v>326</v>
      </c>
      <c r="B327" s="102" t="n">
        <v>45043</v>
      </c>
      <c r="C327" s="103" t="n">
        <v>26937243.4</v>
      </c>
      <c r="D327" s="98">
        <f>C327/E327</f>
        <v/>
      </c>
      <c r="E327" s="98" t="n">
        <v>81.69</v>
      </c>
      <c r="F327" s="98">
        <f>D327/100000</f>
        <v/>
      </c>
      <c r="G327" s="97">
        <f>(F327/DataSheet!$C$10*100)</f>
        <v/>
      </c>
      <c r="H327" s="98">
        <f>K327/I327</f>
        <v/>
      </c>
      <c r="I327" s="98">
        <f>(J327/L327)*100</f>
        <v/>
      </c>
      <c r="J327" s="97">
        <f>L327/O327</f>
        <v/>
      </c>
      <c r="K327" s="98" t="n">
        <v>7.09</v>
      </c>
      <c r="L327" s="98" t="n">
        <v>17915.05</v>
      </c>
      <c r="M327" s="98" t="n">
        <v>4.19</v>
      </c>
      <c r="N327" s="98">
        <f>K327-I327</f>
        <v/>
      </c>
      <c r="O327" s="98" t="n">
        <v>20.7</v>
      </c>
      <c r="P327" s="98" t="n">
        <v>3.52</v>
      </c>
      <c r="Q327" s="97">
        <f>K327-P327</f>
        <v/>
      </c>
      <c r="R327" s="98" t="n">
        <v>101.25</v>
      </c>
      <c r="S327" s="97">
        <f>(O327*T327)</f>
        <v/>
      </c>
      <c r="T327" s="79" t="n">
        <v>6.83</v>
      </c>
      <c r="U327" s="80" t="n">
        <v>11811.5</v>
      </c>
      <c r="V327" s="80" t="n">
        <v>24.41</v>
      </c>
      <c r="W327" s="97">
        <f>U327/V327</f>
        <v/>
      </c>
      <c r="X327" s="97">
        <f>(W327/U327)*100</f>
        <v/>
      </c>
      <c r="Y327" s="80" t="n">
        <v>9300.85</v>
      </c>
      <c r="Z327" s="80" t="n">
        <v>17.99</v>
      </c>
      <c r="AA327" s="97">
        <f>Y327/Z327</f>
        <v/>
      </c>
      <c r="AB327" s="97">
        <f>(AA327/Y327)*100</f>
        <v/>
      </c>
    </row>
    <row r="328">
      <c r="A328" s="92" t="n">
        <v>327</v>
      </c>
      <c r="B328" s="102" t="n">
        <v>45044</v>
      </c>
      <c r="C328" s="103" t="n">
        <v>27219439.55</v>
      </c>
      <c r="D328" s="98">
        <f>C328/E328</f>
        <v/>
      </c>
      <c r="E328" s="98" t="n">
        <v>81.72</v>
      </c>
      <c r="F328" s="98">
        <f>D328/100000</f>
        <v/>
      </c>
      <c r="G328" s="97">
        <f>(F328/DataSheet!$C$10*100)</f>
        <v/>
      </c>
      <c r="H328" s="98">
        <f>K328/I328</f>
        <v/>
      </c>
      <c r="I328" s="98">
        <f>(J328/L328)*100</f>
        <v/>
      </c>
      <c r="J328" s="97">
        <f>L328/O328</f>
        <v/>
      </c>
      <c r="K328" s="98" t="n">
        <v>7.11</v>
      </c>
      <c r="L328" s="98" t="n">
        <v>18065</v>
      </c>
      <c r="M328" s="98" t="n">
        <v>4.23</v>
      </c>
      <c r="N328" s="98">
        <f>K328-I328</f>
        <v/>
      </c>
      <c r="O328" s="98" t="n">
        <v>20.87</v>
      </c>
      <c r="P328" s="98" t="n">
        <v>3.43</v>
      </c>
      <c r="Q328" s="97">
        <f>K328-P328</f>
        <v/>
      </c>
      <c r="R328" s="98" t="n">
        <v>101.4</v>
      </c>
      <c r="S328" s="97">
        <f>(O328*T328)</f>
        <v/>
      </c>
      <c r="T328" s="79" t="n">
        <v>6.87</v>
      </c>
      <c r="U328" s="80" t="n">
        <v>11943.55</v>
      </c>
      <c r="V328" s="80" t="n">
        <v>24.71</v>
      </c>
      <c r="W328" s="97">
        <f>U328/V328</f>
        <v/>
      </c>
      <c r="X328" s="97">
        <f>(W328/U328)*100</f>
        <v/>
      </c>
      <c r="Y328" s="80" t="n">
        <v>9392.6</v>
      </c>
      <c r="Z328" s="80" t="n">
        <v>18.23</v>
      </c>
      <c r="AA328" s="97">
        <f>Y328/Z328</f>
        <v/>
      </c>
      <c r="AB328" s="97">
        <f>(AA328/Y328)*100</f>
        <v/>
      </c>
    </row>
    <row r="329">
      <c r="A329" s="92" t="n">
        <v>328</v>
      </c>
      <c r="B329" s="102" t="n">
        <v>45048</v>
      </c>
      <c r="C329" s="103" t="n">
        <v>27371348.96</v>
      </c>
      <c r="D329" s="98">
        <f>C329/E329</f>
        <v/>
      </c>
      <c r="E329" s="98" t="n">
        <v>81.75</v>
      </c>
      <c r="F329" s="98">
        <f>D329/100000</f>
        <v/>
      </c>
      <c r="G329" s="97">
        <f>(F329/DataSheet!$C$10*100)</f>
        <v/>
      </c>
      <c r="H329" s="98">
        <f>K329/I329</f>
        <v/>
      </c>
      <c r="I329" s="98">
        <f>(J329/L329)*100</f>
        <v/>
      </c>
      <c r="J329" s="97">
        <f>L329/O329</f>
        <v/>
      </c>
      <c r="K329" s="98" t="n">
        <v>7.1</v>
      </c>
      <c r="L329" s="98" t="n">
        <v>18147.65</v>
      </c>
      <c r="M329" s="98" t="n">
        <v>4.25</v>
      </c>
      <c r="N329" s="98">
        <f>K329-I329</f>
        <v/>
      </c>
      <c r="O329" s="98" t="n">
        <v>20.92</v>
      </c>
      <c r="P329" s="98" t="n">
        <v>3.43</v>
      </c>
      <c r="Q329" s="97">
        <f>K329-P329</f>
        <v/>
      </c>
      <c r="R329" s="98" t="n">
        <v>101.51</v>
      </c>
      <c r="S329" s="97">
        <f>(O329*T329)</f>
        <v/>
      </c>
      <c r="T329" s="79" t="n">
        <v>6.86</v>
      </c>
      <c r="U329" s="80" t="n">
        <v>12037.15</v>
      </c>
      <c r="V329" s="80" t="n">
        <v>24.83</v>
      </c>
      <c r="W329" s="97">
        <f>U329/V329</f>
        <v/>
      </c>
      <c r="X329" s="97">
        <f>(W329/U329)*100</f>
        <v/>
      </c>
      <c r="Y329" s="80" t="n">
        <v>9452.85</v>
      </c>
      <c r="Z329" s="80" t="n">
        <v>18.31</v>
      </c>
      <c r="AA329" s="97">
        <f>Y329/Z329</f>
        <v/>
      </c>
      <c r="AB329" s="97">
        <f>(AA329/Y329)*100</f>
        <v/>
      </c>
    </row>
    <row r="330">
      <c r="A330" s="92" t="n">
        <v>329</v>
      </c>
      <c r="B330" s="102" t="n">
        <v>45049</v>
      </c>
      <c r="C330" s="103" t="n">
        <v>27324627.29</v>
      </c>
      <c r="D330" s="98">
        <f>C330/E330</f>
        <v/>
      </c>
      <c r="E330" s="98" t="n">
        <v>81.75</v>
      </c>
      <c r="F330" s="98">
        <f>D330/100000</f>
        <v/>
      </c>
      <c r="G330" s="97">
        <f>(F330/DataSheet!$C$10*100)</f>
        <v/>
      </c>
      <c r="H330" s="98">
        <f>K330/I330</f>
        <v/>
      </c>
      <c r="I330" s="98">
        <f>(J330/L330)*100</f>
        <v/>
      </c>
      <c r="J330" s="97">
        <f>L330/O330</f>
        <v/>
      </c>
      <c r="K330" s="98" t="n">
        <v>7.01</v>
      </c>
      <c r="L330" s="98" t="n">
        <v>18089.85</v>
      </c>
      <c r="M330" s="98" t="n">
        <v>4.23</v>
      </c>
      <c r="N330" s="98">
        <f>K330-I330</f>
        <v/>
      </c>
      <c r="O330" s="98" t="n">
        <v>21.33</v>
      </c>
      <c r="P330" s="98" t="n">
        <v>3.36</v>
      </c>
      <c r="Q330" s="97">
        <f>K330-P330</f>
        <v/>
      </c>
      <c r="R330" s="98" t="n">
        <v>101.11</v>
      </c>
      <c r="S330" s="97">
        <f>(O330*T330)</f>
        <v/>
      </c>
      <c r="T330" s="79" t="n">
        <v>6.88</v>
      </c>
      <c r="U330" s="80" t="n">
        <v>12066.75</v>
      </c>
      <c r="V330" s="80" t="n">
        <v>24.79</v>
      </c>
      <c r="W330" s="97">
        <f>U330/V330</f>
        <v/>
      </c>
      <c r="X330" s="97">
        <f>(W330/U330)*100</f>
        <v/>
      </c>
      <c r="Y330" s="80" t="n">
        <v>9465.75</v>
      </c>
      <c r="Z330" s="80" t="n">
        <v>18.3</v>
      </c>
      <c r="AA330" s="97">
        <f>Y330/Z330</f>
        <v/>
      </c>
      <c r="AB330" s="97">
        <f>(AA330/Y330)*100</f>
        <v/>
      </c>
    </row>
    <row r="331">
      <c r="A331" s="92" t="n">
        <v>330</v>
      </c>
      <c r="B331" s="102" t="n">
        <v>45050</v>
      </c>
      <c r="C331" s="103" t="n">
        <v>27555683.85</v>
      </c>
      <c r="D331" s="98">
        <f>C331/E331</f>
        <v/>
      </c>
      <c r="E331" s="98" t="n">
        <v>81.70999999999999</v>
      </c>
      <c r="F331" s="98">
        <f>D331/100000</f>
        <v/>
      </c>
      <c r="G331" s="97">
        <f>(F331/DataSheet!$C$10*100)</f>
        <v/>
      </c>
      <c r="H331" s="98">
        <f>K331/I331</f>
        <v/>
      </c>
      <c r="I331" s="98">
        <f>(J331/L331)*100</f>
        <v/>
      </c>
      <c r="J331" s="97">
        <f>L331/O331</f>
        <v/>
      </c>
      <c r="K331" s="98" t="n">
        <v>7.01</v>
      </c>
      <c r="L331" s="98" t="n">
        <v>18255.8</v>
      </c>
      <c r="M331" s="98" t="n">
        <v>4.27</v>
      </c>
      <c r="N331" s="98">
        <f>K331-I331</f>
        <v/>
      </c>
      <c r="O331" s="98" t="n">
        <v>21.85</v>
      </c>
      <c r="P331" s="98" t="n">
        <v>3.36</v>
      </c>
      <c r="Q331" s="97">
        <f>K331-P331</f>
        <v/>
      </c>
      <c r="R331" s="98" t="n">
        <v>101.2</v>
      </c>
      <c r="S331" s="97">
        <f>(O331*T331)</f>
        <v/>
      </c>
      <c r="T331" s="79" t="n">
        <v>6.88</v>
      </c>
      <c r="U331" s="80" t="n">
        <v>12145.5</v>
      </c>
      <c r="V331" s="80" t="n">
        <v>24.95</v>
      </c>
      <c r="W331" s="97">
        <f>U331/V331</f>
        <v/>
      </c>
      <c r="X331" s="97">
        <f>(W331/U331)*100</f>
        <v/>
      </c>
      <c r="Y331" s="80" t="n">
        <v>9546.9</v>
      </c>
      <c r="Z331" s="80" t="n">
        <v>18.48</v>
      </c>
      <c r="AA331" s="97">
        <f>Y331/Z331</f>
        <v/>
      </c>
      <c r="AB331" s="97">
        <f>(AA331/Y331)*100</f>
        <v/>
      </c>
    </row>
    <row r="332">
      <c r="A332" s="92" t="n">
        <v>331</v>
      </c>
      <c r="B332" s="99" t="n">
        <v>45051</v>
      </c>
      <c r="C332" s="101" t="n">
        <v>27412047.57</v>
      </c>
      <c r="D332" s="97">
        <f>C332/E332</f>
        <v/>
      </c>
      <c r="E332" s="97" t="n">
        <v>81.7</v>
      </c>
      <c r="F332" s="97">
        <f>D332/100000</f>
        <v/>
      </c>
      <c r="G332" s="97">
        <f>(F332/DataSheet!$C$10*100)</f>
        <v/>
      </c>
      <c r="H332" s="97">
        <f>K332/I332</f>
        <v/>
      </c>
      <c r="I332" s="97">
        <f>(J332/L332)*100</f>
        <v/>
      </c>
      <c r="J332" s="97">
        <f>L332/O332</f>
        <v/>
      </c>
      <c r="K332" s="97" t="n">
        <v>7.01</v>
      </c>
      <c r="L332" s="97" t="n">
        <v>18069</v>
      </c>
      <c r="M332" s="97" t="n">
        <v>4.23</v>
      </c>
      <c r="N332" s="97">
        <f>K332-I332</f>
        <v/>
      </c>
      <c r="O332" s="97" t="n">
        <v>21.62</v>
      </c>
      <c r="P332" s="97" t="n">
        <v>3.43</v>
      </c>
      <c r="Q332" s="97">
        <f>K332-P332</f>
        <v/>
      </c>
      <c r="R332" s="97" t="n">
        <v>100.99</v>
      </c>
      <c r="S332" s="97">
        <f>(O332*T332)</f>
        <v/>
      </c>
      <c r="T332" s="79" t="n">
        <v>6.88</v>
      </c>
      <c r="U332" s="80" t="n">
        <v>12066.05</v>
      </c>
      <c r="V332" s="80" t="n">
        <v>24.71</v>
      </c>
      <c r="W332" s="97">
        <f>U332/V332</f>
        <v/>
      </c>
      <c r="X332" s="97">
        <f>(W332/U332)*100</f>
        <v/>
      </c>
      <c r="Y332" s="80" t="n">
        <v>9494.25</v>
      </c>
      <c r="Z332" s="80" t="n">
        <v>18.36</v>
      </c>
      <c r="AA332" s="97">
        <f>Y332/Z332</f>
        <v/>
      </c>
      <c r="AB332" s="97">
        <f>(AA332/Y332)*100</f>
        <v/>
      </c>
    </row>
    <row r="333">
      <c r="A333" s="92" t="n">
        <v>332</v>
      </c>
      <c r="B333" s="99" t="n">
        <v>45054</v>
      </c>
      <c r="C333" s="101" t="n">
        <v>27632336.1</v>
      </c>
      <c r="D333" s="97">
        <f>C333/E333</f>
        <v/>
      </c>
      <c r="E333" s="97" t="n">
        <v>81.77</v>
      </c>
      <c r="F333" s="97">
        <f>D333/100000</f>
        <v/>
      </c>
      <c r="G333" s="97">
        <f>(F333/DataSheet!$C$10*100)</f>
        <v/>
      </c>
      <c r="H333" s="97">
        <f>K333/I333</f>
        <v/>
      </c>
      <c r="I333" s="97">
        <f>(J333/L333)*100</f>
        <v/>
      </c>
      <c r="J333" s="97">
        <f>L333/O333</f>
        <v/>
      </c>
      <c r="K333" s="97" t="n">
        <v>7.04</v>
      </c>
      <c r="L333" s="97" t="n">
        <v>18264.4</v>
      </c>
      <c r="M333" s="97" t="n">
        <v>4.28</v>
      </c>
      <c r="N333" s="97">
        <f>K333-I333</f>
        <v/>
      </c>
      <c r="O333" s="97" t="n">
        <v>21.77</v>
      </c>
      <c r="P333" s="97" t="n">
        <v>3.5</v>
      </c>
      <c r="Q333" s="97">
        <f>K333-P333</f>
        <v/>
      </c>
      <c r="R333" s="97" t="n">
        <v>101.15</v>
      </c>
      <c r="S333" s="97">
        <f>(O333*T333)</f>
        <v/>
      </c>
      <c r="T333" s="79" t="n">
        <v>6.91</v>
      </c>
      <c r="U333" s="80" t="n">
        <v>12177.7</v>
      </c>
      <c r="V333" s="80" t="n">
        <v>24.94</v>
      </c>
      <c r="W333" s="97">
        <f>U333/V333</f>
        <v/>
      </c>
      <c r="X333" s="97">
        <f>(W333/U333)*100</f>
        <v/>
      </c>
      <c r="Y333" s="80" t="n">
        <v>9564.4</v>
      </c>
      <c r="Z333" s="80" t="n">
        <v>18.56</v>
      </c>
      <c r="AA333" s="97">
        <f>Y333/Z333</f>
        <v/>
      </c>
      <c r="AB333" s="97">
        <f>(AA333/Y333)*100</f>
        <v/>
      </c>
    </row>
    <row r="334">
      <c r="A334" s="92" t="n">
        <v>333</v>
      </c>
      <c r="B334" s="99" t="n">
        <v>45055</v>
      </c>
      <c r="C334" s="103" t="n">
        <v>27661584.67</v>
      </c>
      <c r="D334" s="98">
        <f>C334/E334</f>
        <v/>
      </c>
      <c r="E334" s="98" t="n">
        <v>82.09999999999999</v>
      </c>
      <c r="F334" s="98">
        <f>D334/100000</f>
        <v/>
      </c>
      <c r="G334" s="97">
        <f>(F334/DataSheet!$C$10*100)</f>
        <v/>
      </c>
      <c r="H334" s="98">
        <f>K334/I334</f>
        <v/>
      </c>
      <c r="I334" s="98">
        <f>(J334/L334)*100</f>
        <v/>
      </c>
      <c r="J334" s="97">
        <f>L334/O334</f>
        <v/>
      </c>
      <c r="K334" s="98" t="n">
        <v>7.04</v>
      </c>
      <c r="L334" s="98" t="n">
        <v>18265.95</v>
      </c>
      <c r="M334" s="98" t="n">
        <v>4.28</v>
      </c>
      <c r="N334" s="98">
        <f>K334-I334</f>
        <v/>
      </c>
      <c r="O334" s="98" t="n">
        <v>21.77</v>
      </c>
      <c r="P334" s="98" t="n">
        <v>3.52</v>
      </c>
      <c r="Q334" s="97">
        <f>K334-P334</f>
        <v/>
      </c>
      <c r="R334" s="98" t="n">
        <v>101.39</v>
      </c>
      <c r="S334" s="97">
        <f>(O334*T334)</f>
        <v/>
      </c>
      <c r="T334" s="79" t="n">
        <v>6.88</v>
      </c>
      <c r="U334" s="80" t="n">
        <v>12184.95</v>
      </c>
      <c r="V334" s="80" t="n">
        <v>24.68</v>
      </c>
      <c r="W334" s="97">
        <f>U334/V334</f>
        <v/>
      </c>
      <c r="X334" s="97">
        <f>(W334/U334)*100</f>
        <v/>
      </c>
      <c r="Y334" s="80" t="n">
        <v>9524</v>
      </c>
      <c r="Z334" s="80" t="n">
        <v>18.5</v>
      </c>
      <c r="AA334" s="97">
        <f>Y334/Z334</f>
        <v/>
      </c>
      <c r="AB334" s="97">
        <f>(AA334/Y334)*100</f>
        <v/>
      </c>
    </row>
    <row r="335">
      <c r="A335" s="92" t="n">
        <v>334</v>
      </c>
      <c r="B335" s="99" t="n">
        <v>45056</v>
      </c>
      <c r="C335" s="103" t="n">
        <v>27742831.09</v>
      </c>
      <c r="D335" s="98">
        <f>C335/E335</f>
        <v/>
      </c>
      <c r="E335" s="98" t="n">
        <v>81.90000000000001</v>
      </c>
      <c r="F335" s="98">
        <f>D335/100000</f>
        <v/>
      </c>
      <c r="G335" s="97">
        <f>(F335/DataSheet!$C$10*100)</f>
        <v/>
      </c>
      <c r="H335" s="98">
        <f>K335/I335</f>
        <v/>
      </c>
      <c r="I335" s="98">
        <f>(J335/L335)*100</f>
        <v/>
      </c>
      <c r="J335" s="97">
        <f>L335/O335</f>
        <v/>
      </c>
      <c r="K335" s="98" t="n">
        <v>7.03</v>
      </c>
      <c r="L335" s="98" t="n">
        <v>18315.1</v>
      </c>
      <c r="M335" s="98" t="n">
        <v>4.29</v>
      </c>
      <c r="N335" s="98">
        <f>K335-I335</f>
        <v/>
      </c>
      <c r="O335" s="98" t="n">
        <v>21.88</v>
      </c>
      <c r="P335" s="98" t="n">
        <v>3.43</v>
      </c>
      <c r="Q335" s="97">
        <f>K335-P335</f>
        <v/>
      </c>
      <c r="R335" s="98" t="n">
        <v>101.26</v>
      </c>
      <c r="S335" s="97">
        <f>(O335*T335)</f>
        <v/>
      </c>
      <c r="T335" s="79" t="n">
        <v>6.95</v>
      </c>
      <c r="U335" s="80" t="n">
        <v>12195.2</v>
      </c>
      <c r="V335" s="80" t="n">
        <v>24.65</v>
      </c>
      <c r="W335" s="97">
        <f>U335/V335</f>
        <v/>
      </c>
      <c r="X335" s="97">
        <f>(W335/U335)*100</f>
        <v/>
      </c>
      <c r="Y335" s="80" t="n">
        <v>9572.35</v>
      </c>
      <c r="Z335" s="80" t="n">
        <v>18.48</v>
      </c>
      <c r="AA335" s="97">
        <f>Y335/Z335</f>
        <v/>
      </c>
      <c r="AB335" s="97">
        <f>(AA335/Y335)*100</f>
        <v/>
      </c>
    </row>
    <row r="336">
      <c r="A336" s="92" t="n">
        <v>335</v>
      </c>
      <c r="B336" s="99" t="n">
        <v>45057</v>
      </c>
      <c r="C336" s="103" t="n">
        <v>27831824.47</v>
      </c>
      <c r="D336" s="98">
        <f>C336/E336</f>
        <v/>
      </c>
      <c r="E336" s="98" t="n">
        <v>82.09</v>
      </c>
      <c r="F336" s="98">
        <f>D336/100000</f>
        <v/>
      </c>
      <c r="G336" s="97">
        <f>(F336/DataSheet!$C$10*100)</f>
        <v/>
      </c>
      <c r="H336" s="98">
        <f>K336/I336</f>
        <v/>
      </c>
      <c r="I336" s="98">
        <f>(J336/L336)*100</f>
        <v/>
      </c>
      <c r="J336" s="97">
        <f>L336/O336</f>
        <v/>
      </c>
      <c r="K336" s="98" t="n">
        <v>7.02</v>
      </c>
      <c r="L336" s="98" t="n">
        <v>18297</v>
      </c>
      <c r="M336" s="98" t="n">
        <v>4.28</v>
      </c>
      <c r="N336" s="98">
        <f>K336-I336</f>
        <v/>
      </c>
      <c r="O336" s="98" t="n">
        <v>21.86</v>
      </c>
      <c r="P336" s="98" t="n">
        <v>3.38</v>
      </c>
      <c r="Q336" s="97">
        <f>K336-P336</f>
        <v/>
      </c>
      <c r="R336" s="98" t="n">
        <v>101.87</v>
      </c>
      <c r="S336" s="97">
        <f>(O336*T336)</f>
        <v/>
      </c>
      <c r="T336" s="79" t="n">
        <v>6.95</v>
      </c>
      <c r="U336" s="80" t="n">
        <v>12232.85</v>
      </c>
      <c r="V336" s="80" t="n">
        <v>24.67</v>
      </c>
      <c r="W336" s="97">
        <f>U336/V336</f>
        <v/>
      </c>
      <c r="X336" s="97">
        <f>(W336/U336)*100</f>
        <v/>
      </c>
      <c r="Y336" s="80" t="n">
        <v>9640.65</v>
      </c>
      <c r="Z336" s="80" t="n">
        <v>18.66</v>
      </c>
      <c r="AA336" s="97">
        <f>Y336/Z336</f>
        <v/>
      </c>
      <c r="AB336" s="97">
        <f>(AA336/Y336)*100</f>
        <v/>
      </c>
    </row>
    <row r="337">
      <c r="A337" s="92" t="n">
        <v>336</v>
      </c>
      <c r="B337" s="99" t="n">
        <v>45058</v>
      </c>
      <c r="C337" s="103" t="n">
        <v>27815282.14</v>
      </c>
      <c r="D337" s="98">
        <f>C337/E337</f>
        <v/>
      </c>
      <c r="E337" s="98" t="n">
        <v>82.17</v>
      </c>
      <c r="F337" s="98">
        <f>D337/100000</f>
        <v/>
      </c>
      <c r="G337" s="97">
        <f>(F337/DataSheet!$C$10*100)</f>
        <v/>
      </c>
      <c r="H337" s="98">
        <f>K337/I337</f>
        <v/>
      </c>
      <c r="I337" s="98">
        <f>(J337/L337)*100</f>
        <v/>
      </c>
      <c r="J337" s="97">
        <f>L337/O337</f>
        <v/>
      </c>
      <c r="K337" s="98" t="n">
        <v>6.99</v>
      </c>
      <c r="L337" s="98" t="n">
        <v>18314.8</v>
      </c>
      <c r="M337" s="98" t="n">
        <v>4.29</v>
      </c>
      <c r="N337" s="98">
        <f>K337-I337</f>
        <v/>
      </c>
      <c r="O337" s="98" t="n">
        <v>21.82</v>
      </c>
      <c r="P337" s="98" t="n">
        <v>3.46</v>
      </c>
      <c r="Q337" s="97">
        <f>K337-P337</f>
        <v/>
      </c>
      <c r="R337" s="98" t="n">
        <v>102.5</v>
      </c>
      <c r="S337" s="97">
        <f>(O337*T337)</f>
        <v/>
      </c>
      <c r="T337" s="79" t="n">
        <v>6.95</v>
      </c>
      <c r="U337" s="80" t="n">
        <v>12196.1</v>
      </c>
      <c r="V337" s="80" t="n">
        <v>24.47</v>
      </c>
      <c r="W337" s="97">
        <f>U337/V337</f>
        <v/>
      </c>
      <c r="X337" s="97">
        <f>(W337/U337)*100</f>
        <v/>
      </c>
      <c r="Y337" s="80" t="n">
        <v>9603.299999999999</v>
      </c>
      <c r="Z337" s="80" t="n">
        <v>18.61</v>
      </c>
      <c r="AA337" s="97">
        <f>Y337/Z337</f>
        <v/>
      </c>
      <c r="AB337" s="97">
        <f>(AA337/Y337)*100</f>
        <v/>
      </c>
    </row>
    <row r="338">
      <c r="A338" s="92" t="n">
        <v>337</v>
      </c>
      <c r="B338" s="99" t="n">
        <v>45061</v>
      </c>
      <c r="C338" s="103" t="n">
        <v>27898273.75</v>
      </c>
      <c r="D338" s="98">
        <f>C338/E338</f>
        <v/>
      </c>
      <c r="E338" s="98" t="n">
        <v>82.23</v>
      </c>
      <c r="F338" s="98">
        <f>D338/100000</f>
        <v/>
      </c>
      <c r="G338" s="97">
        <f>(F338/DataSheet!$C$10*100)</f>
        <v/>
      </c>
      <c r="H338" s="98">
        <f>K338/I338</f>
        <v/>
      </c>
      <c r="I338" s="98">
        <f>(J338/L338)*100</f>
        <v/>
      </c>
      <c r="J338" s="97">
        <f>L338/O338</f>
        <v/>
      </c>
      <c r="K338" s="98" t="n">
        <v>7</v>
      </c>
      <c r="L338" s="98" t="n">
        <v>18398.85</v>
      </c>
      <c r="M338" s="98" t="n">
        <v>4.31</v>
      </c>
      <c r="N338" s="98">
        <f>K338-I338</f>
        <v/>
      </c>
      <c r="O338" s="98" t="n">
        <v>21.92</v>
      </c>
      <c r="P338" s="98" t="n">
        <v>3.5</v>
      </c>
      <c r="Q338" s="97">
        <f>K338-P338</f>
        <v/>
      </c>
      <c r="R338" s="98" t="n">
        <v>102.27</v>
      </c>
      <c r="S338" s="97">
        <f>(O338*T338)</f>
        <v/>
      </c>
      <c r="T338" s="79" t="n">
        <v>6.95</v>
      </c>
      <c r="U338" s="80" t="n">
        <v>12264.65</v>
      </c>
      <c r="V338" s="80" t="n">
        <v>24.6</v>
      </c>
      <c r="W338" s="97">
        <f>U338/V338</f>
        <v/>
      </c>
      <c r="X338" s="97">
        <f>(W338/U338)*100</f>
        <v/>
      </c>
      <c r="Y338" s="80" t="n">
        <v>9673.25</v>
      </c>
      <c r="Z338" s="80" t="n">
        <v>18.75</v>
      </c>
      <c r="AA338" s="97">
        <f>Y338/Z338</f>
        <v/>
      </c>
      <c r="AB338" s="97">
        <f>(AA338/Y338)*100</f>
        <v/>
      </c>
    </row>
    <row r="339">
      <c r="A339" s="92" t="n">
        <v>338</v>
      </c>
      <c r="B339" s="99" t="n">
        <v>45062</v>
      </c>
      <c r="C339" s="103" t="n">
        <v>27847149.09</v>
      </c>
      <c r="D339" s="98">
        <f>C339/E339</f>
        <v/>
      </c>
      <c r="E339" s="98" t="n">
        <v>82.26000000000001</v>
      </c>
      <c r="F339" s="98">
        <f>D339/100000</f>
        <v/>
      </c>
      <c r="G339" s="97">
        <f>(F339/DataSheet!$C$10*100)</f>
        <v/>
      </c>
      <c r="H339" s="98">
        <f>K339/I339</f>
        <v/>
      </c>
      <c r="I339" s="98">
        <f>(J339/L339)*100</f>
        <v/>
      </c>
      <c r="J339" s="97">
        <f>L339/O339</f>
        <v/>
      </c>
      <c r="K339" s="98" t="n">
        <v>6.96</v>
      </c>
      <c r="L339" s="98" t="n">
        <v>18286.5</v>
      </c>
      <c r="M339" s="98" t="n">
        <v>4.28</v>
      </c>
      <c r="N339" s="98">
        <f>K339-I339</f>
        <v/>
      </c>
      <c r="O339" s="98" t="n">
        <v>21.59</v>
      </c>
      <c r="P339" s="98" t="n">
        <v>3.54</v>
      </c>
      <c r="Q339" s="97">
        <f>K339-P339</f>
        <v/>
      </c>
      <c r="R339" s="98" t="n">
        <v>102.4</v>
      </c>
      <c r="S339" s="97">
        <f>(O339*T339)</f>
        <v/>
      </c>
      <c r="T339" s="79" t="n">
        <v>6.91</v>
      </c>
      <c r="U339" s="80" t="n">
        <v>12293.05</v>
      </c>
      <c r="V339" s="80" t="n">
        <v>24.41</v>
      </c>
      <c r="W339" s="97">
        <f>U339/V339</f>
        <v/>
      </c>
      <c r="X339" s="97">
        <f>(W339/U339)*100</f>
        <v/>
      </c>
      <c r="Y339" s="80" t="n">
        <v>9676.950000000001</v>
      </c>
      <c r="Z339" s="80" t="n">
        <v>18.53</v>
      </c>
      <c r="AA339" s="97">
        <f>Y339/Z339</f>
        <v/>
      </c>
      <c r="AB339" s="97">
        <f>(AA339/Y339)*100</f>
        <v/>
      </c>
    </row>
    <row r="340">
      <c r="A340" s="92" t="n">
        <v>339</v>
      </c>
      <c r="B340" s="99" t="n">
        <v>45063</v>
      </c>
      <c r="C340" s="103" t="n">
        <v>27750546.17</v>
      </c>
      <c r="D340" s="98">
        <f>C340/E340</f>
        <v/>
      </c>
      <c r="E340" s="98" t="n">
        <v>82.40000000000001</v>
      </c>
      <c r="F340" s="98">
        <f>D340/100000</f>
        <v/>
      </c>
      <c r="G340" s="97">
        <f>(F340/DataSheet!$C$10*100)</f>
        <v/>
      </c>
      <c r="H340" s="98">
        <f>K340/I340</f>
        <v/>
      </c>
      <c r="I340" s="98">
        <f>(J340/L340)*100</f>
        <v/>
      </c>
      <c r="J340" s="97">
        <f>L340/O340</f>
        <v/>
      </c>
      <c r="K340" s="98" t="n">
        <v>6.97</v>
      </c>
      <c r="L340" s="98" t="n">
        <v>18181.75</v>
      </c>
      <c r="M340" s="98" t="n">
        <v>4.26</v>
      </c>
      <c r="N340" s="98">
        <f>K340-I340</f>
        <v/>
      </c>
      <c r="O340" s="98" t="n">
        <v>21.47</v>
      </c>
      <c r="P340" s="98" t="n">
        <v>3.57</v>
      </c>
      <c r="Q340" s="97">
        <f>K340-P340</f>
        <v/>
      </c>
      <c r="R340" s="98" t="n">
        <v>102.72</v>
      </c>
      <c r="S340" s="97">
        <f>(O340*T340)</f>
        <v/>
      </c>
      <c r="T340" s="79" t="n">
        <v>6.87</v>
      </c>
      <c r="U340" s="80" t="n">
        <v>12284.35</v>
      </c>
      <c r="V340" s="80" t="n">
        <v>24.38</v>
      </c>
      <c r="W340" s="97">
        <f>U340/V340</f>
        <v/>
      </c>
      <c r="X340" s="97">
        <f>(W340/U340)*100</f>
        <v/>
      </c>
      <c r="Y340" s="80" t="n">
        <v>9718.299999999999</v>
      </c>
      <c r="Z340" s="80" t="n">
        <v>18.62</v>
      </c>
      <c r="AA340" s="97">
        <f>Y340/Z340</f>
        <v/>
      </c>
      <c r="AB340" s="97">
        <f>(AA340/Y340)*100</f>
        <v/>
      </c>
    </row>
    <row r="341">
      <c r="A341" s="92" t="n">
        <v>340</v>
      </c>
      <c r="B341" s="99" t="n">
        <v>45064</v>
      </c>
      <c r="C341" s="103" t="n">
        <v>27616396.07</v>
      </c>
      <c r="D341" s="98">
        <f>C341/E341</f>
        <v/>
      </c>
      <c r="E341" s="98" t="n">
        <v>82.72</v>
      </c>
      <c r="F341" s="98">
        <f>D341/100000</f>
        <v/>
      </c>
      <c r="G341" s="97">
        <f>(F341/DataSheet!$C$10*100)</f>
        <v/>
      </c>
      <c r="H341" s="98">
        <f>K341/I341</f>
        <v/>
      </c>
      <c r="I341" s="98">
        <f>(J341/L341)*100</f>
        <v/>
      </c>
      <c r="J341" s="97">
        <f>L341/O341</f>
        <v/>
      </c>
      <c r="K341" s="98" t="n">
        <v>6.98</v>
      </c>
      <c r="L341" s="98" t="n">
        <v>18129.95</v>
      </c>
      <c r="M341" s="98" t="n">
        <v>4.24</v>
      </c>
      <c r="N341" s="98">
        <f>K341-I341</f>
        <v/>
      </c>
      <c r="O341" s="98" t="n">
        <v>21.39</v>
      </c>
      <c r="P341" s="98" t="n">
        <v>3.65</v>
      </c>
      <c r="Q341" s="97">
        <f>K341-P341</f>
        <v/>
      </c>
      <c r="R341" s="98" t="n">
        <v>103.45</v>
      </c>
      <c r="S341" s="97">
        <f>(O341*T341)</f>
        <v/>
      </c>
      <c r="T341" s="79" t="n">
        <v>6.85</v>
      </c>
      <c r="U341" s="80" t="n">
        <v>12213.8</v>
      </c>
      <c r="V341" s="80" t="n">
        <v>24.3</v>
      </c>
      <c r="W341" s="97">
        <f>U341/V341</f>
        <v/>
      </c>
      <c r="X341" s="97">
        <f>(W341/U341)*100</f>
        <v/>
      </c>
      <c r="Y341" s="80" t="n">
        <v>9678.549999999999</v>
      </c>
      <c r="Z341" s="80" t="n">
        <v>18.54</v>
      </c>
      <c r="AA341" s="97">
        <f>Y341/Z341</f>
        <v/>
      </c>
      <c r="AB341" s="97">
        <f>(AA341/Y341)*100</f>
        <v/>
      </c>
    </row>
    <row r="342">
      <c r="A342" s="92" t="n">
        <v>341</v>
      </c>
      <c r="B342" s="99" t="n">
        <v>45065</v>
      </c>
      <c r="C342" s="103" t="n">
        <v>27679004.31</v>
      </c>
      <c r="D342" s="98">
        <f>C342/E342</f>
        <v/>
      </c>
      <c r="E342" s="98" t="n">
        <v>82.87</v>
      </c>
      <c r="F342" s="98">
        <f>D342/100000</f>
        <v/>
      </c>
      <c r="G342" s="97">
        <f>(F342/DataSheet!$C$10*100)</f>
        <v/>
      </c>
      <c r="H342" s="98">
        <f>K342/I342</f>
        <v/>
      </c>
      <c r="I342" s="98">
        <f>(J342/L342)*100</f>
        <v/>
      </c>
      <c r="J342" s="97">
        <f>L342/O342</f>
        <v/>
      </c>
      <c r="K342" s="98" t="n">
        <v>7</v>
      </c>
      <c r="L342" s="98" t="n">
        <v>18203.4</v>
      </c>
      <c r="M342" s="98" t="n">
        <v>4.26</v>
      </c>
      <c r="N342" s="98">
        <f>K342-I342</f>
        <v/>
      </c>
      <c r="O342" s="98" t="n">
        <v>21.48</v>
      </c>
      <c r="P342" s="98" t="n">
        <v>3.68</v>
      </c>
      <c r="Q342" s="97">
        <f>K342-P342</f>
        <v/>
      </c>
      <c r="R342" s="98" t="n">
        <v>103.07</v>
      </c>
      <c r="S342" s="97">
        <f>(O342*T342)</f>
        <v/>
      </c>
      <c r="T342" s="79" t="n">
        <v>6.78</v>
      </c>
      <c r="U342" s="80" t="n">
        <v>12198.45</v>
      </c>
      <c r="V342" s="80" t="n">
        <v>24.15</v>
      </c>
      <c r="W342" s="97">
        <f>U342/V342</f>
        <v/>
      </c>
      <c r="X342" s="97">
        <f>(W342/U342)*100</f>
        <v/>
      </c>
      <c r="Y342" s="80" t="n">
        <v>9674.85</v>
      </c>
      <c r="Z342" s="80" t="n">
        <v>18.52</v>
      </c>
      <c r="AA342" s="97">
        <f>Y342/Z342</f>
        <v/>
      </c>
      <c r="AB342" s="97">
        <f>(AA342/Y342)*100</f>
        <v/>
      </c>
    </row>
    <row r="343">
      <c r="A343" s="92" t="n">
        <v>342</v>
      </c>
      <c r="B343" s="99" t="n">
        <v>45068</v>
      </c>
      <c r="C343" s="103" t="n">
        <v>27888845.46</v>
      </c>
      <c r="D343" s="98">
        <f>C343/E343</f>
        <v/>
      </c>
      <c r="E343" s="98" t="n">
        <v>82.84</v>
      </c>
      <c r="F343" s="98">
        <f>D343/100000</f>
        <v/>
      </c>
      <c r="G343" s="97">
        <f>(F343/DataSheet!$C$10*100)</f>
        <v/>
      </c>
      <c r="H343" s="98">
        <f>K343/I343</f>
        <v/>
      </c>
      <c r="I343" s="98">
        <f>(J343/L343)*100</f>
        <v/>
      </c>
      <c r="J343" s="97">
        <f>L343/O343</f>
        <v/>
      </c>
      <c r="K343" s="98" t="n">
        <v>6.98</v>
      </c>
      <c r="L343" s="98" t="n">
        <v>18314.4</v>
      </c>
      <c r="M343" s="98" t="n">
        <v>4.29</v>
      </c>
      <c r="N343" s="98">
        <f>K343-I343</f>
        <v/>
      </c>
      <c r="O343" s="98" t="n">
        <v>21.36</v>
      </c>
      <c r="P343" s="98" t="n">
        <v>3.71</v>
      </c>
      <c r="Q343" s="97">
        <f>K343-P343</f>
        <v/>
      </c>
      <c r="R343" s="98" t="n">
        <v>103.07</v>
      </c>
      <c r="S343" s="97">
        <f>(O343*T343)</f>
        <v/>
      </c>
      <c r="T343" s="79" t="n">
        <v>6.73</v>
      </c>
      <c r="U343" s="80" t="n">
        <v>12264.65</v>
      </c>
      <c r="V343" s="80" t="n">
        <v>24.29</v>
      </c>
      <c r="W343" s="97">
        <f>U343/V343</f>
        <v/>
      </c>
      <c r="X343" s="97">
        <f>(W343/U343)*100</f>
        <v/>
      </c>
      <c r="Y343" s="80" t="n">
        <v>9713.549999999999</v>
      </c>
      <c r="Z343" s="80" t="n">
        <v>18.65</v>
      </c>
      <c r="AA343" s="97">
        <f>Y343/Z343</f>
        <v/>
      </c>
      <c r="AB343" s="97">
        <f>(AA343/Y343)*100</f>
        <v/>
      </c>
    </row>
    <row r="344">
      <c r="A344" s="92" t="n">
        <v>343</v>
      </c>
      <c r="B344" s="99" t="n">
        <v>45069</v>
      </c>
      <c r="C344" s="103" t="n">
        <v>27996148.26</v>
      </c>
      <c r="D344" s="98">
        <f>C344/E344</f>
        <v/>
      </c>
      <c r="E344" s="98" t="n">
        <v>82.83</v>
      </c>
      <c r="F344" s="98">
        <f>D344/100000</f>
        <v/>
      </c>
      <c r="G344" s="97">
        <f>(F344/DataSheet!$C$10*100)</f>
        <v/>
      </c>
      <c r="H344" s="98">
        <f>K344/I344</f>
        <v/>
      </c>
      <c r="I344" s="98">
        <f>(J344/L344)*100</f>
        <v/>
      </c>
      <c r="J344" s="97">
        <f>L344/O344</f>
        <v/>
      </c>
      <c r="K344" s="98" t="n">
        <v>7.01</v>
      </c>
      <c r="L344" s="98" t="n">
        <v>18348</v>
      </c>
      <c r="M344" s="98" t="n">
        <v>4.29</v>
      </c>
      <c r="N344" s="98">
        <f>K344-I344</f>
        <v/>
      </c>
      <c r="O344" s="98" t="n">
        <v>21.41</v>
      </c>
      <c r="P344" s="98" t="n">
        <v>3.69</v>
      </c>
      <c r="Q344" s="97">
        <f>K344-P344</f>
        <v/>
      </c>
      <c r="R344" s="98" t="n">
        <v>103.38</v>
      </c>
      <c r="S344" s="97">
        <f>(O344*T344)</f>
        <v/>
      </c>
      <c r="T344" s="79" t="n">
        <v>6.78</v>
      </c>
      <c r="U344" s="80" t="n">
        <v>12335.65</v>
      </c>
      <c r="V344" s="80" t="n">
        <v>24.45</v>
      </c>
      <c r="W344" s="97">
        <f>U344/V344</f>
        <v/>
      </c>
      <c r="X344" s="97">
        <f>(W344/U344)*100</f>
        <v/>
      </c>
      <c r="Y344" s="80" t="n">
        <v>9725.450000000001</v>
      </c>
      <c r="Z344" s="80" t="n">
        <v>18.76</v>
      </c>
      <c r="AA344" s="97">
        <f>Y344/Z344</f>
        <v/>
      </c>
      <c r="AB344" s="97">
        <f>(AA344/Y344)*100</f>
        <v/>
      </c>
    </row>
    <row r="345">
      <c r="A345" s="92" t="n">
        <v>344</v>
      </c>
      <c r="B345" s="99" t="n">
        <v>45070</v>
      </c>
      <c r="C345" s="103" t="n">
        <v>27965556.81</v>
      </c>
      <c r="D345" s="98">
        <f>C345/E345</f>
        <v/>
      </c>
      <c r="E345" s="98" t="n">
        <v>82.67</v>
      </c>
      <c r="F345" s="98">
        <f>D345/100000</f>
        <v/>
      </c>
      <c r="G345" s="97">
        <f>(F345/DataSheet!$C$10*100)</f>
        <v/>
      </c>
      <c r="H345" s="98">
        <f>K345/I345</f>
        <v/>
      </c>
      <c r="I345" s="98">
        <f>(J345/L345)*100</f>
        <v/>
      </c>
      <c r="J345" s="97">
        <f>L345/O345</f>
        <v/>
      </c>
      <c r="K345" s="98" t="n">
        <v>6.99</v>
      </c>
      <c r="L345" s="98" t="n">
        <v>18285.4</v>
      </c>
      <c r="M345" s="98" t="n">
        <v>4.28</v>
      </c>
      <c r="N345" s="98">
        <f>K345-I345</f>
        <v/>
      </c>
      <c r="O345" s="98" t="n">
        <v>21.24</v>
      </c>
      <c r="P345" s="98" t="n">
        <v>3.74</v>
      </c>
      <c r="Q345" s="97">
        <f>K345-P345</f>
        <v/>
      </c>
      <c r="R345" s="98" t="n">
        <v>103.79</v>
      </c>
      <c r="S345" s="97">
        <f>(O345*T345)</f>
        <v/>
      </c>
      <c r="T345" s="79" t="n">
        <v>6.77</v>
      </c>
      <c r="U345" s="80" t="n">
        <v>12353.9</v>
      </c>
      <c r="V345" s="80" t="n">
        <v>24.48</v>
      </c>
      <c r="W345" s="97">
        <f>U345/V345</f>
        <v/>
      </c>
      <c r="X345" s="97">
        <f>(W345/U345)*100</f>
        <v/>
      </c>
      <c r="Y345" s="80" t="n">
        <v>9729.5</v>
      </c>
      <c r="Z345" s="80" t="n">
        <v>18.85</v>
      </c>
      <c r="AA345" s="97">
        <f>Y345/Z345</f>
        <v/>
      </c>
      <c r="AB345" s="97">
        <f>(AA345/Y345)*100</f>
        <v/>
      </c>
    </row>
    <row r="346">
      <c r="A346" s="92" t="n">
        <v>345</v>
      </c>
      <c r="B346" s="99" t="n">
        <v>45071</v>
      </c>
      <c r="C346" s="103" t="n">
        <v>28048937.84</v>
      </c>
      <c r="D346" s="98">
        <f>C346/E346</f>
        <v/>
      </c>
      <c r="E346" s="98" t="n">
        <v>82.73</v>
      </c>
      <c r="F346" s="98">
        <f>D346/100000</f>
        <v/>
      </c>
      <c r="G346" s="97">
        <f>(F346/DataSheet!$C$10*100)</f>
        <v/>
      </c>
      <c r="H346" s="98">
        <f>K346/I346</f>
        <v/>
      </c>
      <c r="I346" s="98">
        <f>(J346/L346)*100</f>
        <v/>
      </c>
      <c r="J346" s="97">
        <f>L346/O346</f>
        <v/>
      </c>
      <c r="K346" s="98" t="n">
        <v>7</v>
      </c>
      <c r="L346" s="98" t="n">
        <v>18321.15</v>
      </c>
      <c r="M346" s="98" t="n">
        <v>4.29</v>
      </c>
      <c r="N346" s="98">
        <f>K346-I346</f>
        <v/>
      </c>
      <c r="O346" s="98" t="n">
        <v>21.28</v>
      </c>
      <c r="P346" s="98" t="n">
        <v>3.82</v>
      </c>
      <c r="Q346" s="97">
        <f>K346-P346</f>
        <v/>
      </c>
      <c r="R346" s="98" t="n">
        <v>104.17</v>
      </c>
      <c r="S346" s="97">
        <f>(O346*T346)</f>
        <v/>
      </c>
      <c r="T346" s="79" t="n">
        <v>6.77</v>
      </c>
      <c r="U346" s="80" t="n">
        <v>12392.15</v>
      </c>
      <c r="V346" s="80" t="n">
        <v>24.57</v>
      </c>
      <c r="W346" s="97">
        <f>U346/V346</f>
        <v/>
      </c>
      <c r="X346" s="97">
        <f>(W346/U346)*100</f>
        <v/>
      </c>
      <c r="Y346" s="80" t="n">
        <v>9759.15</v>
      </c>
      <c r="Z346" s="80" t="n">
        <v>18.94</v>
      </c>
      <c r="AA346" s="97">
        <f>Y346/Z346</f>
        <v/>
      </c>
      <c r="AB346" s="97">
        <f>(AA346/Y346)*100</f>
        <v/>
      </c>
    </row>
    <row r="347">
      <c r="A347" s="92" t="n">
        <v>346</v>
      </c>
      <c r="B347" s="99" t="n">
        <v>45072</v>
      </c>
      <c r="C347" s="103" t="n">
        <v>28285398.4</v>
      </c>
      <c r="D347" s="98">
        <f>C347/E347</f>
        <v/>
      </c>
      <c r="E347" s="98" t="n">
        <v>82.5</v>
      </c>
      <c r="F347" s="98">
        <f>D347/100000</f>
        <v/>
      </c>
      <c r="G347" s="97">
        <f>(F347/DataSheet!$C$10*100)</f>
        <v/>
      </c>
      <c r="H347" s="98">
        <f>K347/I347</f>
        <v/>
      </c>
      <c r="I347" s="98">
        <f>(J347/L347)*100</f>
        <v/>
      </c>
      <c r="J347" s="97">
        <f>L347/O347</f>
        <v/>
      </c>
      <c r="K347" s="98" t="n">
        <v>7</v>
      </c>
      <c r="L347" s="98" t="n">
        <v>18499.35</v>
      </c>
      <c r="M347" s="98" t="n">
        <v>4.33</v>
      </c>
      <c r="N347" s="98">
        <f>K347-I347</f>
        <v/>
      </c>
      <c r="O347" s="98" t="n">
        <v>21.54</v>
      </c>
      <c r="P347" s="98" t="n">
        <v>3.81</v>
      </c>
      <c r="Q347" s="97">
        <f>K347-P347</f>
        <v/>
      </c>
      <c r="R347" s="98" t="n">
        <v>104.13</v>
      </c>
      <c r="S347" s="97">
        <f>(O347*T347)</f>
        <v/>
      </c>
      <c r="T347" s="79" t="n">
        <v>6.76</v>
      </c>
      <c r="U347" s="80" t="n">
        <v>12486.85</v>
      </c>
      <c r="V347" s="80" t="n">
        <v>24.69</v>
      </c>
      <c r="W347" s="97">
        <f>U347/V347</f>
        <v/>
      </c>
      <c r="X347" s="97">
        <f>(W347/U347)*100</f>
        <v/>
      </c>
      <c r="Y347" s="80" t="n">
        <v>9804.15</v>
      </c>
      <c r="Z347" s="80" t="n">
        <v>19.12</v>
      </c>
      <c r="AA347" s="97">
        <f>Y347/Z347</f>
        <v/>
      </c>
      <c r="AB347" s="97">
        <f>(AA347/Y347)*100</f>
        <v/>
      </c>
    </row>
    <row r="348">
      <c r="A348" s="92" t="n">
        <v>347</v>
      </c>
      <c r="B348" s="99" t="n">
        <v>45075</v>
      </c>
      <c r="C348" s="103" t="n">
        <v>28392521.03</v>
      </c>
      <c r="D348" s="98">
        <f>C348/E348</f>
        <v/>
      </c>
      <c r="E348" s="98" t="n">
        <v>82.58</v>
      </c>
      <c r="F348" s="98">
        <f>D348/100000</f>
        <v/>
      </c>
      <c r="G348" s="97">
        <f>(F348/DataSheet!$C$10*100)</f>
        <v/>
      </c>
      <c r="H348" s="98">
        <f>K348/I348</f>
        <v/>
      </c>
      <c r="I348" s="98">
        <f>(J348/L348)*100</f>
        <v/>
      </c>
      <c r="J348" s="97">
        <f>L348/O348</f>
        <v/>
      </c>
      <c r="K348" s="98" t="n">
        <v>7.02</v>
      </c>
      <c r="L348" s="98" t="n">
        <v>18598.65</v>
      </c>
      <c r="M348" s="98" t="n">
        <v>4.35</v>
      </c>
      <c r="N348" s="98">
        <f>K348-I348</f>
        <v/>
      </c>
      <c r="O348" s="98" t="n">
        <v>21.65</v>
      </c>
      <c r="P348" s="98" t="n">
        <v>3.76</v>
      </c>
      <c r="Q348" s="97">
        <f>K348-P348</f>
        <v/>
      </c>
      <c r="R348" s="98" t="n">
        <v>104.13</v>
      </c>
      <c r="S348" s="97">
        <f>(O348*T348)</f>
        <v/>
      </c>
      <c r="T348" s="79" t="n">
        <v>6.75</v>
      </c>
      <c r="U348" s="80" t="n">
        <v>12530.7</v>
      </c>
      <c r="V348" s="80" t="n">
        <v>24.79</v>
      </c>
      <c r="W348" s="97">
        <f>U348/V348</f>
        <v/>
      </c>
      <c r="X348" s="97">
        <f>(W348/U348)*100</f>
        <v/>
      </c>
      <c r="Y348" s="80" t="n">
        <v>9831.799999999999</v>
      </c>
      <c r="Z348" s="80" t="n">
        <v>19.19</v>
      </c>
      <c r="AA348" s="97">
        <f>Y348/Z348</f>
        <v/>
      </c>
      <c r="AB348" s="97">
        <f>(AA348/Y348)*100</f>
        <v/>
      </c>
    </row>
    <row r="349">
      <c r="A349" s="92" t="n">
        <v>348</v>
      </c>
      <c r="B349" s="99" t="n">
        <v>45076</v>
      </c>
      <c r="C349" s="101" t="n">
        <v>28407044.74</v>
      </c>
      <c r="D349" s="97">
        <f>C349/E349</f>
        <v/>
      </c>
      <c r="E349" s="97" t="n">
        <v>82.66</v>
      </c>
      <c r="F349" s="97">
        <f>D349/100000</f>
        <v/>
      </c>
      <c r="G349" s="97">
        <f>(F349/DataSheet!$C$10*100)</f>
        <v/>
      </c>
      <c r="H349" s="97">
        <f>K349/I349</f>
        <v/>
      </c>
      <c r="I349" s="97">
        <f>(J349/L349)*100</f>
        <v/>
      </c>
      <c r="J349" s="97">
        <f>L349/O349</f>
        <v/>
      </c>
      <c r="K349" s="97" t="n">
        <v>7.01</v>
      </c>
      <c r="L349" s="97" t="n">
        <v>18633.85</v>
      </c>
      <c r="M349" s="97" t="n">
        <v>4.36</v>
      </c>
      <c r="N349" s="97">
        <f>K349-I349</f>
        <v/>
      </c>
      <c r="O349" s="97" t="n">
        <v>21.7</v>
      </c>
      <c r="P349" s="97" t="n">
        <v>3.69</v>
      </c>
      <c r="Q349" s="97">
        <f>K349-P349</f>
        <v/>
      </c>
      <c r="R349" s="97" t="n">
        <v>104.07</v>
      </c>
      <c r="S349" s="97">
        <f>(O349*T349)</f>
        <v/>
      </c>
      <c r="T349" s="79" t="n">
        <v>6.75</v>
      </c>
      <c r="U349" s="80" t="n">
        <v>12576.6</v>
      </c>
      <c r="V349" s="80" t="n">
        <v>24.89</v>
      </c>
      <c r="W349" s="97">
        <f>U349/V349</f>
        <v/>
      </c>
      <c r="X349" s="97">
        <f>(W349/U349)*100</f>
        <v/>
      </c>
      <c r="Y349" s="80" t="n">
        <v>9836.9</v>
      </c>
      <c r="Z349" s="80" t="n">
        <v>19.35</v>
      </c>
      <c r="AA349" s="97">
        <f>Y349/Z349</f>
        <v/>
      </c>
      <c r="AB349" s="97">
        <f>(AA349/Y349)*100</f>
        <v/>
      </c>
    </row>
    <row r="350">
      <c r="A350" s="92" t="n">
        <v>349</v>
      </c>
      <c r="B350" s="99" t="n">
        <v>45077</v>
      </c>
      <c r="C350" s="101" t="n">
        <v>28390079.81</v>
      </c>
      <c r="D350" s="97">
        <f>C350/E350</f>
        <v/>
      </c>
      <c r="E350" s="97" t="n">
        <v>82.68000000000001</v>
      </c>
      <c r="F350" s="97">
        <f>D350/100000</f>
        <v/>
      </c>
      <c r="G350" s="97">
        <f>(F350/DataSheet!$C$10*100)</f>
        <v/>
      </c>
      <c r="H350" s="97">
        <f>K350/I350</f>
        <v/>
      </c>
      <c r="I350" s="97">
        <f>(J350/L350)*100</f>
        <v/>
      </c>
      <c r="J350" s="97">
        <f>L350/O350</f>
        <v/>
      </c>
      <c r="K350" s="97" t="n">
        <v>6.98</v>
      </c>
      <c r="L350" s="97" t="n">
        <v>18534.4</v>
      </c>
      <c r="M350" s="97" t="n">
        <v>4.33</v>
      </c>
      <c r="N350" s="97">
        <f>K350-I350</f>
        <v/>
      </c>
      <c r="O350" s="97" t="n">
        <v>21.59</v>
      </c>
      <c r="P350" s="97" t="n">
        <v>3.64</v>
      </c>
      <c r="Q350" s="97">
        <f>K350-P350</f>
        <v/>
      </c>
      <c r="R350" s="97" t="n">
        <v>104.24</v>
      </c>
      <c r="S350" s="97">
        <f>(O350*T350)</f>
        <v/>
      </c>
      <c r="T350" s="79" t="n">
        <v>6.77</v>
      </c>
      <c r="U350" s="80" t="n">
        <v>12623.35</v>
      </c>
      <c r="V350" s="80" t="n">
        <v>24.98</v>
      </c>
      <c r="W350" s="97">
        <f>U350/V350</f>
        <v/>
      </c>
      <c r="X350" s="97">
        <f>(W350/U350)*100</f>
        <v/>
      </c>
      <c r="Y350" s="80" t="n">
        <v>9913.4</v>
      </c>
      <c r="Z350" s="80" t="n">
        <v>19.5</v>
      </c>
      <c r="AA350" s="97">
        <f>Y350/Z350</f>
        <v/>
      </c>
      <c r="AB350" s="97">
        <f>(AA350/Y350)*100</f>
        <v/>
      </c>
    </row>
    <row r="351">
      <c r="A351" s="92" t="n">
        <v>350</v>
      </c>
      <c r="B351" s="99" t="n">
        <v>45078</v>
      </c>
      <c r="C351" s="101" t="n">
        <v>28429686.63</v>
      </c>
      <c r="D351" s="97">
        <f>C351/E351</f>
        <v/>
      </c>
      <c r="E351" s="97" t="n">
        <v>82.26000000000001</v>
      </c>
      <c r="F351" s="97">
        <f>D351/100000</f>
        <v/>
      </c>
      <c r="G351" s="97">
        <f>(F351/DataSheet!$C$10*100)</f>
        <v/>
      </c>
      <c r="H351" s="97">
        <f>K351/I351</f>
        <v/>
      </c>
      <c r="I351" s="97">
        <f>(J351/L351)*100</f>
        <v/>
      </c>
      <c r="J351" s="97">
        <f>L351/O351</f>
        <v/>
      </c>
      <c r="K351" s="97" t="n">
        <v>6.97</v>
      </c>
      <c r="L351" s="97" t="n">
        <v>18487.75</v>
      </c>
      <c r="M351" s="97" t="n">
        <v>4.32</v>
      </c>
      <c r="N351" s="97">
        <f>K351-I351</f>
        <v/>
      </c>
      <c r="O351" s="97" t="n">
        <v>21.53</v>
      </c>
      <c r="P351" s="97" t="n">
        <v>3.6</v>
      </c>
      <c r="Q351" s="97">
        <f>K351-P351</f>
        <v/>
      </c>
      <c r="R351" s="97" t="n">
        <v>103.5</v>
      </c>
      <c r="S351" s="97">
        <f>(O351*T351)</f>
        <v/>
      </c>
      <c r="T351" s="79" t="n">
        <v>6.76</v>
      </c>
      <c r="U351" s="80" t="n">
        <v>12647.95</v>
      </c>
      <c r="V351" s="80" t="n">
        <v>24.89</v>
      </c>
      <c r="W351" s="97">
        <f>U351/V351</f>
        <v/>
      </c>
      <c r="X351" s="97">
        <f>(W351/U351)*100</f>
        <v/>
      </c>
      <c r="Y351" s="80" t="n">
        <v>9995.35</v>
      </c>
      <c r="Z351" s="80" t="n">
        <v>19.77</v>
      </c>
      <c r="AA351" s="97">
        <f>Y351/Z351</f>
        <v/>
      </c>
      <c r="AB351" s="97">
        <f>(AA351/Y351)*100</f>
        <v/>
      </c>
    </row>
    <row r="352">
      <c r="A352" s="92" t="n">
        <v>351</v>
      </c>
      <c r="B352" s="99" t="n">
        <v>45079</v>
      </c>
      <c r="C352" s="101" t="n">
        <v>28530920.26</v>
      </c>
      <c r="D352" s="97">
        <f>C352/E352</f>
        <v/>
      </c>
      <c r="E352" s="97" t="n">
        <v>82.38</v>
      </c>
      <c r="F352" s="97">
        <f>D352/100000</f>
        <v/>
      </c>
      <c r="G352" s="97">
        <f>(F352/DataSheet!$C$10*100)</f>
        <v/>
      </c>
      <c r="H352" s="97">
        <f>K352/I352</f>
        <v/>
      </c>
      <c r="I352" s="97">
        <f>(J352/L352)*100</f>
        <v/>
      </c>
      <c r="J352" s="97">
        <f>L352/O352</f>
        <v/>
      </c>
      <c r="K352" s="97" t="n">
        <v>6.98</v>
      </c>
      <c r="L352" s="97" t="n">
        <v>18534.1</v>
      </c>
      <c r="M352" s="97" t="n">
        <v>4.33</v>
      </c>
      <c r="N352" s="97">
        <f>K352-I352</f>
        <v/>
      </c>
      <c r="O352" s="97" t="n">
        <v>21.58</v>
      </c>
      <c r="P352" s="97" t="n">
        <v>3.69</v>
      </c>
      <c r="Q352" s="97">
        <f>K352-P352</f>
        <v/>
      </c>
      <c r="R352" s="97" t="n">
        <v>103.95</v>
      </c>
      <c r="S352" s="97">
        <f>(O352*T352)</f>
        <v/>
      </c>
      <c r="T352" s="79" t="n">
        <v>6.75</v>
      </c>
      <c r="U352" s="80" t="n">
        <v>12705.4</v>
      </c>
      <c r="V352" s="80" t="n">
        <v>25.01</v>
      </c>
      <c r="W352" s="97">
        <f>U352/V352</f>
        <v/>
      </c>
      <c r="X352" s="97">
        <f>(W352/U352)*100</f>
        <v/>
      </c>
      <c r="Y352" s="80" t="n">
        <v>10043.45</v>
      </c>
      <c r="Z352" s="80" t="n">
        <v>20.01</v>
      </c>
      <c r="AA352" s="97">
        <f>Y352/Z352</f>
        <v/>
      </c>
      <c r="AB352" s="97">
        <f>(AA352/Y352)*100</f>
        <v/>
      </c>
    </row>
    <row r="353">
      <c r="A353" s="92" t="n">
        <v>352</v>
      </c>
      <c r="B353" s="99" t="n">
        <v>45082</v>
      </c>
      <c r="C353" s="101" t="n">
        <v>28611305.61</v>
      </c>
      <c r="D353" s="97">
        <f>C353/E353</f>
        <v/>
      </c>
      <c r="E353" s="97" t="n">
        <v>82.52</v>
      </c>
      <c r="F353" s="97">
        <f>D353/100000</f>
        <v/>
      </c>
      <c r="G353" s="97">
        <f>(F353/DataSheet!$C$10*100)</f>
        <v/>
      </c>
      <c r="H353" s="97">
        <f>K353/I353</f>
        <v/>
      </c>
      <c r="I353" s="97">
        <f>(J353/L353)*100</f>
        <v/>
      </c>
      <c r="J353" s="97">
        <f>L353/O353</f>
        <v/>
      </c>
      <c r="K353" s="97" t="n">
        <v>6.99</v>
      </c>
      <c r="L353" s="97" t="n">
        <v>18593.85</v>
      </c>
      <c r="M353" s="97" t="n">
        <v>4.35</v>
      </c>
      <c r="N353" s="97">
        <f>K353-I353</f>
        <v/>
      </c>
      <c r="O353" s="97" t="n">
        <v>21.65</v>
      </c>
      <c r="P353" s="97" t="n">
        <v>3.68</v>
      </c>
      <c r="Q353" s="97">
        <f>K353-P353</f>
        <v/>
      </c>
      <c r="R353" s="97" t="n">
        <v>103.93</v>
      </c>
      <c r="S353" s="97">
        <f>(O353*T353)</f>
        <v/>
      </c>
      <c r="T353" s="79" t="n">
        <v>6.73</v>
      </c>
      <c r="U353" s="80" t="n">
        <v>12743.35</v>
      </c>
      <c r="V353" s="80" t="n">
        <v>25.03</v>
      </c>
      <c r="W353" s="97">
        <f>U353/V353</f>
        <v/>
      </c>
      <c r="X353" s="97">
        <f>(W353/U353)*100</f>
        <v/>
      </c>
      <c r="Y353" s="80" t="n">
        <v>10071.25</v>
      </c>
      <c r="Z353" s="80" t="n">
        <v>20.03</v>
      </c>
      <c r="AA353" s="97">
        <f>Y353/Z353</f>
        <v/>
      </c>
      <c r="AB353" s="97">
        <f>(AA353/Y353)*100</f>
        <v/>
      </c>
    </row>
    <row r="354">
      <c r="A354" s="92" t="n">
        <v>353</v>
      </c>
      <c r="B354" s="99" t="n">
        <v>45083</v>
      </c>
      <c r="C354" s="101" t="n">
        <v>28672011.58</v>
      </c>
      <c r="D354" s="97">
        <f>C354/E354</f>
        <v/>
      </c>
      <c r="E354" s="97" t="n">
        <v>82.51000000000001</v>
      </c>
      <c r="F354" s="97">
        <f>D354/100000</f>
        <v/>
      </c>
      <c r="G354" s="97">
        <f>(F354/DataSheet!$C$10*100)</f>
        <v/>
      </c>
      <c r="H354" s="97">
        <f>K354/I354</f>
        <v/>
      </c>
      <c r="I354" s="97">
        <f>(J354/L354)*100</f>
        <v/>
      </c>
      <c r="J354" s="97">
        <f>L354/O354</f>
        <v/>
      </c>
      <c r="K354" s="97" t="n">
        <v>6.97</v>
      </c>
      <c r="L354" s="97" t="n">
        <v>18599</v>
      </c>
      <c r="M354" s="97" t="n">
        <v>4.35</v>
      </c>
      <c r="N354" s="97">
        <f>K354-I354</f>
        <v/>
      </c>
      <c r="O354" s="97" t="n">
        <v>21.66</v>
      </c>
      <c r="P354" s="97" t="n">
        <v>3.67</v>
      </c>
      <c r="Q354" s="97">
        <f>K354-P354</f>
        <v/>
      </c>
      <c r="R354" s="97" t="n">
        <v>104.07</v>
      </c>
      <c r="S354" s="97">
        <f>(O354*T354)</f>
        <v/>
      </c>
      <c r="T354" s="79" t="n">
        <v>6.75</v>
      </c>
      <c r="U354" s="80" t="n">
        <v>12757.4</v>
      </c>
      <c r="V354" s="80" t="n">
        <v>25.05</v>
      </c>
      <c r="W354" s="97">
        <f>U354/V354</f>
        <v/>
      </c>
      <c r="X354" s="97">
        <f>(W354/U354)*100</f>
        <v/>
      </c>
      <c r="Y354" s="80" t="n">
        <v>10125.7</v>
      </c>
      <c r="Z354" s="80" t="n">
        <v>20.14</v>
      </c>
      <c r="AA354" s="97">
        <f>Y354/Z354</f>
        <v/>
      </c>
      <c r="AB354" s="97">
        <f>(AA354/Y354)*100</f>
        <v/>
      </c>
    </row>
    <row r="355">
      <c r="A355" s="92" t="n">
        <v>354</v>
      </c>
      <c r="B355" s="99" t="n">
        <v>45084</v>
      </c>
      <c r="C355" s="103" t="n">
        <v>28922453.61</v>
      </c>
      <c r="D355" s="98">
        <f>C355/E355</f>
        <v/>
      </c>
      <c r="E355" s="98" t="n">
        <v>82.61</v>
      </c>
      <c r="F355" s="98">
        <f>D355/100000</f>
        <v/>
      </c>
      <c r="G355" s="97">
        <f>(F355/DataSheet!$C$10*100)</f>
        <v/>
      </c>
      <c r="H355" s="97">
        <f>K355/I355</f>
        <v/>
      </c>
      <c r="I355" s="97">
        <f>(J355/L355)*100</f>
        <v/>
      </c>
      <c r="J355" s="97">
        <f>L355/O355</f>
        <v/>
      </c>
      <c r="K355" s="97" t="n">
        <v>6.98</v>
      </c>
      <c r="L355" s="97" t="n">
        <v>18726.4</v>
      </c>
      <c r="M355" s="97" t="n">
        <v>4.38</v>
      </c>
      <c r="N355" s="97">
        <f>K355-I355</f>
        <v/>
      </c>
      <c r="O355" s="97" t="n">
        <v>21.81</v>
      </c>
      <c r="P355" s="97" t="n">
        <v>3.78</v>
      </c>
      <c r="Q355" s="97">
        <f>K355-P355</f>
        <v/>
      </c>
      <c r="R355" s="97" t="n">
        <v>104.05</v>
      </c>
      <c r="S355" s="97">
        <f>(O355*T355)</f>
        <v/>
      </c>
      <c r="T355" s="79" t="n">
        <v>6.75</v>
      </c>
      <c r="U355" s="80" t="n">
        <v>12900.8</v>
      </c>
      <c r="V355" s="80" t="n">
        <v>25.34</v>
      </c>
      <c r="W355" s="97">
        <f>U355/V355</f>
        <v/>
      </c>
      <c r="X355" s="97">
        <f>(W355/U355)*100</f>
        <v/>
      </c>
      <c r="Y355" s="80" t="n">
        <v>10239.2</v>
      </c>
      <c r="Z355" s="80" t="n">
        <v>20.36</v>
      </c>
      <c r="AA355" s="97">
        <f>Y355/Z355</f>
        <v/>
      </c>
      <c r="AB355" s="97">
        <f>(AA355/Y355)*100</f>
        <v/>
      </c>
    </row>
    <row r="356">
      <c r="A356" s="92" t="n">
        <v>355</v>
      </c>
      <c r="B356" s="99" t="n">
        <v>45085</v>
      </c>
      <c r="C356" s="103" t="n">
        <v>28761550.66</v>
      </c>
      <c r="D356" s="98">
        <f>C356/E356</f>
        <v/>
      </c>
      <c r="E356" s="98" t="n">
        <v>82.48</v>
      </c>
      <c r="F356" s="98">
        <f>D356/100000</f>
        <v/>
      </c>
      <c r="G356" s="97">
        <f>(F356/DataSheet!$C$10*100)</f>
        <v/>
      </c>
      <c r="H356" s="97">
        <f>K356/I356</f>
        <v/>
      </c>
      <c r="I356" s="97">
        <f>(J356/L356)*100</f>
        <v/>
      </c>
      <c r="J356" s="97">
        <f>L356/O356</f>
        <v/>
      </c>
      <c r="K356" s="97" t="n">
        <v>7.02</v>
      </c>
      <c r="L356" s="97" t="n">
        <v>18634.55</v>
      </c>
      <c r="M356" s="97" t="n">
        <v>4.36</v>
      </c>
      <c r="N356" s="97">
        <f>K356-I356</f>
        <v/>
      </c>
      <c r="O356" s="97" t="n">
        <v>21.7</v>
      </c>
      <c r="P356" s="97" t="n">
        <v>3.71</v>
      </c>
      <c r="Q356" s="97">
        <f>K356-P356</f>
        <v/>
      </c>
      <c r="R356" s="97" t="n">
        <v>103.31</v>
      </c>
      <c r="S356" s="97">
        <f>(O356*T356)</f>
        <v/>
      </c>
      <c r="T356" s="79" t="n">
        <v>6.76</v>
      </c>
      <c r="U356" s="80" t="n">
        <v>12831.4</v>
      </c>
      <c r="V356" s="80" t="n">
        <v>25.2</v>
      </c>
      <c r="W356" s="97">
        <f>U356/V356</f>
        <v/>
      </c>
      <c r="X356" s="97">
        <f>(W356/U356)*100</f>
        <v/>
      </c>
      <c r="Y356" s="80" t="n">
        <v>10170.75</v>
      </c>
      <c r="Z356" s="80" t="n">
        <v>20.23</v>
      </c>
      <c r="AA356" s="97">
        <f>Y356/Z356</f>
        <v/>
      </c>
      <c r="AB356" s="97">
        <f>(AA356/Y356)*100</f>
        <v/>
      </c>
    </row>
    <row r="357">
      <c r="A357" s="92" t="n">
        <v>356</v>
      </c>
      <c r="B357" s="99" t="n">
        <v>45086</v>
      </c>
      <c r="C357" s="103" t="n">
        <v>28687975.34</v>
      </c>
      <c r="D357" s="98">
        <f>C357/E357</f>
        <v/>
      </c>
      <c r="E357" s="98" t="n">
        <v>82.44</v>
      </c>
      <c r="F357" s="98">
        <f>D357/100000</f>
        <v/>
      </c>
      <c r="G357" s="97">
        <f>(F357/DataSheet!$C$10*100)</f>
        <v/>
      </c>
      <c r="H357" s="97">
        <f>K357/I357</f>
        <v/>
      </c>
      <c r="I357" s="97">
        <f>(J357/L357)*100</f>
        <v/>
      </c>
      <c r="J357" s="97">
        <f>L357/O357</f>
        <v/>
      </c>
      <c r="K357" s="97" t="n">
        <v>7.03</v>
      </c>
      <c r="L357" s="97" t="n">
        <v>18563.4</v>
      </c>
      <c r="M357" s="97" t="n">
        <v>4.34</v>
      </c>
      <c r="N357" s="97">
        <f>K357-I357</f>
        <v/>
      </c>
      <c r="O357" s="97" t="n">
        <v>21.62</v>
      </c>
      <c r="P357" s="97" t="n">
        <v>3.74</v>
      </c>
      <c r="Q357" s="97">
        <f>K357-P357</f>
        <v/>
      </c>
      <c r="R357" s="97" t="n">
        <v>103.53</v>
      </c>
      <c r="S357" s="97">
        <f>(O357*T357)</f>
        <v/>
      </c>
      <c r="T357" s="79" t="n">
        <v>6.76</v>
      </c>
      <c r="U357" s="80" t="n">
        <v>12814.8</v>
      </c>
      <c r="V357" s="80" t="n">
        <v>25.17</v>
      </c>
      <c r="W357" s="97">
        <f>U357/V357</f>
        <v/>
      </c>
      <c r="X357" s="97">
        <f>(W357/U357)*100</f>
        <v/>
      </c>
      <c r="Y357" s="80" t="n">
        <v>10164.25</v>
      </c>
      <c r="Z357" s="80" t="n">
        <v>20.21</v>
      </c>
      <c r="AA357" s="97">
        <f>Y357/Z357</f>
        <v/>
      </c>
      <c r="AB357" s="97">
        <f>(AA357/Y357)*100</f>
        <v/>
      </c>
    </row>
    <row r="358">
      <c r="A358" s="92" t="n">
        <v>357</v>
      </c>
      <c r="B358" s="99" t="n">
        <v>45089</v>
      </c>
      <c r="C358" s="103" t="n">
        <v>28803454.51</v>
      </c>
      <c r="D358" s="98">
        <f>C358/E358</f>
        <v/>
      </c>
      <c r="E358" s="98" t="n">
        <v>82.39</v>
      </c>
      <c r="F358" s="98">
        <f>D358/100000</f>
        <v/>
      </c>
      <c r="G358" s="97">
        <f>(F358/DataSheet!$C$10*100)</f>
        <v/>
      </c>
      <c r="H358" s="97">
        <f>K358/I358</f>
        <v/>
      </c>
      <c r="I358" s="97">
        <f>(J358/L358)*100</f>
        <v/>
      </c>
      <c r="J358" s="97">
        <f>L358/O358</f>
        <v/>
      </c>
      <c r="K358" s="97" t="n">
        <v>7.01</v>
      </c>
      <c r="L358" s="97" t="n">
        <v>18601.5</v>
      </c>
      <c r="M358" s="97" t="n">
        <v>4.35</v>
      </c>
      <c r="N358" s="97">
        <f>K358-I358</f>
        <v/>
      </c>
      <c r="O358" s="97" t="n">
        <v>21.66</v>
      </c>
      <c r="P358" s="97" t="n">
        <v>3.74</v>
      </c>
      <c r="Q358" s="97">
        <f>K358-P358</f>
        <v/>
      </c>
      <c r="R358" s="97" t="n">
        <v>103.22</v>
      </c>
      <c r="S358" s="97">
        <f>(O358*T358)</f>
        <v/>
      </c>
      <c r="T358" s="79" t="n">
        <v>6.75</v>
      </c>
      <c r="U358" s="80" t="n">
        <v>12890.6</v>
      </c>
      <c r="V358" s="80" t="n">
        <v>25.31</v>
      </c>
      <c r="W358" s="97">
        <f>U358/V358</f>
        <v/>
      </c>
      <c r="X358" s="97">
        <f>(W358/U358)*100</f>
        <v/>
      </c>
      <c r="Y358" s="80" t="n">
        <v>10229.85</v>
      </c>
      <c r="Z358" s="80" t="n">
        <v>20.34</v>
      </c>
      <c r="AA358" s="97">
        <f>Y358/Z358</f>
        <v/>
      </c>
      <c r="AB358" s="97">
        <f>(AA358/Y358)*100</f>
        <v/>
      </c>
    </row>
    <row r="359">
      <c r="A359" s="92" t="n">
        <v>358</v>
      </c>
      <c r="B359" s="99" t="n">
        <v>45090</v>
      </c>
      <c r="C359" s="101" t="n">
        <v>29016697.25</v>
      </c>
      <c r="D359" s="97">
        <f>C359/E359</f>
        <v/>
      </c>
      <c r="E359" s="97" t="n">
        <v>82.22</v>
      </c>
      <c r="F359" s="97">
        <f>D359/100000</f>
        <v/>
      </c>
      <c r="G359" s="97">
        <f>(F359/DataSheet!$C$10*100)</f>
        <v/>
      </c>
      <c r="H359" s="97">
        <f>K359/I359</f>
        <v/>
      </c>
      <c r="I359" s="97">
        <f>(J359/L359)*100</f>
        <v/>
      </c>
      <c r="J359" s="97">
        <f>L359/O359</f>
        <v/>
      </c>
      <c r="K359" s="97" t="n">
        <v>7</v>
      </c>
      <c r="L359" s="97" t="n">
        <v>18716.15</v>
      </c>
      <c r="M359" s="97" t="n">
        <v>4.37</v>
      </c>
      <c r="N359" s="97">
        <f>K359-I359</f>
        <v/>
      </c>
      <c r="O359" s="97" t="n">
        <v>21.79</v>
      </c>
      <c r="P359" s="97" t="n">
        <v>3.82</v>
      </c>
      <c r="Q359" s="97">
        <f>K359-P359</f>
        <v/>
      </c>
      <c r="R359" s="97" t="n">
        <v>102.92</v>
      </c>
      <c r="S359" s="97">
        <f>(O359*T359)</f>
        <v/>
      </c>
      <c r="T359" s="79" t="n">
        <v>6.77</v>
      </c>
      <c r="U359" s="80" t="n">
        <v>13042.2</v>
      </c>
      <c r="V359" s="80" t="n">
        <v>25.61</v>
      </c>
      <c r="W359" s="97">
        <f>U359/V359</f>
        <v/>
      </c>
      <c r="X359" s="97">
        <f>(W359/U359)*100</f>
        <v/>
      </c>
      <c r="Y359" s="80" t="n">
        <v>10304.9</v>
      </c>
      <c r="Z359" s="80" t="n">
        <v>20.49</v>
      </c>
      <c r="AA359" s="97">
        <f>Y359/Z359</f>
        <v/>
      </c>
      <c r="AB359" s="97">
        <f>(AA359/Y359)*100</f>
        <v/>
      </c>
    </row>
    <row r="360">
      <c r="A360" s="92" t="n">
        <v>359</v>
      </c>
      <c r="B360" s="99" t="n">
        <v>45091</v>
      </c>
      <c r="C360" s="103" t="n">
        <v>29102863.37</v>
      </c>
      <c r="D360" s="98">
        <f>C360/E360</f>
        <v/>
      </c>
      <c r="E360" s="98" t="n">
        <v>82.04000000000001</v>
      </c>
      <c r="F360" s="98">
        <f>D360/100000</f>
        <v/>
      </c>
      <c r="G360" s="97">
        <f>(F360/DataSheet!$C$10*100)</f>
        <v/>
      </c>
      <c r="H360" s="98">
        <f>K360/I360</f>
        <v/>
      </c>
      <c r="I360" s="98">
        <f>(J360/L360)*100</f>
        <v/>
      </c>
      <c r="J360" s="97">
        <f>L360/O360</f>
        <v/>
      </c>
      <c r="K360" s="98" t="n">
        <v>7.01</v>
      </c>
      <c r="L360" s="98" t="n">
        <v>18755.7</v>
      </c>
      <c r="M360" s="98" t="n">
        <v>4.38</v>
      </c>
      <c r="N360" s="98">
        <f>K360-I360</f>
        <v/>
      </c>
      <c r="O360" s="98" t="n">
        <v>21.84</v>
      </c>
      <c r="P360" s="98" t="n">
        <v>3.79</v>
      </c>
      <c r="Q360" s="97">
        <f>K360-P360</f>
        <v/>
      </c>
      <c r="R360" s="98" t="n">
        <v>102.52</v>
      </c>
      <c r="S360" s="97">
        <f>(O360*T360)</f>
        <v/>
      </c>
      <c r="T360" s="79" t="n">
        <v>6.77</v>
      </c>
      <c r="U360" s="80" t="n">
        <v>13078.75</v>
      </c>
      <c r="V360" s="80" t="n">
        <v>25.68</v>
      </c>
      <c r="W360" s="97">
        <f>U360/V360</f>
        <v/>
      </c>
      <c r="X360" s="97">
        <f>(W360/U360)*100</f>
        <v/>
      </c>
      <c r="Y360" s="80" t="n">
        <v>10334.45</v>
      </c>
      <c r="Z360" s="80" t="n">
        <v>20.55</v>
      </c>
      <c r="AA360" s="97">
        <f>Y360/Z360</f>
        <v/>
      </c>
      <c r="AB360" s="97">
        <f>(AA360/Y360)*100</f>
        <v/>
      </c>
    </row>
    <row r="361">
      <c r="A361" s="92" t="n">
        <v>360</v>
      </c>
      <c r="B361" s="99" t="n">
        <v>45092</v>
      </c>
      <c r="C361" s="103" t="n">
        <v>29091911.92</v>
      </c>
      <c r="D361" s="98">
        <f>C361/E361</f>
        <v/>
      </c>
      <c r="E361" s="98" t="n">
        <v>82.26000000000001</v>
      </c>
      <c r="F361" s="98">
        <f>D361/100000</f>
        <v/>
      </c>
      <c r="G361" s="97">
        <f>(F361/DataSheet!$C$10*100)</f>
        <v/>
      </c>
      <c r="H361" s="98">
        <f>K361/I361</f>
        <v/>
      </c>
      <c r="I361" s="98">
        <f>(J361/L361)*100</f>
        <v/>
      </c>
      <c r="J361" s="97">
        <f>L361/O361</f>
        <v/>
      </c>
      <c r="K361" s="98" t="n">
        <v>7.04</v>
      </c>
      <c r="L361" s="98" t="n">
        <v>18688.1</v>
      </c>
      <c r="M361" s="98" t="n">
        <v>4.37</v>
      </c>
      <c r="N361" s="98">
        <f>K361-I361</f>
        <v/>
      </c>
      <c r="O361" s="98" t="n">
        <v>21.76</v>
      </c>
      <c r="P361" s="98" t="n">
        <v>3.83</v>
      </c>
      <c r="Q361" s="97">
        <f>K361-P361</f>
        <v/>
      </c>
      <c r="R361" s="98" t="n">
        <v>102.82</v>
      </c>
      <c r="S361" s="97">
        <f>(O361*T361)</f>
        <v/>
      </c>
      <c r="T361" s="79" t="n">
        <v>6.81</v>
      </c>
      <c r="U361" s="80" t="n">
        <v>13100.9</v>
      </c>
      <c r="V361" s="80" t="n">
        <v>25.73</v>
      </c>
      <c r="W361" s="97">
        <f>U361/V361</f>
        <v/>
      </c>
      <c r="X361" s="97">
        <f>(W361/U361)*100</f>
        <v/>
      </c>
      <c r="Y361" s="80" t="n">
        <v>10366.7</v>
      </c>
      <c r="Z361" s="80" t="n">
        <v>20.61</v>
      </c>
      <c r="AA361" s="97">
        <f>Y361/Z361</f>
        <v/>
      </c>
      <c r="AB361" s="97">
        <f>(AA361/Y361)*100</f>
        <v/>
      </c>
    </row>
    <row r="362">
      <c r="A362" s="92" t="n">
        <v>361</v>
      </c>
      <c r="B362" s="99" t="n">
        <v>45093</v>
      </c>
      <c r="C362" s="103" t="n">
        <v>29299548.19</v>
      </c>
      <c r="D362" s="98">
        <f>C362/E362</f>
        <v/>
      </c>
      <c r="E362" s="98" t="n">
        <v>81.91</v>
      </c>
      <c r="F362" s="98">
        <f>D362/100000</f>
        <v/>
      </c>
      <c r="G362" s="97">
        <f>(F362/DataSheet!$C$10*100)</f>
        <v/>
      </c>
      <c r="H362" s="98">
        <f>K362/I362</f>
        <v/>
      </c>
      <c r="I362" s="98">
        <f>(J362/L362)*100</f>
        <v/>
      </c>
      <c r="J362" s="97">
        <f>L362/O362</f>
        <v/>
      </c>
      <c r="K362" s="98" t="n">
        <v>7.03</v>
      </c>
      <c r="L362" s="98" t="n">
        <v>18826</v>
      </c>
      <c r="M362" s="98" t="n">
        <v>4.4</v>
      </c>
      <c r="N362" s="98">
        <f>K362-I362</f>
        <v/>
      </c>
      <c r="O362" s="98" t="n">
        <v>21.92</v>
      </c>
      <c r="P362" s="98" t="n">
        <v>3.76</v>
      </c>
      <c r="Q362" s="97">
        <f>K362-P362</f>
        <v/>
      </c>
      <c r="R362" s="98" t="n">
        <v>102.25</v>
      </c>
      <c r="S362" s="97">
        <f>(O362*T362)</f>
        <v/>
      </c>
      <c r="T362" s="79" t="n">
        <v>6.77</v>
      </c>
      <c r="U362" s="80" t="n">
        <v>13192.9</v>
      </c>
      <c r="V362" s="80" t="n">
        <v>25.89</v>
      </c>
      <c r="W362" s="97">
        <f>U362/V362</f>
        <v/>
      </c>
      <c r="X362" s="97">
        <f>(W362/U362)*100</f>
        <v/>
      </c>
      <c r="Y362" s="80" t="n">
        <v>10450.1</v>
      </c>
      <c r="Z362" s="80" t="n">
        <v>20.78</v>
      </c>
      <c r="AA362" s="97">
        <f>Y362/Z362</f>
        <v/>
      </c>
      <c r="AB362" s="97">
        <f>(AA362/Y362)*100</f>
        <v/>
      </c>
    </row>
    <row r="363">
      <c r="A363" s="92" t="n">
        <v>362</v>
      </c>
      <c r="B363" s="99" t="n">
        <v>45096</v>
      </c>
      <c r="C363" s="103" t="n">
        <v>29265098.01</v>
      </c>
      <c r="D363" s="98">
        <f>C363/E363</f>
        <v/>
      </c>
      <c r="E363" s="98" t="n">
        <v>81.91</v>
      </c>
      <c r="F363" s="98">
        <f>D363/100000</f>
        <v/>
      </c>
      <c r="G363" s="97">
        <f>(F363/DataSheet!$C$10*100)</f>
        <v/>
      </c>
      <c r="H363" s="98">
        <f>K363/I363</f>
        <v/>
      </c>
      <c r="I363" s="98">
        <f>(J363/L363)*100</f>
        <v/>
      </c>
      <c r="J363" s="97">
        <f>L363/O363</f>
        <v/>
      </c>
      <c r="K363" s="98" t="n">
        <v>7.05</v>
      </c>
      <c r="L363" s="98" t="n">
        <v>18755.45</v>
      </c>
      <c r="M363" s="98" t="n">
        <v>4.38</v>
      </c>
      <c r="N363" s="98">
        <f>K363-I363</f>
        <v/>
      </c>
      <c r="O363" s="98" t="n">
        <v>21.84</v>
      </c>
      <c r="P363" s="98" t="n">
        <v>3.82</v>
      </c>
      <c r="Q363" s="97">
        <f>K363-P363</f>
        <v/>
      </c>
      <c r="R363" s="98" t="n">
        <v>101.83</v>
      </c>
      <c r="S363" s="97">
        <f>(O363*T363)</f>
        <v/>
      </c>
      <c r="T363" s="79" t="n">
        <v>6.8</v>
      </c>
      <c r="U363" s="80" t="n">
        <v>13195.05</v>
      </c>
      <c r="V363" s="80" t="n">
        <v>25.9</v>
      </c>
      <c r="W363" s="97">
        <f>U363/V363</f>
        <v/>
      </c>
      <c r="X363" s="97">
        <f>(W363/U363)*100</f>
        <v/>
      </c>
      <c r="Y363" s="80" t="n">
        <v>10482.5</v>
      </c>
      <c r="Z363" s="80" t="n">
        <v>20.84</v>
      </c>
      <c r="AA363" s="97">
        <f>Y363/Z363</f>
        <v/>
      </c>
      <c r="AB363" s="97">
        <f>(AA363/Y363)*100</f>
        <v/>
      </c>
    </row>
    <row r="364">
      <c r="A364" s="92" t="n">
        <v>363</v>
      </c>
      <c r="B364" s="99" t="n">
        <v>45097</v>
      </c>
      <c r="C364" s="103" t="n">
        <v>29380255.32</v>
      </c>
      <c r="D364" s="98">
        <f>C364/E364</f>
        <v/>
      </c>
      <c r="E364" s="98" t="n">
        <v>82</v>
      </c>
      <c r="F364" s="98">
        <f>D364/100000</f>
        <v/>
      </c>
      <c r="G364" s="97">
        <f>(F364/DataSheet!$C$10*100)</f>
        <v/>
      </c>
      <c r="H364" s="98">
        <f>K364/I364</f>
        <v/>
      </c>
      <c r="I364" s="98">
        <f>(J364/L364)*100</f>
        <v/>
      </c>
      <c r="J364" s="97">
        <f>L364/O364</f>
        <v/>
      </c>
      <c r="K364" s="98" t="n">
        <v>7.05</v>
      </c>
      <c r="L364" s="98" t="n">
        <v>18816.7</v>
      </c>
      <c r="M364" s="98" t="n">
        <v>4.4</v>
      </c>
      <c r="N364" s="98">
        <f>K364-I364</f>
        <v/>
      </c>
      <c r="O364" s="98" t="n">
        <v>21.91</v>
      </c>
      <c r="P364" s="98" t="n">
        <v>3.71</v>
      </c>
      <c r="Q364" s="97">
        <f>K364-P364</f>
        <v/>
      </c>
      <c r="R364" s="98" t="n">
        <v>102.12</v>
      </c>
      <c r="S364" s="97">
        <f>(O364*T364)</f>
        <v/>
      </c>
      <c r="T364" s="79" t="n">
        <v>6.81</v>
      </c>
      <c r="U364" s="80" t="n">
        <v>13255.9</v>
      </c>
      <c r="V364" s="80" t="n">
        <v>26.02</v>
      </c>
      <c r="W364" s="97">
        <f>U364/V364</f>
        <v/>
      </c>
      <c r="X364" s="97">
        <f>(W364/U364)*100</f>
        <v/>
      </c>
      <c r="Y364" s="80" t="n">
        <v>10524.9</v>
      </c>
      <c r="Z364" s="80" t="n">
        <v>20.93</v>
      </c>
      <c r="AA364" s="97">
        <f>Y364/Z364</f>
        <v/>
      </c>
      <c r="AB364" s="97">
        <f>(AA364/Y364)*100</f>
        <v/>
      </c>
    </row>
    <row r="365">
      <c r="A365" s="92" t="n">
        <v>364</v>
      </c>
      <c r="B365" s="99" t="n">
        <v>45098</v>
      </c>
      <c r="C365" s="103" t="n">
        <v>29453939.24</v>
      </c>
      <c r="D365" s="98">
        <f>C365/E365</f>
        <v/>
      </c>
      <c r="E365" s="98" t="n">
        <v>81.93000000000001</v>
      </c>
      <c r="F365" s="98">
        <f>D365/100000</f>
        <v/>
      </c>
      <c r="G365" s="97">
        <f>(F365/DataSheet!$C$10*100)</f>
        <v/>
      </c>
      <c r="H365" s="98">
        <f>K365/I365</f>
        <v/>
      </c>
      <c r="I365" s="98">
        <f>(J365/L365)*100</f>
        <v/>
      </c>
      <c r="J365" s="97">
        <f>L365/O365</f>
        <v/>
      </c>
      <c r="K365" s="98" t="n">
        <v>7.06</v>
      </c>
      <c r="L365" s="98" t="n">
        <v>18856.85</v>
      </c>
      <c r="M365" s="98" t="n">
        <v>4.41</v>
      </c>
      <c r="N365" s="98">
        <f>K365-I365</f>
        <v/>
      </c>
      <c r="O365" s="98" t="n">
        <v>21.96</v>
      </c>
      <c r="P365" s="98" t="n">
        <v>3.72</v>
      </c>
      <c r="Q365" s="97">
        <f>K365-P365</f>
        <v/>
      </c>
      <c r="R365" s="98" t="n">
        <v>101.67</v>
      </c>
      <c r="S365" s="97">
        <f>(O365*T365)</f>
        <v/>
      </c>
      <c r="T365" s="79" t="n">
        <v>6.77</v>
      </c>
      <c r="U365" s="80" t="n">
        <v>13353.3</v>
      </c>
      <c r="V365" s="80" t="n">
        <v>26.21</v>
      </c>
      <c r="W365" s="97">
        <f>U365/V365</f>
        <v/>
      </c>
      <c r="X365" s="97">
        <f>(W365/U365)*100</f>
        <v/>
      </c>
      <c r="Y365" s="80" t="n">
        <v>10531.85</v>
      </c>
      <c r="Z365" s="80" t="n">
        <v>20.94</v>
      </c>
      <c r="AA365" s="97">
        <f>Y365/Z365</f>
        <v/>
      </c>
      <c r="AB365" s="97">
        <f>(AA365/Y365)*100</f>
        <v/>
      </c>
    </row>
    <row r="366">
      <c r="A366" s="92" t="n">
        <v>365</v>
      </c>
      <c r="B366" s="99" t="n">
        <v>45099</v>
      </c>
      <c r="C366" s="103" t="n">
        <v>29244379.53</v>
      </c>
      <c r="D366" s="98">
        <f>C366/E366</f>
        <v/>
      </c>
      <c r="E366" s="98" t="n">
        <v>81.95</v>
      </c>
      <c r="F366" s="98">
        <f>D366/100000</f>
        <v/>
      </c>
      <c r="G366" s="97">
        <f>(F366/DataSheet!$C$10*100)</f>
        <v/>
      </c>
      <c r="H366" s="98">
        <f>K366/I366</f>
        <v/>
      </c>
      <c r="I366" s="98">
        <f>(J366/L366)*100</f>
        <v/>
      </c>
      <c r="J366" s="97">
        <f>L366/O366</f>
        <v/>
      </c>
      <c r="K366" s="98" t="n">
        <v>7.08</v>
      </c>
      <c r="L366" s="98" t="n">
        <v>18771.25</v>
      </c>
      <c r="M366" s="98" t="n">
        <v>4.39</v>
      </c>
      <c r="N366" s="98">
        <f>K366-I366</f>
        <v/>
      </c>
      <c r="O366" s="98" t="n">
        <v>21.85</v>
      </c>
      <c r="P366" s="98" t="n">
        <v>3.79</v>
      </c>
      <c r="Q366" s="97">
        <f>K366-P366</f>
        <v/>
      </c>
      <c r="R366" s="98" t="n">
        <v>101.99</v>
      </c>
      <c r="S366" s="97">
        <f>(O366*T366)</f>
        <v/>
      </c>
      <c r="T366" s="79" t="n">
        <v>6.76</v>
      </c>
      <c r="U366" s="80" t="n">
        <v>13241.8</v>
      </c>
      <c r="V366" s="80" t="n">
        <v>25.99</v>
      </c>
      <c r="W366" s="97">
        <f>U366/V366</f>
        <v/>
      </c>
      <c r="X366" s="97">
        <f>(W366/U366)*100</f>
        <v/>
      </c>
      <c r="Y366" s="80" t="n">
        <v>10454.45</v>
      </c>
      <c r="Z366" s="80" t="n">
        <v>20.79</v>
      </c>
      <c r="AA366" s="97">
        <f>Y366/Z366</f>
        <v/>
      </c>
      <c r="AB366" s="97">
        <f>(AA366/Y366)*100</f>
        <v/>
      </c>
    </row>
    <row r="367">
      <c r="A367" s="92" t="n">
        <v>366</v>
      </c>
      <c r="B367" s="99" t="n">
        <v>45100</v>
      </c>
      <c r="C367" s="103" t="n">
        <v>28966546.76</v>
      </c>
      <c r="D367" s="98">
        <f>C367/E367</f>
        <v/>
      </c>
      <c r="E367" s="98" t="n">
        <v>81.98</v>
      </c>
      <c r="F367" s="98">
        <f>D367/100000</f>
        <v/>
      </c>
      <c r="G367" s="97">
        <f>(F367/DataSheet!$C$10*100)</f>
        <v/>
      </c>
      <c r="H367" s="98">
        <f>K367/I367</f>
        <v/>
      </c>
      <c r="I367" s="98">
        <f>(J367/L367)*100</f>
        <v/>
      </c>
      <c r="J367" s="97">
        <f>L367/O367</f>
        <v/>
      </c>
      <c r="K367" s="98" t="n">
        <v>7.07</v>
      </c>
      <c r="L367" s="98" t="n">
        <v>18665.5</v>
      </c>
      <c r="M367" s="98" t="n">
        <v>4.36</v>
      </c>
      <c r="N367" s="98">
        <f>K367-I367</f>
        <v/>
      </c>
      <c r="O367" s="98" t="n">
        <v>21.73</v>
      </c>
      <c r="P367" s="98" t="n">
        <v>3.73</v>
      </c>
      <c r="Q367" s="97">
        <f>K367-P367</f>
        <v/>
      </c>
      <c r="R367" s="98" t="n">
        <v>102.52</v>
      </c>
      <c r="S367" s="97">
        <f>(O367*T367)</f>
        <v/>
      </c>
      <c r="T367" s="79" t="n">
        <v>6.74</v>
      </c>
      <c r="U367" s="80" t="n">
        <v>13077.5</v>
      </c>
      <c r="V367" s="80" t="n">
        <v>25.67</v>
      </c>
      <c r="W367" s="97">
        <f>U367/V367</f>
        <v/>
      </c>
      <c r="X367" s="97">
        <f>(W367/U367)*100</f>
        <v/>
      </c>
      <c r="Y367" s="80" t="n">
        <v>10345.25</v>
      </c>
      <c r="Z367" s="80" t="n">
        <v>20.57</v>
      </c>
      <c r="AA367" s="97">
        <f>Y367/Z367</f>
        <v/>
      </c>
      <c r="AB367" s="97">
        <f>(AA367/Y367)*100</f>
        <v/>
      </c>
    </row>
    <row r="368">
      <c r="A368" s="92" t="n">
        <v>367</v>
      </c>
      <c r="B368" s="99" t="n">
        <v>45103</v>
      </c>
      <c r="C368" s="103" t="n">
        <v>29074458.81</v>
      </c>
      <c r="D368" s="98">
        <f>C368/E368</f>
        <v/>
      </c>
      <c r="E368" s="98" t="n">
        <v>81.97</v>
      </c>
      <c r="F368" s="98">
        <f>D368/100000</f>
        <v/>
      </c>
      <c r="G368" s="97">
        <f>(F368/DataSheet!$C$10*100)</f>
        <v/>
      </c>
      <c r="H368" s="98">
        <f>K368/I368</f>
        <v/>
      </c>
      <c r="I368" s="98">
        <f>(J368/L368)*100</f>
        <v/>
      </c>
      <c r="J368" s="97">
        <f>L368/O368</f>
        <v/>
      </c>
      <c r="K368" s="98" t="n">
        <v>7.06</v>
      </c>
      <c r="L368" s="98" t="n">
        <v>18691.2</v>
      </c>
      <c r="M368" s="98" t="n">
        <v>4.37</v>
      </c>
      <c r="N368" s="98">
        <f>K368-I368</f>
        <v/>
      </c>
      <c r="O368" s="98" t="n">
        <v>21.76</v>
      </c>
      <c r="P368" s="98" t="n">
        <v>3.72</v>
      </c>
      <c r="Q368" s="97">
        <f>K368-P368</f>
        <v/>
      </c>
      <c r="R368" s="98" t="n">
        <v>102.33</v>
      </c>
      <c r="S368" s="97">
        <f>(O368*T368)</f>
        <v/>
      </c>
      <c r="T368" s="79" t="n">
        <v>6.78</v>
      </c>
      <c r="U368" s="80" t="n">
        <v>13187.55</v>
      </c>
      <c r="V368" s="80" t="n">
        <v>25.88</v>
      </c>
      <c r="W368" s="97">
        <f>U368/V368</f>
        <v/>
      </c>
      <c r="X368" s="97">
        <f>(W368/U368)*100</f>
        <v/>
      </c>
      <c r="Y368" s="80" t="n">
        <v>10415.8</v>
      </c>
      <c r="Z368" s="80" t="n">
        <v>20.71</v>
      </c>
      <c r="AA368" s="97">
        <f>Y368/Z368</f>
        <v/>
      </c>
      <c r="AB368" s="97">
        <f>(AA368/Y368)*100</f>
        <v/>
      </c>
    </row>
    <row r="369">
      <c r="A369" s="92" t="n">
        <v>368</v>
      </c>
      <c r="B369" s="99" t="n">
        <v>45104</v>
      </c>
      <c r="C369" s="103" t="n">
        <v>29232910.18</v>
      </c>
      <c r="D369" s="98">
        <f>C369/E369</f>
        <v/>
      </c>
      <c r="E369" s="98" t="n">
        <v>81.98</v>
      </c>
      <c r="F369" s="98">
        <f>D369/100000</f>
        <v/>
      </c>
      <c r="G369" s="97">
        <f>(F369/DataSheet!$C$10*100)</f>
        <v/>
      </c>
      <c r="H369" s="98">
        <f>K369/I369</f>
        <v/>
      </c>
      <c r="I369" s="98">
        <f>(J369/L369)*100</f>
        <v/>
      </c>
      <c r="J369" s="97">
        <f>L369/O369</f>
        <v/>
      </c>
      <c r="K369" s="98" t="n">
        <v>7.06</v>
      </c>
      <c r="L369" s="98" t="n">
        <v>18817.4</v>
      </c>
      <c r="M369" s="98" t="n">
        <v>4.4</v>
      </c>
      <c r="N369" s="98">
        <f>K369-I369</f>
        <v/>
      </c>
      <c r="O369" s="98" t="n">
        <v>21.9</v>
      </c>
      <c r="P369" s="98" t="n">
        <v>3.77</v>
      </c>
      <c r="Q369" s="97">
        <f>K369-P369</f>
        <v/>
      </c>
      <c r="R369" s="98" t="n">
        <v>102.12</v>
      </c>
      <c r="S369" s="97">
        <f>(O369*T369)</f>
        <v/>
      </c>
      <c r="T369" s="79" t="n">
        <v>6.78</v>
      </c>
      <c r="U369" s="80" t="n">
        <v>13250.6</v>
      </c>
      <c r="V369" s="80" t="n">
        <v>26</v>
      </c>
      <c r="W369" s="97">
        <f>U369/V369</f>
        <v/>
      </c>
      <c r="X369" s="97">
        <f>(W369/U369)*100</f>
        <v/>
      </c>
      <c r="Y369" s="80" t="n">
        <v>10473.8</v>
      </c>
      <c r="Z369" s="80" t="n">
        <v>20.83</v>
      </c>
      <c r="AA369" s="97">
        <f>Y369/Z369</f>
        <v/>
      </c>
      <c r="AB369" s="97">
        <f>(AA369/Y369)*100</f>
        <v/>
      </c>
    </row>
    <row r="370">
      <c r="A370" s="92" t="n">
        <v>369</v>
      </c>
      <c r="B370" s="99" t="n">
        <v>45105</v>
      </c>
      <c r="C370" s="103" t="n">
        <v>29430128.19</v>
      </c>
      <c r="D370" s="98">
        <f>C370/E370</f>
        <v/>
      </c>
      <c r="E370" s="98" t="n">
        <v>82.02</v>
      </c>
      <c r="F370" s="98">
        <f>D370/100000</f>
        <v/>
      </c>
      <c r="G370" s="97">
        <f>(F370/DataSheet!$C$10*100)</f>
        <v/>
      </c>
      <c r="H370" s="98">
        <f>K370/I370</f>
        <v/>
      </c>
      <c r="I370" s="98">
        <f>(J370/L370)*100</f>
        <v/>
      </c>
      <c r="J370" s="97">
        <f>L370/O370</f>
        <v/>
      </c>
      <c r="K370" s="98" t="n">
        <v>7.05</v>
      </c>
      <c r="L370" s="98" t="n">
        <v>18972.1</v>
      </c>
      <c r="M370" s="98" t="n">
        <v>4.43</v>
      </c>
      <c r="N370" s="98">
        <f>K370-I370</f>
        <v/>
      </c>
      <c r="O370" s="98" t="n">
        <v>22.08</v>
      </c>
      <c r="P370" s="98" t="n">
        <v>3.84</v>
      </c>
      <c r="Q370" s="97">
        <f>K370-P370</f>
        <v/>
      </c>
      <c r="R370" s="98" t="n">
        <v>102.54</v>
      </c>
      <c r="S370" s="97">
        <f>(O370*T370)</f>
        <v/>
      </c>
      <c r="T370" s="79" t="n">
        <v>6.78</v>
      </c>
      <c r="U370" s="80" t="n">
        <v>13316.45</v>
      </c>
      <c r="V370" s="80" t="n">
        <v>26.13</v>
      </c>
      <c r="W370" s="97">
        <f>U370/V370</f>
        <v/>
      </c>
      <c r="X370" s="97">
        <f>(W370/U370)*100</f>
        <v/>
      </c>
      <c r="Y370" s="80" t="n">
        <v>10493.3</v>
      </c>
      <c r="Z370" s="80" t="n">
        <v>20.86</v>
      </c>
      <c r="AA370" s="97">
        <f>Y370/Z370</f>
        <v/>
      </c>
      <c r="AB370" s="97">
        <f>(AA370/Y370)*100</f>
        <v/>
      </c>
    </row>
    <row r="371">
      <c r="A371" s="92" t="n">
        <v>370</v>
      </c>
      <c r="B371" s="99" t="n">
        <v>45107</v>
      </c>
      <c r="C371" s="103" t="n">
        <v>29699917.48</v>
      </c>
      <c r="D371" s="98">
        <f>C371/E371</f>
        <v/>
      </c>
      <c r="E371" s="98" t="n">
        <v>82.09</v>
      </c>
      <c r="F371" s="98">
        <f>D371/100000</f>
        <v/>
      </c>
      <c r="G371" s="97">
        <f>(F371/DataSheet!$C$10*100)</f>
        <v/>
      </c>
      <c r="H371" s="98">
        <f>K371/I371</f>
        <v/>
      </c>
      <c r="I371" s="98">
        <f>(J371/L371)*100</f>
        <v/>
      </c>
      <c r="J371" s="97">
        <f>L371/O371</f>
        <v/>
      </c>
      <c r="K371" s="98" t="n">
        <v>7.11</v>
      </c>
      <c r="L371" s="98" t="n">
        <v>19189.05</v>
      </c>
      <c r="M371" s="98" t="n">
        <v>4.5</v>
      </c>
      <c r="N371" s="98">
        <f>K371-I371</f>
        <v/>
      </c>
      <c r="O371" s="98" t="n">
        <v>22.36</v>
      </c>
      <c r="P371" s="98" t="n">
        <v>3.84</v>
      </c>
      <c r="Q371" s="97">
        <f>K371-P371</f>
        <v/>
      </c>
      <c r="R371" s="98" t="n">
        <v>102.58</v>
      </c>
      <c r="S371" s="97">
        <f>(O371*T371)</f>
        <v/>
      </c>
      <c r="T371" s="79" t="n">
        <v>6.77</v>
      </c>
      <c r="U371" s="80" t="n">
        <v>13401.45</v>
      </c>
      <c r="V371" s="80" t="n">
        <v>26.49</v>
      </c>
      <c r="W371" s="97">
        <f>U371/V371</f>
        <v/>
      </c>
      <c r="X371" s="97">
        <f>(W371/U371)*100</f>
        <v/>
      </c>
      <c r="Y371" s="80" t="n">
        <v>10544.2</v>
      </c>
      <c r="Z371" s="80" t="n">
        <v>20.79</v>
      </c>
      <c r="AA371" s="97">
        <f>Y371/Z371</f>
        <v/>
      </c>
      <c r="AB371" s="97">
        <f>(AA371/Y371)*100</f>
        <v/>
      </c>
    </row>
    <row r="372">
      <c r="A372" s="92" t="n">
        <v>371</v>
      </c>
      <c r="B372" s="99" t="n">
        <v>45110</v>
      </c>
      <c r="C372" s="103" t="n">
        <v>29833258.83</v>
      </c>
      <c r="D372" s="98">
        <f>C372/E372</f>
        <v/>
      </c>
      <c r="E372" s="98" t="n">
        <v>81.94</v>
      </c>
      <c r="F372" s="98">
        <f>D372/100000</f>
        <v/>
      </c>
      <c r="G372" s="97">
        <f>(F372/DataSheet!$C$10*100)</f>
        <v/>
      </c>
      <c r="H372" s="98">
        <f>K372/I372</f>
        <v/>
      </c>
      <c r="I372" s="98">
        <f>(J372/L372)*100</f>
        <v/>
      </c>
      <c r="J372" s="97">
        <f>L372/O372</f>
        <v/>
      </c>
      <c r="K372" s="98" t="n">
        <v>7.11</v>
      </c>
      <c r="L372" s="98" t="n">
        <v>19322.55</v>
      </c>
      <c r="M372" s="98" t="n">
        <v>4.53</v>
      </c>
      <c r="N372" s="98">
        <f>K372-I372</f>
        <v/>
      </c>
      <c r="O372" s="98" t="n">
        <v>22.51</v>
      </c>
      <c r="P372" s="98" t="n">
        <v>3.85</v>
      </c>
      <c r="Q372" s="97">
        <f>K372-P372</f>
        <v/>
      </c>
      <c r="R372" s="98" t="n">
        <v>102.65</v>
      </c>
      <c r="S372" s="97">
        <f>(O372*T372)</f>
        <v/>
      </c>
      <c r="T372" s="79" t="n">
        <v>6.77</v>
      </c>
      <c r="U372" s="80" t="n">
        <v>13427.6</v>
      </c>
      <c r="V372" s="80" t="n">
        <v>26.54</v>
      </c>
      <c r="W372" s="97">
        <f>U372/V372</f>
        <v/>
      </c>
      <c r="X372" s="97">
        <f>(W372/U372)*100</f>
        <v/>
      </c>
      <c r="Y372" s="80" t="n">
        <v>10637.9</v>
      </c>
      <c r="Z372" s="80" t="n">
        <v>20.98</v>
      </c>
      <c r="AA372" s="97">
        <f>Y372/Z372</f>
        <v/>
      </c>
      <c r="AB372" s="97">
        <f>(AA372/Y372)*100</f>
        <v/>
      </c>
    </row>
    <row r="373">
      <c r="A373" s="92" t="n">
        <v>372</v>
      </c>
      <c r="B373" s="99" t="n">
        <v>45111</v>
      </c>
      <c r="C373" s="103" t="n">
        <v>29882211.12</v>
      </c>
      <c r="D373" s="98">
        <f>C373/E373</f>
        <v/>
      </c>
      <c r="E373" s="98" t="n">
        <v>81.94</v>
      </c>
      <c r="F373" s="98">
        <f>D373/100000</f>
        <v/>
      </c>
      <c r="G373" s="97">
        <f>(F373/DataSheet!$C$10*100)</f>
        <v/>
      </c>
      <c r="H373" s="98">
        <f>K373/I373</f>
        <v/>
      </c>
      <c r="I373" s="98">
        <f>(J373/L373)*100</f>
        <v/>
      </c>
      <c r="J373" s="97">
        <f>L373/O373</f>
        <v/>
      </c>
      <c r="K373" s="98" t="n">
        <v>7.11</v>
      </c>
      <c r="L373" s="98" t="n">
        <v>19389</v>
      </c>
      <c r="M373" s="98" t="n">
        <v>4.54</v>
      </c>
      <c r="N373" s="98">
        <f>K373-I373</f>
        <v/>
      </c>
      <c r="O373" s="98" t="n">
        <v>22.59</v>
      </c>
      <c r="P373" s="98" t="n">
        <v>3.83</v>
      </c>
      <c r="Q373" s="97">
        <f>K373-P373</f>
        <v/>
      </c>
      <c r="R373" s="98" t="n">
        <v>102.65</v>
      </c>
      <c r="S373" s="97">
        <f>(O373*T373)</f>
        <v/>
      </c>
      <c r="T373" s="79" t="n">
        <v>6.73</v>
      </c>
      <c r="U373" s="80" t="n">
        <v>13405.2</v>
      </c>
      <c r="V373" s="80" t="n">
        <v>26.5</v>
      </c>
      <c r="W373" s="97">
        <f>U373/V373</f>
        <v/>
      </c>
      <c r="X373" s="97">
        <f>(W373/U373)*100</f>
        <v/>
      </c>
      <c r="Y373" s="80" t="n">
        <v>10652.4</v>
      </c>
      <c r="Z373" s="80" t="n">
        <v>21</v>
      </c>
      <c r="AA373" s="97">
        <f>Y373/Z373</f>
        <v/>
      </c>
      <c r="AB373" s="97">
        <f>(AA373/Y373)*100</f>
        <v/>
      </c>
    </row>
    <row r="374">
      <c r="A374" s="92" t="n">
        <v>373</v>
      </c>
      <c r="B374" s="99" t="n">
        <v>45112</v>
      </c>
      <c r="C374" s="103" t="n">
        <v>30012769.24</v>
      </c>
      <c r="D374" s="98">
        <f>C374/E374</f>
        <v/>
      </c>
      <c r="E374" s="98" t="n">
        <v>82.39</v>
      </c>
      <c r="F374" s="98">
        <f>D374/100000</f>
        <v/>
      </c>
      <c r="G374" s="97">
        <f>(F374/DataSheet!$C$10*100)</f>
        <v/>
      </c>
      <c r="H374" s="98">
        <f>K374/I374</f>
        <v/>
      </c>
      <c r="I374" s="98">
        <f>(J374/L374)*100</f>
        <v/>
      </c>
      <c r="J374" s="97">
        <f>L374/O374</f>
        <v/>
      </c>
      <c r="K374" s="98" t="n">
        <v>7.1</v>
      </c>
      <c r="L374" s="98" t="n">
        <v>19398.5</v>
      </c>
      <c r="M374" s="98" t="n">
        <v>4.55</v>
      </c>
      <c r="N374" s="98">
        <f>K374-I374</f>
        <v/>
      </c>
      <c r="O374" s="98" t="n">
        <v>22.6</v>
      </c>
      <c r="P374" s="98" t="n">
        <v>3.93</v>
      </c>
      <c r="Q374" s="97">
        <f>K374-P374</f>
        <v/>
      </c>
      <c r="R374" s="98" t="n">
        <v>103.03</v>
      </c>
      <c r="S374" s="97">
        <f>(O374*T374)</f>
        <v/>
      </c>
      <c r="T374" s="79" t="n">
        <v>6.73</v>
      </c>
      <c r="U374" s="80" t="n">
        <v>13481.65</v>
      </c>
      <c r="V374" s="80" t="n">
        <v>26.64</v>
      </c>
      <c r="W374" s="97">
        <f>U374/V374</f>
        <v/>
      </c>
      <c r="X374" s="97">
        <f>(W374/U374)*100</f>
        <v/>
      </c>
      <c r="Y374" s="80" t="n">
        <v>10718.9</v>
      </c>
      <c r="Z374" s="80" t="n">
        <v>21.13</v>
      </c>
      <c r="AA374" s="97">
        <f>Y374/Z374</f>
        <v/>
      </c>
      <c r="AB374" s="97">
        <f>(AA374/Y374)*100</f>
        <v/>
      </c>
    </row>
    <row r="375">
      <c r="A375" s="92" t="n">
        <v>374</v>
      </c>
      <c r="B375" s="99" t="n">
        <v>45113</v>
      </c>
      <c r="C375" s="103" t="n">
        <v>30197064.27</v>
      </c>
      <c r="D375" s="98">
        <f>C375/E375</f>
        <v/>
      </c>
      <c r="E375" s="98" t="n">
        <v>82.75</v>
      </c>
      <c r="F375" s="98">
        <f>D375/100000</f>
        <v/>
      </c>
      <c r="G375" s="97">
        <f>(F375/DataSheet!$C$10*100)</f>
        <v/>
      </c>
      <c r="H375" s="98">
        <f>K375/I375</f>
        <v/>
      </c>
      <c r="I375" s="98">
        <f>(J375/L375)*100</f>
        <v/>
      </c>
      <c r="J375" s="97">
        <f>L375/O375</f>
        <v/>
      </c>
      <c r="K375" s="98" t="n">
        <v>7.14</v>
      </c>
      <c r="L375" s="98" t="n">
        <v>19497.3</v>
      </c>
      <c r="M375" s="98" t="n">
        <v>4.57</v>
      </c>
      <c r="N375" s="98">
        <f>K375-I375</f>
        <v/>
      </c>
      <c r="O375" s="98" t="n">
        <v>22.72</v>
      </c>
      <c r="P375" s="98" t="n">
        <v>4.03</v>
      </c>
      <c r="Q375" s="97">
        <f>K375-P375</f>
        <v/>
      </c>
      <c r="R375" s="98" t="n">
        <v>102.86</v>
      </c>
      <c r="S375" s="97">
        <f>(O375*T375)</f>
        <v/>
      </c>
      <c r="T375" s="79" t="n">
        <v>6.75</v>
      </c>
      <c r="U375" s="80" t="n">
        <v>13593.1</v>
      </c>
      <c r="V375" s="80" t="n">
        <v>26.86</v>
      </c>
      <c r="W375" s="97">
        <f>U375/V375</f>
        <v/>
      </c>
      <c r="X375" s="97">
        <f>(W375/U375)*100</f>
        <v/>
      </c>
      <c r="Y375" s="80" t="n">
        <v>10808.9</v>
      </c>
      <c r="Z375" s="80" t="n">
        <v>21.31</v>
      </c>
      <c r="AA375" s="97">
        <f>Y375/Z375</f>
        <v/>
      </c>
      <c r="AB375" s="97">
        <f>(AA375/Y375)*100</f>
        <v/>
      </c>
    </row>
    <row r="376">
      <c r="A376" s="92" t="n">
        <v>375</v>
      </c>
      <c r="B376" s="99" t="n">
        <v>45114</v>
      </c>
      <c r="C376" s="103" t="n">
        <v>30002263.39</v>
      </c>
      <c r="D376" s="98">
        <f>C376/E376</f>
        <v/>
      </c>
      <c r="E376" s="98" t="n">
        <v>82.61</v>
      </c>
      <c r="F376" s="98">
        <f>D376/100000</f>
        <v/>
      </c>
      <c r="G376" s="97">
        <f>(F376/DataSheet!$C$10*100)</f>
        <v/>
      </c>
      <c r="H376" s="98">
        <f>K376/I376</f>
        <v/>
      </c>
      <c r="I376" s="98">
        <f>(J376/L376)*100</f>
        <v/>
      </c>
      <c r="J376" s="97">
        <f>L376/O376</f>
        <v/>
      </c>
      <c r="K376" s="98" t="n">
        <v>7.15</v>
      </c>
      <c r="L376" s="98" t="n">
        <v>19331.8</v>
      </c>
      <c r="M376" s="98" t="n">
        <v>4.53</v>
      </c>
      <c r="N376" s="98">
        <f>K376-I376</f>
        <v/>
      </c>
      <c r="O376" s="98" t="n">
        <v>22.52</v>
      </c>
      <c r="P376" s="98" t="n">
        <v>4.06</v>
      </c>
      <c r="Q376" s="97">
        <f>K376-P376</f>
        <v/>
      </c>
      <c r="R376" s="98" t="n">
        <v>101.95</v>
      </c>
      <c r="S376" s="97">
        <f>(O376*T376)</f>
        <v/>
      </c>
      <c r="T376" s="79" t="n">
        <v>6.73</v>
      </c>
      <c r="U376" s="80" t="n">
        <v>13490.7</v>
      </c>
      <c r="V376" s="80" t="n">
        <v>26.66</v>
      </c>
      <c r="W376" s="97">
        <f>U376/V376</f>
        <v/>
      </c>
      <c r="X376" s="97">
        <f>(W376/U376)*100</f>
        <v/>
      </c>
      <c r="Y376" s="80" t="n">
        <v>10777.35</v>
      </c>
      <c r="Z376" s="80" t="n">
        <v>21.24</v>
      </c>
      <c r="AA376" s="97">
        <f>Y376/Z376</f>
        <v/>
      </c>
      <c r="AB376" s="97">
        <f>(AA376/Y376)*100</f>
        <v/>
      </c>
    </row>
    <row r="377">
      <c r="A377" s="92" t="n">
        <v>376</v>
      </c>
      <c r="B377" s="99" t="n">
        <v>45117</v>
      </c>
      <c r="C377" s="103" t="n">
        <v>29966960.03</v>
      </c>
      <c r="D377" s="98">
        <f>C377/E377</f>
        <v/>
      </c>
      <c r="E377" s="98" t="n">
        <v>82.52</v>
      </c>
      <c r="F377" s="98">
        <f>D377/100000</f>
        <v/>
      </c>
      <c r="G377" s="97">
        <f>(F377/DataSheet!$C$10*100)</f>
        <v/>
      </c>
      <c r="H377" s="98">
        <f>K377/I377</f>
        <v/>
      </c>
      <c r="I377" s="98">
        <f>(J377/L377)*100</f>
        <v/>
      </c>
      <c r="J377" s="97">
        <f>L377/O377</f>
        <v/>
      </c>
      <c r="K377" s="98" t="n">
        <v>7.14</v>
      </c>
      <c r="L377" s="98" t="n">
        <v>19355.9</v>
      </c>
      <c r="M377" s="98" t="n">
        <v>4.54</v>
      </c>
      <c r="N377" s="98">
        <f>K377-I377</f>
        <v/>
      </c>
      <c r="O377" s="98" t="n">
        <v>22.55</v>
      </c>
      <c r="P377" s="98" t="n">
        <v>4</v>
      </c>
      <c r="Q377" s="97">
        <f>K377-P377</f>
        <v/>
      </c>
      <c r="R377" s="98" t="n">
        <v>101.64</v>
      </c>
      <c r="S377" s="97">
        <f>(O377*T377)</f>
        <v/>
      </c>
      <c r="T377" s="79" t="n">
        <v>6.75</v>
      </c>
      <c r="U377" s="80" t="n">
        <v>13433.5</v>
      </c>
      <c r="V377" s="80" t="n">
        <v>26.55</v>
      </c>
      <c r="W377" s="97">
        <f>U377/V377</f>
        <v/>
      </c>
      <c r="X377" s="97">
        <f>(W377/U377)*100</f>
        <v/>
      </c>
      <c r="Y377" s="80" t="n">
        <v>10742.35</v>
      </c>
      <c r="Z377" s="80" t="n">
        <v>21.17</v>
      </c>
      <c r="AA377" s="97">
        <f>Y377/Z377</f>
        <v/>
      </c>
      <c r="AB377" s="97">
        <f>(AA377/Y377)*100</f>
        <v/>
      </c>
    </row>
    <row r="378">
      <c r="A378" s="92" t="n">
        <v>377</v>
      </c>
      <c r="B378" s="99" t="n">
        <v>45118</v>
      </c>
      <c r="C378" s="103" t="n">
        <v>30156320.02</v>
      </c>
      <c r="D378" s="98">
        <f>C378/E378</f>
        <v/>
      </c>
      <c r="E378" s="98" t="n">
        <v>82.39</v>
      </c>
      <c r="F378" s="98">
        <f>D378/100000</f>
        <v/>
      </c>
      <c r="G378" s="97">
        <f>(F378/DataSheet!$C$10*100)</f>
        <v/>
      </c>
      <c r="H378" s="98">
        <f>K378/I378</f>
        <v/>
      </c>
      <c r="I378" s="98">
        <f>(J378/L378)*100</f>
        <v/>
      </c>
      <c r="J378" s="97">
        <f>L378/O378</f>
        <v/>
      </c>
      <c r="K378" s="98" t="n">
        <v>7.09</v>
      </c>
      <c r="L378" s="98" t="n">
        <v>19439.4</v>
      </c>
      <c r="M378" s="98" t="n">
        <v>4.56</v>
      </c>
      <c r="N378" s="98">
        <f>K378-I378</f>
        <v/>
      </c>
      <c r="O378" s="98" t="n">
        <v>22.65</v>
      </c>
      <c r="P378" s="98" t="n">
        <v>3.97</v>
      </c>
      <c r="Q378" s="97">
        <f>K378-P378</f>
        <v/>
      </c>
      <c r="R378" s="98" t="n">
        <v>101.4</v>
      </c>
      <c r="S378" s="97">
        <f>(O378*T378)</f>
        <v/>
      </c>
      <c r="T378" s="79" t="n">
        <v>6.72</v>
      </c>
      <c r="U378" s="80" t="n">
        <v>13534.35</v>
      </c>
      <c r="V378" s="80" t="n">
        <v>26.75</v>
      </c>
      <c r="W378" s="97">
        <f>U378/V378</f>
        <v/>
      </c>
      <c r="X378" s="97">
        <f>(W378/U378)*100</f>
        <v/>
      </c>
      <c r="Y378" s="80" t="n">
        <v>10843.95</v>
      </c>
      <c r="Z378" s="80" t="n">
        <v>21.37</v>
      </c>
      <c r="AA378" s="97">
        <f>Y378/Z378</f>
        <v/>
      </c>
      <c r="AB378" s="97">
        <f>(AA378/Y378)*100</f>
        <v/>
      </c>
    </row>
    <row r="379">
      <c r="A379" s="92" t="n">
        <v>378</v>
      </c>
      <c r="B379" s="99" t="n">
        <v>45119</v>
      </c>
      <c r="C379" s="103" t="n">
        <v>30194806.7</v>
      </c>
      <c r="D379" s="98">
        <f>C379/E379</f>
        <v/>
      </c>
      <c r="E379" s="98" t="n">
        <v>81.98</v>
      </c>
      <c r="F379" s="98">
        <f>D379/100000</f>
        <v/>
      </c>
      <c r="G379" s="97">
        <f>(F379/DataSheet!$C$10*100)</f>
        <v/>
      </c>
      <c r="H379" s="98">
        <f>K379/I379</f>
        <v/>
      </c>
      <c r="I379" s="98">
        <f>(J379/L379)*100</f>
        <v/>
      </c>
      <c r="J379" s="97">
        <f>L379/O379</f>
        <v/>
      </c>
      <c r="K379" s="98" t="n">
        <v>7.11</v>
      </c>
      <c r="L379" s="98" t="n">
        <v>19384.3</v>
      </c>
      <c r="M379" s="98" t="n">
        <v>4.54</v>
      </c>
      <c r="N379" s="98">
        <f>K379-I379</f>
        <v/>
      </c>
      <c r="O379" s="98" t="n">
        <v>22.58</v>
      </c>
      <c r="P379" s="98" t="n">
        <v>3.86</v>
      </c>
      <c r="Q379" s="97">
        <f>K379-P379</f>
        <v/>
      </c>
      <c r="R379" s="98" t="n">
        <v>100.19</v>
      </c>
      <c r="S379" s="97">
        <f>(O379*T379)</f>
        <v/>
      </c>
      <c r="T379" s="79" t="n">
        <v>6.72</v>
      </c>
      <c r="U379" s="80" t="n">
        <v>13600</v>
      </c>
      <c r="V379" s="80" t="n">
        <v>26.88</v>
      </c>
      <c r="W379" s="97">
        <f>U379/V379</f>
        <v/>
      </c>
      <c r="X379" s="97">
        <f>(W379/U379)*100</f>
        <v/>
      </c>
      <c r="Y379" s="80" t="n">
        <v>10897.45</v>
      </c>
      <c r="Z379" s="80" t="n">
        <v>21.48</v>
      </c>
      <c r="AA379" s="97">
        <f>Y379/Z379</f>
        <v/>
      </c>
      <c r="AB379" s="97">
        <f>(AA379/Y379)*100</f>
        <v/>
      </c>
    </row>
    <row r="380">
      <c r="A380" s="92" t="n">
        <v>379</v>
      </c>
      <c r="B380" s="99" t="n">
        <v>45120</v>
      </c>
      <c r="C380" s="103" t="n">
        <v>30108996.53</v>
      </c>
      <c r="D380" s="98">
        <f>C380/E380</f>
        <v/>
      </c>
      <c r="E380" s="98" t="n">
        <v>82.04000000000001</v>
      </c>
      <c r="F380" s="98">
        <f>D380/100000</f>
        <v/>
      </c>
      <c r="G380" s="97">
        <f>(F380/DataSheet!$C$10*100)</f>
        <v/>
      </c>
      <c r="H380" s="98">
        <f>K380/I380</f>
        <v/>
      </c>
      <c r="I380" s="98">
        <f>(J380/L380)*100</f>
        <v/>
      </c>
      <c r="J380" s="97">
        <f>L380/O380</f>
        <v/>
      </c>
      <c r="K380" s="98" t="n">
        <v>7.07</v>
      </c>
      <c r="L380" s="98" t="n">
        <v>19413.75</v>
      </c>
      <c r="M380" s="98" t="n">
        <v>4.74</v>
      </c>
      <c r="N380" s="98">
        <f>K380-I380</f>
        <v/>
      </c>
      <c r="O380" s="98" t="n">
        <v>23.81</v>
      </c>
      <c r="P380" s="98" t="n">
        <v>3.76</v>
      </c>
      <c r="Q380" s="97">
        <f>K380-P380</f>
        <v/>
      </c>
      <c r="R380" s="98" t="n">
        <v>99.45</v>
      </c>
      <c r="S380" s="97">
        <f>(O380*T380)</f>
        <v/>
      </c>
      <c r="T380" s="79" t="n">
        <v>6.72</v>
      </c>
      <c r="U380" s="80" t="n">
        <v>13522.4</v>
      </c>
      <c r="V380" s="80" t="n">
        <v>26.82</v>
      </c>
      <c r="W380" s="97">
        <f>U380/V380</f>
        <v/>
      </c>
      <c r="X380" s="97">
        <f>(W380/U380)*100</f>
        <v/>
      </c>
      <c r="Y380" s="80" t="n">
        <v>10820.35</v>
      </c>
      <c r="Z380" s="80" t="n">
        <v>21.33</v>
      </c>
      <c r="AA380" s="97">
        <f>Y380/Z380</f>
        <v/>
      </c>
      <c r="AB380" s="97">
        <f>(AA380/Y380)*100</f>
        <v/>
      </c>
    </row>
    <row r="381">
      <c r="A381" s="92" t="n">
        <v>380</v>
      </c>
      <c r="B381" s="99" t="n">
        <v>45121</v>
      </c>
      <c r="C381" s="103" t="n">
        <v>30388030.96</v>
      </c>
      <c r="D381" s="98">
        <f>C381/E381</f>
        <v/>
      </c>
      <c r="E381" s="98" t="n">
        <v>82.04000000000001</v>
      </c>
      <c r="F381" s="98">
        <f>D381/100000</f>
        <v/>
      </c>
      <c r="G381" s="97">
        <f>(F381/DataSheet!$C$10*100)</f>
        <v/>
      </c>
      <c r="H381" s="98">
        <f>K381/I381</f>
        <v/>
      </c>
      <c r="I381" s="98">
        <f>(J381/L381)*100</f>
        <v/>
      </c>
      <c r="J381" s="97">
        <f>L381/O381</f>
        <v/>
      </c>
      <c r="K381" s="98" t="n">
        <v>7.08</v>
      </c>
      <c r="L381" s="98" t="n">
        <v>19564.5</v>
      </c>
      <c r="M381" s="98" t="n">
        <v>4.78</v>
      </c>
      <c r="N381" s="98">
        <f>K381-I381</f>
        <v/>
      </c>
      <c r="O381" s="98" t="n">
        <v>23.96</v>
      </c>
      <c r="P381" s="98" t="n">
        <v>3.83</v>
      </c>
      <c r="Q381" s="97">
        <f>K381-P381</f>
        <v/>
      </c>
      <c r="R381" s="98" t="n">
        <v>99.59999999999999</v>
      </c>
      <c r="S381" s="97">
        <f>(O381*T381)</f>
        <v/>
      </c>
      <c r="T381" s="79" t="n">
        <v>6.73</v>
      </c>
      <c r="U381" s="80" t="n">
        <v>13657.45</v>
      </c>
      <c r="V381" s="80" t="n">
        <v>27.07</v>
      </c>
      <c r="W381" s="97">
        <f>U381/V381</f>
        <v/>
      </c>
      <c r="X381" s="97">
        <f>(W381/U381)*100</f>
        <v/>
      </c>
      <c r="Y381" s="80" t="n">
        <v>10962.95</v>
      </c>
      <c r="Z381" s="80" t="n">
        <v>21.61</v>
      </c>
      <c r="AA381" s="97">
        <f>Y381/Z381</f>
        <v/>
      </c>
      <c r="AB381" s="97">
        <f>(AA381/Y381)*100</f>
        <v/>
      </c>
    </row>
    <row r="382">
      <c r="A382" s="92" t="n">
        <v>381</v>
      </c>
      <c r="B382" s="99" t="n">
        <v>45124</v>
      </c>
      <c r="C382" s="103" t="n">
        <v>30876495.19</v>
      </c>
      <c r="D382" s="98">
        <f>C382/E382</f>
        <v/>
      </c>
      <c r="E382" s="98" t="n">
        <v>82.06</v>
      </c>
      <c r="F382" s="98">
        <f>D382/100000</f>
        <v/>
      </c>
      <c r="G382" s="97">
        <f>(F382/DataSheet!$C$10*100)</f>
        <v/>
      </c>
      <c r="H382" s="98">
        <f>K382/I382</f>
        <v/>
      </c>
      <c r="I382" s="98">
        <f>(J382/L382)*100</f>
        <v/>
      </c>
      <c r="J382" s="97">
        <f>L382/O382</f>
        <v/>
      </c>
      <c r="K382" s="98" t="n">
        <v>7.07</v>
      </c>
      <c r="L382" s="98" t="n">
        <v>19711.45</v>
      </c>
      <c r="M382" s="98" t="n">
        <v>4.82</v>
      </c>
      <c r="N382" s="98">
        <f>K382-I382</f>
        <v/>
      </c>
      <c r="O382" s="98" t="n">
        <v>24.14</v>
      </c>
      <c r="P382" s="98" t="n">
        <v>3.79</v>
      </c>
      <c r="Q382" s="97">
        <f>K382-P382</f>
        <v/>
      </c>
      <c r="R382" s="98" t="n">
        <v>99.52</v>
      </c>
      <c r="S382" s="97">
        <f>(O382*T382)</f>
        <v/>
      </c>
      <c r="T382" s="79" t="n">
        <v>6.73</v>
      </c>
      <c r="U382" s="80" t="n">
        <v>13709.1</v>
      </c>
      <c r="V382" s="80" t="n">
        <v>27.09</v>
      </c>
      <c r="W382" s="97">
        <f>U382/V382</f>
        <v/>
      </c>
      <c r="X382" s="97">
        <f>(W382/U382)*100</f>
        <v/>
      </c>
      <c r="Y382" s="80" t="n">
        <v>11048.9</v>
      </c>
      <c r="Z382" s="80" t="n">
        <v>21.74</v>
      </c>
      <c r="AA382" s="97">
        <f>Y382/Z382</f>
        <v/>
      </c>
      <c r="AB382" s="97">
        <f>(AA382/Y382)*100</f>
        <v/>
      </c>
    </row>
    <row r="383">
      <c r="A383" s="92" t="n">
        <v>382</v>
      </c>
      <c r="B383" s="99" t="n">
        <v>45125</v>
      </c>
      <c r="C383" s="103" t="n">
        <v>30843536.12</v>
      </c>
      <c r="D383" s="98">
        <f>C383/E383</f>
        <v/>
      </c>
      <c r="E383" s="98" t="n">
        <v>82.06</v>
      </c>
      <c r="F383" s="98">
        <f>D383/100000</f>
        <v/>
      </c>
      <c r="G383" s="97">
        <f>(F383/DataSheet!$C$10*100)</f>
        <v/>
      </c>
      <c r="H383" s="98">
        <f>K383/I383</f>
        <v/>
      </c>
      <c r="I383" s="98">
        <f>(J383/L383)*100</f>
        <v/>
      </c>
      <c r="J383" s="97">
        <f>L383/O383</f>
        <v/>
      </c>
      <c r="K383" s="98" t="n">
        <v>7.05</v>
      </c>
      <c r="L383" s="98" t="n">
        <v>19749.25</v>
      </c>
      <c r="M383" s="98" t="n">
        <v>4.83</v>
      </c>
      <c r="N383" s="98">
        <f>K383-I383</f>
        <v/>
      </c>
      <c r="O383" s="98" t="n">
        <v>24.18</v>
      </c>
      <c r="P383" s="98" t="n">
        <v>3.78</v>
      </c>
      <c r="Q383" s="97">
        <f>K383-P383</f>
        <v/>
      </c>
      <c r="R383" s="98" t="n">
        <v>99.62</v>
      </c>
      <c r="S383" s="97">
        <f>(O383*T383)</f>
        <v/>
      </c>
      <c r="T383" s="79" t="n">
        <v>6.74</v>
      </c>
      <c r="U383" s="80" t="n">
        <v>13688.2</v>
      </c>
      <c r="V383" s="80" t="n">
        <v>27.1</v>
      </c>
      <c r="W383" s="97">
        <f>U383/V383</f>
        <v/>
      </c>
      <c r="X383" s="97">
        <f>(W383/U383)*100</f>
        <v/>
      </c>
      <c r="Y383" s="80" t="n">
        <v>10969.35</v>
      </c>
      <c r="Z383" s="80" t="n">
        <v>21.56</v>
      </c>
      <c r="AA383" s="97">
        <f>Y383/Z383</f>
        <v/>
      </c>
      <c r="AB383" s="97">
        <f>(AA383/Y383)*100</f>
        <v/>
      </c>
    </row>
    <row r="384">
      <c r="A384" s="92" t="n">
        <v>383</v>
      </c>
      <c r="B384" s="99" t="n">
        <v>45126</v>
      </c>
      <c r="C384" s="103" t="n">
        <v>30991402.49</v>
      </c>
      <c r="D384" s="98">
        <f>C384/E384</f>
        <v/>
      </c>
      <c r="E384" s="98" t="n">
        <v>82.05</v>
      </c>
      <c r="F384" s="98">
        <f>D384/100000</f>
        <v/>
      </c>
      <c r="G384" s="97">
        <f>(F384/DataSheet!$C$10*100)</f>
        <v/>
      </c>
      <c r="H384" s="98">
        <f>K384/I384</f>
        <v/>
      </c>
      <c r="I384" s="98">
        <f>(J384/L384)*100</f>
        <v/>
      </c>
      <c r="J384" s="97">
        <f>L384/O384</f>
        <v/>
      </c>
      <c r="K384" s="98" t="n">
        <v>7.07</v>
      </c>
      <c r="L384" s="98" t="n">
        <v>19833.15</v>
      </c>
      <c r="M384" s="98" t="n">
        <v>4.85</v>
      </c>
      <c r="N384" s="98">
        <f>K384-I384</f>
        <v/>
      </c>
      <c r="O384" s="98" t="n">
        <v>24.09</v>
      </c>
      <c r="P384" s="98" t="n">
        <v>3.74</v>
      </c>
      <c r="Q384" s="97">
        <f>K384-P384</f>
        <v/>
      </c>
      <c r="R384" s="98" t="n">
        <v>99.98</v>
      </c>
      <c r="S384" s="97">
        <f>(O384*T384)</f>
        <v/>
      </c>
      <c r="T384" s="79" t="n">
        <v>6.74</v>
      </c>
      <c r="U384" s="80" t="n">
        <v>13769.8</v>
      </c>
      <c r="V384" s="80" t="n">
        <v>27.26</v>
      </c>
      <c r="W384" s="97">
        <f>U384/V384</f>
        <v/>
      </c>
      <c r="X384" s="97">
        <f>(W384/U384)*100</f>
        <v/>
      </c>
      <c r="Y384" s="80" t="n">
        <v>11049.25</v>
      </c>
      <c r="Z384" s="80" t="n">
        <v>21.66</v>
      </c>
      <c r="AA384" s="97">
        <f>Y384/Z384</f>
        <v/>
      </c>
      <c r="AB384" s="97">
        <f>(AA384/Y384)*100</f>
        <v/>
      </c>
    </row>
    <row r="385">
      <c r="A385" s="92" t="n">
        <v>384</v>
      </c>
      <c r="B385" s="99" t="n">
        <v>45127</v>
      </c>
      <c r="C385" s="103" t="n">
        <v>30943571.13</v>
      </c>
      <c r="D385" s="98">
        <f>C385/E385</f>
        <v/>
      </c>
      <c r="E385" s="98" t="n">
        <v>82.06999999999999</v>
      </c>
      <c r="F385" s="98">
        <f>D385/100000</f>
        <v/>
      </c>
      <c r="G385" s="97">
        <f>(F385/DataSheet!$C$10*100)</f>
        <v/>
      </c>
      <c r="H385" s="98">
        <f>K385/I385</f>
        <v/>
      </c>
      <c r="I385" s="98">
        <f>(J385/L385)*100</f>
        <v/>
      </c>
      <c r="J385" s="97">
        <f>L385/O385</f>
        <v/>
      </c>
      <c r="K385" s="98" t="n">
        <v>7.08</v>
      </c>
      <c r="L385" s="98" t="n">
        <v>19979.15</v>
      </c>
      <c r="M385" s="98" t="n">
        <v>4.88</v>
      </c>
      <c r="N385" s="98">
        <f>K385-I385</f>
        <v/>
      </c>
      <c r="O385" s="98" t="n">
        <v>24.24</v>
      </c>
      <c r="P385" s="98" t="n">
        <v>3.85</v>
      </c>
      <c r="Q385" s="97">
        <f>K385-P385</f>
        <v/>
      </c>
      <c r="R385" s="98" t="n">
        <v>100.59</v>
      </c>
      <c r="S385" s="97">
        <f>(O385*T385)</f>
        <v/>
      </c>
      <c r="T385" s="79" t="n">
        <v>6.74</v>
      </c>
      <c r="U385" s="80" t="n">
        <v>13799.55</v>
      </c>
      <c r="V385" s="80" t="n">
        <v>27.29</v>
      </c>
      <c r="W385" s="97">
        <f>U385/V385</f>
        <v/>
      </c>
      <c r="X385" s="97">
        <f>(W385/U385)*100</f>
        <v/>
      </c>
      <c r="Y385" s="80" t="n">
        <v>11079.2</v>
      </c>
      <c r="Z385" s="80" t="n">
        <v>21.71</v>
      </c>
      <c r="AA385" s="97">
        <f>Y385/Z385</f>
        <v/>
      </c>
      <c r="AB385" s="97">
        <f>(AA385/Y385)*100</f>
        <v/>
      </c>
    </row>
    <row r="386">
      <c r="A386" s="92" t="n">
        <v>385</v>
      </c>
      <c r="B386" s="99" t="n">
        <v>45128</v>
      </c>
      <c r="C386" s="103" t="n">
        <v>30749353.11</v>
      </c>
      <c r="D386" s="98">
        <f>C386/E386</f>
        <v/>
      </c>
      <c r="E386" s="98" t="n">
        <v>81.98</v>
      </c>
      <c r="F386" s="98">
        <f>D386/100000</f>
        <v/>
      </c>
      <c r="G386" s="97">
        <f>(F386/DataSheet!$C$10*100)</f>
        <v/>
      </c>
      <c r="H386" s="98">
        <f>K386/I386</f>
        <v/>
      </c>
      <c r="I386" s="98">
        <f>(J386/L386)*100</f>
        <v/>
      </c>
      <c r="J386" s="97">
        <f>L386/O386</f>
        <v/>
      </c>
      <c r="K386" s="98" t="n">
        <v>7.08</v>
      </c>
      <c r="L386" s="98" t="n">
        <v>19745</v>
      </c>
      <c r="M386" s="98" t="n">
        <v>4.82</v>
      </c>
      <c r="N386" s="98">
        <f>K386-I386</f>
        <v/>
      </c>
      <c r="O386" s="98" t="n">
        <v>23.95</v>
      </c>
      <c r="P386" s="98" t="n">
        <v>3.83</v>
      </c>
      <c r="Q386" s="97">
        <f>K386-P386</f>
        <v/>
      </c>
      <c r="R386" s="98" t="n">
        <v>100.79</v>
      </c>
      <c r="S386" s="97">
        <f>(O386*T386)</f>
        <v/>
      </c>
      <c r="T386" s="79" t="n">
        <v>6.73</v>
      </c>
      <c r="U386" s="80" t="n">
        <v>13772.85</v>
      </c>
      <c r="V386" s="80" t="n">
        <v>27.23</v>
      </c>
      <c r="W386" s="97">
        <f>U386/V386</f>
        <v/>
      </c>
      <c r="X386" s="97">
        <f>(W386/U386)*100</f>
        <v/>
      </c>
      <c r="Y386" s="80" t="n">
        <v>11110.55</v>
      </c>
      <c r="Z386" s="80" t="n">
        <v>21.76</v>
      </c>
      <c r="AA386" s="97">
        <f>Y386/Z386</f>
        <v/>
      </c>
      <c r="AB386" s="97">
        <f>(AA386/Y386)*100</f>
        <v/>
      </c>
    </row>
    <row r="387">
      <c r="A387" s="92" t="n">
        <v>386</v>
      </c>
      <c r="B387" s="99" t="n">
        <v>45131</v>
      </c>
      <c r="C387" s="103" t="n">
        <v>30712582.16</v>
      </c>
      <c r="D387" s="98">
        <f>C387/E387</f>
        <v/>
      </c>
      <c r="E387" s="98" t="n">
        <v>81.79000000000001</v>
      </c>
      <c r="F387" s="98">
        <f>D387/100000</f>
        <v/>
      </c>
      <c r="G387" s="97">
        <f>(F387/DataSheet!$C$10*100)</f>
        <v/>
      </c>
      <c r="H387" s="98">
        <f>K387/I387</f>
        <v/>
      </c>
      <c r="I387" s="98">
        <f>(J387/L387)*100</f>
        <v/>
      </c>
      <c r="J387" s="97">
        <f>L387/O387</f>
        <v/>
      </c>
      <c r="K387" s="98" t="n">
        <v>7.07</v>
      </c>
      <c r="L387" s="98" t="n">
        <v>19672.35</v>
      </c>
      <c r="M387" s="98" t="n">
        <v>4.81</v>
      </c>
      <c r="N387" s="98">
        <f>K387-I387</f>
        <v/>
      </c>
      <c r="O387" s="98" t="n">
        <v>23.83</v>
      </c>
      <c r="P387" s="98" t="n">
        <v>3.87</v>
      </c>
      <c r="Q387" s="97">
        <f>K387-P387</f>
        <v/>
      </c>
      <c r="R387" s="98" t="n">
        <v>101.08</v>
      </c>
      <c r="S387" s="97">
        <f>(O387*T387)</f>
        <v/>
      </c>
      <c r="T387" s="79" t="n">
        <v>6.74</v>
      </c>
      <c r="U387" s="80" t="n">
        <v>13762.2</v>
      </c>
      <c r="V387" s="80" t="n">
        <v>27.1</v>
      </c>
      <c r="W387" s="97">
        <f>U387/V387</f>
        <v/>
      </c>
      <c r="X387" s="97">
        <f>(W387/U387)*100</f>
        <v/>
      </c>
      <c r="Y387" s="80" t="n">
        <v>11136.85</v>
      </c>
      <c r="Z387" s="80" t="n">
        <v>21.77</v>
      </c>
      <c r="AA387" s="97">
        <f>Y387/Z387</f>
        <v/>
      </c>
      <c r="AB387" s="97">
        <f>(AA387/Y387)*100</f>
        <v/>
      </c>
    </row>
    <row r="388">
      <c r="A388" s="92" t="n">
        <v>387</v>
      </c>
      <c r="B388" s="99" t="n">
        <v>45132</v>
      </c>
      <c r="C388" s="103" t="n">
        <v>30783475.78</v>
      </c>
      <c r="D388" s="98">
        <f>C388/E388</f>
        <v/>
      </c>
      <c r="E388" s="98" t="n">
        <v>81.84999999999999</v>
      </c>
      <c r="F388" s="98">
        <f>D388/100000</f>
        <v/>
      </c>
      <c r="G388" s="97">
        <f>(F388/DataSheet!$C$10*100)</f>
        <v/>
      </c>
      <c r="H388" s="98">
        <f>K388/I388</f>
        <v/>
      </c>
      <c r="I388" s="98">
        <f>(J388/L388)*100</f>
        <v/>
      </c>
      <c r="J388" s="97">
        <f>L388/O388</f>
        <v/>
      </c>
      <c r="K388" s="98" t="n">
        <v>7.1</v>
      </c>
      <c r="L388" s="98" t="n">
        <v>19680.6</v>
      </c>
      <c r="M388" s="98" t="n">
        <v>4.81</v>
      </c>
      <c r="N388" s="98">
        <f>K388-I388</f>
        <v/>
      </c>
      <c r="O388" s="98" t="n">
        <v>23.55</v>
      </c>
      <c r="P388" s="98" t="n">
        <v>3.89</v>
      </c>
      <c r="Q388" s="97">
        <f>K388-P388</f>
        <v/>
      </c>
      <c r="R388" s="98" t="n">
        <v>101.09</v>
      </c>
      <c r="S388" s="97">
        <f>(O388*T388)</f>
        <v/>
      </c>
      <c r="T388" s="79" t="n">
        <v>6.73</v>
      </c>
      <c r="U388" s="80" t="n">
        <v>13829.15</v>
      </c>
      <c r="V388" s="80" t="n">
        <v>27.14</v>
      </c>
      <c r="W388" s="97">
        <f>U388/V388</f>
        <v/>
      </c>
      <c r="X388" s="97">
        <f>(W388/U388)*100</f>
        <v/>
      </c>
      <c r="Y388" s="80" t="n">
        <v>11141.85</v>
      </c>
      <c r="Z388" s="80" t="n">
        <v>21.71</v>
      </c>
      <c r="AA388" s="97">
        <f>Y388/Z388</f>
        <v/>
      </c>
      <c r="AB388" s="97">
        <f>(AA388/Y388)*100</f>
        <v/>
      </c>
    </row>
    <row r="389">
      <c r="A389" s="92" t="n">
        <v>388</v>
      </c>
      <c r="B389" s="99" t="n">
        <v>45133</v>
      </c>
      <c r="C389" s="103" t="n">
        <v>30912839.94</v>
      </c>
      <c r="D389" s="98">
        <f>C389/E389</f>
        <v/>
      </c>
      <c r="E389" s="98" t="n">
        <v>81.95</v>
      </c>
      <c r="F389" s="98">
        <f>D389/100000</f>
        <v/>
      </c>
      <c r="G389" s="97">
        <f>(F389/DataSheet!$C$10*100)</f>
        <v/>
      </c>
      <c r="H389" s="98">
        <f>K389/I389</f>
        <v/>
      </c>
      <c r="I389" s="98">
        <f>(J389/L389)*100</f>
        <v/>
      </c>
      <c r="J389" s="97">
        <f>L389/O389</f>
        <v/>
      </c>
      <c r="K389" s="98" t="n">
        <v>7.09</v>
      </c>
      <c r="L389" s="98" t="n">
        <v>19778.3</v>
      </c>
      <c r="M389" s="98" t="n">
        <v>4.83</v>
      </c>
      <c r="N389" s="98">
        <f>K389-I389</f>
        <v/>
      </c>
      <c r="O389" s="98" t="n">
        <v>23.97</v>
      </c>
      <c r="P389" s="98" t="n">
        <v>3.87</v>
      </c>
      <c r="Q389" s="97">
        <f>K389-P389</f>
        <v/>
      </c>
      <c r="R389" s="98" t="n">
        <v>100.63</v>
      </c>
      <c r="S389" s="97">
        <f>(O389*T389)</f>
        <v/>
      </c>
      <c r="T389" s="79" t="n">
        <v>6.74</v>
      </c>
      <c r="U389" s="80" t="n">
        <v>13873.3</v>
      </c>
      <c r="V389" s="80" t="n">
        <v>27.15</v>
      </c>
      <c r="W389" s="97">
        <f>U389/V389</f>
        <v/>
      </c>
      <c r="X389" s="97">
        <f>(W389/U389)*100</f>
        <v/>
      </c>
      <c r="Y389" s="80" t="n">
        <v>11178.75</v>
      </c>
      <c r="Z389" s="80" t="n">
        <v>21.77</v>
      </c>
      <c r="AA389" s="97">
        <f>Y389/Z389</f>
        <v/>
      </c>
      <c r="AB389" s="97">
        <f>(AA389/Y389)*100</f>
        <v/>
      </c>
    </row>
    <row r="390">
      <c r="A390" s="92" t="n">
        <v>389</v>
      </c>
      <c r="B390" s="99" t="n">
        <v>45134</v>
      </c>
      <c r="C390" s="103" t="n">
        <v>30864776.78</v>
      </c>
      <c r="D390" s="98">
        <f>C390/E390</f>
        <v/>
      </c>
      <c r="E390" s="98" t="n">
        <v>82.15000000000001</v>
      </c>
      <c r="F390" s="98">
        <f>D390/100000</f>
        <v/>
      </c>
      <c r="G390" s="97">
        <f>(F390/DataSheet!$C$10*100)</f>
        <v/>
      </c>
      <c r="H390" s="98">
        <f>K390/I390</f>
        <v/>
      </c>
      <c r="I390" s="98">
        <f>(J390/L390)*100</f>
        <v/>
      </c>
      <c r="J390" s="97">
        <f>L390/O390</f>
        <v/>
      </c>
      <c r="K390" s="98" t="n">
        <v>7.12</v>
      </c>
      <c r="L390" s="98" t="n">
        <v>19659.9</v>
      </c>
      <c r="M390" s="98" t="n">
        <v>4.8</v>
      </c>
      <c r="N390" s="98">
        <f>K390-I390</f>
        <v/>
      </c>
      <c r="O390" s="98" t="n">
        <v>23.83</v>
      </c>
      <c r="P390" s="98" t="n">
        <v>4</v>
      </c>
      <c r="Q390" s="97">
        <f>K390-P390</f>
        <v/>
      </c>
      <c r="R390" s="98" t="n">
        <v>101.54</v>
      </c>
      <c r="S390" s="97">
        <f>(O390*T390)</f>
        <v/>
      </c>
      <c r="T390" s="79" t="n">
        <v>6.73</v>
      </c>
      <c r="U390" s="80" t="n">
        <v>13898.9</v>
      </c>
      <c r="V390" s="80" t="n">
        <v>27.2</v>
      </c>
      <c r="W390" s="97">
        <f>U390/V390</f>
        <v/>
      </c>
      <c r="X390" s="97">
        <f>(W390/U390)*100</f>
        <v/>
      </c>
      <c r="Y390" s="80" t="n">
        <v>11193.8</v>
      </c>
      <c r="Z390" s="80" t="n">
        <v>21.8</v>
      </c>
      <c r="AA390" s="97">
        <f>Y390/Z390</f>
        <v/>
      </c>
      <c r="AB390" s="97">
        <f>(AA390/Y390)*100</f>
        <v/>
      </c>
    </row>
    <row r="391">
      <c r="A391" s="92" t="n">
        <v>390</v>
      </c>
      <c r="B391" s="99" t="n">
        <v>45135</v>
      </c>
      <c r="C391" s="103" t="n">
        <v>30938759.55</v>
      </c>
      <c r="D391" s="98">
        <f>C391/E391</f>
        <v/>
      </c>
      <c r="E391" s="98" t="n">
        <v>82.22</v>
      </c>
      <c r="F391" s="98">
        <f>D391/100000</f>
        <v/>
      </c>
      <c r="G391" s="97">
        <f>(F391/DataSheet!$C$10*100)</f>
        <v/>
      </c>
      <c r="H391" s="98">
        <f>K391/I391</f>
        <v/>
      </c>
      <c r="I391" s="98">
        <f>(J391/L391)*100</f>
        <v/>
      </c>
      <c r="J391" s="97">
        <f>L391/O391</f>
        <v/>
      </c>
      <c r="K391" s="98" t="n">
        <v>7.16</v>
      </c>
      <c r="L391" s="98" t="n">
        <v>19646.05</v>
      </c>
      <c r="M391" s="98" t="n">
        <v>4.8</v>
      </c>
      <c r="N391" s="98">
        <f>K391-I391</f>
        <v/>
      </c>
      <c r="O391" s="98" t="n">
        <v>22.91</v>
      </c>
      <c r="P391" s="98" t="n">
        <v>3.95</v>
      </c>
      <c r="Q391" s="97">
        <f>K391-P391</f>
        <v/>
      </c>
      <c r="R391" s="98" t="n">
        <v>101.39</v>
      </c>
      <c r="S391" s="97">
        <f>(O391*T391)</f>
        <v/>
      </c>
      <c r="T391" s="79" t="n">
        <v>6.75</v>
      </c>
      <c r="U391" s="80" t="n">
        <v>13976</v>
      </c>
      <c r="V391" s="80" t="n">
        <v>27.26</v>
      </c>
      <c r="W391" s="97">
        <f>U391/V391</f>
        <v/>
      </c>
      <c r="X391" s="97">
        <f>(W391/U391)*100</f>
        <v/>
      </c>
      <c r="Y391" s="80" t="n">
        <v>11239.1</v>
      </c>
      <c r="Z391" s="80" t="n">
        <v>22.49</v>
      </c>
      <c r="AA391" s="97">
        <f>Y391/Z391</f>
        <v/>
      </c>
      <c r="AB391" s="97">
        <f>(AA391/Y391)*100</f>
        <v/>
      </c>
    </row>
    <row r="392">
      <c r="A392" s="92" t="n">
        <v>391</v>
      </c>
      <c r="B392" s="99" t="n">
        <v>45138</v>
      </c>
      <c r="C392" s="103" t="n">
        <v>31183703.99</v>
      </c>
      <c r="D392" s="98">
        <f>C392/E392</f>
        <v/>
      </c>
      <c r="E392" s="98" t="n">
        <v>82.23999999999999</v>
      </c>
      <c r="F392" s="98">
        <f>D392/100000</f>
        <v/>
      </c>
      <c r="G392" s="97">
        <f>(F392/DataSheet!$C$10*100)</f>
        <v/>
      </c>
      <c r="H392" s="98">
        <f>K392/I392</f>
        <v/>
      </c>
      <c r="I392" s="98">
        <f>(J392/L392)*100</f>
        <v/>
      </c>
      <c r="J392" s="97">
        <f>L392/O392</f>
        <v/>
      </c>
      <c r="K392" s="98" t="n">
        <v>7.17</v>
      </c>
      <c r="L392" s="98" t="n">
        <v>19753.8</v>
      </c>
      <c r="M392" s="98" t="n">
        <v>4.83</v>
      </c>
      <c r="N392" s="98">
        <f>K392-I392</f>
        <v/>
      </c>
      <c r="O392" s="98" t="n">
        <v>23.01</v>
      </c>
      <c r="P392" s="98" t="n">
        <v>3.96</v>
      </c>
      <c r="Q392" s="97">
        <f>K392-P392</f>
        <v/>
      </c>
      <c r="R392" s="98" t="n">
        <v>101.62</v>
      </c>
      <c r="S392" s="97">
        <f>(O392*T392)</f>
        <v/>
      </c>
      <c r="T392" s="79" t="n">
        <v>6.74</v>
      </c>
      <c r="U392" s="80" t="n">
        <v>14140</v>
      </c>
      <c r="V392" s="80" t="n">
        <v>27.41</v>
      </c>
      <c r="W392" s="97">
        <f>U392/V392</f>
        <v/>
      </c>
      <c r="X392" s="97">
        <f>(W392/U392)*100</f>
        <v/>
      </c>
      <c r="Y392" s="80" t="n">
        <v>11355</v>
      </c>
      <c r="Z392" s="80" t="n">
        <v>22.67</v>
      </c>
      <c r="AA392" s="97">
        <f>Y392/Z392</f>
        <v/>
      </c>
      <c r="AB392" s="97">
        <f>(AA392/Y392)*100</f>
        <v/>
      </c>
    </row>
    <row r="393">
      <c r="A393" s="92" t="n">
        <v>392</v>
      </c>
      <c r="B393" s="99" t="n">
        <v>45139</v>
      </c>
      <c r="C393" s="103" t="n">
        <v>31205317.38</v>
      </c>
      <c r="D393" s="98">
        <f>C393/E393</f>
        <v/>
      </c>
      <c r="E393" s="98" t="n">
        <v>82.34</v>
      </c>
      <c r="F393" s="98">
        <f>D393/100000</f>
        <v/>
      </c>
      <c r="G393" s="97">
        <f>(F393/DataSheet!$C$10*100)</f>
        <v/>
      </c>
      <c r="H393" s="98">
        <f>K393/I393</f>
        <v/>
      </c>
      <c r="I393" s="98">
        <f>(J393/L393)*100</f>
        <v/>
      </c>
      <c r="J393" s="97">
        <f>L393/O393</f>
        <v/>
      </c>
      <c r="K393" s="98" t="n">
        <v>7.15</v>
      </c>
      <c r="L393" s="98" t="n">
        <v>19733.55</v>
      </c>
      <c r="M393" s="98" t="n">
        <v>4.82</v>
      </c>
      <c r="N393" s="98">
        <f>K393-I393</f>
        <v/>
      </c>
      <c r="O393" s="98" t="n">
        <v>22.96</v>
      </c>
      <c r="P393" s="98" t="n">
        <v>4.03</v>
      </c>
      <c r="Q393" s="97">
        <f>K393-P393</f>
        <v/>
      </c>
      <c r="R393" s="98" t="n">
        <v>102.08</v>
      </c>
      <c r="S393" s="97">
        <f>(O393*T393)</f>
        <v/>
      </c>
      <c r="T393" s="79" t="n">
        <v>6.74</v>
      </c>
      <c r="U393" s="80" t="n">
        <v>14151</v>
      </c>
      <c r="V393" s="80" t="n">
        <v>27.35</v>
      </c>
      <c r="W393" s="97">
        <f>U393/V393</f>
        <v/>
      </c>
      <c r="X393" s="97">
        <f>(W393/U393)*100</f>
        <v/>
      </c>
      <c r="Y393" s="80" t="n">
        <v>11377.65</v>
      </c>
      <c r="Z393" s="80" t="n">
        <v>22.76</v>
      </c>
      <c r="AA393" s="97">
        <f>Y393/Z393</f>
        <v/>
      </c>
      <c r="AB393" s="97">
        <f>(AA393/Y393)*100</f>
        <v/>
      </c>
    </row>
    <row r="394">
      <c r="A394" s="92" t="n">
        <v>393</v>
      </c>
      <c r="B394" s="99" t="n">
        <v>45140</v>
      </c>
      <c r="C394" s="103" t="n">
        <v>30857244.28</v>
      </c>
      <c r="D394" s="98">
        <f>C394/E394</f>
        <v/>
      </c>
      <c r="E394" s="98" t="n">
        <v>82.73</v>
      </c>
      <c r="F394" s="98">
        <f>D394/100000</f>
        <v/>
      </c>
      <c r="G394" s="97">
        <f>(F394/DataSheet!$C$10*100)</f>
        <v/>
      </c>
      <c r="H394" s="98">
        <f>K394/I394</f>
        <v/>
      </c>
      <c r="I394" s="98">
        <f>(J394/L394)*100</f>
        <v/>
      </c>
      <c r="J394" s="97">
        <f>L394/O394</f>
        <v/>
      </c>
      <c r="K394" s="98" t="n">
        <v>7.15</v>
      </c>
      <c r="L394" s="98" t="n">
        <v>19526.55</v>
      </c>
      <c r="M394" s="98" t="n">
        <v>4.73</v>
      </c>
      <c r="N394" s="98">
        <f>K394-I394</f>
        <v/>
      </c>
      <c r="O394" s="98" t="n">
        <v>22.72</v>
      </c>
      <c r="P394" s="98" t="n">
        <v>4.09</v>
      </c>
      <c r="Q394" s="97">
        <f>K394-P394</f>
        <v/>
      </c>
      <c r="R394" s="98" t="n">
        <v>102.39</v>
      </c>
      <c r="S394" s="97">
        <f>(O394*T394)</f>
        <v/>
      </c>
      <c r="T394" s="79" t="n">
        <v>6.74</v>
      </c>
      <c r="U394" s="80" t="n">
        <v>13975.2</v>
      </c>
      <c r="V394" s="80" t="n">
        <v>26.97</v>
      </c>
      <c r="W394" s="97">
        <f>U394/V394</f>
        <v/>
      </c>
      <c r="X394" s="97">
        <f>(W394/U394)*100</f>
        <v/>
      </c>
      <c r="Y394" s="80" t="n">
        <v>11232.1</v>
      </c>
      <c r="Z394" s="80" t="n">
        <v>22.47</v>
      </c>
      <c r="AA394" s="97">
        <f>Y394/Z394</f>
        <v/>
      </c>
      <c r="AB394" s="97">
        <f>(AA394/Y394)*100</f>
        <v/>
      </c>
    </row>
    <row r="395">
      <c r="A395" s="92" t="n">
        <v>394</v>
      </c>
      <c r="B395" s="99" t="n">
        <v>45141</v>
      </c>
      <c r="C395" s="103" t="n">
        <v>30752964.87</v>
      </c>
      <c r="D395" s="98">
        <f>C395/E395</f>
        <v/>
      </c>
      <c r="E395" s="98" t="n">
        <v>82.75</v>
      </c>
      <c r="F395" s="98">
        <f>D395/100000</f>
        <v/>
      </c>
      <c r="G395" s="97">
        <f>(F395/DataSheet!$C$10*100)</f>
        <v/>
      </c>
      <c r="H395" s="98">
        <f>K395/I395</f>
        <v/>
      </c>
      <c r="I395" s="98">
        <f>(J395/L395)*100</f>
        <v/>
      </c>
      <c r="J395" s="97">
        <f>L395/O395</f>
        <v/>
      </c>
      <c r="K395" s="98" t="n">
        <v>7.19</v>
      </c>
      <c r="L395" s="98" t="n">
        <v>19381.65</v>
      </c>
      <c r="M395" s="98" t="n">
        <v>4.69</v>
      </c>
      <c r="N395" s="98">
        <f>K395-I395</f>
        <v/>
      </c>
      <c r="O395" s="98" t="n">
        <v>22.55</v>
      </c>
      <c r="P395" s="98" t="n">
        <v>4.17</v>
      </c>
      <c r="Q395" s="97">
        <f>K395-P395</f>
        <v/>
      </c>
      <c r="R395" s="98" t="n">
        <v>102.35</v>
      </c>
      <c r="S395" s="97">
        <f>(O395*T395)</f>
        <v/>
      </c>
      <c r="T395" s="79" t="n">
        <v>6.74</v>
      </c>
      <c r="U395" s="80" t="n">
        <v>13979.05</v>
      </c>
      <c r="V395" s="80" t="n">
        <v>26.97</v>
      </c>
      <c r="W395" s="97">
        <f>U395/V395</f>
        <v/>
      </c>
      <c r="X395" s="97">
        <f>(W395/U395)*100</f>
        <v/>
      </c>
      <c r="Y395" s="80" t="n">
        <v>11247.5</v>
      </c>
      <c r="Z395" s="80" t="n">
        <v>22.54</v>
      </c>
      <c r="AA395" s="97">
        <f>Y395/Z395</f>
        <v/>
      </c>
      <c r="AB395" s="97">
        <f>(AA395/Y395)*100</f>
        <v/>
      </c>
    </row>
    <row r="396">
      <c r="A396" s="92" t="n">
        <v>395</v>
      </c>
      <c r="B396" s="99" t="n">
        <v>45142</v>
      </c>
      <c r="C396" s="103" t="n">
        <v>30941325.6</v>
      </c>
      <c r="D396" s="98">
        <f>C396/E396</f>
        <v/>
      </c>
      <c r="E396" s="98" t="n">
        <v>82.69</v>
      </c>
      <c r="F396" s="98">
        <f>D396/100000</f>
        <v/>
      </c>
      <c r="G396" s="97">
        <f>(F396/DataSheet!$C$10*100)</f>
        <v/>
      </c>
      <c r="H396" s="98">
        <f>K396/I396</f>
        <v/>
      </c>
      <c r="I396" s="98">
        <f>(J396/L396)*100</f>
        <v/>
      </c>
      <c r="J396" s="97">
        <f>L396/O396</f>
        <v/>
      </c>
      <c r="K396" s="98" t="n">
        <v>7.19</v>
      </c>
      <c r="L396" s="98" t="n">
        <v>19517</v>
      </c>
      <c r="M396" s="98" t="n">
        <v>4.72</v>
      </c>
      <c r="N396" s="98">
        <f>K396-I396</f>
        <v/>
      </c>
      <c r="O396" s="98" t="n">
        <v>22.71</v>
      </c>
      <c r="P396" s="98" t="n">
        <v>4.04</v>
      </c>
      <c r="Q396" s="97">
        <f>K396-P396</f>
        <v/>
      </c>
      <c r="R396" s="98" t="n">
        <v>101.83</v>
      </c>
      <c r="S396" s="97">
        <f>(O396*T396)</f>
        <v/>
      </c>
      <c r="T396" s="79" t="n">
        <v>6.73</v>
      </c>
      <c r="U396" s="80" t="n">
        <v>14079.3</v>
      </c>
      <c r="V396" s="80" t="n">
        <v>24.9</v>
      </c>
      <c r="W396" s="97">
        <f>U396/V396</f>
        <v/>
      </c>
      <c r="X396" s="97">
        <f>(W396/U396)*100</f>
        <v/>
      </c>
      <c r="Y396" s="80" t="n">
        <v>11317.75</v>
      </c>
      <c r="Z396" s="80" t="n">
        <v>22.64</v>
      </c>
      <c r="AA396" s="97">
        <f>Y396/Z396</f>
        <v/>
      </c>
      <c r="AB396" s="97">
        <f>(AA396/Y396)*100</f>
        <v/>
      </c>
    </row>
    <row r="397">
      <c r="A397" s="92" t="n">
        <v>396</v>
      </c>
      <c r="B397" s="99" t="n">
        <v>45145</v>
      </c>
      <c r="C397" s="103" t="n">
        <v>31060886.75</v>
      </c>
      <c r="D397" s="98">
        <f>C397/E397</f>
        <v/>
      </c>
      <c r="E397" s="98" t="n">
        <v>82.77</v>
      </c>
      <c r="F397" s="98">
        <f>D397/100000</f>
        <v/>
      </c>
      <c r="G397" s="97">
        <f>(F397/DataSheet!$C$10*100)</f>
        <v/>
      </c>
      <c r="H397" s="98">
        <f>K397/I397</f>
        <v/>
      </c>
      <c r="I397" s="98">
        <f>(J397/L397)*100</f>
        <v/>
      </c>
      <c r="J397" s="97">
        <f>L397/O397</f>
        <v/>
      </c>
      <c r="K397" s="98" t="n">
        <v>7.19</v>
      </c>
      <c r="L397" s="98" t="n">
        <v>19597.3</v>
      </c>
      <c r="M397" s="98" t="n">
        <v>4.74</v>
      </c>
      <c r="N397" s="98">
        <f>K397-I397</f>
        <v/>
      </c>
      <c r="O397" s="98" t="n">
        <v>22.83</v>
      </c>
      <c r="P397" s="98" t="n">
        <v>4.09</v>
      </c>
      <c r="Q397" s="97">
        <f>K397-P397</f>
        <v/>
      </c>
      <c r="R397" s="98" t="n">
        <v>101.86</v>
      </c>
      <c r="S397" s="97">
        <f>(O397*T397)</f>
        <v/>
      </c>
      <c r="T397" s="79" t="n">
        <v>6.75</v>
      </c>
      <c r="U397" s="80" t="n">
        <v>14149.95</v>
      </c>
      <c r="V397" s="80" t="n">
        <v>24.63</v>
      </c>
      <c r="W397" s="97">
        <f>U397/V397</f>
        <v/>
      </c>
      <c r="X397" s="97">
        <f>(W397/U397)*100</f>
        <v/>
      </c>
      <c r="Y397" s="80" t="n">
        <v>11353.1</v>
      </c>
      <c r="Z397" s="80" t="n">
        <v>22.61</v>
      </c>
      <c r="AA397" s="97">
        <f>Y397/Z397</f>
        <v/>
      </c>
      <c r="AB397" s="97">
        <f>(AA397/Y397)*100</f>
        <v/>
      </c>
    </row>
    <row r="398">
      <c r="A398" s="92" t="n">
        <v>397</v>
      </c>
      <c r="B398" s="99" t="n">
        <v>45146</v>
      </c>
      <c r="C398" s="103" t="n">
        <v>31062004.88</v>
      </c>
      <c r="D398" s="98">
        <f>C398/E398</f>
        <v/>
      </c>
      <c r="E398" s="98" t="n">
        <v>82.88</v>
      </c>
      <c r="F398" s="98">
        <f>D398/100000</f>
        <v/>
      </c>
      <c r="G398" s="97">
        <f>(F398/DataSheet!$C$10*100)</f>
        <v/>
      </c>
      <c r="H398" s="98">
        <f>K398/I398</f>
        <v/>
      </c>
      <c r="I398" s="98">
        <f>(J398/L398)*100</f>
        <v/>
      </c>
      <c r="J398" s="97">
        <f>L398/O398</f>
        <v/>
      </c>
      <c r="K398" s="98" t="n">
        <v>7.16</v>
      </c>
      <c r="L398" s="98" t="n">
        <v>19570.85</v>
      </c>
      <c r="M398" s="98" t="n">
        <v>4.73</v>
      </c>
      <c r="N398" s="98">
        <f>K398-I398</f>
        <v/>
      </c>
      <c r="O398" s="98" t="n">
        <v>22.73</v>
      </c>
      <c r="P398" s="98" t="n">
        <v>4.02</v>
      </c>
      <c r="Q398" s="97">
        <f>K398-P398</f>
        <v/>
      </c>
      <c r="R398" s="98" t="n">
        <v>102.34</v>
      </c>
      <c r="S398" s="97">
        <f>(O398*T398)</f>
        <v/>
      </c>
      <c r="T398" s="79" t="n">
        <v>6.75</v>
      </c>
      <c r="U398" s="80" t="n">
        <v>14186.2</v>
      </c>
      <c r="V398" s="80" t="n">
        <v>24.6</v>
      </c>
      <c r="W398" s="97">
        <f>U398/V398</f>
        <v/>
      </c>
      <c r="X398" s="97">
        <f>(W398/U398)*100</f>
        <v/>
      </c>
      <c r="Y398" s="80" t="n">
        <v>11371.55</v>
      </c>
      <c r="Z398" s="80" t="n">
        <v>22.74</v>
      </c>
      <c r="AA398" s="97">
        <f>Y398/Z398</f>
        <v/>
      </c>
      <c r="AB398" s="97">
        <f>(AA398/Y398)*100</f>
        <v/>
      </c>
    </row>
    <row r="399">
      <c r="A399" s="92" t="n">
        <v>398</v>
      </c>
      <c r="B399" s="99" t="n">
        <v>45147</v>
      </c>
      <c r="C399" s="103" t="n">
        <v>31158172.25</v>
      </c>
      <c r="D399" s="98">
        <f>C399/E399</f>
        <v/>
      </c>
      <c r="E399" s="98" t="n">
        <v>82.87</v>
      </c>
      <c r="F399" s="98">
        <f>D399/100000</f>
        <v/>
      </c>
      <c r="G399" s="97">
        <f>(F399/DataSheet!$C$10*100)</f>
        <v/>
      </c>
      <c r="H399" s="98">
        <f>K399/I399</f>
        <v/>
      </c>
      <c r="I399" s="98">
        <f>(J399/L399)*100</f>
        <v/>
      </c>
      <c r="J399" s="97">
        <f>L399/O399</f>
        <v/>
      </c>
      <c r="K399" s="98" t="n">
        <v>7.17</v>
      </c>
      <c r="L399" s="98" t="n">
        <v>19632.55</v>
      </c>
      <c r="M399" s="98" t="n">
        <v>4.75</v>
      </c>
      <c r="N399" s="98">
        <f>K399-I399</f>
        <v/>
      </c>
      <c r="O399" s="98" t="n">
        <v>22.81</v>
      </c>
      <c r="P399" s="98" t="n">
        <v>4.01</v>
      </c>
      <c r="Q399" s="97">
        <f>K399-P399</f>
        <v/>
      </c>
      <c r="R399" s="98" t="n">
        <v>102.31</v>
      </c>
      <c r="S399" s="97">
        <f>(O399*T399)</f>
        <v/>
      </c>
      <c r="T399" s="79" t="n">
        <v>6.75</v>
      </c>
      <c r="U399" s="80" t="n">
        <v>14230.05</v>
      </c>
      <c r="V399" s="80" t="n">
        <v>24.67</v>
      </c>
      <c r="W399" s="97">
        <f>U399/V399</f>
        <v/>
      </c>
      <c r="X399" s="97">
        <f>(W399/U399)*100</f>
        <v/>
      </c>
      <c r="Y399" s="80" t="n">
        <v>11435.95</v>
      </c>
      <c r="Z399" s="80" t="n">
        <v>22.87</v>
      </c>
      <c r="AA399" s="97">
        <f>Y399/Z399</f>
        <v/>
      </c>
      <c r="AB399" s="97">
        <f>(AA399/Y399)*100</f>
        <v/>
      </c>
    </row>
    <row r="400">
      <c r="A400" s="92" t="n">
        <v>399</v>
      </c>
      <c r="B400" s="99" t="n">
        <v>45148</v>
      </c>
      <c r="C400" s="103" t="n">
        <v>31076449.95</v>
      </c>
      <c r="D400" s="98">
        <f>C400/E400</f>
        <v/>
      </c>
      <c r="E400" s="98" t="n">
        <v>82.64</v>
      </c>
      <c r="F400" s="98">
        <f>D400/100000</f>
        <v/>
      </c>
      <c r="G400" s="97">
        <f>(F400/DataSheet!$C$10*100)</f>
        <v/>
      </c>
      <c r="H400" s="98">
        <f>K400/I400</f>
        <v/>
      </c>
      <c r="I400" s="98">
        <f>(J400/L400)*100</f>
        <v/>
      </c>
      <c r="J400" s="97">
        <f>L400/O400</f>
        <v/>
      </c>
      <c r="K400" s="98" t="n">
        <v>7.15</v>
      </c>
      <c r="L400" s="98" t="n">
        <v>19543.1</v>
      </c>
      <c r="M400" s="98" t="n">
        <v>4.73</v>
      </c>
      <c r="N400" s="98">
        <f>K400-I400</f>
        <v/>
      </c>
      <c r="O400" s="98" t="n">
        <v>22.77</v>
      </c>
      <c r="P400" s="98" t="n">
        <v>4.1</v>
      </c>
      <c r="Q400" s="97">
        <f>K400-P400</f>
        <v/>
      </c>
      <c r="R400" s="98" t="n">
        <v>102.36</v>
      </c>
      <c r="S400" s="97">
        <f>(O400*T400)</f>
        <v/>
      </c>
      <c r="T400" s="79" t="n">
        <v>6.77</v>
      </c>
      <c r="U400" s="80" t="n">
        <v>14228.5</v>
      </c>
      <c r="V400" s="80" t="n">
        <v>24.83</v>
      </c>
      <c r="W400" s="97">
        <f>U400/V400</f>
        <v/>
      </c>
      <c r="X400" s="97">
        <f>(W400/U400)*100</f>
        <v/>
      </c>
      <c r="Y400" s="80" t="n">
        <v>11406.8</v>
      </c>
      <c r="Z400" s="80" t="n">
        <v>23.05</v>
      </c>
      <c r="AA400" s="97">
        <f>Y400/Z400</f>
        <v/>
      </c>
      <c r="AB400" s="97">
        <f>(AA400/Y400)*100</f>
        <v/>
      </c>
    </row>
    <row r="401">
      <c r="A401" s="92" t="n">
        <v>400</v>
      </c>
      <c r="B401" s="99" t="n">
        <v>45149</v>
      </c>
      <c r="C401" s="103" t="n">
        <v>31007372.8</v>
      </c>
      <c r="D401" s="98">
        <f>C401/E401</f>
        <v/>
      </c>
      <c r="E401" s="98" t="n">
        <v>82.89</v>
      </c>
      <c r="F401" s="98">
        <f>D401/100000</f>
        <v/>
      </c>
      <c r="G401" s="97">
        <f>(F401/DataSheet!$C$10*100)</f>
        <v/>
      </c>
      <c r="H401" s="98">
        <f>K401/I401</f>
        <v/>
      </c>
      <c r="I401" s="98">
        <f>(J401/L401)*100</f>
        <v/>
      </c>
      <c r="J401" s="97">
        <f>L401/O401</f>
        <v/>
      </c>
      <c r="K401" s="98" t="n">
        <v>7.19</v>
      </c>
      <c r="L401" s="98" t="n">
        <v>19428.3</v>
      </c>
      <c r="M401" s="98" t="n">
        <v>4.7</v>
      </c>
      <c r="N401" s="98">
        <f>K401-I401</f>
        <v/>
      </c>
      <c r="O401" s="98" t="n">
        <v>22.63</v>
      </c>
      <c r="P401" s="98" t="n">
        <v>4.15</v>
      </c>
      <c r="Q401" s="97">
        <f>K401-P401</f>
        <v/>
      </c>
      <c r="R401" s="98" t="n">
        <v>102.69</v>
      </c>
      <c r="S401" s="97">
        <f>(O401*T401)</f>
        <v/>
      </c>
      <c r="T401" s="79" t="n">
        <v>6.77</v>
      </c>
      <c r="U401" s="80" t="n">
        <v>14190.3</v>
      </c>
      <c r="V401" s="80" t="n">
        <v>24.83</v>
      </c>
      <c r="W401" s="97">
        <f>U401/V401</f>
        <v/>
      </c>
      <c r="X401" s="97">
        <f>(W401/U401)*100</f>
        <v/>
      </c>
      <c r="Y401" s="80" t="n">
        <v>11376.5</v>
      </c>
      <c r="Z401" s="80" t="n">
        <v>22.8</v>
      </c>
      <c r="AA401" s="97">
        <f>Y401/Z401</f>
        <v/>
      </c>
      <c r="AB401" s="97">
        <f>(AA401/Y401)*100</f>
        <v/>
      </c>
    </row>
    <row r="402">
      <c r="A402" s="92" t="n">
        <v>401</v>
      </c>
      <c r="B402" s="99" t="n">
        <v>45152</v>
      </c>
      <c r="C402" s="103" t="n">
        <v>30909073.53</v>
      </c>
      <c r="D402" s="98">
        <f>C402/E402</f>
        <v/>
      </c>
      <c r="E402" s="98" t="n">
        <v>83.18000000000001</v>
      </c>
      <c r="F402" s="98">
        <f>D402/100000</f>
        <v/>
      </c>
      <c r="G402" s="97">
        <f>(F402/DataSheet!$C$10*100)</f>
        <v/>
      </c>
      <c r="H402" s="98">
        <f>K402/I402</f>
        <v/>
      </c>
      <c r="I402" s="98">
        <f>(J402/L402)*100</f>
        <v/>
      </c>
      <c r="J402" s="97">
        <f>L402/O402</f>
        <v/>
      </c>
      <c r="K402" s="98" t="n">
        <v>7.2</v>
      </c>
      <c r="L402" s="98" t="n">
        <v>19434.55</v>
      </c>
      <c r="M402" s="98" t="n">
        <v>4.7</v>
      </c>
      <c r="N402" s="98">
        <f>K402-I402</f>
        <v/>
      </c>
      <c r="O402" s="98" t="n">
        <v>22.64</v>
      </c>
      <c r="P402" s="98" t="n">
        <v>4.2</v>
      </c>
      <c r="Q402" s="97">
        <f>K402-P402</f>
        <v/>
      </c>
      <c r="R402" s="98" t="n">
        <v>103.05</v>
      </c>
      <c r="S402" s="97">
        <f>(O402*T402)</f>
        <v/>
      </c>
      <c r="T402" s="79" t="n">
        <v>6.77</v>
      </c>
      <c r="U402" s="80" t="n">
        <v>14153.95</v>
      </c>
      <c r="V402" s="80" t="n">
        <v>24.77</v>
      </c>
      <c r="W402" s="97">
        <f>U402/V402</f>
        <v/>
      </c>
      <c r="X402" s="97">
        <f>(W402/U402)*100</f>
        <v/>
      </c>
      <c r="Y402" s="80" t="n">
        <v>11302.85</v>
      </c>
      <c r="Z402" s="80" t="n">
        <v>22.66</v>
      </c>
      <c r="AA402" s="97">
        <f>Y402/Z402</f>
        <v/>
      </c>
      <c r="AB402" s="97">
        <f>(AA402/Y402)*100</f>
        <v/>
      </c>
    </row>
    <row r="403">
      <c r="A403" s="92" t="n">
        <v>402</v>
      </c>
      <c r="B403" s="99" t="n">
        <v>45154</v>
      </c>
      <c r="C403" s="103" t="n">
        <v>30987735.27</v>
      </c>
      <c r="D403" s="98">
        <f>C403/E403</f>
        <v/>
      </c>
      <c r="E403" s="98" t="n">
        <v>83.29000000000001</v>
      </c>
      <c r="F403" s="98">
        <f>D403/100000</f>
        <v/>
      </c>
      <c r="G403" s="97">
        <f>(F403/DataSheet!$C$10*100)</f>
        <v/>
      </c>
      <c r="H403" s="98">
        <f>K403/I403</f>
        <v/>
      </c>
      <c r="I403" s="98">
        <f>(J403/L403)*100</f>
        <v/>
      </c>
      <c r="J403" s="97">
        <f>L403/O403</f>
        <v/>
      </c>
      <c r="K403" s="98" t="n">
        <v>7.25</v>
      </c>
      <c r="L403" s="98" t="n">
        <v>19465</v>
      </c>
      <c r="M403" s="98" t="n">
        <v>4.68</v>
      </c>
      <c r="N403" s="98">
        <f>K403-I403</f>
        <v/>
      </c>
      <c r="O403" s="98" t="n">
        <v>22.52</v>
      </c>
      <c r="P403" s="98" t="n">
        <v>4.25</v>
      </c>
      <c r="Q403" s="97">
        <f>K403-P403</f>
        <v/>
      </c>
      <c r="R403" s="98" t="n">
        <v>103.31</v>
      </c>
      <c r="S403" s="97">
        <f>(O403*T403)</f>
        <v/>
      </c>
      <c r="T403" s="79" t="n">
        <v>6.77</v>
      </c>
      <c r="U403" s="80" t="n">
        <v>14172.6</v>
      </c>
      <c r="V403" s="80" t="n">
        <v>24.74</v>
      </c>
      <c r="W403" s="97">
        <f>U403/V403</f>
        <v/>
      </c>
      <c r="X403" s="97">
        <f>(W403/U403)*100</f>
        <v/>
      </c>
      <c r="Y403" s="80" t="n">
        <v>11350.2</v>
      </c>
      <c r="Z403" s="80" t="n">
        <v>22.78</v>
      </c>
      <c r="AA403" s="97">
        <f>Y403/Z403</f>
        <v/>
      </c>
      <c r="AB403" s="97">
        <f>(AA403/Y403)*100</f>
        <v/>
      </c>
    </row>
    <row r="404">
      <c r="A404" s="92" t="n">
        <v>403</v>
      </c>
      <c r="B404" s="99" t="n">
        <v>45155</v>
      </c>
      <c r="C404" s="103" t="n">
        <v>30936042.72</v>
      </c>
      <c r="D404" s="98">
        <f>C404/E404</f>
        <v/>
      </c>
      <c r="E404" s="98" t="n">
        <v>83.14</v>
      </c>
      <c r="F404" s="98">
        <f>D404/100000</f>
        <v/>
      </c>
      <c r="G404" s="97">
        <f>(F404/DataSheet!$C$10*100)</f>
        <v/>
      </c>
      <c r="H404" s="98">
        <f>K404/I404</f>
        <v/>
      </c>
      <c r="I404" s="98">
        <f>(J404/L404)*100</f>
        <v/>
      </c>
      <c r="J404" s="97">
        <f>L404/O404</f>
        <v/>
      </c>
      <c r="K404" s="98" t="n">
        <v>7.21</v>
      </c>
      <c r="L404" s="98" t="n">
        <v>19365.25</v>
      </c>
      <c r="M404" s="98" t="n">
        <v>4.66</v>
      </c>
      <c r="N404" s="98">
        <f>K404-I404</f>
        <v/>
      </c>
      <c r="O404" s="98" t="n">
        <v>22.39</v>
      </c>
      <c r="P404" s="98" t="n">
        <v>4.28</v>
      </c>
      <c r="Q404" s="97">
        <f>K404-P404</f>
        <v/>
      </c>
      <c r="R404" s="98" t="n">
        <v>103.47</v>
      </c>
      <c r="S404" s="97">
        <f>(O404*T404)</f>
        <v/>
      </c>
      <c r="T404" s="79" t="n">
        <v>6.87</v>
      </c>
      <c r="U404" s="80" t="n">
        <v>14215.2</v>
      </c>
      <c r="V404" s="80" t="n">
        <v>24.81</v>
      </c>
      <c r="W404" s="97">
        <f>U404/V404</f>
        <v/>
      </c>
      <c r="X404" s="97">
        <f>(W404/U404)*100</f>
        <v/>
      </c>
      <c r="Y404" s="80" t="n">
        <v>11370.95</v>
      </c>
      <c r="Z404" s="80" t="n">
        <v>22.82</v>
      </c>
      <c r="AA404" s="97">
        <f>Y404/Z404</f>
        <v/>
      </c>
      <c r="AB404" s="97">
        <f>(AA404/Y404)*100</f>
        <v/>
      </c>
    </row>
    <row r="405">
      <c r="A405" s="92" t="n">
        <v>404</v>
      </c>
      <c r="B405" s="99" t="n">
        <v>45156</v>
      </c>
      <c r="C405" s="103" t="n">
        <v>30881351.5</v>
      </c>
      <c r="D405" s="98">
        <f>C405/E405</f>
        <v/>
      </c>
      <c r="E405" s="98" t="n">
        <v>83.14</v>
      </c>
      <c r="F405" s="98">
        <f>D405/100000</f>
        <v/>
      </c>
      <c r="G405" s="97">
        <f>(F405/DataSheet!$C$10*100)</f>
        <v/>
      </c>
      <c r="H405" s="98">
        <f>K405/I405</f>
        <v/>
      </c>
      <c r="I405" s="98">
        <f>(J405/L405)*100</f>
        <v/>
      </c>
      <c r="J405" s="97">
        <f>L405/O405</f>
        <v/>
      </c>
      <c r="K405" s="98" t="n">
        <v>7.22</v>
      </c>
      <c r="L405" s="98" t="n">
        <v>19310.15</v>
      </c>
      <c r="M405" s="98" t="n">
        <v>4.64</v>
      </c>
      <c r="N405" s="98">
        <f>K405-I405</f>
        <v/>
      </c>
      <c r="O405" s="98" t="n">
        <v>22.32</v>
      </c>
      <c r="P405" s="98" t="n">
        <v>4.25</v>
      </c>
      <c r="Q405" s="97">
        <f>K405-P405</f>
        <v/>
      </c>
      <c r="R405" s="98" t="n">
        <v>103.27</v>
      </c>
      <c r="S405" s="97">
        <f>(O405*T405)</f>
        <v/>
      </c>
      <c r="T405" s="79" t="n">
        <v>6.86</v>
      </c>
      <c r="U405" s="80" t="n">
        <v>14193.45</v>
      </c>
      <c r="V405" s="80" t="n">
        <v>24.77</v>
      </c>
      <c r="W405" s="97">
        <f>U405/V405</f>
        <v/>
      </c>
      <c r="X405" s="97">
        <f>(W405/U405)*100</f>
        <v/>
      </c>
      <c r="Y405" s="80" t="n">
        <v>11338.05</v>
      </c>
      <c r="Z405" s="80" t="n">
        <v>22.76</v>
      </c>
      <c r="AA405" s="97">
        <f>Y405/Z405</f>
        <v/>
      </c>
      <c r="AB405" s="97">
        <f>(AA405/Y405)*100</f>
        <v/>
      </c>
    </row>
    <row r="406">
      <c r="A406" s="92" t="n">
        <v>405</v>
      </c>
      <c r="B406" s="99" t="n">
        <v>45159</v>
      </c>
      <c r="C406" s="103" t="n">
        <v>31228274.69</v>
      </c>
      <c r="D406" s="98">
        <f>C406/E406</f>
        <v/>
      </c>
      <c r="E406" s="98" t="n">
        <v>83.09</v>
      </c>
      <c r="F406" s="98">
        <f>D406/100000</f>
        <v/>
      </c>
      <c r="G406" s="97">
        <f>(F406/DataSheet!$C$10*100)</f>
        <v/>
      </c>
      <c r="H406" s="98">
        <f>K406/I406</f>
        <v/>
      </c>
      <c r="I406" s="98">
        <f>(J406/L406)*100</f>
        <v/>
      </c>
      <c r="J406" s="97">
        <f>L406/O406</f>
        <v/>
      </c>
      <c r="K406" s="98" t="n">
        <v>7.21</v>
      </c>
      <c r="L406" s="98" t="n">
        <v>19393.6</v>
      </c>
      <c r="M406" s="98" t="n">
        <v>4.66</v>
      </c>
      <c r="N406" s="98">
        <f>K406-I406</f>
        <v/>
      </c>
      <c r="O406" s="98" t="n">
        <v>22.42</v>
      </c>
      <c r="P406" s="98" t="n">
        <v>4.34</v>
      </c>
      <c r="Q406" s="97">
        <f>K406-P406</f>
        <v/>
      </c>
      <c r="R406" s="98" t="n">
        <v>103.2</v>
      </c>
      <c r="S406" s="97">
        <f>(O406*T406)</f>
        <v/>
      </c>
      <c r="T406" s="79" t="n">
        <v>6.86</v>
      </c>
      <c r="U406" s="80" t="n">
        <v>14302.15</v>
      </c>
      <c r="V406" s="80" t="n">
        <v>24.96</v>
      </c>
      <c r="W406" s="97">
        <f>U406/V406</f>
        <v/>
      </c>
      <c r="X406" s="97">
        <f>(W406/U406)*100</f>
        <v/>
      </c>
      <c r="Y406" s="80" t="n">
        <v>11432.65</v>
      </c>
      <c r="Z406" s="80" t="n">
        <v>22.95</v>
      </c>
      <c r="AA406" s="97">
        <f>Y406/Z406</f>
        <v/>
      </c>
      <c r="AB406" s="97">
        <f>(AA406/Y406)*100</f>
        <v/>
      </c>
    </row>
    <row r="407">
      <c r="A407" s="92" t="n">
        <v>406</v>
      </c>
      <c r="B407" s="99" t="n">
        <v>45160</v>
      </c>
      <c r="C407" s="103" t="n">
        <v>31374740.17</v>
      </c>
      <c r="D407" s="98">
        <f>C407/E407</f>
        <v/>
      </c>
      <c r="E407" s="98" t="n">
        <v>83.04000000000001</v>
      </c>
      <c r="F407" s="98">
        <f>D407/100000</f>
        <v/>
      </c>
      <c r="G407" s="97">
        <f>(F407/DataSheet!$C$10*100)</f>
        <v/>
      </c>
      <c r="H407" s="98">
        <f>K407/I407</f>
        <v/>
      </c>
      <c r="I407" s="98">
        <f>(J407/L407)*100</f>
        <v/>
      </c>
      <c r="J407" s="97">
        <f>L407/O407</f>
        <v/>
      </c>
      <c r="K407" s="98" t="n">
        <v>7.19</v>
      </c>
      <c r="L407" s="98" t="n">
        <v>19396.45</v>
      </c>
      <c r="M407" s="98" t="n">
        <v>4.55</v>
      </c>
      <c r="N407" s="98">
        <f>K407-I407</f>
        <v/>
      </c>
      <c r="O407" s="98" t="n">
        <v>22.13</v>
      </c>
      <c r="P407" s="98" t="n">
        <v>4.33</v>
      </c>
      <c r="Q407" s="97">
        <f>K407-P407</f>
        <v/>
      </c>
      <c r="R407" s="98" t="n">
        <v>103.47</v>
      </c>
      <c r="S407" s="97">
        <f>(O407*T407)</f>
        <v/>
      </c>
      <c r="T407" s="79" t="n">
        <v>6.86</v>
      </c>
      <c r="U407" s="80" t="n">
        <v>14454.1</v>
      </c>
      <c r="V407" s="80" t="n">
        <v>25.03</v>
      </c>
      <c r="W407" s="97">
        <f>U407/V407</f>
        <v/>
      </c>
      <c r="X407" s="97">
        <f>(W407/U407)*100</f>
        <v/>
      </c>
      <c r="Y407" s="80" t="n">
        <v>11509.7</v>
      </c>
      <c r="Z407" s="80" t="n">
        <v>23.19</v>
      </c>
      <c r="AA407" s="97">
        <f>Y407/Z407</f>
        <v/>
      </c>
      <c r="AB407" s="97">
        <f>(AA407/Y407)*100</f>
        <v/>
      </c>
    </row>
    <row r="408">
      <c r="A408" s="92" t="n">
        <v>407</v>
      </c>
      <c r="B408" s="99" t="n">
        <v>45161</v>
      </c>
      <c r="C408" s="103" t="n">
        <v>31440453.24</v>
      </c>
      <c r="D408" s="98">
        <f>C408/E408</f>
        <v/>
      </c>
      <c r="E408" s="98" t="n">
        <v>82.5</v>
      </c>
      <c r="F408" s="98">
        <f>D408/100000</f>
        <v/>
      </c>
      <c r="G408" s="97">
        <f>(F408/DataSheet!$C$10*100)</f>
        <v/>
      </c>
      <c r="H408" s="98">
        <f>K408/I408</f>
        <v/>
      </c>
      <c r="I408" s="98">
        <f>(J408/L408)*100</f>
        <v/>
      </c>
      <c r="J408" s="97">
        <f>L408/O408</f>
        <v/>
      </c>
      <c r="K408" s="98" t="n">
        <v>7.19</v>
      </c>
      <c r="L408" s="98" t="n">
        <v>19444</v>
      </c>
      <c r="M408" s="98" t="n">
        <v>4.56</v>
      </c>
      <c r="N408" s="98">
        <f>K408-I408</f>
        <v/>
      </c>
      <c r="O408" s="98" t="n">
        <v>22.19</v>
      </c>
      <c r="P408" s="98" t="n">
        <v>4.19</v>
      </c>
      <c r="Q408" s="97">
        <f>K408-P408</f>
        <v/>
      </c>
      <c r="R408" s="98" t="n">
        <v>103.33</v>
      </c>
      <c r="S408" s="97">
        <f>(O408*T408)</f>
        <v/>
      </c>
      <c r="T408" s="79" t="n">
        <v>6.86</v>
      </c>
      <c r="U408" s="80" t="n">
        <v>14508.75</v>
      </c>
      <c r="V408" s="80" t="n">
        <v>25.13</v>
      </c>
      <c r="W408" s="97">
        <f>U408/V408</f>
        <v/>
      </c>
      <c r="X408" s="97">
        <f>(W408/U408)*100</f>
        <v/>
      </c>
      <c r="Y408" s="80" t="n">
        <v>11591.55</v>
      </c>
      <c r="Z408" s="80" t="n">
        <v>23.36</v>
      </c>
      <c r="AA408" s="97">
        <f>Y408/Z408</f>
        <v/>
      </c>
      <c r="AB408" s="97">
        <f>(AA408/Y408)*100</f>
        <v/>
      </c>
    </row>
    <row r="409">
      <c r="A409" s="92" t="n">
        <v>408</v>
      </c>
      <c r="B409" s="99" t="n">
        <v>45162</v>
      </c>
      <c r="C409" s="103" t="n">
        <v>31407607.72</v>
      </c>
      <c r="D409" s="98">
        <f>C409/E409</f>
        <v/>
      </c>
      <c r="E409" s="98" t="n">
        <v>82.58</v>
      </c>
      <c r="F409" s="98">
        <f>D409/100000</f>
        <v/>
      </c>
      <c r="G409" s="97">
        <f>(F409/DataSheet!$C$10*100)</f>
        <v/>
      </c>
      <c r="H409" s="98">
        <f>K409/I409</f>
        <v/>
      </c>
      <c r="I409" s="98">
        <f>(J409/L409)*100</f>
        <v/>
      </c>
      <c r="J409" s="97">
        <f>L409/O409</f>
        <v/>
      </c>
      <c r="K409" s="98" t="n">
        <v>7.2</v>
      </c>
      <c r="L409" s="98" t="n">
        <v>19386.7</v>
      </c>
      <c r="M409" s="98" t="n">
        <v>4.47</v>
      </c>
      <c r="N409" s="98">
        <f>K409-I409</f>
        <v/>
      </c>
      <c r="O409" s="98" t="n">
        <v>22.12</v>
      </c>
      <c r="P409" s="98" t="n">
        <v>4.24</v>
      </c>
      <c r="Q409" s="97">
        <f>K409-P409</f>
        <v/>
      </c>
      <c r="R409" s="98" t="n">
        <v>103.91</v>
      </c>
      <c r="S409" s="97">
        <f>(O409*T409)</f>
        <v/>
      </c>
      <c r="T409" s="79" t="n">
        <v>6.88</v>
      </c>
      <c r="U409" s="80" t="n">
        <v>14547.85</v>
      </c>
      <c r="V409" s="80" t="n">
        <v>25.2</v>
      </c>
      <c r="W409" s="97">
        <f>U409/V409</f>
        <v/>
      </c>
      <c r="X409" s="97">
        <f>(W409/U409)*100</f>
        <v/>
      </c>
      <c r="Y409" s="80" t="n">
        <v>11576.95</v>
      </c>
      <c r="Z409" s="80" t="n">
        <v>23.33</v>
      </c>
      <c r="AA409" s="97">
        <f>Y409/Z409</f>
        <v/>
      </c>
      <c r="AB409" s="97">
        <f>(AA409/Y409)*100</f>
        <v/>
      </c>
    </row>
    <row r="410">
      <c r="A410" s="92" t="n">
        <v>409</v>
      </c>
      <c r="B410" s="99" t="n">
        <v>45163</v>
      </c>
      <c r="C410" s="103" t="n">
        <v>31222719.14</v>
      </c>
      <c r="D410" s="98">
        <f>C410/E410</f>
        <v/>
      </c>
      <c r="E410" s="98" t="n">
        <v>82.63</v>
      </c>
      <c r="F410" s="98">
        <f>D410/100000</f>
        <v/>
      </c>
      <c r="G410" s="97">
        <f>(F410/DataSheet!$C$10*100)</f>
        <v/>
      </c>
      <c r="H410" s="98">
        <f>K410/I410</f>
        <v/>
      </c>
      <c r="I410" s="98">
        <f>(J410/L410)*100</f>
        <v/>
      </c>
      <c r="J410" s="97">
        <f>L410/O410</f>
        <v/>
      </c>
      <c r="K410" s="98" t="n">
        <v>7.17</v>
      </c>
      <c r="L410" s="98" t="n">
        <v>19265.8</v>
      </c>
      <c r="M410" s="98" t="n">
        <v>4.44</v>
      </c>
      <c r="N410" s="98">
        <f>K410-I410</f>
        <v/>
      </c>
      <c r="O410" s="98" t="n">
        <v>21.98</v>
      </c>
      <c r="P410" s="98" t="n">
        <v>4.23</v>
      </c>
      <c r="Q410" s="97">
        <f>K410-P410</f>
        <v/>
      </c>
      <c r="R410" s="98" t="n">
        <v>104.01</v>
      </c>
      <c r="S410" s="97">
        <f>(O410*T410)</f>
        <v/>
      </c>
      <c r="T410" s="79" t="n">
        <v>6.87</v>
      </c>
      <c r="U410" s="80" t="n">
        <v>14440.65</v>
      </c>
      <c r="V410" s="80" t="n">
        <v>24.99</v>
      </c>
      <c r="W410" s="97">
        <f>U410/V410</f>
        <v/>
      </c>
      <c r="X410" s="97">
        <f>(W410/U410)*100</f>
        <v/>
      </c>
      <c r="Y410" s="80" t="n">
        <v>11548.9</v>
      </c>
      <c r="Z410" s="80" t="n">
        <v>23.27</v>
      </c>
      <c r="AA410" s="97">
        <f>Y410/Z410</f>
        <v/>
      </c>
      <c r="AB410" s="97">
        <f>(AA410/Y410)*100</f>
        <v/>
      </c>
    </row>
    <row r="411">
      <c r="A411" s="92" t="n">
        <v>410</v>
      </c>
      <c r="B411" s="99" t="n">
        <v>45166</v>
      </c>
      <c r="C411" s="103" t="n">
        <v>31328188.19</v>
      </c>
      <c r="D411" s="98">
        <f>C411/E411</f>
        <v/>
      </c>
      <c r="E411" s="98" t="n">
        <v>82.59999999999999</v>
      </c>
      <c r="F411" s="98">
        <f>D411/100000</f>
        <v/>
      </c>
      <c r="G411" s="97">
        <f>(F411/DataSheet!$C$10*100)</f>
        <v/>
      </c>
      <c r="H411" s="98">
        <f>K411/I411</f>
        <v/>
      </c>
      <c r="I411" s="98">
        <f>(J411/L411)*100</f>
        <v/>
      </c>
      <c r="J411" s="97">
        <f>L411/O411</f>
        <v/>
      </c>
      <c r="K411" s="98" t="n">
        <v>7.18</v>
      </c>
      <c r="L411" s="98" t="n">
        <v>19306.05</v>
      </c>
      <c r="M411" s="98" t="n">
        <v>4.43</v>
      </c>
      <c r="N411" s="98">
        <f>K411-I411</f>
        <v/>
      </c>
      <c r="O411" s="98" t="n">
        <v>22.03</v>
      </c>
      <c r="P411" s="98" t="n">
        <v>4.2</v>
      </c>
      <c r="Q411" s="97">
        <f>K411-P411</f>
        <v/>
      </c>
      <c r="R411" s="98" t="n">
        <v>103.99</v>
      </c>
      <c r="S411" s="97">
        <f>(O411*T411)</f>
        <v/>
      </c>
      <c r="T411" s="79" t="n">
        <v>6.8</v>
      </c>
      <c r="U411" s="80" t="n">
        <v>14502.6</v>
      </c>
      <c r="V411" s="80" t="n">
        <v>25.02</v>
      </c>
      <c r="W411" s="97">
        <f>U411/V411</f>
        <v/>
      </c>
      <c r="X411" s="97">
        <f>(W411/U411)*100</f>
        <v/>
      </c>
      <c r="Y411" s="80" t="n">
        <v>11627.3</v>
      </c>
      <c r="Z411" s="80" t="n">
        <v>23.37</v>
      </c>
      <c r="AA411" s="97">
        <f>Y411/Z411</f>
        <v/>
      </c>
      <c r="AB411" s="97">
        <f>(AA411/Y411)*100</f>
        <v/>
      </c>
    </row>
    <row r="412">
      <c r="A412" s="92" t="n">
        <v>411</v>
      </c>
      <c r="B412" s="99" t="n">
        <v>45167</v>
      </c>
      <c r="C412" s="103" t="n">
        <v>31437737.88</v>
      </c>
      <c r="D412" s="98">
        <f>C412/E412</f>
        <v/>
      </c>
      <c r="E412" s="98" t="n">
        <v>82.56999999999999</v>
      </c>
      <c r="F412" s="98">
        <f>D412/100000</f>
        <v/>
      </c>
      <c r="G412" s="97">
        <f>(F412/DataSheet!$C$10*100)</f>
        <v/>
      </c>
      <c r="H412" s="98">
        <f>K412/I412</f>
        <v/>
      </c>
      <c r="I412" s="98">
        <f>(J412/L412)*100</f>
        <v/>
      </c>
      <c r="J412" s="97">
        <f>L412/O412</f>
        <v/>
      </c>
      <c r="K412" s="98" t="n">
        <v>7.18</v>
      </c>
      <c r="L412" s="98" t="n">
        <v>19342.65</v>
      </c>
      <c r="M412" s="98" t="n">
        <v>4.42</v>
      </c>
      <c r="N412" s="98">
        <f>K412-I412</f>
        <v/>
      </c>
      <c r="O412" s="98" t="n">
        <v>22.07</v>
      </c>
      <c r="P412" s="98" t="n">
        <v>4.12</v>
      </c>
      <c r="Q412" s="97">
        <f>K412-P412</f>
        <v/>
      </c>
      <c r="R412" s="98" t="n">
        <v>103.47</v>
      </c>
      <c r="S412" s="97">
        <f>(O412*T412)</f>
        <v/>
      </c>
      <c r="T412" s="79" t="n">
        <v>6.8</v>
      </c>
      <c r="U412" s="80" t="n">
        <v>14559.3</v>
      </c>
      <c r="V412" s="80" t="n">
        <v>25.12</v>
      </c>
      <c r="W412" s="97">
        <f>U412/V412</f>
        <v/>
      </c>
      <c r="X412" s="97">
        <f>(W412/U412)*100</f>
        <v/>
      </c>
      <c r="Y412" s="80" t="n">
        <v>11705.25</v>
      </c>
      <c r="Z412" s="80" t="n">
        <v>23.52</v>
      </c>
      <c r="AA412" s="97">
        <f>Y412/Z412</f>
        <v/>
      </c>
      <c r="AB412" s="97">
        <f>(AA412/Y412)*100</f>
        <v/>
      </c>
    </row>
    <row r="413">
      <c r="A413" s="92" t="n">
        <v>412</v>
      </c>
      <c r="B413" s="99" t="n">
        <v>45168</v>
      </c>
      <c r="C413" s="103" t="n">
        <v>31541752.85</v>
      </c>
      <c r="D413" s="98">
        <f>C413/E413</f>
        <v/>
      </c>
      <c r="E413" s="98" t="n">
        <v>82.59999999999999</v>
      </c>
      <c r="F413" s="98">
        <f>D413/100000</f>
        <v/>
      </c>
      <c r="G413" s="97">
        <f>(F413/DataSheet!$C$10*100)</f>
        <v/>
      </c>
      <c r="H413" s="98">
        <f>K413/I413</f>
        <v/>
      </c>
      <c r="I413" s="98">
        <f>(J413/L413)*100</f>
        <v/>
      </c>
      <c r="J413" s="97">
        <f>L413/O413</f>
        <v/>
      </c>
      <c r="K413" s="98" t="n">
        <v>7.18</v>
      </c>
      <c r="L413" s="98" t="n">
        <v>19347.45</v>
      </c>
      <c r="M413" s="98" t="n">
        <v>4.42</v>
      </c>
      <c r="N413" s="98">
        <f>K413-I413</f>
        <v/>
      </c>
      <c r="O413" s="98" t="n">
        <v>22.07</v>
      </c>
      <c r="P413" s="98" t="n">
        <v>4.11</v>
      </c>
      <c r="Q413" s="97">
        <f>K413-P413</f>
        <v/>
      </c>
      <c r="R413" s="98" t="n">
        <v>103.09</v>
      </c>
      <c r="S413" s="97">
        <f>(O413*T413)</f>
        <v/>
      </c>
      <c r="T413" s="79" t="n">
        <v>6.83</v>
      </c>
      <c r="U413" s="80" t="n">
        <v>14654.45</v>
      </c>
      <c r="V413" s="80" t="n">
        <v>25.28</v>
      </c>
      <c r="W413" s="97">
        <f>U413/V413</f>
        <v/>
      </c>
      <c r="X413" s="97">
        <f>(W413/U413)*100</f>
        <v/>
      </c>
      <c r="Y413" s="80" t="n">
        <v>11807.9</v>
      </c>
      <c r="Z413" s="80" t="n">
        <v>23.73</v>
      </c>
      <c r="AA413" s="97">
        <f>Y413/Z413</f>
        <v/>
      </c>
      <c r="AB413" s="97">
        <f>(AA413/Y413)*100</f>
        <v/>
      </c>
    </row>
    <row r="414">
      <c r="A414" s="92" t="n">
        <v>413</v>
      </c>
      <c r="B414" s="99" t="n">
        <v>45169</v>
      </c>
      <c r="C414" s="103" t="n">
        <v>31463720.27</v>
      </c>
      <c r="D414" s="98">
        <f>C414/E414</f>
        <v/>
      </c>
      <c r="E414" s="98" t="n">
        <v>82.69</v>
      </c>
      <c r="F414" s="98">
        <f>D414/100000</f>
        <v/>
      </c>
      <c r="G414" s="97">
        <f>(F414/DataSheet!$C$10*100)</f>
        <v/>
      </c>
      <c r="H414" s="98">
        <f>K414/I414</f>
        <v/>
      </c>
      <c r="I414" s="98">
        <f>(J414/L414)*100</f>
        <v/>
      </c>
      <c r="J414" s="97">
        <f>L414/O414</f>
        <v/>
      </c>
      <c r="K414" s="98" t="n">
        <v>7.16</v>
      </c>
      <c r="L414" s="98" t="n">
        <v>19253.8</v>
      </c>
      <c r="M414" s="98" t="n">
        <v>4.4</v>
      </c>
      <c r="N414" s="98">
        <f>K414-I414</f>
        <v/>
      </c>
      <c r="O414" s="98" t="n">
        <v>21.97</v>
      </c>
      <c r="P414" s="98" t="n">
        <v>4.1</v>
      </c>
      <c r="Q414" s="97">
        <f>K414-P414</f>
        <v/>
      </c>
      <c r="R414" s="98" t="n">
        <v>103.58</v>
      </c>
      <c r="S414" s="97">
        <f>(O414*T414)</f>
        <v/>
      </c>
      <c r="T414" s="79" t="n">
        <v>6.79</v>
      </c>
      <c r="U414" s="80" t="n">
        <v>14693.85</v>
      </c>
      <c r="V414" s="80" t="n">
        <v>25.32</v>
      </c>
      <c r="W414" s="97">
        <f>U414/V414</f>
        <v/>
      </c>
      <c r="X414" s="97">
        <f>(W414/U414)*100</f>
        <v/>
      </c>
      <c r="Y414" s="80" t="n">
        <v>11931.2</v>
      </c>
      <c r="Z414" s="80" t="n">
        <v>24.05</v>
      </c>
      <c r="AA414" s="97">
        <f>Y414/Z414</f>
        <v/>
      </c>
      <c r="AB414" s="97">
        <f>(AA414/Y414)*100</f>
        <v/>
      </c>
    </row>
    <row r="415">
      <c r="A415" s="92" t="n">
        <v>414</v>
      </c>
      <c r="B415" s="99" t="n">
        <v>45170</v>
      </c>
      <c r="C415" s="103" t="n">
        <v>31744091.28</v>
      </c>
      <c r="D415" s="98">
        <f>C415/E415</f>
        <v/>
      </c>
      <c r="E415" s="98" t="n">
        <v>82.68000000000001</v>
      </c>
      <c r="F415" s="98">
        <f>D415/100000</f>
        <v/>
      </c>
      <c r="G415" s="97">
        <f>(F415/DataSheet!$C$10*100)</f>
        <v/>
      </c>
      <c r="H415" s="98">
        <f>K415/I415</f>
        <v/>
      </c>
      <c r="I415" s="98">
        <f>(J415/L415)*100</f>
        <v/>
      </c>
      <c r="J415" s="97">
        <f>L415/O415</f>
        <v/>
      </c>
      <c r="K415" s="98" t="n">
        <v>7.17</v>
      </c>
      <c r="L415" s="98" t="n">
        <v>19435.3</v>
      </c>
      <c r="M415" s="98" t="n">
        <v>4.44</v>
      </c>
      <c r="N415" s="98">
        <f>K415-I415</f>
        <v/>
      </c>
      <c r="O415" s="98" t="n">
        <v>22.17</v>
      </c>
      <c r="P415" s="98" t="n">
        <v>4.18</v>
      </c>
      <c r="Q415" s="97">
        <f>K415-P415</f>
        <v/>
      </c>
      <c r="R415" s="98" t="n">
        <v>104.19</v>
      </c>
      <c r="S415" s="97">
        <f>(O415*T415)</f>
        <v/>
      </c>
      <c r="T415" s="79" t="n">
        <v>6.81</v>
      </c>
      <c r="U415" s="80" t="n">
        <v>14810.15</v>
      </c>
      <c r="V415" s="80" t="n">
        <v>25.52</v>
      </c>
      <c r="W415" s="97">
        <f>U415/V415</f>
        <v/>
      </c>
      <c r="X415" s="97">
        <f>(W415/U415)*100</f>
        <v/>
      </c>
      <c r="Y415" s="80" t="n">
        <v>12017.15</v>
      </c>
      <c r="Z415" s="80" t="n">
        <v>24.22</v>
      </c>
      <c r="AA415" s="97">
        <f>Y415/Z415</f>
        <v/>
      </c>
      <c r="AB415" s="97">
        <f>(AA415/Y415)*100</f>
        <v/>
      </c>
    </row>
    <row r="416">
      <c r="A416" s="92" t="n">
        <v>415</v>
      </c>
      <c r="B416" s="99" t="n">
        <v>45173</v>
      </c>
      <c r="C416" s="103" t="n">
        <v>32010287.64</v>
      </c>
      <c r="D416" s="98">
        <f>C416/E416</f>
        <v/>
      </c>
      <c r="E416" s="98" t="n">
        <v>82.70999999999999</v>
      </c>
      <c r="F416" s="98">
        <f>D416/100000</f>
        <v/>
      </c>
      <c r="G416" s="97">
        <f>(F416/DataSheet!$C$10*100)</f>
        <v/>
      </c>
      <c r="H416" s="98">
        <f>K416/I416</f>
        <v/>
      </c>
      <c r="I416" s="98">
        <f>(J416/L416)*100</f>
        <v/>
      </c>
      <c r="J416" s="97">
        <f>L416/O416</f>
        <v/>
      </c>
      <c r="K416" s="98" t="n">
        <v>7.2</v>
      </c>
      <c r="L416" s="98" t="n">
        <v>19528.8</v>
      </c>
      <c r="M416" s="98" t="n">
        <v>4.46</v>
      </c>
      <c r="N416" s="98">
        <f>K416-I416</f>
        <v/>
      </c>
      <c r="O416" s="98" t="n">
        <v>22.28</v>
      </c>
      <c r="P416" s="98" t="n">
        <v>4.2</v>
      </c>
      <c r="Q416" s="97">
        <f>K416-P416</f>
        <v/>
      </c>
      <c r="R416" s="98" t="n">
        <v>104.19</v>
      </c>
      <c r="S416" s="97">
        <f>(O416*T416)</f>
        <v/>
      </c>
      <c r="T416" s="79" t="n">
        <v>6.8</v>
      </c>
      <c r="U416" s="80" t="n">
        <v>14935.05</v>
      </c>
      <c r="V416" s="80" t="n">
        <v>25.74</v>
      </c>
      <c r="W416" s="97">
        <f>U416/V416</f>
        <v/>
      </c>
      <c r="X416" s="97">
        <f>(W416/U416)*100</f>
        <v/>
      </c>
      <c r="Y416" s="80" t="n">
        <v>12139.85</v>
      </c>
      <c r="Z416" s="80" t="n">
        <v>24.47</v>
      </c>
      <c r="AA416" s="97">
        <f>Y416/Z416</f>
        <v/>
      </c>
      <c r="AB416" s="97">
        <f>(AA416/Y416)*100</f>
        <v/>
      </c>
    </row>
    <row r="417">
      <c r="A417" s="92" t="n">
        <v>416</v>
      </c>
      <c r="B417" s="99" t="n">
        <v>45174</v>
      </c>
      <c r="C417" s="103" t="n">
        <v>32175271.55</v>
      </c>
      <c r="D417" s="98">
        <f>C417/E417</f>
        <v/>
      </c>
      <c r="E417" s="98" t="n">
        <v>83.03</v>
      </c>
      <c r="F417" s="98">
        <f>D417/100000</f>
        <v/>
      </c>
      <c r="G417" s="97">
        <f>(F417/DataSheet!$C$10*100)</f>
        <v/>
      </c>
      <c r="H417" s="98">
        <f>K417/I417</f>
        <v/>
      </c>
      <c r="I417" s="98">
        <f>(J417/L417)*100</f>
        <v/>
      </c>
      <c r="J417" s="97">
        <f>L417/O417</f>
        <v/>
      </c>
      <c r="K417" s="98" t="n">
        <v>7.2</v>
      </c>
      <c r="L417" s="98" t="n">
        <v>19574.9</v>
      </c>
      <c r="M417" s="98" t="n">
        <v>4.46</v>
      </c>
      <c r="N417" s="98">
        <f>K417-I417</f>
        <v/>
      </c>
      <c r="O417" s="98" t="n">
        <v>22.33</v>
      </c>
      <c r="P417" s="98" t="n">
        <v>4.26</v>
      </c>
      <c r="Q417" s="97">
        <f>K417-P417</f>
        <v/>
      </c>
      <c r="R417" s="98" t="n">
        <v>104.76</v>
      </c>
      <c r="S417" s="97">
        <f>(O417*T417)</f>
        <v/>
      </c>
      <c r="T417" s="79" t="n">
        <v>6.8</v>
      </c>
      <c r="U417" s="80" t="n">
        <v>15100.7</v>
      </c>
      <c r="V417" s="80" t="n">
        <v>26.02</v>
      </c>
      <c r="W417" s="97">
        <f>U417/V417</f>
        <v/>
      </c>
      <c r="X417" s="97">
        <f>(W417/U417)*100</f>
        <v/>
      </c>
      <c r="Y417" s="80" t="n">
        <v>12216.25</v>
      </c>
      <c r="Z417" s="80" t="n">
        <v>24.62</v>
      </c>
      <c r="AA417" s="97">
        <f>Y417/Z417</f>
        <v/>
      </c>
      <c r="AB417" s="97">
        <f>(AA417/Y417)*100</f>
        <v/>
      </c>
    </row>
    <row r="418">
      <c r="A418" s="92" t="n">
        <v>417</v>
      </c>
      <c r="B418" s="99" t="n">
        <v>45175</v>
      </c>
      <c r="C418" s="103" t="n">
        <v>32245292.06</v>
      </c>
      <c r="D418" s="98">
        <f>C418/E418</f>
        <v/>
      </c>
      <c r="E418" s="98" t="n">
        <v>83.19</v>
      </c>
      <c r="F418" s="98">
        <f>D418/100000</f>
        <v/>
      </c>
      <c r="G418" s="97">
        <f>(F418/DataSheet!$C$10*100)</f>
        <v/>
      </c>
      <c r="H418" s="98">
        <f>K418/I418</f>
        <v/>
      </c>
      <c r="I418" s="98">
        <f>(J418/L418)*100</f>
        <v/>
      </c>
      <c r="J418" s="97">
        <f>L418/O418</f>
        <v/>
      </c>
      <c r="K418" s="98" t="n">
        <v>7.21</v>
      </c>
      <c r="L418" s="98" t="n">
        <v>19611.05</v>
      </c>
      <c r="M418" s="98" t="n">
        <v>4.43</v>
      </c>
      <c r="N418" s="98">
        <f>K418-I418</f>
        <v/>
      </c>
      <c r="O418" s="98" t="n">
        <v>22.37</v>
      </c>
      <c r="P418" s="98" t="n">
        <v>4.29</v>
      </c>
      <c r="Q418" s="97">
        <f>K418-P418</f>
        <v/>
      </c>
      <c r="R418" s="98" t="n">
        <v>104.82</v>
      </c>
      <c r="S418" s="97">
        <f>(O418*T418)</f>
        <v/>
      </c>
      <c r="T418" s="79" t="n">
        <v>6.82</v>
      </c>
      <c r="U418" s="80" t="n">
        <v>15104.05</v>
      </c>
      <c r="V418" s="80" t="n">
        <v>26.03</v>
      </c>
      <c r="W418" s="97">
        <f>U418/V418</f>
        <v/>
      </c>
      <c r="X418" s="97">
        <f>(W418/U418)*100</f>
        <v/>
      </c>
      <c r="Y418" s="80" t="n">
        <v>12223.3</v>
      </c>
      <c r="Z418" s="80" t="n">
        <v>24.64</v>
      </c>
      <c r="AA418" s="97">
        <f>Y418/Z418</f>
        <v/>
      </c>
      <c r="AB418" s="97">
        <f>(AA418/Y418)*100</f>
        <v/>
      </c>
    </row>
    <row r="419">
      <c r="A419" s="92" t="n">
        <v>418</v>
      </c>
      <c r="B419" s="99" t="n">
        <v>45176</v>
      </c>
      <c r="C419" s="103" t="n">
        <v>32417265.16</v>
      </c>
      <c r="D419" s="98">
        <f>C419/E419</f>
        <v/>
      </c>
      <c r="E419" s="98" t="n">
        <v>83.15000000000001</v>
      </c>
      <c r="F419" s="98">
        <f>D419/100000</f>
        <v/>
      </c>
      <c r="G419" s="97">
        <f>(F419/DataSheet!$C$10*100)</f>
        <v/>
      </c>
      <c r="H419" s="98">
        <f>K419/I419</f>
        <v/>
      </c>
      <c r="I419" s="98">
        <f>(J419/L419)*100</f>
        <v/>
      </c>
      <c r="J419" s="97">
        <f>L419/O419</f>
        <v/>
      </c>
      <c r="K419" s="98" t="n">
        <v>7.17</v>
      </c>
      <c r="L419" s="98" t="n">
        <v>19727.05</v>
      </c>
      <c r="M419" s="98" t="n">
        <v>4.41</v>
      </c>
      <c r="N419" s="98">
        <f>K419-I419</f>
        <v/>
      </c>
      <c r="O419" s="98" t="n">
        <v>22.28</v>
      </c>
      <c r="P419" s="98" t="n">
        <v>4.25</v>
      </c>
      <c r="Q419" s="97">
        <f>K419-P419</f>
        <v/>
      </c>
      <c r="R419" s="98" t="n">
        <v>105.02</v>
      </c>
      <c r="S419" s="97">
        <f>(O419*T419)</f>
        <v/>
      </c>
      <c r="T419" s="79" t="n">
        <v>6.81</v>
      </c>
      <c r="U419" s="80" t="n">
        <v>15200.05</v>
      </c>
      <c r="V419" s="80" t="n">
        <v>26.19</v>
      </c>
      <c r="W419" s="97">
        <f>U419/V419</f>
        <v/>
      </c>
      <c r="X419" s="97">
        <f>(W419/U419)*100</f>
        <v/>
      </c>
      <c r="Y419" s="80" t="n">
        <v>12291.95</v>
      </c>
      <c r="Z419" s="80" t="n">
        <v>24.79</v>
      </c>
      <c r="AA419" s="97">
        <f>Y419/Z419</f>
        <v/>
      </c>
      <c r="AB419" s="97">
        <f>(AA419/Y419)*100</f>
        <v/>
      </c>
    </row>
    <row r="420">
      <c r="A420" s="92" t="n">
        <v>419</v>
      </c>
      <c r="B420" s="99" t="n">
        <v>45177</v>
      </c>
      <c r="C420" s="103" t="n">
        <v>32597657.14</v>
      </c>
      <c r="D420" s="98">
        <f>C420/E420</f>
        <v/>
      </c>
      <c r="E420" s="98" t="n">
        <v>83</v>
      </c>
      <c r="F420" s="98">
        <f>D420/100000</f>
        <v/>
      </c>
      <c r="G420" s="97">
        <f>(F420/DataSheet!$C$10*100)</f>
        <v/>
      </c>
      <c r="H420" s="98">
        <f>K420/I420</f>
        <v/>
      </c>
      <c r="I420" s="98">
        <f>(J420/L420)*100</f>
        <v/>
      </c>
      <c r="J420" s="97">
        <f>L420/O420</f>
        <v/>
      </c>
      <c r="K420" s="98" t="n">
        <v>7.19</v>
      </c>
      <c r="L420" s="98" t="n">
        <v>19819.95</v>
      </c>
      <c r="M420" s="98" t="n">
        <v>4.43</v>
      </c>
      <c r="N420" s="98">
        <f>K420-I420</f>
        <v/>
      </c>
      <c r="O420" s="98" t="n">
        <v>22.39</v>
      </c>
      <c r="P420" s="98" t="n">
        <v>4.26</v>
      </c>
      <c r="Q420" s="97">
        <f>K420-P420</f>
        <v/>
      </c>
      <c r="R420" s="98" t="n">
        <v>105.06</v>
      </c>
      <c r="S420" s="97">
        <f>(O420*T420)</f>
        <v/>
      </c>
      <c r="T420" s="79" t="n">
        <v>6.85</v>
      </c>
      <c r="U420" s="80" t="n">
        <v>15341.05</v>
      </c>
      <c r="V420" s="80" t="n">
        <v>26.44</v>
      </c>
      <c r="W420" s="97">
        <f>U420/V420</f>
        <v/>
      </c>
      <c r="X420" s="97">
        <f>(W420/U420)*100</f>
        <v/>
      </c>
      <c r="Y420" s="80" t="n">
        <v>12367</v>
      </c>
      <c r="Z420" s="80" t="n">
        <v>24.93</v>
      </c>
      <c r="AA420" s="97">
        <f>Y420/Z420</f>
        <v/>
      </c>
      <c r="AB420" s="97">
        <f>(AA420/Y420)*100</f>
        <v/>
      </c>
    </row>
    <row r="421">
      <c r="A421" s="92" t="n">
        <v>420</v>
      </c>
      <c r="B421" s="99" t="n">
        <v>45180</v>
      </c>
      <c r="C421" s="103" t="n">
        <v>32932383.64</v>
      </c>
      <c r="D421" s="98">
        <f>C421/E421</f>
        <v/>
      </c>
      <c r="E421" s="98" t="n">
        <v>82.90000000000001</v>
      </c>
      <c r="F421" s="98">
        <f>D421/100000</f>
        <v/>
      </c>
      <c r="G421" s="97">
        <f>(F421/DataSheet!$C$10*100)</f>
        <v/>
      </c>
      <c r="H421" s="98">
        <f>K421/I421</f>
        <v/>
      </c>
      <c r="I421" s="98">
        <f>(J421/L421)*100</f>
        <v/>
      </c>
      <c r="J421" s="97">
        <f>L421/O421</f>
        <v/>
      </c>
      <c r="K421" s="98" t="n">
        <v>7.2</v>
      </c>
      <c r="L421" s="98" t="n">
        <v>19996.35</v>
      </c>
      <c r="M421" s="98" t="n">
        <v>4.46</v>
      </c>
      <c r="N421" s="98">
        <f>K421-I421</f>
        <v/>
      </c>
      <c r="O421" s="98" t="n">
        <v>22.59</v>
      </c>
      <c r="P421" s="98" t="n">
        <v>4.29</v>
      </c>
      <c r="Q421" s="97">
        <f>K421-P421</f>
        <v/>
      </c>
      <c r="R421" s="98" t="n">
        <v>104.53</v>
      </c>
      <c r="S421" s="97">
        <f>(O421*T421)</f>
        <v/>
      </c>
      <c r="T421" s="79" t="n">
        <v>6.83</v>
      </c>
      <c r="U421" s="80" t="n">
        <v>15504.9</v>
      </c>
      <c r="V421" s="80" t="n">
        <v>26.72</v>
      </c>
      <c r="W421" s="97">
        <f>U421/V421</f>
        <v/>
      </c>
      <c r="X421" s="97">
        <f>(W421/U421)*100</f>
        <v/>
      </c>
      <c r="Y421" s="80" t="n">
        <v>12487.55</v>
      </c>
      <c r="Z421" s="80" t="n">
        <v>25.18</v>
      </c>
      <c r="AA421" s="97">
        <f>Y421/Z421</f>
        <v/>
      </c>
      <c r="AB421" s="97">
        <f>(AA421/Y421)*100</f>
        <v/>
      </c>
    </row>
    <row r="422">
      <c r="A422" s="92" t="n">
        <v>421</v>
      </c>
      <c r="B422" s="99" t="n">
        <v>45181</v>
      </c>
      <c r="C422" s="103" t="n">
        <v>32370056.08</v>
      </c>
      <c r="D422" s="98">
        <f>C422/E422</f>
        <v/>
      </c>
      <c r="E422" s="98" t="n">
        <v>82.84999999999999</v>
      </c>
      <c r="F422" s="98">
        <f>D422/100000</f>
        <v/>
      </c>
      <c r="G422" s="97">
        <f>(F422/DataSheet!$C$10*100)</f>
        <v/>
      </c>
      <c r="H422" s="98">
        <f>K422/I422</f>
        <v/>
      </c>
      <c r="I422" s="98">
        <f>(J422/L422)*100</f>
        <v/>
      </c>
      <c r="J422" s="97">
        <f>L422/O422</f>
        <v/>
      </c>
      <c r="K422" s="98" t="n">
        <v>7.2</v>
      </c>
      <c r="L422" s="98" t="n">
        <v>19993.2</v>
      </c>
      <c r="M422" s="98" t="n">
        <v>4.44</v>
      </c>
      <c r="N422" s="98">
        <f>K422-I422</f>
        <v/>
      </c>
      <c r="O422" s="98" t="n">
        <v>22.58</v>
      </c>
      <c r="P422" s="98" t="n">
        <v>4.28</v>
      </c>
      <c r="Q422" s="97">
        <f>K422-P422</f>
        <v/>
      </c>
      <c r="R422" s="98" t="n">
        <v>104.69</v>
      </c>
      <c r="S422" s="97">
        <f>(O422*T422)</f>
        <v/>
      </c>
      <c r="T422" s="79" t="n">
        <v>6.87</v>
      </c>
      <c r="U422" s="80" t="n">
        <v>15045.1</v>
      </c>
      <c r="V422" s="80" t="n">
        <v>25.93</v>
      </c>
      <c r="W422" s="97">
        <f>U422/V422</f>
        <v/>
      </c>
      <c r="X422" s="97">
        <f>(W422/U422)*100</f>
        <v/>
      </c>
      <c r="Y422" s="80" t="n">
        <v>12003</v>
      </c>
      <c r="Z422" s="80" t="n">
        <v>24.2</v>
      </c>
      <c r="AA422" s="97">
        <f>Y422/Z422</f>
        <v/>
      </c>
      <c r="AB422" s="97">
        <f>(AA422/Y422)*100</f>
        <v/>
      </c>
    </row>
    <row r="423">
      <c r="A423" s="92" t="n">
        <v>422</v>
      </c>
      <c r="B423" s="99" t="n">
        <v>45182</v>
      </c>
      <c r="C423" s="103" t="n">
        <v>32529004.6</v>
      </c>
      <c r="D423" s="98">
        <f>C423/E423</f>
        <v/>
      </c>
      <c r="E423" s="98" t="n">
        <v>82.93000000000001</v>
      </c>
      <c r="F423" s="98">
        <f>D423/100000</f>
        <v/>
      </c>
      <c r="G423" s="97">
        <f>(F423/DataSheet!$C$10*100)</f>
        <v/>
      </c>
      <c r="H423" s="98">
        <f>K423/I423</f>
        <v/>
      </c>
      <c r="I423" s="98">
        <f>(J423/L423)*100</f>
        <v/>
      </c>
      <c r="J423" s="97">
        <f>L423/O423</f>
        <v/>
      </c>
      <c r="K423" s="98" t="n">
        <v>7.17</v>
      </c>
      <c r="L423" s="98" t="n">
        <v>20070</v>
      </c>
      <c r="M423" s="98" t="n">
        <v>4.46</v>
      </c>
      <c r="N423" s="98">
        <f>K423-I423</f>
        <v/>
      </c>
      <c r="O423" s="98" t="n">
        <v>22.67</v>
      </c>
      <c r="P423" s="98" t="n">
        <v>4.25</v>
      </c>
      <c r="Q423" s="97">
        <f>K423-P423</f>
        <v/>
      </c>
      <c r="R423" s="98" t="n">
        <v>104.74</v>
      </c>
      <c r="S423" s="97">
        <f>(O423*T423)</f>
        <v/>
      </c>
      <c r="T423" s="79" t="n">
        <v>6.85</v>
      </c>
      <c r="U423" s="80" t="n">
        <v>15063.55</v>
      </c>
      <c r="V423" s="80" t="n">
        <v>25.96</v>
      </c>
      <c r="W423" s="97">
        <f>U423/V423</f>
        <v/>
      </c>
      <c r="X423" s="97">
        <f>(W423/U423)*100</f>
        <v/>
      </c>
      <c r="Y423" s="80" t="n">
        <v>12121.2</v>
      </c>
      <c r="Z423" s="80" t="n">
        <v>24.44</v>
      </c>
      <c r="AA423" s="97">
        <f>Y423/Z423</f>
        <v/>
      </c>
      <c r="AB423" s="97">
        <f>(AA423/Y423)*100</f>
        <v/>
      </c>
    </row>
    <row r="424">
      <c r="A424" s="92" t="n">
        <v>423</v>
      </c>
      <c r="B424" s="99" t="n">
        <v>45183</v>
      </c>
      <c r="C424" s="103" t="n">
        <v>32721160.09</v>
      </c>
      <c r="D424" s="98">
        <f>C424/E424</f>
        <v/>
      </c>
      <c r="E424" s="98" t="n">
        <v>83.01000000000001</v>
      </c>
      <c r="F424" s="98">
        <f>D424/100000</f>
        <v/>
      </c>
      <c r="G424" s="97">
        <f>(F424/DataSheet!$C$10*100)</f>
        <v/>
      </c>
      <c r="H424" s="98">
        <f>K424/I424</f>
        <v/>
      </c>
      <c r="I424" s="98">
        <f>(J424/L424)*100</f>
        <v/>
      </c>
      <c r="J424" s="97">
        <f>L424/O424</f>
        <v/>
      </c>
      <c r="K424" s="98" t="n">
        <v>7.1</v>
      </c>
      <c r="L424" s="98" t="n">
        <v>20103.1</v>
      </c>
      <c r="M424" s="98" t="n">
        <v>4.47</v>
      </c>
      <c r="N424" s="98">
        <f>K424-I424</f>
        <v/>
      </c>
      <c r="O424" s="98" t="n">
        <v>22.71</v>
      </c>
      <c r="P424" s="98" t="n">
        <v>4.28</v>
      </c>
      <c r="Q424" s="97">
        <f>K424-P424</f>
        <v/>
      </c>
      <c r="R424" s="98" t="n">
        <v>105.39</v>
      </c>
      <c r="S424" s="97">
        <f>(O424*T424)</f>
        <v/>
      </c>
      <c r="T424" s="79" t="n">
        <v>6.84</v>
      </c>
      <c r="U424" s="80" t="n">
        <v>15204.15</v>
      </c>
      <c r="V424" s="80" t="n">
        <v>26.2</v>
      </c>
      <c r="W424" s="97">
        <f>U424/V424</f>
        <v/>
      </c>
      <c r="X424" s="97">
        <f>(W424/U424)*100</f>
        <v/>
      </c>
      <c r="Y424" s="80" t="n">
        <v>12269.6</v>
      </c>
      <c r="Z424" s="80" t="n">
        <v>24.74</v>
      </c>
      <c r="AA424" s="97">
        <f>Y424/Z424</f>
        <v/>
      </c>
      <c r="AB424" s="97">
        <f>(AA424/Y424)*100</f>
        <v/>
      </c>
    </row>
    <row r="425">
      <c r="A425" s="92" t="n">
        <v>424</v>
      </c>
      <c r="B425" s="99" t="n">
        <v>45184</v>
      </c>
      <c r="C425" s="103" t="n">
        <v>32843688.69</v>
      </c>
      <c r="D425" s="98">
        <f>C425/E425</f>
        <v/>
      </c>
      <c r="E425" s="98" t="n">
        <v>83.06</v>
      </c>
      <c r="F425" s="98">
        <f>D425/100000</f>
        <v/>
      </c>
      <c r="G425" s="97">
        <f>(F425/DataSheet!$C$10*100)</f>
        <v/>
      </c>
      <c r="H425" s="98">
        <f>K425/I425</f>
        <v/>
      </c>
      <c r="I425" s="98">
        <f>(J425/L425)*100</f>
        <v/>
      </c>
      <c r="J425" s="97">
        <f>L425/O425</f>
        <v/>
      </c>
      <c r="K425" s="98" t="n">
        <v>7.15</v>
      </c>
      <c r="L425" s="98" t="n">
        <v>20192.35</v>
      </c>
      <c r="M425" s="98" t="n">
        <v>4.47</v>
      </c>
      <c r="N425" s="98">
        <f>K425-I425</f>
        <v/>
      </c>
      <c r="O425" s="98" t="n">
        <v>22.81</v>
      </c>
      <c r="P425" s="98" t="n">
        <v>4.33</v>
      </c>
      <c r="Q425" s="97">
        <f>K425-P425</f>
        <v/>
      </c>
      <c r="R425" s="98" t="n">
        <v>105.32</v>
      </c>
      <c r="S425" s="97">
        <f>(O425*T425)</f>
        <v/>
      </c>
      <c r="T425" s="79" t="n">
        <v>6.86</v>
      </c>
      <c r="U425" s="80" t="n">
        <v>15222.7</v>
      </c>
      <c r="V425" s="80" t="n">
        <v>26.23</v>
      </c>
      <c r="W425" s="97">
        <f>U425/V425</f>
        <v/>
      </c>
      <c r="X425" s="97">
        <f>(W425/U425)*100</f>
        <v/>
      </c>
      <c r="Y425" s="80" t="n">
        <v>12301.65</v>
      </c>
      <c r="Z425" s="80" t="n">
        <v>24.8</v>
      </c>
      <c r="AA425" s="97">
        <f>Y425/Z425</f>
        <v/>
      </c>
      <c r="AB425" s="97">
        <f>(AA425/Y425)*100</f>
        <v/>
      </c>
    </row>
    <row r="426">
      <c r="A426" s="92" t="n">
        <v>425</v>
      </c>
      <c r="B426" s="99" t="n">
        <v>45187</v>
      </c>
      <c r="C426" s="103" t="n">
        <v>32799762.71</v>
      </c>
      <c r="D426" s="98">
        <f>C426/E426</f>
        <v/>
      </c>
      <c r="E426" s="98" t="n">
        <v>83.27</v>
      </c>
      <c r="F426" s="98">
        <f>D426/100000</f>
        <v/>
      </c>
      <c r="G426" s="97">
        <f>(F426/DataSheet!$C$10*100)</f>
        <v/>
      </c>
      <c r="H426" s="98">
        <f>K426/I426</f>
        <v/>
      </c>
      <c r="I426" s="98">
        <f>(J426/L426)*100</f>
        <v/>
      </c>
      <c r="J426" s="97">
        <f>L426/O426</f>
        <v/>
      </c>
      <c r="K426" s="98" t="n">
        <v>7.14</v>
      </c>
      <c r="L426" s="98" t="n">
        <v>20133.3</v>
      </c>
      <c r="M426" s="98" t="n">
        <v>4.46</v>
      </c>
      <c r="N426" s="98">
        <f>K426-I426</f>
        <v/>
      </c>
      <c r="O426" s="98" t="n">
        <v>22.74</v>
      </c>
      <c r="P426" s="98" t="n">
        <v>4.3</v>
      </c>
      <c r="Q426" s="97">
        <f>K426-P426</f>
        <v/>
      </c>
      <c r="R426" s="98" t="n">
        <v>105.29</v>
      </c>
      <c r="S426" s="97">
        <f>(O426*T426)</f>
        <v/>
      </c>
      <c r="T426" s="79" t="n">
        <v>6.84</v>
      </c>
      <c r="U426" s="80" t="n">
        <v>15168.65</v>
      </c>
      <c r="V426" s="80" t="n">
        <v>26.14</v>
      </c>
      <c r="W426" s="97">
        <f>U426/V426</f>
        <v/>
      </c>
      <c r="X426" s="97">
        <f>(W426/U426)*100</f>
        <v/>
      </c>
      <c r="Y426" s="80" t="n">
        <v>12241.25</v>
      </c>
      <c r="Z426" s="80" t="n">
        <v>24.67</v>
      </c>
      <c r="AA426" s="97">
        <f>Y426/Z426</f>
        <v/>
      </c>
      <c r="AB426" s="97">
        <f>(AA426/Y426)*100</f>
        <v/>
      </c>
    </row>
    <row r="427">
      <c r="A427" s="92" t="n">
        <v>426</v>
      </c>
      <c r="B427" s="99" t="n">
        <v>45189</v>
      </c>
      <c r="C427" s="103" t="n">
        <v>32554363.69</v>
      </c>
      <c r="D427" s="98">
        <f>C427/E427</f>
        <v/>
      </c>
      <c r="E427" s="98" t="n">
        <v>82.92</v>
      </c>
      <c r="F427" s="98">
        <f>D427/100000</f>
        <v/>
      </c>
      <c r="G427" s="97">
        <f>(F427/DataSheet!$C$10*100)</f>
        <v/>
      </c>
      <c r="H427" s="98">
        <f>K427/I427</f>
        <v/>
      </c>
      <c r="I427" s="98">
        <f>(J427/L427)*100</f>
        <v/>
      </c>
      <c r="J427" s="97">
        <f>L427/O427</f>
        <v/>
      </c>
      <c r="K427" s="98" t="n">
        <v>7.15</v>
      </c>
      <c r="L427" s="98" t="n">
        <v>19901.4</v>
      </c>
      <c r="M427" s="98" t="n">
        <v>4.41</v>
      </c>
      <c r="N427" s="98">
        <f>K427-I427</f>
        <v/>
      </c>
      <c r="O427" s="98" t="n">
        <v>22.48</v>
      </c>
      <c r="P427" s="98" t="n">
        <v>4.39</v>
      </c>
      <c r="Q427" s="97">
        <f>K427-P427</f>
        <v/>
      </c>
      <c r="R427" s="98" t="n">
        <v>104.78</v>
      </c>
      <c r="S427" s="97">
        <f>(O427*T427)</f>
        <v/>
      </c>
      <c r="T427" s="79" t="n">
        <v>6.85</v>
      </c>
      <c r="U427" s="80" t="n">
        <v>15121.1</v>
      </c>
      <c r="V427" s="80" t="n">
        <v>26.06</v>
      </c>
      <c r="W427" s="97">
        <f>U427/V427</f>
        <v/>
      </c>
      <c r="X427" s="97">
        <f>(W427/U427)*100</f>
        <v/>
      </c>
      <c r="Y427" s="80" t="n">
        <v>12171.7</v>
      </c>
      <c r="Z427" s="80" t="n">
        <v>24.53</v>
      </c>
      <c r="AA427" s="97">
        <f>Y427/Z427</f>
        <v/>
      </c>
      <c r="AB427" s="97">
        <f>(AA427/Y427)*100</f>
        <v/>
      </c>
    </row>
    <row r="428">
      <c r="A428" s="92" t="n">
        <v>427</v>
      </c>
      <c r="B428" s="99" t="n">
        <v>45190</v>
      </c>
      <c r="C428" s="103" t="n">
        <v>32292649.44</v>
      </c>
      <c r="D428" s="98">
        <f>C428/E428</f>
        <v/>
      </c>
      <c r="E428" s="98" t="n">
        <v>83.09999999999999</v>
      </c>
      <c r="F428" s="98">
        <f>D428/100000</f>
        <v/>
      </c>
      <c r="G428" s="97">
        <f>(F428/DataSheet!$C$10*100)</f>
        <v/>
      </c>
      <c r="H428" s="98">
        <f>K428/I428</f>
        <v/>
      </c>
      <c r="I428" s="98">
        <f>(J428/L428)*100</f>
        <v/>
      </c>
      <c r="J428" s="97">
        <f>L428/O428</f>
        <v/>
      </c>
      <c r="K428" s="98" t="n">
        <v>7.13</v>
      </c>
      <c r="L428" s="98" t="n">
        <v>19742.35</v>
      </c>
      <c r="M428" s="98" t="n">
        <v>4.37</v>
      </c>
      <c r="N428" s="98">
        <f>K428-I428</f>
        <v/>
      </c>
      <c r="O428" s="98" t="n">
        <v>22.3</v>
      </c>
      <c r="P428" s="98" t="n">
        <v>4.49</v>
      </c>
      <c r="Q428" s="97">
        <f>K428-P428</f>
        <v/>
      </c>
      <c r="R428" s="98" t="n">
        <v>105.04</v>
      </c>
      <c r="S428" s="97">
        <f>(O428*T428)</f>
        <v/>
      </c>
      <c r="T428" s="79" t="n">
        <v>6.85</v>
      </c>
      <c r="U428" s="80" t="n">
        <v>14990.9</v>
      </c>
      <c r="V428" s="80" t="n">
        <v>25.83</v>
      </c>
      <c r="W428" s="97">
        <f>U428/V428</f>
        <v/>
      </c>
      <c r="X428" s="97">
        <f>(W428/U428)*100</f>
        <v/>
      </c>
      <c r="Y428" s="80" t="n">
        <v>12036.7</v>
      </c>
      <c r="Z428" s="80" t="n">
        <v>24.26</v>
      </c>
      <c r="AA428" s="97">
        <f>Y428/Z428</f>
        <v/>
      </c>
      <c r="AB428" s="97">
        <f>(AA428/Y428)*100</f>
        <v/>
      </c>
    </row>
    <row r="429">
      <c r="A429" s="92" t="n">
        <v>428</v>
      </c>
      <c r="B429" s="99" t="n">
        <v>45191</v>
      </c>
      <c r="C429" s="103" t="n">
        <v>32281453.24</v>
      </c>
      <c r="D429" s="98">
        <f>C429/E429</f>
        <v/>
      </c>
      <c r="E429" s="98" t="n">
        <v>82.97</v>
      </c>
      <c r="F429" s="98">
        <f>D429/100000</f>
        <v/>
      </c>
      <c r="G429" s="97">
        <f>(F429/DataSheet!$C$10*100)</f>
        <v/>
      </c>
      <c r="H429" s="98">
        <f>K429/I429</f>
        <v/>
      </c>
      <c r="I429" s="98">
        <f>(J429/L429)*100</f>
        <v/>
      </c>
      <c r="J429" s="97">
        <f>L429/O429</f>
        <v/>
      </c>
      <c r="K429" s="98" t="n">
        <v>7.15</v>
      </c>
      <c r="L429" s="98" t="n">
        <v>19674.25</v>
      </c>
      <c r="M429" s="98" t="n">
        <v>4.36</v>
      </c>
      <c r="N429" s="98">
        <f>K429-I429</f>
        <v/>
      </c>
      <c r="O429" s="98" t="n">
        <v>22.22</v>
      </c>
      <c r="P429" s="98" t="n">
        <v>4.43</v>
      </c>
      <c r="Q429" s="97">
        <f>K429-P429</f>
        <v/>
      </c>
      <c r="R429" s="98" t="n">
        <v>105.26</v>
      </c>
      <c r="S429" s="97">
        <f>(O429*T429)</f>
        <v/>
      </c>
      <c r="T429" s="79" t="n">
        <v>6.82</v>
      </c>
      <c r="U429" s="80" t="n">
        <v>14975.5</v>
      </c>
      <c r="V429" s="80" t="n">
        <v>25.8</v>
      </c>
      <c r="W429" s="97">
        <f>U429/V429</f>
        <v/>
      </c>
      <c r="X429" s="97">
        <f>(W429/U429)*100</f>
        <v/>
      </c>
      <c r="Y429" s="80" t="n">
        <v>12038.45</v>
      </c>
      <c r="Z429" s="80" t="n">
        <v>24.26</v>
      </c>
      <c r="AA429" s="97">
        <f>Y429/Z429</f>
        <v/>
      </c>
      <c r="AB429" s="97">
        <f>(AA429/Y429)*100</f>
        <v/>
      </c>
    </row>
    <row r="430">
      <c r="A430" s="92" t="n">
        <v>429</v>
      </c>
      <c r="B430" s="99" t="n">
        <v>45194</v>
      </c>
      <c r="C430" s="103" t="n">
        <v>32296747.87</v>
      </c>
      <c r="D430" s="98">
        <f>C430/E430</f>
        <v/>
      </c>
      <c r="E430" s="98" t="n">
        <v>83.13</v>
      </c>
      <c r="F430" s="98">
        <f>D430/100000</f>
        <v/>
      </c>
      <c r="G430" s="97">
        <f>(F430/DataSheet!$C$10*100)</f>
        <v/>
      </c>
      <c r="H430" s="98">
        <f>K430/I430</f>
        <v/>
      </c>
      <c r="I430" s="98">
        <f>(J430/L430)*100</f>
        <v/>
      </c>
      <c r="J430" s="97">
        <f>L430/O430</f>
        <v/>
      </c>
      <c r="K430" s="98" t="n">
        <v>7.15</v>
      </c>
      <c r="L430" s="98" t="n">
        <v>19674.55</v>
      </c>
      <c r="M430" s="98" t="n">
        <v>4.36</v>
      </c>
      <c r="N430" s="98">
        <f>K430-I430</f>
        <v/>
      </c>
      <c r="O430" s="98" t="n">
        <v>22.22</v>
      </c>
      <c r="P430" s="98" t="n">
        <v>4.53</v>
      </c>
      <c r="Q430" s="97">
        <f>K430-P430</f>
        <v/>
      </c>
      <c r="R430" s="98" t="n">
        <v>105.69</v>
      </c>
      <c r="S430" s="97">
        <f>(O430*T430)</f>
        <v/>
      </c>
      <c r="T430" s="79" t="n">
        <v>6.82</v>
      </c>
      <c r="U430" s="80" t="n">
        <v>15054.85</v>
      </c>
      <c r="V430" s="80" t="n">
        <v>25.94</v>
      </c>
      <c r="W430" s="97">
        <f>U430/V430</f>
        <v/>
      </c>
      <c r="X430" s="97">
        <f>(W430/U430)*100</f>
        <v/>
      </c>
      <c r="Y430" s="80" t="n">
        <v>12048.95</v>
      </c>
      <c r="Z430" s="80" t="n">
        <v>24.29</v>
      </c>
      <c r="AA430" s="97">
        <f>Y430/Z430</f>
        <v/>
      </c>
      <c r="AB430" s="97">
        <f>(AA430/Y430)*100</f>
        <v/>
      </c>
    </row>
    <row r="431">
      <c r="A431" s="92" t="n">
        <v>430</v>
      </c>
      <c r="B431" s="99" t="n">
        <v>45195</v>
      </c>
      <c r="C431" s="103" t="n">
        <v>32323103.75</v>
      </c>
      <c r="D431" s="98">
        <f>C431/E431</f>
        <v/>
      </c>
      <c r="E431" s="98" t="n">
        <v>83.23</v>
      </c>
      <c r="F431" s="98">
        <f>D431/100000</f>
        <v/>
      </c>
      <c r="G431" s="97">
        <f>(F431/DataSheet!$C$10*100)</f>
        <v/>
      </c>
      <c r="H431" s="98">
        <f>K431/I431</f>
        <v/>
      </c>
      <c r="I431" s="98">
        <f>(J431/L431)*100</f>
        <v/>
      </c>
      <c r="J431" s="97">
        <f>L431/O431</f>
        <v/>
      </c>
      <c r="K431" s="98" t="n">
        <v>7.14</v>
      </c>
      <c r="L431" s="98" t="n">
        <v>19664.7</v>
      </c>
      <c r="M431" s="98" t="n">
        <v>4.35</v>
      </c>
      <c r="N431" s="98">
        <f>K431-I431</f>
        <v/>
      </c>
      <c r="O431" s="98" t="n">
        <v>22.21</v>
      </c>
      <c r="P431" s="98" t="n">
        <v>4.55</v>
      </c>
      <c r="Q431" s="97">
        <f>K431-P431</f>
        <v/>
      </c>
      <c r="R431" s="98" t="n">
        <v>105.93</v>
      </c>
      <c r="S431" s="97">
        <f>(O431*T431)</f>
        <v/>
      </c>
      <c r="T431" s="79" t="n">
        <v>6.86</v>
      </c>
      <c r="U431" s="80" t="n">
        <v>15045.6</v>
      </c>
      <c r="V431" s="80" t="n">
        <v>25.93</v>
      </c>
      <c r="W431" s="97">
        <f>U431/V431</f>
        <v/>
      </c>
      <c r="X431" s="97">
        <f>(W431/U431)*100</f>
        <v/>
      </c>
      <c r="Y431" s="80" t="n">
        <v>12100.75</v>
      </c>
      <c r="Z431" s="80" t="n">
        <v>24.38</v>
      </c>
      <c r="AA431" s="97">
        <f>Y431/Z431</f>
        <v/>
      </c>
      <c r="AB431" s="97">
        <f>(AA431/Y431)*100</f>
        <v/>
      </c>
    </row>
    <row r="432">
      <c r="A432" s="92" t="n">
        <v>431</v>
      </c>
      <c r="B432" s="99" t="n">
        <v>45196</v>
      </c>
      <c r="C432" s="103" t="n">
        <v>32466063.75</v>
      </c>
      <c r="D432" s="98">
        <f>C432/E432</f>
        <v/>
      </c>
      <c r="E432" s="98" t="n">
        <v>83.18000000000001</v>
      </c>
      <c r="F432" s="98">
        <f>D432/100000</f>
        <v/>
      </c>
      <c r="G432" s="97">
        <f>(F432/DataSheet!$C$10*100)</f>
        <v/>
      </c>
      <c r="H432" s="98">
        <f>K432/I432</f>
        <v/>
      </c>
      <c r="I432" s="98">
        <f>(J432/L432)*100</f>
        <v/>
      </c>
      <c r="J432" s="97">
        <f>L432/O432</f>
        <v/>
      </c>
      <c r="K432" s="98" t="n">
        <v>7.17</v>
      </c>
      <c r="L432" s="98" t="n">
        <v>19716.45</v>
      </c>
      <c r="M432" s="98" t="n">
        <v>4.36</v>
      </c>
      <c r="N432" s="98">
        <f>K432-I432</f>
        <v/>
      </c>
      <c r="O432" s="98" t="n">
        <v>22.27</v>
      </c>
      <c r="P432" s="98" t="n">
        <v>4.6</v>
      </c>
      <c r="Q432" s="97">
        <f>K432-P432</f>
        <v/>
      </c>
      <c r="R432" s="98" t="n">
        <v>106.36</v>
      </c>
      <c r="S432" s="97">
        <f>(O432*T432)</f>
        <v/>
      </c>
      <c r="T432" s="79" t="n">
        <v>6.87</v>
      </c>
      <c r="U432" s="80" t="n">
        <v>15158.3</v>
      </c>
      <c r="V432" s="80" t="n">
        <v>26.12</v>
      </c>
      <c r="W432" s="97">
        <f>U432/V432</f>
        <v/>
      </c>
      <c r="X432" s="97">
        <f>(W432/U432)*100</f>
        <v/>
      </c>
      <c r="Y432" s="80" t="n">
        <v>12188.45</v>
      </c>
      <c r="Z432" s="80" t="n">
        <v>24.56</v>
      </c>
      <c r="AA432" s="97">
        <f>Y432/Z432</f>
        <v/>
      </c>
      <c r="AB432" s="97">
        <f>(AA432/Y432)*100</f>
        <v/>
      </c>
    </row>
    <row r="433">
      <c r="A433" s="92" t="n">
        <v>432</v>
      </c>
      <c r="B433" s="99" t="n">
        <v>45197</v>
      </c>
      <c r="C433" s="103" t="n">
        <v>32167882.46</v>
      </c>
      <c r="D433" s="98">
        <f>C433/E433</f>
        <v/>
      </c>
      <c r="E433" s="98" t="n">
        <v>83.15000000000001</v>
      </c>
      <c r="F433" s="98">
        <f>D433/100000</f>
        <v/>
      </c>
      <c r="G433" s="97">
        <f>(F433/DataSheet!$C$10*100)</f>
        <v/>
      </c>
      <c r="H433" s="98">
        <f>K433/I433</f>
        <v/>
      </c>
      <c r="I433" s="98">
        <f>(J433/L433)*100</f>
        <v/>
      </c>
      <c r="J433" s="97">
        <f>L433/O433</f>
        <v/>
      </c>
      <c r="K433" s="98" t="n">
        <v>7.23</v>
      </c>
      <c r="L433" s="98" t="n">
        <v>19523.55</v>
      </c>
      <c r="M433" s="98" t="n">
        <v>4.31</v>
      </c>
      <c r="N433" s="98">
        <f>K433-I433</f>
        <v/>
      </c>
      <c r="O433" s="98" t="n">
        <v>22.05</v>
      </c>
      <c r="P433" s="98" t="n">
        <v>4.57</v>
      </c>
      <c r="Q433" s="97">
        <f>K433-P433</f>
        <v/>
      </c>
      <c r="R433" s="98" t="n">
        <v>105.93</v>
      </c>
      <c r="S433" s="97">
        <f>(O433*T433)</f>
        <v/>
      </c>
      <c r="T433" s="79" t="n">
        <v>6.87</v>
      </c>
      <c r="U433" s="80" t="n">
        <v>14985.5</v>
      </c>
      <c r="V433" s="80" t="n">
        <v>25.82</v>
      </c>
      <c r="W433" s="97">
        <f>U433/V433</f>
        <v/>
      </c>
      <c r="X433" s="97">
        <f>(W433/U433)*100</f>
        <v/>
      </c>
      <c r="Y433" s="80" t="n">
        <v>12150.25</v>
      </c>
      <c r="Z433" s="80" t="n">
        <v>24.48</v>
      </c>
      <c r="AA433" s="97">
        <f>Y433/Z433</f>
        <v/>
      </c>
      <c r="AB433" s="97">
        <f>(AA433/Y433)*100</f>
        <v/>
      </c>
    </row>
    <row r="434">
      <c r="A434" s="92" t="n">
        <v>433</v>
      </c>
      <c r="B434" s="99" t="n">
        <v>45198</v>
      </c>
      <c r="C434" s="103" t="n">
        <v>32411846.26</v>
      </c>
      <c r="D434" s="98">
        <f>C434/E434</f>
        <v/>
      </c>
      <c r="E434" s="98" t="n">
        <v>83.03</v>
      </c>
      <c r="F434" s="98">
        <f>D434/100000</f>
        <v/>
      </c>
      <c r="G434" s="97">
        <f>(F434/DataSheet!$C$10*100)</f>
        <v/>
      </c>
      <c r="H434" s="98">
        <f>K434/I434</f>
        <v/>
      </c>
      <c r="I434" s="98">
        <f>(J434/L434)*100</f>
        <v/>
      </c>
      <c r="J434" s="97">
        <f>L434/O434</f>
        <v/>
      </c>
      <c r="K434" s="98" t="n">
        <v>7.21</v>
      </c>
      <c r="L434" s="98" t="n">
        <v>19638.3</v>
      </c>
      <c r="M434" s="98" t="n">
        <v>3.45</v>
      </c>
      <c r="N434" s="98">
        <f>K434-I434</f>
        <v/>
      </c>
      <c r="O434" s="98" t="n">
        <v>22.21</v>
      </c>
      <c r="P434" s="98" t="n">
        <v>4.57</v>
      </c>
      <c r="Q434" s="97">
        <f>K434-P434</f>
        <v/>
      </c>
      <c r="R434" s="98" t="n">
        <v>105.81</v>
      </c>
      <c r="S434" s="97">
        <f>(O434*T434)</f>
        <v/>
      </c>
      <c r="T434" s="79" t="n">
        <v>6.87</v>
      </c>
      <c r="U434" s="80" t="n">
        <v>15141.05</v>
      </c>
      <c r="V434" s="80" t="n">
        <v>26.77</v>
      </c>
      <c r="W434" s="97">
        <f>U434/V434</f>
        <v/>
      </c>
      <c r="X434" s="97">
        <f>(W434/U434)*100</f>
        <v/>
      </c>
      <c r="Y434" s="80" t="n">
        <v>12230.4</v>
      </c>
      <c r="Z434" s="80" t="n">
        <v>24.54</v>
      </c>
      <c r="AA434" s="97">
        <f>Y434/Z434</f>
        <v/>
      </c>
      <c r="AB434" s="97">
        <f>(AA434/Y434)*100</f>
        <v/>
      </c>
    </row>
    <row r="435">
      <c r="A435" s="92" t="n">
        <v>434</v>
      </c>
      <c r="B435" s="99" t="n">
        <v>45202</v>
      </c>
      <c r="C435" s="103" t="n">
        <v>32424277.56</v>
      </c>
      <c r="D435" s="98">
        <f>C435/E435</f>
        <v/>
      </c>
      <c r="E435" s="98" t="n">
        <v>83.20999999999999</v>
      </c>
      <c r="F435" s="98">
        <f>D435/100000</f>
        <v/>
      </c>
      <c r="G435" s="97">
        <f>(F435/DataSheet!$C$10*100)</f>
        <v/>
      </c>
      <c r="H435" s="98">
        <f>K435/I435</f>
        <v/>
      </c>
      <c r="I435" s="98">
        <f>(J435/L435)*100</f>
        <v/>
      </c>
      <c r="J435" s="97">
        <f>L435/O435</f>
        <v/>
      </c>
      <c r="K435" s="98" t="n">
        <v>7.23</v>
      </c>
      <c r="L435" s="98" t="n">
        <v>19528.75</v>
      </c>
      <c r="M435" s="98" t="n">
        <v>3.43</v>
      </c>
      <c r="N435" s="98">
        <f>K435-I435</f>
        <v/>
      </c>
      <c r="O435" s="98" t="n">
        <v>22.09</v>
      </c>
      <c r="P435" s="98" t="n">
        <v>4.79</v>
      </c>
      <c r="Q435" s="97">
        <f>K435-P435</f>
        <v/>
      </c>
      <c r="R435" s="98" t="n">
        <v>106.71</v>
      </c>
      <c r="S435" s="97">
        <f>(O435*T435)</f>
        <v/>
      </c>
      <c r="T435" s="79" t="n">
        <v>6.83</v>
      </c>
      <c r="U435" s="80" t="n">
        <v>15180.45</v>
      </c>
      <c r="V435" s="80" t="n">
        <v>26.84</v>
      </c>
      <c r="W435" s="97">
        <f>U435/V435</f>
        <v/>
      </c>
      <c r="X435" s="97">
        <f>(W435/U435)*100</f>
        <v/>
      </c>
      <c r="Y435" s="80" t="n">
        <v>12307.95</v>
      </c>
      <c r="Z435" s="80" t="n">
        <v>24.69</v>
      </c>
      <c r="AA435" s="97">
        <f>Y435/Z435</f>
        <v/>
      </c>
      <c r="AB435" s="97">
        <f>(AA435/Y435)*100</f>
        <v/>
      </c>
    </row>
    <row r="436">
      <c r="A436" s="92" t="n">
        <v>435</v>
      </c>
      <c r="B436" s="99" t="n">
        <v>45203</v>
      </c>
      <c r="C436" s="103" t="n">
        <v>32172597.62</v>
      </c>
      <c r="D436" s="98">
        <f>C436/E436</f>
        <v/>
      </c>
      <c r="E436" s="98" t="n">
        <v>83.25</v>
      </c>
      <c r="F436" s="98">
        <f>D436/100000</f>
        <v/>
      </c>
      <c r="G436" s="97">
        <f>(F436/DataSheet!$C$10*100)</f>
        <v/>
      </c>
      <c r="H436" s="98">
        <f>K436/I436</f>
        <v/>
      </c>
      <c r="I436" s="98">
        <f>(J436/L436)*100</f>
        <v/>
      </c>
      <c r="J436" s="97">
        <f>L436/O436</f>
        <v/>
      </c>
      <c r="K436" s="98" t="n">
        <v>7.23</v>
      </c>
      <c r="L436" s="98" t="n">
        <v>19436.1</v>
      </c>
      <c r="M436" s="98" t="n">
        <v>3.41</v>
      </c>
      <c r="N436" s="98">
        <f>K436-I436</f>
        <v/>
      </c>
      <c r="O436" s="98" t="n">
        <v>21.98</v>
      </c>
      <c r="P436" s="98" t="n">
        <v>4.73</v>
      </c>
      <c r="Q436" s="97">
        <f>K436-P436</f>
        <v/>
      </c>
      <c r="R436" s="98" t="n">
        <v>106.53</v>
      </c>
      <c r="S436" s="97">
        <f>(O436*T436)</f>
        <v/>
      </c>
      <c r="T436" s="79" t="n">
        <v>6.85</v>
      </c>
      <c r="U436" s="80" t="n">
        <v>14984.95</v>
      </c>
      <c r="V436" s="80" t="n">
        <v>26.5</v>
      </c>
      <c r="W436" s="97">
        <f>U436/V436</f>
        <v/>
      </c>
      <c r="X436" s="97">
        <f>(W436/U436)*100</f>
        <v/>
      </c>
      <c r="Y436" s="80" t="n">
        <v>12168.7</v>
      </c>
      <c r="Z436" s="80" t="n">
        <v>24.41</v>
      </c>
      <c r="AA436" s="97">
        <f>Y436/Z436</f>
        <v/>
      </c>
      <c r="AB436" s="97">
        <f>(AA436/Y436)*100</f>
        <v/>
      </c>
    </row>
    <row r="437">
      <c r="A437" s="92" t="n">
        <v>436</v>
      </c>
      <c r="B437" s="99" t="n">
        <v>45204</v>
      </c>
      <c r="C437" s="103" t="n">
        <v>32290874.09</v>
      </c>
      <c r="D437" s="98">
        <f>C437/E437</f>
        <v/>
      </c>
      <c r="E437" s="98" t="n">
        <v>83.23999999999999</v>
      </c>
      <c r="F437" s="98">
        <f>D437/100000</f>
        <v/>
      </c>
      <c r="G437" s="97">
        <f>(F437/DataSheet!$C$10*100)</f>
        <v/>
      </c>
      <c r="H437" s="98">
        <f>K437/I437</f>
        <v/>
      </c>
      <c r="I437" s="98">
        <f>(J437/L437)*100</f>
        <v/>
      </c>
      <c r="J437" s="97">
        <f>L437/O437</f>
        <v/>
      </c>
      <c r="K437" s="98" t="n">
        <v>7.21</v>
      </c>
      <c r="L437" s="98" t="n">
        <v>19545.75</v>
      </c>
      <c r="M437" s="98" t="n">
        <v>3.43</v>
      </c>
      <c r="N437" s="98">
        <f>K437-I437</f>
        <v/>
      </c>
      <c r="O437" s="98" t="n">
        <v>22.11</v>
      </c>
      <c r="P437" s="98" t="n">
        <v>4.72</v>
      </c>
      <c r="Q437" s="97">
        <f>K437-P437</f>
        <v/>
      </c>
      <c r="R437" s="98" t="n">
        <v>106.32</v>
      </c>
      <c r="S437" s="97">
        <f>(O437*T437)</f>
        <v/>
      </c>
      <c r="T437" s="79" t="n">
        <v>6.87</v>
      </c>
      <c r="U437" s="80" t="n">
        <v>14975.7</v>
      </c>
      <c r="V437" s="80" t="n">
        <v>26.48</v>
      </c>
      <c r="W437" s="97">
        <f>U437/V437</f>
        <v/>
      </c>
      <c r="X437" s="97">
        <f>(W437/U437)*100</f>
        <v/>
      </c>
      <c r="Y437" s="80" t="n">
        <v>12238.55</v>
      </c>
      <c r="Z437" s="80" t="n">
        <v>24.55</v>
      </c>
      <c r="AA437" s="97">
        <f>Y437/Z437</f>
        <v/>
      </c>
      <c r="AB437" s="97">
        <f>(AA437/Y437)*100</f>
        <v/>
      </c>
    </row>
    <row r="438">
      <c r="A438" s="92" t="n">
        <v>437</v>
      </c>
      <c r="B438" s="99" t="n">
        <v>45205</v>
      </c>
      <c r="C438" s="103" t="n">
        <v>32498642.09</v>
      </c>
      <c r="D438" s="98">
        <f>C438/E438</f>
        <v/>
      </c>
      <c r="E438" s="98" t="n">
        <v>83.11</v>
      </c>
      <c r="F438" s="98">
        <f>D438/100000</f>
        <v/>
      </c>
      <c r="G438" s="97">
        <f>(F438/DataSheet!$C$10*100)</f>
        <v/>
      </c>
      <c r="H438" s="98">
        <f>K438/I438</f>
        <v/>
      </c>
      <c r="I438" s="98">
        <f>(J438/L438)*100</f>
        <v/>
      </c>
      <c r="J438" s="97">
        <f>L438/O438</f>
        <v/>
      </c>
      <c r="K438" s="98" t="n">
        <v>7.33</v>
      </c>
      <c r="L438" s="98" t="n">
        <v>19621.2</v>
      </c>
      <c r="M438" s="98" t="n">
        <v>3.45</v>
      </c>
      <c r="N438" s="98">
        <f>K438-I438</f>
        <v/>
      </c>
      <c r="O438" s="98" t="n">
        <v>22.23</v>
      </c>
      <c r="P438" s="98" t="n">
        <v>4.79</v>
      </c>
      <c r="Q438" s="97">
        <f>K438-P438</f>
        <v/>
      </c>
      <c r="R438" s="98" t="n">
        <v>105.78</v>
      </c>
      <c r="S438" s="97">
        <f>(O438*T438)</f>
        <v/>
      </c>
      <c r="T438" s="79" t="n">
        <v>6.88</v>
      </c>
      <c r="U438" s="80" t="n">
        <v>15063.5</v>
      </c>
      <c r="V438" s="80" t="n">
        <v>26.63</v>
      </c>
      <c r="W438" s="97">
        <f>U438/V438</f>
        <v/>
      </c>
      <c r="X438" s="97">
        <f>(W438/U438)*100</f>
        <v/>
      </c>
      <c r="Y438" s="80" t="n">
        <v>12316.75</v>
      </c>
      <c r="Z438" s="80" t="n">
        <v>24.71</v>
      </c>
      <c r="AA438" s="97">
        <f>Y438/Z438</f>
        <v/>
      </c>
      <c r="AB438" s="97">
        <f>(AA438/Y438)*100</f>
        <v/>
      </c>
    </row>
    <row r="439">
      <c r="A439" s="92" t="n">
        <v>438</v>
      </c>
      <c r="B439" s="99" t="n">
        <v>45208</v>
      </c>
      <c r="C439" s="103" t="n">
        <v>32126509.28</v>
      </c>
      <c r="D439" s="98">
        <f>C439/E439</f>
        <v/>
      </c>
      <c r="E439" s="98" t="n">
        <v>83.25</v>
      </c>
      <c r="F439" s="98">
        <f>D439/100000</f>
        <v/>
      </c>
      <c r="G439" s="97">
        <f>(F439/DataSheet!$C$10*100)</f>
        <v/>
      </c>
      <c r="H439" s="98">
        <f>K439/I439</f>
        <v/>
      </c>
      <c r="I439" s="98">
        <f>(J439/L439)*100</f>
        <v/>
      </c>
      <c r="J439" s="97">
        <f>L439/O439</f>
        <v/>
      </c>
      <c r="K439" s="98" t="n">
        <v>7.38</v>
      </c>
      <c r="L439" s="98" t="n">
        <v>19539.45</v>
      </c>
      <c r="M439" s="98" t="n">
        <v>3.42</v>
      </c>
      <c r="N439" s="98">
        <f>K439-I439</f>
        <v/>
      </c>
      <c r="O439" s="98" t="n">
        <v>22.07</v>
      </c>
      <c r="P439" s="98" t="n">
        <v>4.62</v>
      </c>
      <c r="Q439" s="97">
        <f>K439-P439</f>
        <v/>
      </c>
      <c r="R439" s="98" t="n">
        <v>105.81</v>
      </c>
      <c r="S439" s="97">
        <f>(O439*T439)</f>
        <v/>
      </c>
      <c r="T439" s="79" t="n">
        <v>6.89</v>
      </c>
      <c r="U439" s="80" t="n">
        <v>14861.5</v>
      </c>
      <c r="V439" s="80" t="n">
        <v>26.28</v>
      </c>
      <c r="W439" s="97">
        <f>U439/V439</f>
        <v/>
      </c>
      <c r="X439" s="97">
        <f>(W439/U439)*100</f>
        <v/>
      </c>
      <c r="Y439" s="80" t="n">
        <v>12116.45</v>
      </c>
      <c r="Z439" s="80" t="n">
        <v>24.31</v>
      </c>
      <c r="AA439" s="97">
        <f>Y439/Z439</f>
        <v/>
      </c>
      <c r="AB439" s="97">
        <f>(AA439/Y439)*100</f>
        <v/>
      </c>
    </row>
    <row r="440">
      <c r="A440" s="92" t="n">
        <v>439</v>
      </c>
      <c r="B440" s="99" t="n">
        <v>45209</v>
      </c>
      <c r="C440" s="103" t="n">
        <v>32483676.46</v>
      </c>
      <c r="D440" s="98">
        <f>C440/E440</f>
        <v/>
      </c>
      <c r="E440" s="98" t="n">
        <v>83.16</v>
      </c>
      <c r="F440" s="98">
        <f>D440/100000</f>
        <v/>
      </c>
      <c r="G440" s="97">
        <f>(F440/DataSheet!$C$10*100)</f>
        <v/>
      </c>
      <c r="H440" s="98">
        <f>K440/I440</f>
        <v/>
      </c>
      <c r="I440" s="98">
        <f>(J440/L440)*100</f>
        <v/>
      </c>
      <c r="J440" s="97">
        <f>L440/O440</f>
        <v/>
      </c>
      <c r="K440" s="98" t="n">
        <v>7.35</v>
      </c>
      <c r="L440" s="98" t="n">
        <v>19565.6</v>
      </c>
      <c r="M440" s="98" t="n">
        <v>3.46</v>
      </c>
      <c r="N440" s="98">
        <f>K440-I440</f>
        <v/>
      </c>
      <c r="O440" s="98" t="n">
        <v>22.27</v>
      </c>
      <c r="P440" s="98" t="n">
        <v>4.65</v>
      </c>
      <c r="Q440" s="97">
        <f>K440-P440</f>
        <v/>
      </c>
      <c r="R440" s="98" t="n">
        <v>105.55</v>
      </c>
      <c r="S440" s="97">
        <f>(O440*T440)</f>
        <v/>
      </c>
      <c r="T440" s="79" t="n">
        <v>6.88</v>
      </c>
      <c r="U440" s="80" t="n">
        <v>15046.4</v>
      </c>
      <c r="V440" s="80" t="n">
        <v>26.6</v>
      </c>
      <c r="W440" s="97">
        <f>U440/V440</f>
        <v/>
      </c>
      <c r="X440" s="97">
        <f>(W440/U440)*100</f>
        <v/>
      </c>
      <c r="Y440" s="80" t="n">
        <v>12252.25</v>
      </c>
      <c r="Z440" s="80" t="n">
        <v>24.58</v>
      </c>
      <c r="AA440" s="97">
        <f>Y440/Z440</f>
        <v/>
      </c>
      <c r="AB440" s="97">
        <f>(AA440/Y440)*100</f>
        <v/>
      </c>
    </row>
    <row r="441">
      <c r="A441" s="92" t="n">
        <v>440</v>
      </c>
      <c r="B441" s="99" t="n">
        <v>45210</v>
      </c>
      <c r="C441" s="103" t="n">
        <v>32678192.45</v>
      </c>
      <c r="D441" s="98">
        <f>C441/E441</f>
        <v/>
      </c>
      <c r="E441" s="98" t="n">
        <v>83.16</v>
      </c>
      <c r="F441" s="98">
        <f>D441/100000</f>
        <v/>
      </c>
      <c r="G441" s="97">
        <f>(F441/DataSheet!$C$10*100)</f>
        <v/>
      </c>
      <c r="H441" s="98">
        <f>K441/I441</f>
        <v/>
      </c>
      <c r="I441" s="98">
        <f>(J441/L441)*100</f>
        <v/>
      </c>
      <c r="J441" s="97">
        <f>L441/O441</f>
        <v/>
      </c>
      <c r="K441" s="98" t="n">
        <v>7.3</v>
      </c>
      <c r="L441" s="98" t="n">
        <v>19767</v>
      </c>
      <c r="M441" s="98" t="n">
        <v>3.48</v>
      </c>
      <c r="N441" s="98">
        <f>K441-I441</f>
        <v/>
      </c>
      <c r="O441" s="98" t="n">
        <v>22.41</v>
      </c>
      <c r="P441" s="98" t="n">
        <v>4.55</v>
      </c>
      <c r="Q441" s="97">
        <f>K441-P441</f>
        <v/>
      </c>
      <c r="R441" s="98" t="n">
        <v>105.56</v>
      </c>
      <c r="S441" s="97">
        <f>(O441*T441)</f>
        <v/>
      </c>
      <c r="T441" s="79" t="n">
        <v>6.89</v>
      </c>
      <c r="U441" s="80" t="n">
        <v>15121.55</v>
      </c>
      <c r="V441" s="80" t="n">
        <v>26.74</v>
      </c>
      <c r="W441" s="97">
        <f>U441/V441</f>
        <v/>
      </c>
      <c r="X441" s="97">
        <f>(W441/U441)*100</f>
        <v/>
      </c>
      <c r="Y441" s="80" t="n">
        <v>12336.85</v>
      </c>
      <c r="Z441" s="80" t="n">
        <v>24.75</v>
      </c>
      <c r="AA441" s="97">
        <f>Y441/Z441</f>
        <v/>
      </c>
      <c r="AB441" s="97">
        <f>(AA441/Y441)*100</f>
        <v/>
      </c>
    </row>
    <row r="442">
      <c r="A442" s="92" t="n">
        <v>441</v>
      </c>
      <c r="B442" s="99" t="n">
        <v>45211</v>
      </c>
      <c r="C442" s="103" t="n">
        <v>32722637.24</v>
      </c>
      <c r="D442" s="98">
        <f>C442/E442</f>
        <v/>
      </c>
      <c r="E442" s="98" t="n">
        <v>83.29000000000001</v>
      </c>
      <c r="F442" s="98">
        <f>D442/100000</f>
        <v/>
      </c>
      <c r="G442" s="97">
        <f>(F442/DataSheet!$C$10*100)</f>
        <v/>
      </c>
      <c r="H442" s="98">
        <f>K442/I442</f>
        <v/>
      </c>
      <c r="I442" s="98">
        <f>(J442/L442)*100</f>
        <v/>
      </c>
      <c r="J442" s="97">
        <f>L442/O442</f>
        <v/>
      </c>
      <c r="K442" s="98" t="n">
        <v>7.3</v>
      </c>
      <c r="L442" s="98" t="n">
        <v>19822.7</v>
      </c>
      <c r="M442" s="98" t="n">
        <v>3.47</v>
      </c>
      <c r="N442" s="98">
        <f>K442-I442</f>
        <v/>
      </c>
      <c r="O442" s="98" t="n">
        <v>22.39</v>
      </c>
      <c r="P442" s="98" t="n">
        <v>4.69</v>
      </c>
      <c r="Q442" s="97">
        <f>K442-P442</f>
        <v/>
      </c>
      <c r="R442" s="98" t="n">
        <v>106.36</v>
      </c>
      <c r="S442" s="97">
        <f>(O442*T442)</f>
        <v/>
      </c>
      <c r="T442" s="79" t="n">
        <v>6.9</v>
      </c>
      <c r="U442" s="80" t="n">
        <v>15158.1</v>
      </c>
      <c r="V442" s="80" t="n">
        <v>26.8</v>
      </c>
      <c r="W442" s="97">
        <f>U442/V442</f>
        <v/>
      </c>
      <c r="X442" s="97">
        <f>(W442/U442)*100</f>
        <v/>
      </c>
      <c r="Y442" s="80" t="n">
        <v>12425.2</v>
      </c>
      <c r="Z442" s="80" t="n">
        <v>24.93</v>
      </c>
      <c r="AA442" s="97">
        <f>Y442/Z442</f>
        <v/>
      </c>
      <c r="AB442" s="97">
        <f>(AA442/Y442)*100</f>
        <v/>
      </c>
    </row>
    <row r="443">
      <c r="A443" s="92" t="n">
        <v>442</v>
      </c>
      <c r="B443" s="99" t="n">
        <v>45212</v>
      </c>
      <c r="C443" s="103" t="n">
        <v>32713519.94</v>
      </c>
      <c r="D443" s="98">
        <f>C443/E443</f>
        <v/>
      </c>
      <c r="E443" s="98" t="n">
        <v>83.25</v>
      </c>
      <c r="F443" s="98">
        <f>D443/100000</f>
        <v/>
      </c>
      <c r="G443" s="97">
        <f>(F443/DataSheet!$C$10*100)</f>
        <v/>
      </c>
      <c r="H443" s="98">
        <f>K443/I443</f>
        <v/>
      </c>
      <c r="I443" s="98">
        <f>(J443/L443)*100</f>
        <v/>
      </c>
      <c r="J443" s="97">
        <f>L443/O443</f>
        <v/>
      </c>
      <c r="K443" s="98" t="n">
        <v>7.32</v>
      </c>
      <c r="L443" s="98" t="n">
        <v>19654.55</v>
      </c>
      <c r="M443" s="98" t="n">
        <v>3.47</v>
      </c>
      <c r="N443" s="98">
        <f>K443-I443</f>
        <v/>
      </c>
      <c r="O443" s="98" t="n">
        <v>22.33</v>
      </c>
      <c r="P443" s="98" t="n">
        <v>4.61</v>
      </c>
      <c r="Q443" s="97">
        <f>K443-P443</f>
        <v/>
      </c>
      <c r="R443" s="98" t="n">
        <v>106.43</v>
      </c>
      <c r="S443" s="97">
        <f>(O443*T443)</f>
        <v/>
      </c>
      <c r="T443" s="79" t="n">
        <v>6.9</v>
      </c>
      <c r="U443" s="80" t="n">
        <v>15141.35</v>
      </c>
      <c r="V443" s="80" t="n">
        <v>26.77</v>
      </c>
      <c r="W443" s="97">
        <f>U443/V443</f>
        <v/>
      </c>
      <c r="X443" s="97">
        <f>(W443/U443)*100</f>
        <v/>
      </c>
      <c r="Y443" s="80" t="n">
        <v>12407.45</v>
      </c>
      <c r="Z443" s="80" t="n">
        <v>24.89</v>
      </c>
      <c r="AA443" s="97">
        <f>Y443/Z443</f>
        <v/>
      </c>
      <c r="AB443" s="97">
        <f>(AA443/Y443)*100</f>
        <v/>
      </c>
    </row>
    <row r="444">
      <c r="A444" s="92" t="n">
        <v>443</v>
      </c>
      <c r="B444" s="99" t="n">
        <v>45215</v>
      </c>
      <c r="C444" s="103" t="n">
        <v>32737764.93</v>
      </c>
      <c r="D444" s="98">
        <f>C444/E444</f>
        <v/>
      </c>
      <c r="E444" s="98" t="n">
        <v>83.19</v>
      </c>
      <c r="F444" s="98">
        <f>D444/100000</f>
        <v/>
      </c>
      <c r="G444" s="97">
        <f>(F444/DataSheet!$C$10*100)</f>
        <v/>
      </c>
      <c r="H444" s="98">
        <f>K444/I444</f>
        <v/>
      </c>
      <c r="I444" s="98">
        <f>(J444/L444)*100</f>
        <v/>
      </c>
      <c r="J444" s="97">
        <f>L444/O444</f>
        <v/>
      </c>
      <c r="K444" s="98" t="n">
        <v>7.33</v>
      </c>
      <c r="L444" s="98" t="n">
        <v>19737.25</v>
      </c>
      <c r="M444" s="98" t="n">
        <v>3.46</v>
      </c>
      <c r="N444" s="98">
        <f>K444-I444</f>
        <v/>
      </c>
      <c r="O444" s="98" t="n">
        <v>22.29</v>
      </c>
      <c r="P444" s="98" t="n">
        <v>4.7</v>
      </c>
      <c r="Q444" s="97">
        <f>K444-P444</f>
        <v/>
      </c>
      <c r="R444" s="98" t="n">
        <v>106.03</v>
      </c>
      <c r="S444" s="97">
        <f>(O444*T444)</f>
        <v/>
      </c>
      <c r="T444" s="79" t="n">
        <v>6.88</v>
      </c>
      <c r="U444" s="80" t="n">
        <v>15167.45</v>
      </c>
      <c r="V444" s="80" t="n">
        <v>26.81</v>
      </c>
      <c r="W444" s="97">
        <f>U444/V444</f>
        <v/>
      </c>
      <c r="X444" s="97">
        <f>(W444/U444)*100</f>
        <v/>
      </c>
      <c r="Y444" s="80" t="n">
        <v>12446.75</v>
      </c>
      <c r="Z444" s="80" t="n">
        <v>24.94</v>
      </c>
      <c r="AA444" s="97">
        <f>Y444/Z444</f>
        <v/>
      </c>
      <c r="AB444" s="97">
        <f>(AA444/Y444)*100</f>
        <v/>
      </c>
    </row>
    <row r="445">
      <c r="A445" s="92" t="n">
        <v>444</v>
      </c>
      <c r="B445" s="99" t="n">
        <v>45216</v>
      </c>
      <c r="C445" s="103" t="n">
        <v>32898741.34</v>
      </c>
      <c r="D445" s="98">
        <f>C445/E445</f>
        <v/>
      </c>
      <c r="E445" s="98" t="n">
        <v>83.23999999999999</v>
      </c>
      <c r="F445" s="98">
        <f>D445/100000</f>
        <v/>
      </c>
      <c r="G445" s="97">
        <f>(F445/DataSheet!$C$10*100)</f>
        <v/>
      </c>
      <c r="H445" s="98">
        <f>K445/I445</f>
        <v/>
      </c>
      <c r="I445" s="98">
        <f>(J445/L445)*100</f>
        <v/>
      </c>
      <c r="J445" s="97">
        <f>L445/O445</f>
        <v/>
      </c>
      <c r="K445" s="98" t="n">
        <v>7.32</v>
      </c>
      <c r="L445" s="98" t="n">
        <v>19843.2</v>
      </c>
      <c r="M445" s="98" t="n">
        <v>3.48</v>
      </c>
      <c r="N445" s="98">
        <f>K445-I445</f>
        <v/>
      </c>
      <c r="O445" s="98" t="n">
        <v>22.38</v>
      </c>
      <c r="P445" s="98" t="n">
        <v>4.83</v>
      </c>
      <c r="Q445" s="97">
        <f>K445-P445</f>
        <v/>
      </c>
      <c r="R445" s="98" t="n">
        <v>106.04</v>
      </c>
      <c r="S445" s="97">
        <f>(O445*T445)</f>
        <v/>
      </c>
      <c r="T445" s="79" t="n">
        <v>6.88</v>
      </c>
      <c r="U445" s="80" t="n">
        <v>15234.35</v>
      </c>
      <c r="V445" s="80" t="n">
        <v>26.92</v>
      </c>
      <c r="W445" s="97">
        <f>U445/V445</f>
        <v/>
      </c>
      <c r="X445" s="97">
        <f>(W445/U445)*100</f>
        <v/>
      </c>
      <c r="Y445" s="80" t="n">
        <v>12530.4</v>
      </c>
      <c r="Z445" s="80" t="n">
        <v>25.11</v>
      </c>
      <c r="AA445" s="97">
        <f>Y445/Z445</f>
        <v/>
      </c>
      <c r="AB445" s="97">
        <f>(AA445/Y445)*100</f>
        <v/>
      </c>
    </row>
    <row r="446">
      <c r="A446" s="92" t="n">
        <v>445</v>
      </c>
      <c r="B446" s="99" t="n">
        <v>45217</v>
      </c>
      <c r="C446" s="103" t="n">
        <v>32656293.76</v>
      </c>
      <c r="D446" s="98">
        <f>C446/E446</f>
        <v/>
      </c>
      <c r="E446" s="98" t="n">
        <v>83.29000000000001</v>
      </c>
      <c r="F446" s="98">
        <f>D446/100000</f>
        <v/>
      </c>
      <c r="G446" s="97">
        <f>(F446/DataSheet!$C$10*100)</f>
        <v/>
      </c>
      <c r="H446" s="98">
        <f>K446/I446</f>
        <v/>
      </c>
      <c r="I446" s="98">
        <f>(J446/L446)*100</f>
        <v/>
      </c>
      <c r="J446" s="97">
        <f>L446/O446</f>
        <v/>
      </c>
      <c r="K446" s="98" t="n">
        <v>7.35</v>
      </c>
      <c r="L446" s="98" t="n">
        <v>19820.45</v>
      </c>
      <c r="M446" s="98" t="n">
        <v>3.45</v>
      </c>
      <c r="N446" s="98">
        <f>K446-I446</f>
        <v/>
      </c>
      <c r="O446" s="98" t="n">
        <v>21.87</v>
      </c>
      <c r="P446" s="98" t="n">
        <v>4.91</v>
      </c>
      <c r="Q446" s="97">
        <f>K446-P446</f>
        <v/>
      </c>
      <c r="R446" s="98" t="n">
        <v>106.35</v>
      </c>
      <c r="S446" s="97">
        <f>(O446*T446)</f>
        <v/>
      </c>
      <c r="T446" s="79" t="n">
        <v>6.89</v>
      </c>
      <c r="U446" s="80" t="n">
        <v>15125.75</v>
      </c>
      <c r="V446" s="80" t="n">
        <v>26.62</v>
      </c>
      <c r="W446" s="97">
        <f>U446/V446</f>
        <v/>
      </c>
      <c r="X446" s="97">
        <f>(W446/U446)*100</f>
        <v/>
      </c>
      <c r="Y446" s="80" t="n">
        <v>12482.35</v>
      </c>
      <c r="Z446" s="80" t="n">
        <v>24.9</v>
      </c>
      <c r="AA446" s="97">
        <f>Y446/Z446</f>
        <v/>
      </c>
      <c r="AB446" s="97">
        <f>(AA446/Y446)*100</f>
        <v/>
      </c>
    </row>
    <row r="447">
      <c r="A447" s="92" t="n">
        <v>446</v>
      </c>
      <c r="B447" s="99" t="n">
        <v>45218</v>
      </c>
      <c r="C447" s="103" t="n">
        <v>32617075.99</v>
      </c>
      <c r="D447" s="98">
        <f>C447/E447</f>
        <v/>
      </c>
      <c r="E447" s="98" t="n">
        <v>83.09</v>
      </c>
      <c r="F447" s="98">
        <f>D447/100000</f>
        <v/>
      </c>
      <c r="G447" s="97">
        <f>(F447/DataSheet!$C$10*100)</f>
        <v/>
      </c>
      <c r="H447" s="98">
        <f>K447/I447</f>
        <v/>
      </c>
      <c r="I447" s="98">
        <f>(J447/L447)*100</f>
        <v/>
      </c>
      <c r="J447" s="97">
        <f>L447/O447</f>
        <v/>
      </c>
      <c r="K447" s="98" t="n">
        <v>7.36</v>
      </c>
      <c r="L447" s="98" t="n">
        <v>19545.2</v>
      </c>
      <c r="M447" s="98" t="n">
        <v>3.44</v>
      </c>
      <c r="N447" s="98">
        <f>K447-I447</f>
        <v/>
      </c>
      <c r="O447" s="98" t="n">
        <v>21.77</v>
      </c>
      <c r="P447" s="98" t="n">
        <v>4.99</v>
      </c>
      <c r="Q447" s="97">
        <f>K447-P447</f>
        <v/>
      </c>
      <c r="R447" s="98" t="n">
        <v>106.04</v>
      </c>
      <c r="S447" s="97">
        <f>(O447*T447)</f>
        <v/>
      </c>
      <c r="T447" s="79" t="n">
        <v>6.93</v>
      </c>
      <c r="U447" s="80" t="n">
        <v>15106.95</v>
      </c>
      <c r="V447" s="80" t="n">
        <v>26.47</v>
      </c>
      <c r="W447" s="97">
        <f>U447/V447</f>
        <v/>
      </c>
      <c r="X447" s="97">
        <f>(W447/U447)*100</f>
        <v/>
      </c>
      <c r="Y447" s="80" t="n">
        <v>12500.6</v>
      </c>
      <c r="Z447" s="80" t="n">
        <v>24.87</v>
      </c>
      <c r="AA447" s="97">
        <f>Y447/Z447</f>
        <v/>
      </c>
      <c r="AB447" s="97">
        <f>(AA447/Y447)*100</f>
        <v/>
      </c>
    </row>
    <row r="448">
      <c r="A448" s="92" t="n">
        <v>447</v>
      </c>
      <c r="B448" s="99" t="n">
        <v>45219</v>
      </c>
      <c r="C448" s="103" t="n">
        <v>32411799.25</v>
      </c>
      <c r="D448" s="98">
        <f>C448/E448</f>
        <v/>
      </c>
      <c r="E448" s="98" t="n">
        <v>83.15000000000001</v>
      </c>
      <c r="F448" s="98">
        <f>D448/100000</f>
        <v/>
      </c>
      <c r="G448" s="97">
        <f>(F448/DataSheet!$C$10*100)</f>
        <v/>
      </c>
      <c r="H448" s="98">
        <f>K448/I448</f>
        <v/>
      </c>
      <c r="I448" s="98">
        <f>(J448/L448)*100</f>
        <v/>
      </c>
      <c r="J448" s="97">
        <f>L448/O448</f>
        <v/>
      </c>
      <c r="K448" s="98" t="n">
        <v>7.36</v>
      </c>
      <c r="L448" s="98" t="n">
        <v>19542.65</v>
      </c>
      <c r="M448" s="98" t="n">
        <v>3.43</v>
      </c>
      <c r="N448" s="98">
        <f>K448-I448</f>
        <v/>
      </c>
      <c r="O448" s="98" t="n">
        <v>21.68</v>
      </c>
      <c r="P448" s="98" t="n">
        <v>4.91</v>
      </c>
      <c r="Q448" s="97">
        <f>K448-P448</f>
        <v/>
      </c>
      <c r="R448" s="98" t="n">
        <v>105.98</v>
      </c>
      <c r="S448" s="97">
        <f>(O448*T448)</f>
        <v/>
      </c>
      <c r="T448" s="79" t="n">
        <v>6.93</v>
      </c>
      <c r="U448" s="80" t="n">
        <v>14963.1</v>
      </c>
      <c r="V448" s="80" t="n">
        <v>26.21</v>
      </c>
      <c r="W448" s="97">
        <f>U448/V448</f>
        <v/>
      </c>
      <c r="X448" s="97">
        <f>(W448/U448)*100</f>
        <v/>
      </c>
      <c r="Y448" s="80" t="n">
        <v>12400.3</v>
      </c>
      <c r="Z448" s="80" t="n">
        <v>24.67</v>
      </c>
      <c r="AA448" s="97">
        <f>Y448/Z448</f>
        <v/>
      </c>
      <c r="AB448" s="97">
        <f>(AA448/Y448)*100</f>
        <v/>
      </c>
    </row>
    <row r="449">
      <c r="A449" s="92" t="n">
        <v>448</v>
      </c>
      <c r="B449" s="99" t="n">
        <v>45222</v>
      </c>
      <c r="C449" s="103" t="n">
        <v>31652964.62</v>
      </c>
      <c r="D449" s="98">
        <f>C449/E449</f>
        <v/>
      </c>
      <c r="E449" s="98" t="n">
        <v>83.06999999999999</v>
      </c>
      <c r="F449" s="98">
        <f>D449/100000</f>
        <v/>
      </c>
      <c r="G449" s="97">
        <f>(F449/DataSheet!$C$10*100)</f>
        <v/>
      </c>
      <c r="H449" s="98">
        <f>K449/I449</f>
        <v/>
      </c>
      <c r="I449" s="98">
        <f>(J449/L449)*100</f>
        <v/>
      </c>
      <c r="J449" s="97">
        <f>L449/O449</f>
        <v/>
      </c>
      <c r="K449" s="98" t="n">
        <v>7.38</v>
      </c>
      <c r="L449" s="98" t="n">
        <v>19281.75</v>
      </c>
      <c r="M449" s="98" t="n">
        <v>3.38</v>
      </c>
      <c r="N449" s="98">
        <f>K449-I449</f>
        <v/>
      </c>
      <c r="O449" s="98" t="n">
        <v>21.36</v>
      </c>
      <c r="P449" s="98" t="n">
        <v>4.84</v>
      </c>
      <c r="Q449" s="97">
        <f>K449-P449</f>
        <v/>
      </c>
      <c r="R449" s="98" t="n">
        <v>105.33</v>
      </c>
      <c r="S449" s="97">
        <f>(O449*T449)</f>
        <v/>
      </c>
      <c r="T449" s="79" t="n">
        <v>6.93</v>
      </c>
      <c r="U449" s="80" t="n">
        <v>14557.1</v>
      </c>
      <c r="V449" s="80" t="n">
        <v>25.47</v>
      </c>
      <c r="W449" s="97">
        <f>U449/V449</f>
        <v/>
      </c>
      <c r="X449" s="97">
        <f>(W449/U449)*100</f>
        <v/>
      </c>
      <c r="Y449" s="80" t="n">
        <v>11930.4</v>
      </c>
      <c r="Z449" s="80" t="n">
        <v>23.58</v>
      </c>
      <c r="AA449" s="97">
        <f>Y449/Z449</f>
        <v/>
      </c>
      <c r="AB449" s="97">
        <f>(AA449/Y449)*100</f>
        <v/>
      </c>
    </row>
    <row r="450">
      <c r="A450" s="92" t="n">
        <v>449</v>
      </c>
      <c r="B450" s="99" t="n">
        <v>45224</v>
      </c>
      <c r="C450" s="103" t="n">
        <v>31445741.36</v>
      </c>
      <c r="D450" s="98">
        <f>C450/E450</f>
        <v/>
      </c>
      <c r="E450" s="98" t="n">
        <v>83.17</v>
      </c>
      <c r="F450" s="98">
        <f>D450/100000</f>
        <v/>
      </c>
      <c r="G450" s="97">
        <f>(F450/DataSheet!$C$10*100)</f>
        <v/>
      </c>
      <c r="H450" s="98">
        <f>K450/I450</f>
        <v/>
      </c>
      <c r="I450" s="98">
        <f>(J450/L450)*100</f>
        <v/>
      </c>
      <c r="J450" s="97">
        <f>L450/O450</f>
        <v/>
      </c>
      <c r="K450" s="98" t="n">
        <v>7.34</v>
      </c>
      <c r="L450" s="98" t="n">
        <v>19122.15</v>
      </c>
      <c r="M450" s="98" t="n">
        <v>3.36</v>
      </c>
      <c r="N450" s="98">
        <f>K450-I450</f>
        <v/>
      </c>
      <c r="O450" s="98" t="n">
        <v>20.92</v>
      </c>
      <c r="P450" s="98" t="n">
        <v>4.94</v>
      </c>
      <c r="Q450" s="97">
        <f>K450-P450</f>
        <v/>
      </c>
      <c r="R450" s="98" t="n">
        <v>106.35</v>
      </c>
      <c r="S450" s="97">
        <f>(O450*T450)</f>
        <v/>
      </c>
      <c r="T450" s="79" t="n">
        <v>6.93</v>
      </c>
      <c r="U450" s="80" t="n">
        <v>14470.25</v>
      </c>
      <c r="V450" s="80" t="n">
        <v>25.21</v>
      </c>
      <c r="W450" s="97">
        <f>U450/V450</f>
        <v/>
      </c>
      <c r="X450" s="97">
        <f>(W450/U450)*100</f>
        <v/>
      </c>
      <c r="Y450" s="80" t="n">
        <v>11853.7</v>
      </c>
      <c r="Z450" s="80" t="n">
        <v>23.26</v>
      </c>
      <c r="AA450" s="97">
        <f>Y450/Z450</f>
        <v/>
      </c>
      <c r="AB450" s="97">
        <f>(AA450/Y450)*100</f>
        <v/>
      </c>
    </row>
    <row r="451">
      <c r="A451" s="92" t="n">
        <v>450</v>
      </c>
      <c r="B451" s="99" t="n">
        <v>45225</v>
      </c>
      <c r="C451" s="103" t="n">
        <v>31123990.88</v>
      </c>
      <c r="D451" s="98">
        <f>C451/E451</f>
        <v/>
      </c>
      <c r="E451" s="98" t="n">
        <v>83.23999999999999</v>
      </c>
      <c r="F451" s="98">
        <f>D451/100000</f>
        <v/>
      </c>
      <c r="G451" s="97">
        <f>(F451/DataSheet!$C$10*100)</f>
        <v/>
      </c>
      <c r="H451" s="98">
        <f>K451/I451</f>
        <v/>
      </c>
      <c r="I451" s="98">
        <f>(J451/L451)*100</f>
        <v/>
      </c>
      <c r="J451" s="97">
        <f>L451/O451</f>
        <v/>
      </c>
      <c r="K451" s="98" t="n">
        <v>7.36</v>
      </c>
      <c r="L451" s="98" t="n">
        <v>18857.25</v>
      </c>
      <c r="M451" s="98" t="n">
        <v>3.31</v>
      </c>
      <c r="N451" s="98">
        <f>K451-I451</f>
        <v/>
      </c>
      <c r="O451" s="98" t="n">
        <v>20.63</v>
      </c>
      <c r="P451" s="98" t="n">
        <v>4.84</v>
      </c>
      <c r="Q451" s="97">
        <f>K451-P451</f>
        <v/>
      </c>
      <c r="R451" s="98" t="n">
        <v>106.42</v>
      </c>
      <c r="S451" s="97">
        <f>(O451*T451)</f>
        <v/>
      </c>
      <c r="T451" s="79" t="n">
        <v>6.93</v>
      </c>
      <c r="U451" s="80" t="n">
        <v>14305.25</v>
      </c>
      <c r="V451" s="80" t="n">
        <v>24.93</v>
      </c>
      <c r="W451" s="97">
        <f>U451/V451</f>
        <v/>
      </c>
      <c r="X451" s="97">
        <f>(W451/U451)*100</f>
        <v/>
      </c>
      <c r="Y451" s="80" t="n">
        <v>11797.15</v>
      </c>
      <c r="Z451" s="80" t="n">
        <v>23.21</v>
      </c>
      <c r="AA451" s="97">
        <f>Y451/Z451</f>
        <v/>
      </c>
      <c r="AB451" s="97">
        <f>(AA451/Y451)*100</f>
        <v/>
      </c>
    </row>
    <row r="452">
      <c r="A452" s="92" t="n">
        <v>451</v>
      </c>
      <c r="B452" s="99" t="n">
        <v>45226</v>
      </c>
      <c r="C452" s="103" t="n">
        <v>31570263.3</v>
      </c>
      <c r="D452" s="98">
        <f>C452/E452</f>
        <v/>
      </c>
      <c r="E452" s="98" t="n">
        <v>83.26000000000001</v>
      </c>
      <c r="F452" s="98">
        <f>D452/100000</f>
        <v/>
      </c>
      <c r="G452" s="97">
        <f>(F452/DataSheet!$C$10*100)</f>
        <v/>
      </c>
      <c r="H452" s="98">
        <f>K452/I452</f>
        <v/>
      </c>
      <c r="I452" s="98">
        <f>(J452/L452)*100</f>
        <v/>
      </c>
      <c r="J452" s="97">
        <f>L452/O452</f>
        <v/>
      </c>
      <c r="K452" s="98" t="n">
        <v>7.35</v>
      </c>
      <c r="L452" s="98" t="n">
        <v>19047.25</v>
      </c>
      <c r="M452" s="98" t="n">
        <v>3.34</v>
      </c>
      <c r="N452" s="98">
        <f>K452-I452</f>
        <v/>
      </c>
      <c r="O452" s="98" t="n">
        <v>20.84</v>
      </c>
      <c r="P452" s="98" t="n">
        <v>4.84</v>
      </c>
      <c r="Q452" s="97">
        <f>K452-P452</f>
        <v/>
      </c>
      <c r="R452" s="98" t="n">
        <v>106.38</v>
      </c>
      <c r="S452" s="97">
        <f>(O452*T452)</f>
        <v/>
      </c>
      <c r="T452" s="79" t="n">
        <v>6.95</v>
      </c>
      <c r="U452" s="80" t="n">
        <v>14513.7</v>
      </c>
      <c r="V452" s="80" t="n">
        <v>25.26</v>
      </c>
      <c r="W452" s="97">
        <f>U452/V452</f>
        <v/>
      </c>
      <c r="X452" s="97">
        <f>(W452/U452)*100</f>
        <v/>
      </c>
      <c r="Y452" s="80" t="n">
        <v>12024.9</v>
      </c>
      <c r="Z452" s="80" t="n">
        <v>23.65</v>
      </c>
      <c r="AA452" s="97">
        <f>Y452/Z452</f>
        <v/>
      </c>
      <c r="AB452" s="97">
        <f>(AA452/Y452)*100</f>
        <v/>
      </c>
    </row>
    <row r="453">
      <c r="A453" s="92" t="n">
        <v>452</v>
      </c>
      <c r="B453" s="99" t="n">
        <v>45229</v>
      </c>
      <c r="C453" s="103" t="n">
        <v>31671281.29</v>
      </c>
      <c r="D453" s="98">
        <f>C453/E453</f>
        <v/>
      </c>
      <c r="E453" s="98" t="n">
        <v>83.25</v>
      </c>
      <c r="F453" s="98">
        <f>D453/100000</f>
        <v/>
      </c>
      <c r="G453" s="97">
        <f>(F453/DataSheet!$C$10*100)</f>
        <v/>
      </c>
      <c r="H453" s="98">
        <f>K453/I453</f>
        <v/>
      </c>
      <c r="I453" s="98">
        <f>(J453/L453)*100</f>
        <v/>
      </c>
      <c r="J453" s="97">
        <f>L453/O453</f>
        <v/>
      </c>
      <c r="K453" s="98" t="n">
        <v>7.36</v>
      </c>
      <c r="L453" s="98" t="n">
        <v>19140.9</v>
      </c>
      <c r="M453" s="98" t="n">
        <v>3.36</v>
      </c>
      <c r="N453" s="98">
        <f>K453-I453</f>
        <v/>
      </c>
      <c r="O453" s="98" t="n">
        <v>20.9</v>
      </c>
      <c r="P453" s="98" t="n">
        <v>4.88</v>
      </c>
      <c r="Q453" s="97">
        <f>K453-P453</f>
        <v/>
      </c>
      <c r="R453" s="98" t="n">
        <v>105.93</v>
      </c>
      <c r="S453" s="97">
        <f>(O453*T453)</f>
        <v/>
      </c>
      <c r="T453" s="79" t="n">
        <v>6.92</v>
      </c>
      <c r="U453" s="80" t="n">
        <v>14533.4</v>
      </c>
      <c r="V453" s="80" t="n">
        <v>25.23</v>
      </c>
      <c r="W453" s="97">
        <f>U453/V453</f>
        <v/>
      </c>
      <c r="X453" s="97">
        <f>(W453/U453)*100</f>
        <v/>
      </c>
      <c r="Y453" s="80" t="n">
        <v>12033.85</v>
      </c>
      <c r="Z453" s="80" t="n">
        <v>23.54</v>
      </c>
      <c r="AA453" s="97">
        <f>Y453/Z453</f>
        <v/>
      </c>
      <c r="AB453" s="97">
        <f>(AA453/Y453)*100</f>
        <v/>
      </c>
    </row>
    <row r="454">
      <c r="A454" s="92" t="n">
        <v>453</v>
      </c>
      <c r="B454" s="99" t="n">
        <v>45230</v>
      </c>
      <c r="C454" s="103" t="n">
        <v>31667115.1</v>
      </c>
      <c r="D454" s="98">
        <f>C454/E454</f>
        <v/>
      </c>
      <c r="E454" s="98" t="n">
        <v>83.25</v>
      </c>
      <c r="F454" s="98">
        <f>D454/100000</f>
        <v/>
      </c>
      <c r="G454" s="97">
        <f>(F454/DataSheet!$C$10*100)</f>
        <v/>
      </c>
      <c r="H454" s="98">
        <f>K454/I454</f>
        <v/>
      </c>
      <c r="I454" s="98">
        <f>(J454/L454)*100</f>
        <v/>
      </c>
      <c r="J454" s="97">
        <f>L454/O454</f>
        <v/>
      </c>
      <c r="K454" s="98" t="n">
        <v>7.35</v>
      </c>
      <c r="L454" s="98" t="n">
        <v>19079.6</v>
      </c>
      <c r="M454" s="98" t="n">
        <v>3.35</v>
      </c>
      <c r="N454" s="98">
        <f>K454-I454</f>
        <v/>
      </c>
      <c r="O454" s="98" t="n">
        <v>20.45</v>
      </c>
      <c r="P454" s="98" t="n">
        <v>4.92</v>
      </c>
      <c r="Q454" s="97">
        <f>K454-P454</f>
        <v/>
      </c>
      <c r="R454" s="98" t="n">
        <v>106.49</v>
      </c>
      <c r="S454" s="97">
        <f>(O454*T454)</f>
        <v/>
      </c>
      <c r="T454" s="79" t="n">
        <v>6.94</v>
      </c>
      <c r="U454" s="80" t="n">
        <v>14566.3</v>
      </c>
      <c r="V454" s="80" t="n">
        <v>25.08</v>
      </c>
      <c r="W454" s="97">
        <f>U454/V454</f>
        <v/>
      </c>
      <c r="X454" s="97">
        <f>(W454/U454)*100</f>
        <v/>
      </c>
      <c r="Y454" s="80" t="n">
        <v>12023.75</v>
      </c>
      <c r="Z454" s="80" t="n">
        <v>23.46</v>
      </c>
      <c r="AA454" s="97">
        <f>Y454/Z454</f>
        <v/>
      </c>
      <c r="AB454" s="97">
        <f>(AA454/Y454)*100</f>
        <v/>
      </c>
    </row>
    <row r="455">
      <c r="A455" s="92" t="n">
        <v>454</v>
      </c>
      <c r="B455" s="99" t="n">
        <v>45231</v>
      </c>
      <c r="C455" s="103" t="n">
        <v>31544789.55</v>
      </c>
      <c r="D455" s="98">
        <f>C455/E455</f>
        <v/>
      </c>
      <c r="E455" s="98" t="n">
        <v>83.23</v>
      </c>
      <c r="F455" s="98">
        <f>D455/100000</f>
        <v/>
      </c>
      <c r="G455" s="97">
        <f>(F455/DataSheet!$C$10*100)</f>
        <v/>
      </c>
      <c r="H455" s="98">
        <f>K455/I455</f>
        <v/>
      </c>
      <c r="I455" s="98">
        <f>(J455/L455)*100</f>
        <v/>
      </c>
      <c r="J455" s="97">
        <f>L455/O455</f>
        <v/>
      </c>
      <c r="K455" s="98" t="n">
        <v>7.35</v>
      </c>
      <c r="L455" s="98" t="n">
        <v>18989.15</v>
      </c>
      <c r="M455" s="98" t="n">
        <v>3.33</v>
      </c>
      <c r="N455" s="98">
        <f>K455-I455</f>
        <v/>
      </c>
      <c r="O455" s="98" t="n">
        <v>20.4</v>
      </c>
      <c r="P455" s="98" t="n">
        <v>4.73</v>
      </c>
      <c r="Q455" s="97">
        <f>K455-P455</f>
        <v/>
      </c>
      <c r="R455" s="98" t="n">
        <v>106.71</v>
      </c>
      <c r="S455" s="97">
        <f>(O455*T455)</f>
        <v/>
      </c>
      <c r="T455" s="79" t="n">
        <v>6.93</v>
      </c>
      <c r="U455" s="80" t="n">
        <v>14545.1</v>
      </c>
      <c r="V455" s="80" t="n">
        <v>24.97</v>
      </c>
      <c r="W455" s="97">
        <f>U455/V455</f>
        <v/>
      </c>
      <c r="X455" s="97">
        <f>(W455/U455)*100</f>
        <v/>
      </c>
      <c r="Y455" s="80" t="n">
        <v>12000.5</v>
      </c>
      <c r="Z455" s="80" t="n">
        <v>23.66</v>
      </c>
      <c r="AA455" s="97">
        <f>Y455/Z455</f>
        <v/>
      </c>
      <c r="AB455" s="97">
        <f>(AA455/Y455)*100</f>
        <v/>
      </c>
    </row>
    <row r="456">
      <c r="A456" s="92" t="n">
        <v>455</v>
      </c>
      <c r="B456" s="99" t="n">
        <v>45232</v>
      </c>
      <c r="C456" s="103" t="n">
        <v>31778049.3</v>
      </c>
      <c r="D456" s="98">
        <f>C456/E456</f>
        <v/>
      </c>
      <c r="E456" s="98" t="n">
        <v>83.23</v>
      </c>
      <c r="F456" s="98">
        <f>D456/100000</f>
        <v/>
      </c>
      <c r="G456" s="97">
        <f>(F456/DataSheet!$C$10*100)</f>
        <v/>
      </c>
      <c r="H456" s="98">
        <f>K456/I456</f>
        <v/>
      </c>
      <c r="I456" s="98">
        <f>(J456/L456)*100</f>
        <v/>
      </c>
      <c r="J456" s="97">
        <f>L456/O456</f>
        <v/>
      </c>
      <c r="K456" s="98" t="n">
        <v>7.32</v>
      </c>
      <c r="L456" s="98" t="n">
        <v>19133.25</v>
      </c>
      <c r="M456" s="98" t="n">
        <v>3.36</v>
      </c>
      <c r="N456" s="98">
        <f>K456-I456</f>
        <v/>
      </c>
      <c r="O456" s="98" t="n">
        <v>20.77</v>
      </c>
      <c r="P456" s="98" t="n">
        <v>4.66</v>
      </c>
      <c r="Q456" s="97">
        <f>K456-P456</f>
        <v/>
      </c>
      <c r="R456" s="98" t="n">
        <v>105.97</v>
      </c>
      <c r="S456" s="97">
        <f>(O456*T456)</f>
        <v/>
      </c>
      <c r="T456" s="79" t="n">
        <v>6.95</v>
      </c>
      <c r="U456" s="80" t="n">
        <v>14718.5</v>
      </c>
      <c r="V456" s="80" t="n">
        <v>25.08</v>
      </c>
      <c r="W456" s="97">
        <f>U456/V456</f>
        <v/>
      </c>
      <c r="X456" s="97">
        <f>(W456/U456)*100</f>
        <v/>
      </c>
      <c r="Y456" s="80" t="n">
        <v>12130.3</v>
      </c>
      <c r="Z456" s="80" t="n">
        <v>23.72</v>
      </c>
      <c r="AA456" s="97">
        <f>Y456/Z456</f>
        <v/>
      </c>
      <c r="AB456" s="97">
        <f>(AA456/Y456)*100</f>
        <v/>
      </c>
    </row>
    <row r="457">
      <c r="A457" s="92" t="n">
        <v>456</v>
      </c>
      <c r="B457" s="99" t="n">
        <v>45233</v>
      </c>
      <c r="C457" s="103" t="n">
        <v>32047271.53</v>
      </c>
      <c r="D457" s="98">
        <f>C457/E457</f>
        <v/>
      </c>
      <c r="E457" s="98" t="n">
        <v>83.14</v>
      </c>
      <c r="F457" s="98">
        <f>D457/100000</f>
        <v/>
      </c>
      <c r="G457" s="97">
        <f>(F457/DataSheet!$C$10*100)</f>
        <v/>
      </c>
      <c r="H457" s="98">
        <f>K457/I457</f>
        <v/>
      </c>
      <c r="I457" s="98">
        <f>(J457/L457)*100</f>
        <v/>
      </c>
      <c r="J457" s="97">
        <f>L457/O457</f>
        <v/>
      </c>
      <c r="K457" s="98" t="n">
        <v>7.31</v>
      </c>
      <c r="L457" s="98" t="n">
        <v>19230.6</v>
      </c>
      <c r="M457" s="98" t="n">
        <v>3.37</v>
      </c>
      <c r="N457" s="98">
        <f>K457-I457</f>
        <v/>
      </c>
      <c r="O457" s="98" t="n">
        <v>20.88</v>
      </c>
      <c r="P457" s="98" t="n">
        <v>4.57</v>
      </c>
      <c r="Q457" s="97">
        <f>K457-P457</f>
        <v/>
      </c>
      <c r="R457" s="98" t="n">
        <v>104.85</v>
      </c>
      <c r="S457" s="97">
        <f>(O457*T457)</f>
        <v/>
      </c>
      <c r="T457" s="79" t="n">
        <v>6.95</v>
      </c>
      <c r="U457" s="80" t="n">
        <v>14819.1</v>
      </c>
      <c r="V457" s="80" t="n">
        <v>25.25</v>
      </c>
      <c r="W457" s="97">
        <f>U457/V457</f>
        <v/>
      </c>
      <c r="X457" s="97">
        <f>(W457/U457)*100</f>
        <v/>
      </c>
      <c r="Y457" s="80" t="n">
        <v>12253.6</v>
      </c>
      <c r="Z457" s="80" t="n">
        <v>23.96</v>
      </c>
      <c r="AA457" s="97">
        <f>Y457/Z457</f>
        <v/>
      </c>
      <c r="AB457" s="97">
        <f>(AA457/Y457)*100</f>
        <v/>
      </c>
    </row>
    <row r="458">
      <c r="A458" s="92" t="n">
        <v>457</v>
      </c>
      <c r="B458" s="99" t="n">
        <v>45236</v>
      </c>
      <c r="C458" s="103" t="n">
        <v>32337406.35</v>
      </c>
      <c r="D458" s="98">
        <f>C458/E458</f>
        <v/>
      </c>
      <c r="E458" s="98" t="n">
        <v>83.20999999999999</v>
      </c>
      <c r="F458" s="98">
        <f>D458/100000</f>
        <v/>
      </c>
      <c r="G458" s="97">
        <f>(F458/DataSheet!$C$10*100)</f>
        <v/>
      </c>
      <c r="H458" s="98">
        <f>K458/I458</f>
        <v/>
      </c>
      <c r="I458" s="98">
        <f>(J458/L458)*100</f>
        <v/>
      </c>
      <c r="J458" s="97">
        <f>L458/O458</f>
        <v/>
      </c>
      <c r="K458" s="98" t="n">
        <v>7.3</v>
      </c>
      <c r="L458" s="98" t="n">
        <v>19411.75</v>
      </c>
      <c r="M458" s="98" t="n">
        <v>3.41</v>
      </c>
      <c r="N458" s="98">
        <f>K458-I458</f>
        <v/>
      </c>
      <c r="O458" s="98" t="n">
        <v>20.96</v>
      </c>
      <c r="P458" s="98" t="n">
        <v>4.64</v>
      </c>
      <c r="Q458" s="97">
        <f>K458-P458</f>
        <v/>
      </c>
      <c r="R458" s="98" t="n">
        <v>105.04</v>
      </c>
      <c r="S458" s="97">
        <f>(O458*T458)</f>
        <v/>
      </c>
      <c r="T458" s="79" t="n">
        <v>6.93</v>
      </c>
      <c r="U458" s="80" t="n">
        <v>14953.75</v>
      </c>
      <c r="V458" s="80" t="n">
        <v>25</v>
      </c>
      <c r="W458" s="97">
        <f>U458/V458</f>
        <v/>
      </c>
      <c r="X458" s="97">
        <f>(W458/U458)*100</f>
        <v/>
      </c>
      <c r="Y458" s="80" t="n">
        <v>12384.35</v>
      </c>
      <c r="Z458" s="80" t="n">
        <v>24.24</v>
      </c>
      <c r="AA458" s="97">
        <f>Y458/Z458</f>
        <v/>
      </c>
      <c r="AB458" s="97">
        <f>(AA458/Y458)*100</f>
        <v/>
      </c>
    </row>
    <row r="459">
      <c r="A459" s="92" t="n">
        <v>458</v>
      </c>
      <c r="B459" s="99" t="n">
        <v>45237</v>
      </c>
      <c r="C459" s="103" t="n">
        <v>32424777.49</v>
      </c>
      <c r="D459" s="98">
        <f>C459/E459</f>
        <v/>
      </c>
      <c r="E459" s="98" t="n">
        <v>83.23</v>
      </c>
      <c r="F459" s="98">
        <f>D459/100000</f>
        <v/>
      </c>
      <c r="G459" s="97">
        <f>(F459/DataSheet!$C$10*100)</f>
        <v/>
      </c>
      <c r="H459" s="98">
        <f>K459/I459</f>
        <v/>
      </c>
      <c r="I459" s="98">
        <f>(J459/L459)*100</f>
        <v/>
      </c>
      <c r="J459" s="97">
        <f>L459/O459</f>
        <v/>
      </c>
      <c r="K459" s="98" t="n">
        <v>7.28</v>
      </c>
      <c r="L459" s="98" t="n">
        <v>19406.7</v>
      </c>
      <c r="M459" s="98" t="n">
        <v>3.41</v>
      </c>
      <c r="N459" s="98">
        <f>K459-I459</f>
        <v/>
      </c>
      <c r="O459" s="98" t="n">
        <v>20.92</v>
      </c>
      <c r="P459" s="98" t="n">
        <v>4.56</v>
      </c>
      <c r="Q459" s="97">
        <f>K459-P459</f>
        <v/>
      </c>
      <c r="R459" s="98" t="n">
        <v>105.37</v>
      </c>
      <c r="S459" s="97">
        <f>(O459*T459)</f>
        <v/>
      </c>
      <c r="T459" s="79" t="n">
        <v>6.93</v>
      </c>
      <c r="U459" s="80" t="n">
        <v>14994.1</v>
      </c>
      <c r="V459" s="80" t="n">
        <v>24.91</v>
      </c>
      <c r="W459" s="97">
        <f>U459/V459</f>
        <v/>
      </c>
      <c r="X459" s="97">
        <f>(W459/U459)*100</f>
        <v/>
      </c>
      <c r="Y459" s="80" t="n">
        <v>12456.05</v>
      </c>
      <c r="Z459" s="80" t="n">
        <v>24.32</v>
      </c>
      <c r="AA459" s="97">
        <f>Y459/Z459</f>
        <v/>
      </c>
      <c r="AB459" s="97">
        <f>(AA459/Y459)*100</f>
        <v/>
      </c>
    </row>
    <row r="460">
      <c r="A460" s="92" t="n">
        <v>459</v>
      </c>
      <c r="B460" s="99" t="n">
        <v>45238</v>
      </c>
      <c r="C460" s="103" t="n">
        <v>32581055.53</v>
      </c>
      <c r="D460" s="98">
        <f>C460/E460</f>
        <v/>
      </c>
      <c r="E460" s="98" t="n">
        <v>83.20999999999999</v>
      </c>
      <c r="F460" s="98">
        <f>D460/100000</f>
        <v/>
      </c>
      <c r="G460" s="97">
        <f>(F460/DataSheet!$C$10*100)</f>
        <v/>
      </c>
      <c r="H460" s="98">
        <f>K460/I460</f>
        <v/>
      </c>
      <c r="I460" s="98">
        <f>(J460/L460)*100</f>
        <v/>
      </c>
      <c r="J460" s="97">
        <f>L460/O460</f>
        <v/>
      </c>
      <c r="K460" s="98" t="n">
        <v>7.26</v>
      </c>
      <c r="L460" s="98" t="n">
        <v>19443.5</v>
      </c>
      <c r="M460" s="98" t="n">
        <v>3.41</v>
      </c>
      <c r="N460" s="98">
        <f>K460-I460</f>
        <v/>
      </c>
      <c r="O460" s="98" t="n">
        <v>20.97</v>
      </c>
      <c r="P460" s="98" t="n">
        <v>4.49</v>
      </c>
      <c r="Q460" s="97">
        <f>K460-P460</f>
        <v/>
      </c>
      <c r="R460" s="98" t="n">
        <v>105.44</v>
      </c>
      <c r="S460" s="97">
        <f>(O460*T460)</f>
        <v/>
      </c>
      <c r="T460" s="79" t="n">
        <v>6.93</v>
      </c>
      <c r="U460" s="80" t="n">
        <v>15138.7</v>
      </c>
      <c r="V460" s="80" t="n">
        <v>24.16</v>
      </c>
      <c r="W460" s="97">
        <f>U460/V460</f>
        <v/>
      </c>
      <c r="X460" s="97">
        <f>(W460/U460)*100</f>
        <v/>
      </c>
      <c r="Y460" s="80" t="n">
        <v>12530.65</v>
      </c>
      <c r="Z460" s="80" t="n">
        <v>24.55</v>
      </c>
      <c r="AA460" s="97">
        <f>Y460/Z460</f>
        <v/>
      </c>
      <c r="AB460" s="97">
        <f>(AA460/Y460)*100</f>
        <v/>
      </c>
    </row>
    <row r="461">
      <c r="A461" s="92" t="n">
        <v>460</v>
      </c>
      <c r="B461" s="99" t="n">
        <v>45239</v>
      </c>
      <c r="C461" s="103" t="n">
        <v>32496397.03</v>
      </c>
      <c r="D461" s="98">
        <f>C461/E461</f>
        <v/>
      </c>
      <c r="E461" s="98" t="n">
        <v>83.31</v>
      </c>
      <c r="F461" s="98">
        <f>D461/100000</f>
        <v/>
      </c>
      <c r="G461" s="97">
        <f>(F461/DataSheet!$C$10*100)</f>
        <v/>
      </c>
      <c r="H461" s="98">
        <f>K461/I461</f>
        <v/>
      </c>
      <c r="I461" s="98">
        <f>(J461/L461)*100</f>
        <v/>
      </c>
      <c r="J461" s="97">
        <f>L461/O461</f>
        <v/>
      </c>
      <c r="K461" s="98" t="n">
        <v>7.26</v>
      </c>
      <c r="L461" s="98" t="n">
        <v>19395.3</v>
      </c>
      <c r="M461" s="98" t="n">
        <v>3.4</v>
      </c>
      <c r="N461" s="98">
        <f>K461-I461</f>
        <v/>
      </c>
      <c r="O461" s="98" t="n">
        <v>20.91</v>
      </c>
      <c r="P461" s="98" t="n">
        <v>4.63</v>
      </c>
      <c r="Q461" s="97">
        <f>K461-P461</f>
        <v/>
      </c>
      <c r="R461" s="98" t="n">
        <v>105.78</v>
      </c>
      <c r="S461" s="97">
        <f>(O461*T461)</f>
        <v/>
      </c>
      <c r="T461" s="79" t="n">
        <v>6.94</v>
      </c>
      <c r="U461" s="80" t="n">
        <v>15142.8</v>
      </c>
      <c r="V461" s="80" t="n">
        <v>24.02</v>
      </c>
      <c r="W461" s="97">
        <f>U461/V461</f>
        <v/>
      </c>
      <c r="X461" s="97">
        <f>(W461/U461)*100</f>
        <v/>
      </c>
      <c r="Y461" s="80" t="n">
        <v>12494.35</v>
      </c>
      <c r="Z461" s="80" t="n">
        <v>24.5</v>
      </c>
      <c r="AA461" s="97">
        <f>Y461/Z461</f>
        <v/>
      </c>
      <c r="AB461" s="97">
        <f>(AA461/Y461)*100</f>
        <v/>
      </c>
    </row>
    <row r="462">
      <c r="A462" s="92" t="n">
        <v>461</v>
      </c>
      <c r="B462" s="99" t="n">
        <v>45240</v>
      </c>
      <c r="C462" s="103" t="n">
        <v>32560054.65</v>
      </c>
      <c r="D462" s="98">
        <f>C462/E462</f>
        <v/>
      </c>
      <c r="E462" s="98" t="n">
        <v>83.3</v>
      </c>
      <c r="F462" s="98">
        <f>D462/100000</f>
        <v/>
      </c>
      <c r="G462" s="97">
        <f>(F462/DataSheet!$C$10*100)</f>
        <v/>
      </c>
      <c r="H462" s="98">
        <f>K462/I462</f>
        <v/>
      </c>
      <c r="I462" s="98">
        <f>(J462/L462)*100</f>
        <v/>
      </c>
      <c r="J462" s="97">
        <f>L462/O462</f>
        <v/>
      </c>
      <c r="K462" s="98" t="n">
        <v>7.3</v>
      </c>
      <c r="L462" s="98" t="n">
        <v>19425.35</v>
      </c>
      <c r="M462" s="98" t="n">
        <v>3.41</v>
      </c>
      <c r="N462" s="98">
        <f>K462-I462</f>
        <v/>
      </c>
      <c r="O462" s="98" t="n">
        <v>20.95</v>
      </c>
      <c r="P462" s="98" t="n">
        <v>4.64</v>
      </c>
      <c r="Q462" s="97">
        <f>K462-P462</f>
        <v/>
      </c>
      <c r="R462" s="98" t="n">
        <v>105.72</v>
      </c>
      <c r="S462" s="97">
        <f>(O462*T462)</f>
        <v/>
      </c>
      <c r="T462" s="79" t="n">
        <v>6.94</v>
      </c>
      <c r="U462" s="80" t="n">
        <v>15199.15</v>
      </c>
      <c r="V462" s="80" t="n">
        <v>24.25</v>
      </c>
      <c r="W462" s="97">
        <f>U462/V462</f>
        <v/>
      </c>
      <c r="X462" s="97">
        <f>(W462/U462)*100</f>
        <v/>
      </c>
      <c r="Y462" s="80" t="n">
        <v>12547.05</v>
      </c>
      <c r="Z462" s="80" t="n">
        <v>24.39</v>
      </c>
      <c r="AA462" s="97">
        <f>Y462/Z462</f>
        <v/>
      </c>
      <c r="AB462" s="97">
        <f>(AA462/Y462)*100</f>
        <v/>
      </c>
    </row>
    <row r="463">
      <c r="A463" s="92" t="n">
        <v>462</v>
      </c>
      <c r="B463" s="99" t="n">
        <v>45242</v>
      </c>
      <c r="C463" s="103" t="n">
        <v>32712347.03</v>
      </c>
      <c r="D463" s="98">
        <f>C463/E463</f>
        <v/>
      </c>
      <c r="E463" s="98" t="n">
        <v>83.29000000000001</v>
      </c>
      <c r="F463" s="98">
        <f>D463/100000</f>
        <v/>
      </c>
      <c r="G463" s="97">
        <f>(F463/DataSheet!$C$10*100)</f>
        <v/>
      </c>
      <c r="H463" s="98">
        <f>K463/I463</f>
        <v/>
      </c>
      <c r="I463" s="98">
        <f>(J463/L463)*100</f>
        <v/>
      </c>
      <c r="J463" s="97">
        <f>L463/O463</f>
        <v/>
      </c>
      <c r="K463" s="98" t="n">
        <v>7.3</v>
      </c>
      <c r="L463" s="98" t="n">
        <v>19525.55</v>
      </c>
      <c r="M463" s="98" t="n">
        <v>3.43</v>
      </c>
      <c r="N463" s="98">
        <f>K463-I463</f>
        <v/>
      </c>
      <c r="O463" s="98" t="n">
        <v>21.05</v>
      </c>
      <c r="P463" s="98" t="n">
        <v>4.65</v>
      </c>
      <c r="Q463" s="97">
        <f>K463-P463</f>
        <v/>
      </c>
      <c r="R463" s="98" t="n">
        <v>105.64</v>
      </c>
      <c r="S463" s="97">
        <f>(O463*T463)</f>
        <v/>
      </c>
      <c r="T463" s="79" t="n">
        <v>6.94</v>
      </c>
      <c r="U463" s="80" t="n">
        <v>15298.95</v>
      </c>
      <c r="V463" s="80" t="n">
        <v>24.41</v>
      </c>
      <c r="W463" s="97">
        <f>U463/V463</f>
        <v/>
      </c>
      <c r="X463" s="97">
        <f>(W463/U463)*100</f>
        <v/>
      </c>
      <c r="Y463" s="80" t="n">
        <v>12705.5</v>
      </c>
      <c r="Z463" s="80" t="n">
        <v>24.7</v>
      </c>
      <c r="AA463" s="97">
        <f>Y463/Z463</f>
        <v/>
      </c>
      <c r="AB463" s="97">
        <f>(AA463/Y463)*100</f>
        <v/>
      </c>
    </row>
    <row r="464">
      <c r="A464" s="92" t="n">
        <v>463</v>
      </c>
      <c r="B464" s="99" t="n">
        <v>45243</v>
      </c>
      <c r="C464" s="103" t="n">
        <v>32740562.9</v>
      </c>
      <c r="D464" s="98">
        <f>C464/E464</f>
        <v/>
      </c>
      <c r="E464" s="98" t="n">
        <v>83.18000000000001</v>
      </c>
      <c r="F464" s="98">
        <f>D464/100000</f>
        <v/>
      </c>
      <c r="G464" s="97">
        <f>(F464/DataSheet!$C$10*100)</f>
        <v/>
      </c>
      <c r="H464" s="98">
        <f>K464/I464</f>
        <v/>
      </c>
      <c r="I464" s="98">
        <f>(J464/L464)*100</f>
        <v/>
      </c>
      <c r="J464" s="97">
        <f>L464/O464</f>
        <v/>
      </c>
      <c r="K464" s="98" t="n">
        <v>7.28</v>
      </c>
      <c r="L464" s="98" t="n">
        <v>19443.55</v>
      </c>
      <c r="M464" s="98" t="n">
        <v>3.41</v>
      </c>
      <c r="N464" s="98">
        <f>K464-I464</f>
        <v/>
      </c>
      <c r="O464" s="98" t="n">
        <v>20.96</v>
      </c>
      <c r="P464" s="98" t="n">
        <v>4.63</v>
      </c>
      <c r="Q464" s="97">
        <f>K464-P464</f>
        <v/>
      </c>
      <c r="R464" s="98" t="n">
        <v>105.5</v>
      </c>
      <c r="S464" s="97">
        <f>(O464*T464)</f>
        <v/>
      </c>
      <c r="T464" s="79" t="n">
        <v>6.94</v>
      </c>
      <c r="U464" s="80" t="n">
        <v>15292.2</v>
      </c>
      <c r="V464" s="80" t="n">
        <v>24.12</v>
      </c>
      <c r="W464" s="97">
        <f>U464/V464</f>
        <v/>
      </c>
      <c r="X464" s="97">
        <f>(W464/U464)*100</f>
        <v/>
      </c>
      <c r="Y464" s="80" t="n">
        <v>12736.75</v>
      </c>
      <c r="Z464" s="80" t="n">
        <v>24.64</v>
      </c>
      <c r="AA464" s="97">
        <f>Y464/Z464</f>
        <v/>
      </c>
      <c r="AB464" s="97">
        <f>(AA464/Y464)*100</f>
        <v/>
      </c>
    </row>
    <row r="465">
      <c r="A465" s="92" t="n">
        <v>464</v>
      </c>
      <c r="B465" s="99" t="n">
        <v>45245</v>
      </c>
      <c r="C465" s="103" t="n">
        <v>33075584.7</v>
      </c>
      <c r="D465" s="98">
        <f>C465/E465</f>
        <v/>
      </c>
      <c r="E465" s="98" t="n">
        <v>83.18000000000001</v>
      </c>
      <c r="F465" s="98">
        <f>D465/100000</f>
        <v/>
      </c>
      <c r="G465" s="97">
        <f>(F465/DataSheet!$C$10*100)</f>
        <v/>
      </c>
      <c r="H465" s="98">
        <f>K465/I465</f>
        <v/>
      </c>
      <c r="I465" s="98">
        <f>(J465/L465)*100</f>
        <v/>
      </c>
      <c r="J465" s="97">
        <f>L465/O465</f>
        <v/>
      </c>
      <c r="K465" s="98" t="n">
        <v>7.22</v>
      </c>
      <c r="L465" s="98" t="n">
        <v>19675.45</v>
      </c>
      <c r="M465" s="98" t="n">
        <v>3.45</v>
      </c>
      <c r="N465" s="98">
        <f>K465-I465</f>
        <v/>
      </c>
      <c r="O465" s="98" t="n">
        <v>21.05</v>
      </c>
      <c r="P465" s="98" t="n">
        <v>4.53</v>
      </c>
      <c r="Q465" s="97">
        <f>K465-P465</f>
        <v/>
      </c>
      <c r="R465" s="98" t="n">
        <v>104.26</v>
      </c>
      <c r="S465" s="97">
        <f>(O465*T465)</f>
        <v/>
      </c>
      <c r="T465" s="79" t="n">
        <v>6.93</v>
      </c>
      <c r="U465" s="80" t="n">
        <v>15424.75</v>
      </c>
      <c r="V465" s="80" t="n">
        <v>23.96</v>
      </c>
      <c r="W465" s="97">
        <f>U465/V465</f>
        <v/>
      </c>
      <c r="X465" s="97">
        <f>(W465/U465)*100</f>
        <v/>
      </c>
      <c r="Y465" s="80" t="n">
        <v>12878</v>
      </c>
      <c r="Z465" s="80" t="n">
        <v>24.94</v>
      </c>
      <c r="AA465" s="97">
        <f>Y465/Z465</f>
        <v/>
      </c>
      <c r="AB465" s="97">
        <f>(AA465/Y465)*100</f>
        <v/>
      </c>
    </row>
    <row r="466">
      <c r="A466" s="92" t="n">
        <v>465</v>
      </c>
      <c r="B466" s="99" t="n">
        <v>45246</v>
      </c>
      <c r="C466" s="103" t="n">
        <v>33240904.43</v>
      </c>
      <c r="D466" s="98">
        <f>C466/E466</f>
        <v/>
      </c>
      <c r="E466" s="98" t="n">
        <v>83.15000000000001</v>
      </c>
      <c r="F466" s="98">
        <f>D466/100000</f>
        <v/>
      </c>
      <c r="G466" s="97">
        <f>(F466/DataSheet!$C$10*100)</f>
        <v/>
      </c>
      <c r="H466" s="98">
        <f>K466/I466</f>
        <v/>
      </c>
      <c r="I466" s="98">
        <f>(J466/L466)*100</f>
        <v/>
      </c>
      <c r="J466" s="97">
        <f>L466/O466</f>
        <v/>
      </c>
      <c r="K466" s="98" t="n">
        <v>7.23</v>
      </c>
      <c r="L466" s="98" t="n">
        <v>19765.2</v>
      </c>
      <c r="M466" s="98" t="n">
        <v>3.47</v>
      </c>
      <c r="N466" s="98">
        <f>K466-I466</f>
        <v/>
      </c>
      <c r="O466" s="98" t="n">
        <v>21.13</v>
      </c>
      <c r="P466" s="98" t="n">
        <v>4.44</v>
      </c>
      <c r="Q466" s="97">
        <f>K466-P466</f>
        <v/>
      </c>
      <c r="R466" s="98" t="n">
        <v>104.23</v>
      </c>
      <c r="S466" s="97">
        <f>(O466*T466)</f>
        <v/>
      </c>
      <c r="T466" s="79" t="n">
        <v>6.93</v>
      </c>
      <c r="U466" s="80" t="n">
        <v>15532.8</v>
      </c>
      <c r="V466" s="80" t="n">
        <v>24.15</v>
      </c>
      <c r="W466" s="97">
        <f>U466/V466</f>
        <v/>
      </c>
      <c r="X466" s="97">
        <f>(W466/U466)*100</f>
        <v/>
      </c>
      <c r="Y466" s="80" t="n">
        <v>12933.85</v>
      </c>
      <c r="Z466" s="80" t="n">
        <v>25.01</v>
      </c>
      <c r="AA466" s="97">
        <f>Y466/Z466</f>
        <v/>
      </c>
      <c r="AB466" s="97">
        <f>(AA466/Y466)*100</f>
        <v/>
      </c>
    </row>
    <row r="467">
      <c r="A467" s="92" t="n">
        <v>466</v>
      </c>
      <c r="B467" s="99" t="n">
        <v>45247</v>
      </c>
      <c r="C467" s="103" t="n">
        <v>33291901.36</v>
      </c>
      <c r="D467" s="98">
        <f>C467/E467</f>
        <v/>
      </c>
      <c r="E467" s="98" t="n">
        <v>83.23999999999999</v>
      </c>
      <c r="F467" s="98">
        <f>D467/100000</f>
        <v/>
      </c>
      <c r="G467" s="97">
        <f>(F467/DataSheet!$C$10*100)</f>
        <v/>
      </c>
      <c r="H467" s="98">
        <f>K467/I467</f>
        <v/>
      </c>
      <c r="I467" s="98">
        <f>(J467/L467)*100</f>
        <v/>
      </c>
      <c r="J467" s="97">
        <f>L467/O467</f>
        <v/>
      </c>
      <c r="K467" s="98" t="n">
        <v>7.21</v>
      </c>
      <c r="L467" s="98" t="n">
        <v>19731.8</v>
      </c>
      <c r="M467" s="98" t="n">
        <v>3.46</v>
      </c>
      <c r="N467" s="98">
        <f>K467-I467</f>
        <v/>
      </c>
      <c r="O467" s="98" t="n">
        <v>21.1</v>
      </c>
      <c r="P467" s="98" t="n">
        <v>4.43</v>
      </c>
      <c r="Q467" s="97">
        <f>K467-P467</f>
        <v/>
      </c>
      <c r="R467" s="98" t="n">
        <v>103.79</v>
      </c>
      <c r="S467" s="97">
        <f>(O467*T467)</f>
        <v/>
      </c>
      <c r="T467" s="79" t="n">
        <v>6.93</v>
      </c>
      <c r="U467" s="80" t="n">
        <v>15586.1</v>
      </c>
      <c r="V467" s="80" t="n">
        <v>24.27</v>
      </c>
      <c r="W467" s="97">
        <f>U467/V467</f>
        <v/>
      </c>
      <c r="X467" s="97">
        <f>(W467/U467)*100</f>
        <v/>
      </c>
      <c r="Y467" s="80" t="n">
        <v>12976.9</v>
      </c>
      <c r="Z467" s="80" t="n">
        <v>25.1</v>
      </c>
      <c r="AA467" s="97">
        <f>Y467/Z467</f>
        <v/>
      </c>
      <c r="AB467" s="97">
        <f>(AA467/Y467)*100</f>
        <v/>
      </c>
    </row>
    <row r="468">
      <c r="A468" s="92" t="n">
        <v>467</v>
      </c>
      <c r="B468" s="99" t="n">
        <v>45250</v>
      </c>
      <c r="C468" s="103" t="n">
        <v>33266426.87</v>
      </c>
      <c r="D468" s="98">
        <f>C468/E468</f>
        <v/>
      </c>
      <c r="E468" s="98" t="n">
        <v>83.31</v>
      </c>
      <c r="F468" s="98">
        <f>D468/100000</f>
        <v/>
      </c>
      <c r="G468" s="97">
        <f>(F468/DataSheet!$C$10*100)</f>
        <v/>
      </c>
      <c r="H468" s="98">
        <f>K468/I468</f>
        <v/>
      </c>
      <c r="I468" s="98">
        <f>(J468/L468)*100</f>
        <v/>
      </c>
      <c r="J468" s="97">
        <f>L468/O468</f>
        <v/>
      </c>
      <c r="K468" s="98" t="n">
        <v>7.25</v>
      </c>
      <c r="L468" s="98" t="n">
        <v>19694</v>
      </c>
      <c r="M468" s="98" t="n">
        <v>3.46</v>
      </c>
      <c r="N468" s="98">
        <f>K468-I468</f>
        <v/>
      </c>
      <c r="O468" s="98" t="n">
        <v>21.06</v>
      </c>
      <c r="P468" s="98" t="n">
        <v>4.42</v>
      </c>
      <c r="Q468" s="97">
        <f>K468-P468</f>
        <v/>
      </c>
      <c r="R468" s="98" t="n">
        <v>103.31</v>
      </c>
      <c r="S468" s="97">
        <f>(O468*T468)</f>
        <v/>
      </c>
      <c r="T468" s="79" t="n">
        <v>6.95</v>
      </c>
      <c r="U468" s="80" t="n">
        <v>15589.7</v>
      </c>
      <c r="V468" s="80" t="n">
        <v>24.27</v>
      </c>
      <c r="W468" s="97">
        <f>U468/V468</f>
        <v/>
      </c>
      <c r="X468" s="97">
        <f>(W468/U468)*100</f>
        <v/>
      </c>
      <c r="Y468" s="80" t="n">
        <v>12981.5</v>
      </c>
      <c r="Z468" s="80" t="n">
        <v>25.11</v>
      </c>
      <c r="AA468" s="97">
        <f>Y468/Z468</f>
        <v/>
      </c>
      <c r="AB468" s="97">
        <f>(AA468/Y468)*100</f>
        <v/>
      </c>
    </row>
    <row r="469">
      <c r="A469" s="92" t="n">
        <v>468</v>
      </c>
      <c r="B469" s="99" t="n">
        <v>45251</v>
      </c>
      <c r="C469" s="103" t="n">
        <v>33349955.75</v>
      </c>
      <c r="D469" s="98">
        <f>C469/E469</f>
        <v/>
      </c>
      <c r="E469" s="98" t="n">
        <v>83.3</v>
      </c>
      <c r="F469" s="98">
        <f>D469/100000</f>
        <v/>
      </c>
      <c r="G469" s="97">
        <f>(F469/DataSheet!$C$10*100)</f>
        <v/>
      </c>
      <c r="H469" s="98">
        <f>K469/I469</f>
        <v/>
      </c>
      <c r="I469" s="98">
        <f>(J469/L469)*100</f>
        <v/>
      </c>
      <c r="J469" s="97">
        <f>L469/O469</f>
        <v/>
      </c>
      <c r="K469" s="98" t="n">
        <v>7.26</v>
      </c>
      <c r="L469" s="98" t="n">
        <v>19783.4</v>
      </c>
      <c r="M469" s="98" t="n">
        <v>3.47</v>
      </c>
      <c r="N469" s="98">
        <f>K469-I469</f>
        <v/>
      </c>
      <c r="O469" s="98" t="n">
        <v>21.14</v>
      </c>
      <c r="P469" s="98" t="n">
        <v>4.39</v>
      </c>
      <c r="Q469" s="97">
        <f>K469-P469</f>
        <v/>
      </c>
      <c r="R469" s="98" t="n">
        <v>103.44</v>
      </c>
      <c r="S469" s="97">
        <f>(O469*T469)</f>
        <v/>
      </c>
      <c r="T469" s="79" t="n">
        <v>6.95</v>
      </c>
      <c r="U469" s="80" t="n">
        <v>15595.1</v>
      </c>
      <c r="V469" s="80" t="n">
        <v>24.28</v>
      </c>
      <c r="W469" s="97">
        <f>U469/V469</f>
        <v/>
      </c>
      <c r="X469" s="97">
        <f>(W469/U469)*100</f>
        <v/>
      </c>
      <c r="Y469" s="80" t="n">
        <v>13006.55</v>
      </c>
      <c r="Z469" s="80" t="n">
        <v>25.16</v>
      </c>
      <c r="AA469" s="97">
        <f>Y469/Z469</f>
        <v/>
      </c>
      <c r="AB469" s="97">
        <f>(AA469/Y469)*100</f>
        <v/>
      </c>
    </row>
    <row r="470">
      <c r="A470" s="92" t="n">
        <v>469</v>
      </c>
      <c r="B470" s="99" t="n">
        <v>45252</v>
      </c>
      <c r="C470" s="103" t="n">
        <v>33326537.61</v>
      </c>
      <c r="D470" s="98">
        <f>C470/E470</f>
        <v/>
      </c>
      <c r="E470" s="98" t="n">
        <v>83.28</v>
      </c>
      <c r="F470" s="98">
        <f>D470/100000</f>
        <v/>
      </c>
      <c r="G470" s="97">
        <f>(F470/DataSheet!$C$10*100)</f>
        <v/>
      </c>
      <c r="H470" s="98">
        <f>K470/I470</f>
        <v/>
      </c>
      <c r="I470" s="98">
        <f>(J470/L470)*100</f>
        <v/>
      </c>
      <c r="J470" s="97">
        <f>L470/O470</f>
        <v/>
      </c>
      <c r="K470" s="98" t="n">
        <v>7.24</v>
      </c>
      <c r="L470" s="98" t="n">
        <v>19811.85</v>
      </c>
      <c r="M470" s="98" t="n">
        <v>3.47</v>
      </c>
      <c r="N470" s="98">
        <f>K470-I470</f>
        <v/>
      </c>
      <c r="O470" s="98" t="n">
        <v>21.17</v>
      </c>
      <c r="P470" s="98" t="n">
        <v>4.4</v>
      </c>
      <c r="Q470" s="97">
        <f>K470-P470</f>
        <v/>
      </c>
      <c r="R470" s="98" t="n">
        <v>103.82</v>
      </c>
      <c r="S470" s="97">
        <f>(O470*T470)</f>
        <v/>
      </c>
      <c r="T470" s="79" t="n">
        <v>6.94</v>
      </c>
      <c r="U470" s="80" t="n">
        <v>15625.85</v>
      </c>
      <c r="V470" s="80" t="n">
        <v>24.33</v>
      </c>
      <c r="W470" s="97">
        <f>U470/V470</f>
        <v/>
      </c>
      <c r="X470" s="97">
        <f>(W470/U470)*100</f>
        <v/>
      </c>
      <c r="Y470" s="80" t="n">
        <v>12896.2</v>
      </c>
      <c r="Z470" s="80" t="n">
        <v>24.94</v>
      </c>
      <c r="AA470" s="97">
        <f>Y470/Z470</f>
        <v/>
      </c>
      <c r="AB470" s="97">
        <f>(AA470/Y470)*100</f>
        <v/>
      </c>
    </row>
    <row r="471">
      <c r="A471" s="92" t="n">
        <v>470</v>
      </c>
      <c r="B471" s="99" t="n">
        <v>45253</v>
      </c>
      <c r="C471" s="103" t="n">
        <v>33363383.76</v>
      </c>
      <c r="D471" s="98">
        <f>C471/E471</f>
        <v/>
      </c>
      <c r="E471" s="98" t="n">
        <v>83.3</v>
      </c>
      <c r="F471" s="98">
        <f>D471/100000</f>
        <v/>
      </c>
      <c r="G471" s="97">
        <f>(F471/DataSheet!$C$10*100)</f>
        <v/>
      </c>
      <c r="H471" s="98">
        <f>K471/I471</f>
        <v/>
      </c>
      <c r="I471" s="98">
        <f>(J471/L471)*100</f>
        <v/>
      </c>
      <c r="J471" s="97">
        <f>L471/O471</f>
        <v/>
      </c>
      <c r="K471" s="98" t="n">
        <v>7.25</v>
      </c>
      <c r="L471" s="98" t="n">
        <v>19802</v>
      </c>
      <c r="M471" s="98" t="n">
        <v>3.47</v>
      </c>
      <c r="N471" s="98">
        <f>K471-I471</f>
        <v/>
      </c>
      <c r="O471" s="98" t="n">
        <v>21.16</v>
      </c>
      <c r="P471" s="98" t="n">
        <v>4.45</v>
      </c>
      <c r="Q471" s="97">
        <f>K471-P471</f>
        <v/>
      </c>
      <c r="R471" s="98" t="n">
        <v>103.82</v>
      </c>
      <c r="S471" s="97">
        <f>(O471*T471)</f>
        <v/>
      </c>
      <c r="T471" s="79" t="n">
        <v>6.95</v>
      </c>
      <c r="U471" s="80" t="n">
        <v>15641.6</v>
      </c>
      <c r="V471" s="80" t="n">
        <v>24.35</v>
      </c>
      <c r="W471" s="97">
        <f>U471/V471</f>
        <v/>
      </c>
      <c r="X471" s="97">
        <f>(W471/U471)*100</f>
        <v/>
      </c>
      <c r="Y471" s="80" t="n">
        <v>12962.4</v>
      </c>
      <c r="Z471" s="80" t="n">
        <v>25.07</v>
      </c>
      <c r="AA471" s="97">
        <f>Y471/Z471</f>
        <v/>
      </c>
      <c r="AB471" s="97">
        <f>(AA471/Y471)*100</f>
        <v/>
      </c>
    </row>
    <row r="472">
      <c r="A472" s="92" t="n">
        <v>471</v>
      </c>
      <c r="B472" s="99" t="n">
        <v>45254</v>
      </c>
      <c r="C472" s="103" t="n">
        <v>33403473.02</v>
      </c>
      <c r="D472" s="98">
        <f>C472/E472</f>
        <v/>
      </c>
      <c r="E472" s="98" t="n">
        <v>83.34</v>
      </c>
      <c r="F472" s="98">
        <f>D472/100000</f>
        <v/>
      </c>
      <c r="G472" s="97">
        <f>(F472/DataSheet!$C$10*100)</f>
        <v/>
      </c>
      <c r="H472" s="98">
        <f>K472/I472</f>
        <v/>
      </c>
      <c r="I472" s="98">
        <f>(J472/L472)*100</f>
        <v/>
      </c>
      <c r="J472" s="97">
        <f>L472/O472</f>
        <v/>
      </c>
      <c r="K472" s="98" t="n">
        <v>7.27</v>
      </c>
      <c r="L472" s="98" t="n">
        <v>19794.7</v>
      </c>
      <c r="M472" s="98" t="n">
        <v>3.47</v>
      </c>
      <c r="N472" s="98">
        <f>K472-I472</f>
        <v/>
      </c>
      <c r="O472" s="98" t="n">
        <v>21.15</v>
      </c>
      <c r="P472" s="98" t="n">
        <v>4.47</v>
      </c>
      <c r="Q472" s="97">
        <f>K472-P472</f>
        <v/>
      </c>
      <c r="R472" s="98" t="n">
        <v>103.3</v>
      </c>
      <c r="S472" s="97">
        <f>(O472*T472)</f>
        <v/>
      </c>
      <c r="T472" s="79" t="n">
        <v>6.95</v>
      </c>
      <c r="U472" s="80" t="n">
        <v>15673.5</v>
      </c>
      <c r="V472" s="80" t="n">
        <v>24.4</v>
      </c>
      <c r="W472" s="97">
        <f>U472/V472</f>
        <v/>
      </c>
      <c r="X472" s="97">
        <f>(W472/U472)*100</f>
        <v/>
      </c>
      <c r="Y472" s="80" t="n">
        <v>12984.95</v>
      </c>
      <c r="Z472" s="80" t="n">
        <v>25.11</v>
      </c>
      <c r="AA472" s="97">
        <f>Y472/Z472</f>
        <v/>
      </c>
      <c r="AB472" s="97">
        <f>(AA472/Y472)*100</f>
        <v/>
      </c>
    </row>
    <row r="473">
      <c r="A473" s="92" t="n">
        <v>472</v>
      </c>
      <c r="B473" s="99" t="n">
        <v>45258</v>
      </c>
      <c r="C473" s="103" t="n">
        <v>33632282.71</v>
      </c>
      <c r="D473" s="98">
        <f>C473/E473</f>
        <v/>
      </c>
      <c r="E473" s="98" t="n">
        <v>83.34</v>
      </c>
      <c r="F473" s="98">
        <f>D473/100000</f>
        <v/>
      </c>
      <c r="G473" s="97">
        <f>(F473/DataSheet!$C$10*100)</f>
        <v/>
      </c>
      <c r="H473" s="98">
        <f>K473/I473</f>
        <v/>
      </c>
      <c r="I473" s="98">
        <f>(J473/L473)*100</f>
        <v/>
      </c>
      <c r="J473" s="97">
        <f>L473/O473</f>
        <v/>
      </c>
      <c r="K473" s="98" t="n">
        <v>7.27</v>
      </c>
      <c r="L473" s="98" t="n">
        <v>19889.7</v>
      </c>
      <c r="M473" s="98" t="n">
        <v>3.49</v>
      </c>
      <c r="N473" s="98">
        <f>K473-I473</f>
        <v/>
      </c>
      <c r="O473" s="98" t="n">
        <v>21.26</v>
      </c>
      <c r="P473" s="98" t="n">
        <v>4.32</v>
      </c>
      <c r="Q473" s="97">
        <f>K473-P473</f>
        <v/>
      </c>
      <c r="R473" s="98" t="n">
        <v>102.64</v>
      </c>
      <c r="S473" s="97">
        <f>(O473*T473)</f>
        <v/>
      </c>
      <c r="T473" s="79" t="n">
        <v>6.95</v>
      </c>
      <c r="U473" s="80" t="n">
        <v>15734.35</v>
      </c>
      <c r="V473" s="80" t="n">
        <v>24.5</v>
      </c>
      <c r="W473" s="97">
        <f>U473/V473</f>
        <v/>
      </c>
      <c r="X473" s="97">
        <f>(W473/U473)*100</f>
        <v/>
      </c>
      <c r="Y473" s="80" t="n">
        <v>13013.9</v>
      </c>
      <c r="Z473" s="80" t="n">
        <v>25.17</v>
      </c>
      <c r="AA473" s="97">
        <f>Y473/Z473</f>
        <v/>
      </c>
      <c r="AB473" s="97">
        <f>(AA473/Y473)*100</f>
        <v/>
      </c>
    </row>
    <row r="474">
      <c r="A474" s="92" t="n">
        <v>473</v>
      </c>
      <c r="B474" s="99" t="n">
        <v>45259</v>
      </c>
      <c r="C474" s="103" t="n">
        <v>33867590.56</v>
      </c>
      <c r="D474" s="98">
        <f>C474/E474</f>
        <v/>
      </c>
      <c r="E474" s="98" t="n">
        <v>83.34999999999999</v>
      </c>
      <c r="F474" s="98">
        <f>D474/100000</f>
        <v/>
      </c>
      <c r="G474" s="97">
        <f>(F474/DataSheet!$C$10*100)</f>
        <v/>
      </c>
      <c r="H474" s="98">
        <f>K474/I474</f>
        <v/>
      </c>
      <c r="I474" s="98">
        <f>(J474/L474)*100</f>
        <v/>
      </c>
      <c r="J474" s="97">
        <f>L474/O474</f>
        <v/>
      </c>
      <c r="K474" s="98" t="n">
        <v>7.25</v>
      </c>
      <c r="L474" s="98" t="n">
        <v>20096.6</v>
      </c>
      <c r="M474" s="98" t="n">
        <v>3.52</v>
      </c>
      <c r="N474" s="98">
        <f>K474-I474</f>
        <v/>
      </c>
      <c r="O474" s="98" t="n">
        <v>21.48</v>
      </c>
      <c r="P474" s="98" t="n">
        <v>4.25</v>
      </c>
      <c r="Q474" s="97">
        <f>K474-P474</f>
        <v/>
      </c>
      <c r="R474" s="98" t="n">
        <v>102.67</v>
      </c>
      <c r="S474" s="97">
        <f>(O474*T474)</f>
        <v/>
      </c>
      <c r="T474" s="79" t="n">
        <v>6.98</v>
      </c>
      <c r="U474" s="80" t="n">
        <v>15838.85</v>
      </c>
      <c r="V474" s="80" t="n">
        <v>24.66</v>
      </c>
      <c r="W474" s="97">
        <f>U474/V474</f>
        <v/>
      </c>
      <c r="X474" s="97">
        <f>(W474/U474)*100</f>
        <v/>
      </c>
      <c r="Y474" s="80" t="n">
        <v>13112.1</v>
      </c>
      <c r="Z474" s="80" t="n">
        <v>25.36</v>
      </c>
      <c r="AA474" s="97">
        <f>Y474/Z474</f>
        <v/>
      </c>
      <c r="AB474" s="97">
        <f>(AA474/Y474)*100</f>
        <v/>
      </c>
    </row>
    <row r="475">
      <c r="A475" s="92" t="n">
        <v>474</v>
      </c>
      <c r="B475" s="99" t="n">
        <v>45260</v>
      </c>
      <c r="C475" s="103" t="n">
        <v>34093304.47</v>
      </c>
      <c r="D475" s="98">
        <f>C475/E475</f>
        <v/>
      </c>
      <c r="E475" s="98" t="n">
        <v>83.34999999999999</v>
      </c>
      <c r="F475" s="98">
        <f>D475/100000</f>
        <v/>
      </c>
      <c r="G475" s="97">
        <f>(F475/DataSheet!$C$10*100)</f>
        <v/>
      </c>
      <c r="H475" s="98">
        <f>K475/I475</f>
        <v/>
      </c>
      <c r="I475" s="98">
        <f>(J475/L475)*100</f>
        <v/>
      </c>
      <c r="J475" s="97">
        <f>L475/O475</f>
        <v/>
      </c>
      <c r="K475" s="98" t="n">
        <v>7.27</v>
      </c>
      <c r="L475" s="98" t="n">
        <v>20133.15</v>
      </c>
      <c r="M475" s="98" t="n">
        <v>3.53</v>
      </c>
      <c r="N475" s="98">
        <f>K475-I475</f>
        <v/>
      </c>
      <c r="O475" s="98" t="n">
        <v>21.52</v>
      </c>
      <c r="P475" s="98" t="n">
        <v>4.33</v>
      </c>
      <c r="Q475" s="97">
        <f>K475-P475</f>
        <v/>
      </c>
      <c r="R475" s="98" t="n">
        <v>103.42</v>
      </c>
      <c r="S475" s="97">
        <f>(O475*T475)</f>
        <v/>
      </c>
      <c r="T475" s="79" t="n">
        <v>6.99</v>
      </c>
      <c r="U475" s="80" t="n">
        <v>15963.25</v>
      </c>
      <c r="V475" s="80" t="n">
        <v>24.85</v>
      </c>
      <c r="W475" s="97">
        <f>U475/V475</f>
        <v/>
      </c>
      <c r="X475" s="97">
        <f>(W475/U475)*100</f>
        <v/>
      </c>
      <c r="Y475" s="80" t="n">
        <v>13252</v>
      </c>
      <c r="Z475" s="80" t="n">
        <v>25.63</v>
      </c>
      <c r="AA475" s="97">
        <f>Y475/Z475</f>
        <v/>
      </c>
      <c r="AB475" s="97">
        <f>(AA475/Y475)*100</f>
        <v/>
      </c>
    </row>
    <row r="476">
      <c r="A476" s="92" t="n">
        <v>475</v>
      </c>
      <c r="B476" s="99" t="n">
        <v>45261</v>
      </c>
      <c r="C476" s="103" t="n">
        <v>34305305.42</v>
      </c>
      <c r="D476" s="98">
        <f>C476/E476</f>
        <v/>
      </c>
      <c r="E476" s="98" t="n">
        <v>83.26000000000001</v>
      </c>
      <c r="F476" s="98">
        <f>D476/100000</f>
        <v/>
      </c>
      <c r="G476" s="97">
        <f>(F476/DataSheet!$C$10*100)</f>
        <v/>
      </c>
      <c r="H476" s="98">
        <f>K476/I476</f>
        <v/>
      </c>
      <c r="I476" s="98">
        <f>(J476/L476)*100</f>
        <v/>
      </c>
      <c r="J476" s="97">
        <f>L476/O476</f>
        <v/>
      </c>
      <c r="K476" s="98" t="n">
        <v>7.29</v>
      </c>
      <c r="L476" s="98" t="n">
        <v>20267.9</v>
      </c>
      <c r="M476" s="98" t="n">
        <v>3.55</v>
      </c>
      <c r="N476" s="98">
        <f>K476-I476</f>
        <v/>
      </c>
      <c r="O476" s="98" t="n">
        <v>21.66</v>
      </c>
      <c r="P476" s="98" t="n">
        <v>4.2</v>
      </c>
      <c r="Q476" s="97">
        <f>K476-P476</f>
        <v/>
      </c>
      <c r="R476" s="98" t="n">
        <v>103.2</v>
      </c>
      <c r="S476" s="97">
        <f>(O476*T476)</f>
        <v/>
      </c>
      <c r="T476" s="79" t="n">
        <v>6.98</v>
      </c>
      <c r="U476" s="80" t="n">
        <v>16104.8</v>
      </c>
      <c r="V476" s="80" t="n">
        <v>25.07</v>
      </c>
      <c r="W476" s="97">
        <f>U476/V476</f>
        <v/>
      </c>
      <c r="X476" s="97">
        <f>(W476/U476)*100</f>
        <v/>
      </c>
      <c r="Y476" s="80" t="n">
        <v>13326.6</v>
      </c>
      <c r="Z476" s="80" t="n">
        <v>25.77</v>
      </c>
      <c r="AA476" s="97">
        <f>Y476/Z476</f>
        <v/>
      </c>
      <c r="AB476" s="97">
        <f>(AA476/Y476)*100</f>
        <v/>
      </c>
    </row>
    <row r="477">
      <c r="A477" s="92" t="n">
        <v>476</v>
      </c>
      <c r="B477" s="99" t="n">
        <v>45264</v>
      </c>
      <c r="C477" s="103" t="n">
        <v>34884134.67</v>
      </c>
      <c r="D477" s="98">
        <f>C477/E477</f>
        <v/>
      </c>
      <c r="E477" s="98" t="n">
        <v>83.42</v>
      </c>
      <c r="F477" s="98">
        <f>D477/100000</f>
        <v/>
      </c>
      <c r="G477" s="97">
        <f>(F477/DataSheet!$C$10*100)</f>
        <v/>
      </c>
      <c r="H477" s="98">
        <f>K477/I477</f>
        <v/>
      </c>
      <c r="I477" s="98">
        <f>(J477/L477)*100</f>
        <v/>
      </c>
      <c r="J477" s="97">
        <f>L477/O477</f>
        <v/>
      </c>
      <c r="K477" s="98" t="n">
        <v>7.27</v>
      </c>
      <c r="L477" s="98" t="n">
        <v>20686.8</v>
      </c>
      <c r="M477" s="98" t="n">
        <v>3.63</v>
      </c>
      <c r="N477" s="98">
        <f>K477-I477</f>
        <v/>
      </c>
      <c r="O477" s="98" t="n">
        <v>22.11</v>
      </c>
      <c r="P477" s="98" t="n">
        <v>4.25</v>
      </c>
      <c r="Q477" s="97">
        <f>K477-P477</f>
        <v/>
      </c>
      <c r="R477" s="98" t="n">
        <v>103.64</v>
      </c>
      <c r="S477" s="97">
        <f>(O477*T477)</f>
        <v/>
      </c>
      <c r="T477" s="79" t="n">
        <v>6.98</v>
      </c>
      <c r="U477" s="80" t="n">
        <v>16302.45</v>
      </c>
      <c r="V477" s="80" t="n">
        <v>25.38</v>
      </c>
      <c r="W477" s="97">
        <f>U477/V477</f>
        <v/>
      </c>
      <c r="X477" s="97">
        <f>(W477/U477)*100</f>
        <v/>
      </c>
      <c r="Y477" s="80" t="n">
        <v>13489.05</v>
      </c>
      <c r="Z477" s="80" t="n">
        <v>26.09</v>
      </c>
      <c r="AA477" s="97">
        <f>Y477/Z477</f>
        <v/>
      </c>
      <c r="AB477" s="97">
        <f>(AA477/Y477)*100</f>
        <v/>
      </c>
    </row>
    <row r="478">
      <c r="A478" s="92" t="n">
        <v>477</v>
      </c>
      <c r="B478" s="99" t="n">
        <v>45265</v>
      </c>
      <c r="C478" s="103" t="n">
        <v>35185533.92</v>
      </c>
      <c r="D478" s="98">
        <f>C478/E478</f>
        <v/>
      </c>
      <c r="E478" s="98" t="n">
        <v>83.31999999999999</v>
      </c>
      <c r="F478" s="98">
        <f>D478/100000</f>
        <v/>
      </c>
      <c r="G478" s="97">
        <f>(F478/DataSheet!$C$10*100)</f>
        <v/>
      </c>
      <c r="H478" s="98">
        <f>K478/I478</f>
        <v/>
      </c>
      <c r="I478" s="98">
        <f>(J478/L478)*100</f>
        <v/>
      </c>
      <c r="J478" s="97">
        <f>L478/O478</f>
        <v/>
      </c>
      <c r="K478" s="98" t="n">
        <v>7.26</v>
      </c>
      <c r="L478" s="98" t="n">
        <v>20855.1</v>
      </c>
      <c r="M478" s="98" t="n">
        <v>3.66</v>
      </c>
      <c r="N478" s="98">
        <f>K478-I478</f>
        <v/>
      </c>
      <c r="O478" s="98" t="n">
        <v>22.29</v>
      </c>
      <c r="P478" s="98" t="n">
        <v>4.16</v>
      </c>
      <c r="Q478" s="97">
        <f>K478-P478</f>
        <v/>
      </c>
      <c r="R478" s="98" t="n">
        <v>103.99</v>
      </c>
      <c r="S478" s="97">
        <f>(O478*T478)</f>
        <v/>
      </c>
      <c r="T478" s="79" t="n">
        <v>6.98</v>
      </c>
      <c r="U478" s="80" t="n">
        <v>16364.1</v>
      </c>
      <c r="V478" s="80" t="n">
        <v>25.48</v>
      </c>
      <c r="W478" s="97">
        <f>U478/V478</f>
        <v/>
      </c>
      <c r="X478" s="97">
        <f>(W478/U478)*100</f>
        <v/>
      </c>
      <c r="Y478" s="80" t="n">
        <v>13509.05</v>
      </c>
      <c r="Z478" s="80" t="n">
        <v>26.13</v>
      </c>
      <c r="AA478" s="97">
        <f>Y478/Z478</f>
        <v/>
      </c>
      <c r="AB478" s="97">
        <f>(AA478/Y478)*100</f>
        <v/>
      </c>
    </row>
    <row r="479">
      <c r="A479" s="92" t="n">
        <v>478</v>
      </c>
      <c r="B479" s="99" t="n">
        <v>45266</v>
      </c>
      <c r="C479" s="103" t="n">
        <v>35424796.44</v>
      </c>
      <c r="D479" s="98">
        <f>C479/E479</f>
        <v/>
      </c>
      <c r="E479" s="98" t="n">
        <v>83.33</v>
      </c>
      <c r="F479" s="98">
        <f>D479/100000</f>
        <v/>
      </c>
      <c r="G479" s="97">
        <f>(F479/DataSheet!$C$10*100)</f>
        <v/>
      </c>
      <c r="H479" s="98">
        <f>K479/I479</f>
        <v/>
      </c>
      <c r="I479" s="98">
        <f>(J479/L479)*100</f>
        <v/>
      </c>
      <c r="J479" s="97">
        <f>L479/O479</f>
        <v/>
      </c>
      <c r="K479" s="98" t="n">
        <v>7.24</v>
      </c>
      <c r="L479" s="98" t="n">
        <v>20937.7</v>
      </c>
      <c r="M479" s="98" t="n">
        <v>3.67</v>
      </c>
      <c r="N479" s="98">
        <f>K479-I479</f>
        <v/>
      </c>
      <c r="O479" s="98" t="n">
        <v>22.38</v>
      </c>
      <c r="P479" s="98" t="n">
        <v>4.11</v>
      </c>
      <c r="Q479" s="97">
        <f>K479-P479</f>
        <v/>
      </c>
      <c r="R479" s="98" t="n">
        <v>104.1</v>
      </c>
      <c r="S479" s="97">
        <f>(O479*T479)</f>
        <v/>
      </c>
      <c r="T479" s="79" t="n">
        <v>6.97</v>
      </c>
      <c r="U479" s="80" t="n">
        <v>16389.05</v>
      </c>
      <c r="V479" s="80" t="n">
        <v>25.52</v>
      </c>
      <c r="W479" s="97">
        <f>U479/V479</f>
        <v/>
      </c>
      <c r="X479" s="97">
        <f>(W479/U479)*100</f>
        <v/>
      </c>
      <c r="Y479" s="80" t="n">
        <v>13545.4</v>
      </c>
      <c r="Z479" s="80" t="n">
        <v>26.2</v>
      </c>
      <c r="AA479" s="97">
        <f>Y479/Z479</f>
        <v/>
      </c>
      <c r="AB479" s="97">
        <f>(AA479/Y479)*100</f>
        <v/>
      </c>
    </row>
    <row r="480">
      <c r="A480" s="92" t="n">
        <v>479</v>
      </c>
      <c r="B480" s="99" t="n">
        <v>45267</v>
      </c>
      <c r="C480" s="103" t="n">
        <v>35548642.88</v>
      </c>
      <c r="D480" s="98">
        <f>C480/E480</f>
        <v/>
      </c>
      <c r="E480" s="98" t="n">
        <v>83.34</v>
      </c>
      <c r="F480" s="98">
        <f>D480/100000</f>
        <v/>
      </c>
      <c r="G480" s="97">
        <f>(F480/DataSheet!$C$10*100)</f>
        <v/>
      </c>
      <c r="H480" s="98">
        <f>K480/I480</f>
        <v/>
      </c>
      <c r="I480" s="98">
        <f>(J480/L480)*100</f>
        <v/>
      </c>
      <c r="J480" s="97">
        <f>L480/O480</f>
        <v/>
      </c>
      <c r="K480" s="98" t="n">
        <v>7.23</v>
      </c>
      <c r="L480" s="98" t="n">
        <v>20901.15</v>
      </c>
      <c r="M480" s="98" t="n">
        <v>3.67</v>
      </c>
      <c r="N480" s="98">
        <f>K480-I480</f>
        <v/>
      </c>
      <c r="O480" s="98" t="n">
        <v>22.34</v>
      </c>
      <c r="P480" s="98" t="n">
        <v>4.14</v>
      </c>
      <c r="Q480" s="97">
        <f>K480-P480</f>
        <v/>
      </c>
      <c r="R480" s="98" t="n">
        <v>103.5</v>
      </c>
      <c r="S480" s="97">
        <f>(O480*T480)</f>
        <v/>
      </c>
      <c r="T480" s="79" t="n">
        <v>6.98</v>
      </c>
      <c r="U480" s="80" t="n">
        <v>16479.85</v>
      </c>
      <c r="V480" s="80" t="n">
        <v>25.66</v>
      </c>
      <c r="W480" s="97">
        <f>U480/V480</f>
        <v/>
      </c>
      <c r="X480" s="97">
        <f>(W480/U480)*100</f>
        <v/>
      </c>
      <c r="Y480" s="80" t="n">
        <v>13586.2</v>
      </c>
      <c r="Z480" s="80" t="n">
        <v>26.28</v>
      </c>
      <c r="AA480" s="97">
        <f>Y480/Z480</f>
        <v/>
      </c>
      <c r="AB480" s="97">
        <f>(AA480/Y480)*100</f>
        <v/>
      </c>
    </row>
    <row r="481">
      <c r="A481" s="92" t="n">
        <v>480</v>
      </c>
      <c r="B481" s="99" t="n">
        <v>45268</v>
      </c>
      <c r="C481" s="103" t="n">
        <v>35460198.26</v>
      </c>
      <c r="D481" s="98">
        <f>C481/E481</f>
        <v/>
      </c>
      <c r="E481" s="98" t="n">
        <v>83.42</v>
      </c>
      <c r="F481" s="98">
        <f>D481/100000</f>
        <v/>
      </c>
      <c r="G481" s="97">
        <f>(F481/DataSheet!$C$10*100)</f>
        <v/>
      </c>
      <c r="H481" s="98">
        <f>K481/I481</f>
        <v/>
      </c>
      <c r="I481" s="98">
        <f>(J481/L481)*100</f>
        <v/>
      </c>
      <c r="J481" s="97">
        <f>L481/O481</f>
        <v/>
      </c>
      <c r="K481" s="98" t="n">
        <v>7.26</v>
      </c>
      <c r="L481" s="98" t="n">
        <v>20969.4</v>
      </c>
      <c r="M481" s="98" t="n">
        <v>3.68</v>
      </c>
      <c r="N481" s="98">
        <f>K481-I481</f>
        <v/>
      </c>
      <c r="O481" s="98" t="n">
        <v>22.41</v>
      </c>
      <c r="P481" s="98" t="n">
        <v>4.22</v>
      </c>
      <c r="Q481" s="97">
        <f>K481-P481</f>
        <v/>
      </c>
      <c r="R481" s="98" t="n">
        <v>103.98</v>
      </c>
      <c r="S481" s="97">
        <f>(O481*T481)</f>
        <v/>
      </c>
      <c r="T481" s="79" t="n">
        <v>6.97</v>
      </c>
      <c r="U481" s="80" t="n">
        <v>16447.95</v>
      </c>
      <c r="V481" s="80" t="n">
        <v>25.61</v>
      </c>
      <c r="W481" s="97">
        <f>U481/V481</f>
        <v/>
      </c>
      <c r="X481" s="97">
        <f>(W481/U481)*100</f>
        <v/>
      </c>
      <c r="Y481" s="80" t="n">
        <v>13470.8</v>
      </c>
      <c r="Z481" s="80" t="n">
        <v>26.05</v>
      </c>
      <c r="AA481" s="97">
        <f>Y481/Z481</f>
        <v/>
      </c>
      <c r="AB481" s="97">
        <f>(AA481/Y481)*100</f>
        <v/>
      </c>
    </row>
    <row r="482">
      <c r="A482" s="92" t="n">
        <v>481</v>
      </c>
      <c r="B482" s="99" t="n">
        <v>45271</v>
      </c>
      <c r="C482" s="103" t="n">
        <v>35639463.54</v>
      </c>
      <c r="D482" s="98">
        <f>C482/E482</f>
        <v/>
      </c>
      <c r="E482" s="98" t="n">
        <v>83.34999999999999</v>
      </c>
      <c r="F482" s="98">
        <f>D482/100000</f>
        <v/>
      </c>
      <c r="G482" s="97">
        <f>(F482/DataSheet!$C$10*100)</f>
        <v/>
      </c>
      <c r="H482" s="98">
        <f>K482/I482</f>
        <v/>
      </c>
      <c r="I482" s="98">
        <f>(J482/L482)*100</f>
        <v/>
      </c>
      <c r="J482" s="97">
        <f>L482/O482</f>
        <v/>
      </c>
      <c r="K482" s="98" t="n">
        <v>7.28</v>
      </c>
      <c r="L482" s="98" t="n">
        <v>20997.1</v>
      </c>
      <c r="M482" s="98" t="n">
        <v>3.68</v>
      </c>
      <c r="N482" s="98">
        <f>K482-I482</f>
        <v/>
      </c>
      <c r="O482" s="98" t="n">
        <v>22.44</v>
      </c>
      <c r="P482" s="98" t="n">
        <v>4.23</v>
      </c>
      <c r="Q482" s="97">
        <f>K482-P482</f>
        <v/>
      </c>
      <c r="R482" s="98" t="n">
        <v>103.7</v>
      </c>
      <c r="S482" s="97">
        <f>(O482*T482)</f>
        <v/>
      </c>
      <c r="T482" s="79" t="n">
        <v>6.95</v>
      </c>
      <c r="U482" s="80" t="n">
        <v>16560.5</v>
      </c>
      <c r="V482" s="80" t="n">
        <v>25.78</v>
      </c>
      <c r="W482" s="97">
        <f>U482/V482</f>
        <v/>
      </c>
      <c r="X482" s="97">
        <f>(W482/U482)*100</f>
        <v/>
      </c>
      <c r="Y482" s="80" t="n">
        <v>13546.35</v>
      </c>
      <c r="Z482" s="80" t="n">
        <v>26.2</v>
      </c>
      <c r="AA482" s="97">
        <f>Y482/Z482</f>
        <v/>
      </c>
      <c r="AB482" s="97">
        <f>(AA482/Y482)*100</f>
        <v/>
      </c>
    </row>
    <row r="483">
      <c r="A483" s="92" t="n">
        <v>482</v>
      </c>
      <c r="B483" s="99" t="n">
        <v>45272</v>
      </c>
      <c r="C483" s="103" t="n">
        <v>35510493.43</v>
      </c>
      <c r="D483" s="98">
        <f>C483/E483</f>
        <v/>
      </c>
      <c r="E483" s="98" t="n">
        <v>83.39</v>
      </c>
      <c r="F483" s="98">
        <f>D483/100000</f>
        <v/>
      </c>
      <c r="G483" s="97">
        <f>(F483/DataSheet!$C$10*100)</f>
        <v/>
      </c>
      <c r="H483" s="98">
        <f>K483/I483</f>
        <v/>
      </c>
      <c r="I483" s="98">
        <f>(J483/L483)*100</f>
        <v/>
      </c>
      <c r="J483" s="97">
        <f>L483/O483</f>
        <v/>
      </c>
      <c r="K483" s="98" t="n">
        <v>7.27</v>
      </c>
      <c r="L483" s="98" t="n">
        <v>20906.4</v>
      </c>
      <c r="M483" s="98" t="n">
        <v>3.67</v>
      </c>
      <c r="N483" s="98">
        <f>K483-I483</f>
        <v/>
      </c>
      <c r="O483" s="98" t="n">
        <v>22.34</v>
      </c>
      <c r="P483" s="98" t="n">
        <v>4.21</v>
      </c>
      <c r="Q483" s="97">
        <f>K483-P483</f>
        <v/>
      </c>
      <c r="R483" s="98" t="n">
        <v>103.46</v>
      </c>
      <c r="S483" s="97">
        <f>(O483*T483)</f>
        <v/>
      </c>
      <c r="T483" s="79" t="n">
        <v>6.97</v>
      </c>
      <c r="U483" s="80" t="n">
        <v>16490.5</v>
      </c>
      <c r="V483" s="80" t="n">
        <v>25.67</v>
      </c>
      <c r="W483" s="97">
        <f>U483/V483</f>
        <v/>
      </c>
      <c r="X483" s="97">
        <f>(W483/U483)*100</f>
        <v/>
      </c>
      <c r="Y483" s="80" t="n">
        <v>13529.6</v>
      </c>
      <c r="Z483" s="80" t="n">
        <v>26.17</v>
      </c>
      <c r="AA483" s="97">
        <f>Y483/Z483</f>
        <v/>
      </c>
      <c r="AB483" s="97">
        <f>(AA483/Y483)*100</f>
        <v/>
      </c>
    </row>
    <row r="484">
      <c r="A484" s="92" t="n">
        <v>483</v>
      </c>
      <c r="B484" s="99" t="n">
        <v>45273</v>
      </c>
      <c r="C484" s="103" t="n">
        <v>35653070.67</v>
      </c>
      <c r="D484" s="98">
        <f>C484/E484</f>
        <v/>
      </c>
      <c r="E484" s="98" t="n">
        <v>83.34999999999999</v>
      </c>
      <c r="F484" s="98">
        <f>D484/100000</f>
        <v/>
      </c>
      <c r="G484" s="97">
        <f>(F484/DataSheet!$C$10*100)</f>
        <v/>
      </c>
      <c r="H484" s="98">
        <f>K484/I484</f>
        <v/>
      </c>
      <c r="I484" s="98">
        <f>(J484/L484)*100</f>
        <v/>
      </c>
      <c r="J484" s="97">
        <f>L484/O484</f>
        <v/>
      </c>
      <c r="K484" s="98" t="n">
        <v>7.25</v>
      </c>
      <c r="L484" s="98" t="n">
        <v>20926.35</v>
      </c>
      <c r="M484" s="98" t="n">
        <v>3.67</v>
      </c>
      <c r="N484" s="98">
        <f>K484-I484</f>
        <v/>
      </c>
      <c r="O484" s="98" t="n">
        <v>22.36</v>
      </c>
      <c r="P484" s="98" t="n">
        <v>4.02</v>
      </c>
      <c r="Q484" s="97">
        <f>K484-P484</f>
        <v/>
      </c>
      <c r="R484" s="98" t="n">
        <v>102.47</v>
      </c>
      <c r="S484" s="97">
        <f>(O484*T484)</f>
        <v/>
      </c>
      <c r="T484" s="79" t="n">
        <v>6.97</v>
      </c>
      <c r="U484" s="80" t="n">
        <v>16629.55</v>
      </c>
      <c r="V484" s="80" t="n">
        <v>25.89</v>
      </c>
      <c r="W484" s="97">
        <f>U484/V484</f>
        <v/>
      </c>
      <c r="X484" s="97">
        <f>(W484/U484)*100</f>
        <v/>
      </c>
      <c r="Y484" s="80" t="n">
        <v>13616.7</v>
      </c>
      <c r="Z484" s="80" t="n">
        <v>26.33</v>
      </c>
      <c r="AA484" s="97">
        <f>Y484/Z484</f>
        <v/>
      </c>
      <c r="AB484" s="97">
        <f>(AA484/Y484)*100</f>
        <v/>
      </c>
    </row>
    <row r="485">
      <c r="A485" s="92" t="n">
        <v>484</v>
      </c>
      <c r="B485" s="99" t="n">
        <v>45274</v>
      </c>
      <c r="C485" s="103" t="n">
        <v>36035345.74</v>
      </c>
      <c r="D485" s="98">
        <f>C485/E485</f>
        <v/>
      </c>
      <c r="E485" s="98" t="n">
        <v>83.3</v>
      </c>
      <c r="F485" s="98">
        <f>D485/100000</f>
        <v/>
      </c>
      <c r="G485" s="97">
        <f>(F485/DataSheet!$C$10*100)</f>
        <v/>
      </c>
      <c r="H485" s="98">
        <f>K485/I485</f>
        <v/>
      </c>
      <c r="I485" s="98">
        <f>(J485/L485)*100</f>
        <v/>
      </c>
      <c r="J485" s="97">
        <f>L485/O485</f>
        <v/>
      </c>
      <c r="K485" s="98" t="n">
        <v>7.19</v>
      </c>
      <c r="L485" s="98" t="n">
        <v>21182.7</v>
      </c>
      <c r="M485" s="98" t="n">
        <v>3.71</v>
      </c>
      <c r="N485" s="98">
        <f>K485-I485</f>
        <v/>
      </c>
      <c r="O485" s="98" t="n">
        <v>22.63</v>
      </c>
      <c r="P485" s="98" t="n">
        <v>3.92</v>
      </c>
      <c r="Q485" s="97">
        <f>K485-P485</f>
        <v/>
      </c>
      <c r="R485" s="98" t="n">
        <v>101.57</v>
      </c>
      <c r="S485" s="97">
        <f>(O485*T485)</f>
        <v/>
      </c>
      <c r="T485" s="79" t="n">
        <v>6.99</v>
      </c>
      <c r="U485" s="80" t="n">
        <v>16813.75</v>
      </c>
      <c r="V485" s="80" t="n">
        <v>26.18</v>
      </c>
      <c r="W485" s="97">
        <f>U485/V485</f>
        <v/>
      </c>
      <c r="X485" s="97">
        <f>(W485/U485)*100</f>
        <v/>
      </c>
      <c r="Y485" s="80" t="n">
        <v>13722.75</v>
      </c>
      <c r="Z485" s="80" t="n">
        <v>26.54</v>
      </c>
      <c r="AA485" s="97">
        <f>Y485/Z485</f>
        <v/>
      </c>
      <c r="AB485" s="97">
        <f>(AA485/Y485)*100</f>
        <v/>
      </c>
    </row>
    <row r="486">
      <c r="A486" s="92" t="n">
        <v>485</v>
      </c>
      <c r="B486" s="99" t="n">
        <v>45275</v>
      </c>
      <c r="C486" s="103" t="n">
        <v>36323869.19</v>
      </c>
      <c r="D486" s="98">
        <f>C486/E486</f>
        <v/>
      </c>
      <c r="E486" s="98" t="n">
        <v>83.04000000000001</v>
      </c>
      <c r="F486" s="98">
        <f>D486/100000</f>
        <v/>
      </c>
      <c r="G486" s="97">
        <f>(F486/DataSheet!$C$10*100)</f>
        <v/>
      </c>
      <c r="H486" s="98">
        <f>K486/I486</f>
        <v/>
      </c>
      <c r="I486" s="98">
        <f>(J486/L486)*100</f>
        <v/>
      </c>
      <c r="J486" s="97">
        <f>L486/O486</f>
        <v/>
      </c>
      <c r="K486" s="98" t="n">
        <v>7.16</v>
      </c>
      <c r="L486" s="98" t="n">
        <v>21456.65</v>
      </c>
      <c r="M486" s="98" t="n">
        <v>3.76</v>
      </c>
      <c r="N486" s="98">
        <f>K486-I486</f>
        <v/>
      </c>
      <c r="O486" s="98" t="n">
        <v>22.92</v>
      </c>
      <c r="P486" s="98" t="n">
        <v>3.91</v>
      </c>
      <c r="Q486" s="97">
        <f>K486-P486</f>
        <v/>
      </c>
      <c r="R486" s="98" t="n">
        <v>102.54</v>
      </c>
      <c r="S486" s="97">
        <f>(O486*T486)</f>
        <v/>
      </c>
      <c r="T486" s="79" t="n">
        <v>6.89</v>
      </c>
      <c r="U486" s="80" t="n">
        <v>16850.05</v>
      </c>
      <c r="V486" s="80" t="n">
        <v>26.23</v>
      </c>
      <c r="W486" s="97">
        <f>U486/V486</f>
        <v/>
      </c>
      <c r="X486" s="97">
        <f>(W486/U486)*100</f>
        <v/>
      </c>
      <c r="Y486" s="80" t="n">
        <v>13820.45</v>
      </c>
      <c r="Z486" s="80" t="n">
        <v>26.73</v>
      </c>
      <c r="AA486" s="97">
        <f>Y486/Z486</f>
        <v/>
      </c>
      <c r="AB486" s="97">
        <f>(AA486/Y486)*100</f>
        <v/>
      </c>
    </row>
    <row r="487">
      <c r="A487" s="92" t="n">
        <v>486</v>
      </c>
      <c r="B487" s="99" t="n">
        <v>45278</v>
      </c>
      <c r="C487" s="103" t="n">
        <v>36409498.48</v>
      </c>
      <c r="D487" s="98">
        <f>C487/E487</f>
        <v/>
      </c>
      <c r="E487" s="98" t="n">
        <v>83.14</v>
      </c>
      <c r="F487" s="98">
        <f>D487/100000</f>
        <v/>
      </c>
      <c r="G487" s="97">
        <f>(F487/DataSheet!$C$10*100)</f>
        <v/>
      </c>
      <c r="H487" s="98">
        <f>K487/I487</f>
        <v/>
      </c>
      <c r="I487" s="98">
        <f>(J487/L487)*100</f>
        <v/>
      </c>
      <c r="J487" s="97">
        <f>L487/O487</f>
        <v/>
      </c>
      <c r="K487" s="98" t="n">
        <v>7.15</v>
      </c>
      <c r="L487" s="98" t="n">
        <v>21418.65</v>
      </c>
      <c r="M487" s="98" t="n">
        <v>3.76</v>
      </c>
      <c r="N487" s="98">
        <f>K487-I487</f>
        <v/>
      </c>
      <c r="O487" s="98" t="n">
        <v>22.88</v>
      </c>
      <c r="P487" s="98" t="n">
        <v>3.93</v>
      </c>
      <c r="Q487" s="97">
        <f>K487-P487</f>
        <v/>
      </c>
      <c r="R487" s="98" t="n">
        <v>102.53</v>
      </c>
      <c r="S487" s="97">
        <f>(O487*T487)</f>
        <v/>
      </c>
      <c r="T487" s="79" t="n">
        <v>6.93</v>
      </c>
      <c r="U487" s="80" t="n">
        <v>16902.45</v>
      </c>
      <c r="V487" s="80" t="n">
        <v>26.32</v>
      </c>
      <c r="W487" s="97">
        <f>U487/V487</f>
        <v/>
      </c>
      <c r="X487" s="97">
        <f>(W487/U487)*100</f>
        <v/>
      </c>
      <c r="Y487" s="80" t="n">
        <v>13877.85</v>
      </c>
      <c r="Z487" s="80" t="n">
        <v>26.84</v>
      </c>
      <c r="AA487" s="97">
        <f>Y487/Z487</f>
        <v/>
      </c>
      <c r="AB487" s="97">
        <f>(AA487/Y487)*100</f>
        <v/>
      </c>
    </row>
    <row r="488">
      <c r="A488" s="92" t="n">
        <v>487</v>
      </c>
      <c r="B488" s="99" t="n">
        <v>45279</v>
      </c>
      <c r="C488" s="103" t="n">
        <v>36448416.61</v>
      </c>
      <c r="D488" s="98">
        <f>C488/E488</f>
        <v/>
      </c>
      <c r="E488" s="98" t="n">
        <v>83.09999999999999</v>
      </c>
      <c r="F488" s="98">
        <f>D488/100000</f>
        <v/>
      </c>
      <c r="G488" s="97">
        <f>(F488/DataSheet!$C$10*100)</f>
        <v/>
      </c>
      <c r="H488" s="98">
        <f>K488/I488</f>
        <v/>
      </c>
      <c r="I488" s="98">
        <f>(J488/L488)*100</f>
        <v/>
      </c>
      <c r="J488" s="97">
        <f>L488/O488</f>
        <v/>
      </c>
      <c r="K488" s="98" t="n">
        <v>7.17</v>
      </c>
      <c r="L488" s="98" t="n">
        <v>21453.1</v>
      </c>
      <c r="M488" s="98" t="n">
        <v>3.76</v>
      </c>
      <c r="N488" s="98">
        <f>K488-I488</f>
        <v/>
      </c>
      <c r="O488" s="98" t="n">
        <v>22.92</v>
      </c>
      <c r="P488" s="98" t="n">
        <v>3.93</v>
      </c>
      <c r="Q488" s="97">
        <f>K488-P488</f>
        <v/>
      </c>
      <c r="R488" s="98" t="n">
        <v>101.76</v>
      </c>
      <c r="S488" s="97">
        <f>(O488*T488)</f>
        <v/>
      </c>
      <c r="T488" s="79" t="n">
        <v>6.95</v>
      </c>
      <c r="U488" s="80" t="n">
        <v>16836.75</v>
      </c>
      <c r="V488" s="80" t="n">
        <v>26.21</v>
      </c>
      <c r="W488" s="97">
        <f>U488/V488</f>
        <v/>
      </c>
      <c r="X488" s="97">
        <f>(W488/U488)*100</f>
        <v/>
      </c>
      <c r="Y488" s="80" t="n">
        <v>13888.95</v>
      </c>
      <c r="Z488" s="80" t="n">
        <v>26.86</v>
      </c>
      <c r="AA488" s="97">
        <f>Y488/Z488</f>
        <v/>
      </c>
      <c r="AB488" s="97">
        <f>(AA488/Y488)*100</f>
        <v/>
      </c>
    </row>
    <row r="489">
      <c r="A489" s="92" t="n">
        <v>488</v>
      </c>
      <c r="B489" s="99" t="n">
        <v>45280</v>
      </c>
      <c r="C489" s="103" t="n">
        <v>35559532.99</v>
      </c>
      <c r="D489" s="98">
        <f>C489/E489</f>
        <v/>
      </c>
      <c r="E489" s="98" t="n">
        <v>83.13</v>
      </c>
      <c r="F489" s="98">
        <f>D489/100000</f>
        <v/>
      </c>
      <c r="G489" s="97">
        <f>(F489/DataSheet!$C$10*100)</f>
        <v/>
      </c>
      <c r="H489" s="98">
        <f>K489/I489</f>
        <v/>
      </c>
      <c r="I489" s="98">
        <f>(J489/L489)*100</f>
        <v/>
      </c>
      <c r="J489" s="97">
        <f>L489/O489</f>
        <v/>
      </c>
      <c r="K489" s="98" t="n">
        <v>7.17</v>
      </c>
      <c r="L489" s="98" t="n">
        <v>21150.15</v>
      </c>
      <c r="M489" s="98" t="n">
        <v>3.71</v>
      </c>
      <c r="N489" s="98">
        <f>K489-I489</f>
        <v/>
      </c>
      <c r="O489" s="98" t="n">
        <v>22.6</v>
      </c>
      <c r="P489" s="98" t="n">
        <v>3.85</v>
      </c>
      <c r="Q489" s="97">
        <f>K489-P489</f>
        <v/>
      </c>
      <c r="R489" s="98" t="n">
        <v>102.04</v>
      </c>
      <c r="S489" s="97">
        <f>(O489*T489)</f>
        <v/>
      </c>
      <c r="T489" s="79" t="n">
        <v>6.98</v>
      </c>
      <c r="U489" s="80" t="n">
        <v>16323.9</v>
      </c>
      <c r="V489" s="80" t="n">
        <v>25.42</v>
      </c>
      <c r="W489" s="97">
        <f>U489/V489</f>
        <v/>
      </c>
      <c r="X489" s="97">
        <f>(W489/U489)*100</f>
        <v/>
      </c>
      <c r="Y489" s="80" t="n">
        <v>13425.25</v>
      </c>
      <c r="Z489" s="80" t="n">
        <v>25.96</v>
      </c>
      <c r="AA489" s="97">
        <f>Y489/Z489</f>
        <v/>
      </c>
      <c r="AB489" s="97">
        <f>(AA489/Y489)*100</f>
        <v/>
      </c>
    </row>
    <row r="490">
      <c r="A490" s="92" t="n">
        <v>489</v>
      </c>
      <c r="B490" s="99" t="n">
        <v>45281</v>
      </c>
      <c r="C490" s="103" t="n">
        <v>35943299.57</v>
      </c>
      <c r="D490" s="98">
        <f>C490/E490</f>
        <v/>
      </c>
      <c r="E490" s="98" t="n">
        <v>83.20999999999999</v>
      </c>
      <c r="F490" s="98">
        <f>D490/100000</f>
        <v/>
      </c>
      <c r="G490" s="97">
        <f>(F490/DataSheet!$C$10*100)</f>
        <v/>
      </c>
      <c r="H490" s="98">
        <f>K490/I490</f>
        <v/>
      </c>
      <c r="I490" s="98">
        <f>(J490/L490)*100</f>
        <v/>
      </c>
      <c r="J490" s="97">
        <f>L490/O490</f>
        <v/>
      </c>
      <c r="K490" s="98" t="n">
        <v>7.18</v>
      </c>
      <c r="L490" s="98" t="n">
        <v>21255.05</v>
      </c>
      <c r="M490" s="98" t="n">
        <v>3.73</v>
      </c>
      <c r="N490" s="98">
        <f>K490-I490</f>
        <v/>
      </c>
      <c r="O490" s="98" t="n">
        <v>22.71</v>
      </c>
      <c r="P490" s="98" t="n">
        <v>3.89</v>
      </c>
      <c r="Q490" s="97">
        <f>K490-P490</f>
        <v/>
      </c>
      <c r="R490" s="98" t="n">
        <v>101.47</v>
      </c>
      <c r="S490" s="97">
        <f>(O490*T490)</f>
        <v/>
      </c>
      <c r="T490" s="79" t="n">
        <v>6.96</v>
      </c>
      <c r="U490" s="80" t="n">
        <v>16560.65</v>
      </c>
      <c r="V490" s="80" t="n">
        <v>25.78</v>
      </c>
      <c r="W490" s="97">
        <f>U490/V490</f>
        <v/>
      </c>
      <c r="X490" s="97">
        <f>(W490/U490)*100</f>
        <v/>
      </c>
      <c r="Y490" s="80" t="n">
        <v>13652.5</v>
      </c>
      <c r="Z490" s="80" t="n">
        <v>26.4</v>
      </c>
      <c r="AA490" s="97">
        <f>Y490/Z490</f>
        <v/>
      </c>
      <c r="AB490" s="97">
        <f>(AA490/Y490)*100</f>
        <v/>
      </c>
    </row>
    <row r="491">
      <c r="A491" s="92" t="n">
        <v>490</v>
      </c>
      <c r="B491" s="99" t="n">
        <v>45282</v>
      </c>
      <c r="C491" s="103" t="n">
        <v>36215715.63</v>
      </c>
      <c r="D491" s="98">
        <f>C491/E491</f>
        <v/>
      </c>
      <c r="E491" s="98" t="n">
        <v>83.16</v>
      </c>
      <c r="F491" s="98">
        <f>D491/100000</f>
        <v/>
      </c>
      <c r="G491" s="97">
        <f>(F491/DataSheet!$C$10*100)</f>
        <v/>
      </c>
      <c r="H491" s="98">
        <f>K491/I491</f>
        <v/>
      </c>
      <c r="I491" s="98">
        <f>(J491/L491)*100</f>
        <v/>
      </c>
      <c r="J491" s="97">
        <f>L491/O491</f>
        <v/>
      </c>
      <c r="K491" s="98" t="n">
        <v>7.18</v>
      </c>
      <c r="L491" s="98" t="n">
        <v>21349.4</v>
      </c>
      <c r="M491" s="98" t="n">
        <v>3.74</v>
      </c>
      <c r="N491" s="98">
        <f>K491-I491</f>
        <v/>
      </c>
      <c r="O491" s="98" t="n">
        <v>22.81</v>
      </c>
      <c r="P491" s="98" t="n">
        <v>3.9</v>
      </c>
      <c r="Q491" s="97">
        <f>K491-P491</f>
        <v/>
      </c>
      <c r="R491" s="98" t="n">
        <v>101.33</v>
      </c>
      <c r="S491" s="97">
        <f>(O491*T491)</f>
        <v/>
      </c>
      <c r="T491" s="79" t="n">
        <v>6.97</v>
      </c>
      <c r="U491" s="80" t="n">
        <v>16693</v>
      </c>
      <c r="V491" s="80" t="n">
        <v>25.99</v>
      </c>
      <c r="W491" s="97">
        <f>U491/V491</f>
        <v/>
      </c>
      <c r="X491" s="97">
        <f>(W491/U491)*100</f>
        <v/>
      </c>
      <c r="Y491" s="80" t="n">
        <v>13792</v>
      </c>
      <c r="Z491" s="80" t="n">
        <v>26.67</v>
      </c>
      <c r="AA491" s="97">
        <f>Y491/Z491</f>
        <v/>
      </c>
      <c r="AB491" s="97">
        <f>(AA491/Y491)*100</f>
        <v/>
      </c>
    </row>
    <row r="492">
      <c r="A492" s="92" t="n">
        <v>491</v>
      </c>
      <c r="B492" s="99" t="n">
        <v>45286</v>
      </c>
      <c r="C492" s="103" t="n">
        <v>36422360.83</v>
      </c>
      <c r="D492" s="98">
        <f>C492/E492</f>
        <v/>
      </c>
      <c r="E492" s="98" t="n">
        <v>83.16</v>
      </c>
      <c r="F492" s="98">
        <f>D492/100000</f>
        <v/>
      </c>
      <c r="G492" s="97">
        <f>(F492/DataSheet!$C$10*100)</f>
        <v/>
      </c>
      <c r="H492" s="98">
        <f>K492/I492</f>
        <v/>
      </c>
      <c r="I492" s="98">
        <f>(J492/L492)*100</f>
        <v/>
      </c>
      <c r="J492" s="97">
        <f>L492/O492</f>
        <v/>
      </c>
      <c r="K492" s="98" t="n">
        <v>7.18</v>
      </c>
      <c r="L492" s="98" t="n">
        <v>21441.35</v>
      </c>
      <c r="M492" s="98" t="n">
        <v>3.76</v>
      </c>
      <c r="N492" s="98">
        <f>K492-I492</f>
        <v/>
      </c>
      <c r="O492" s="98" t="n">
        <v>22.91</v>
      </c>
      <c r="P492" s="98" t="n">
        <v>3.89</v>
      </c>
      <c r="Q492" s="97">
        <f>K492-P492</f>
        <v/>
      </c>
      <c r="R492" s="98" t="n">
        <v>101.1</v>
      </c>
      <c r="S492" s="97">
        <f>(O492*T492)</f>
        <v/>
      </c>
      <c r="T492" s="79" t="n">
        <v>6.99</v>
      </c>
      <c r="U492" s="80" t="n">
        <v>16787</v>
      </c>
      <c r="V492" s="80" t="n">
        <v>26.14</v>
      </c>
      <c r="W492" s="97">
        <f>U492/V492</f>
        <v/>
      </c>
      <c r="X492" s="97">
        <f>(W492/U492)*100</f>
        <v/>
      </c>
      <c r="Y492" s="80" t="n">
        <v>13833</v>
      </c>
      <c r="Z492" s="80" t="n">
        <v>26.75</v>
      </c>
      <c r="AA492" s="97">
        <f>Y492/Z492</f>
        <v/>
      </c>
      <c r="AB492" s="97">
        <f>(AA492/Y492)*100</f>
        <v/>
      </c>
    </row>
    <row r="493">
      <c r="A493" s="92" t="n">
        <v>492</v>
      </c>
      <c r="B493" s="99" t="n">
        <v>45287</v>
      </c>
      <c r="C493" s="103" t="n">
        <v>36670847.64</v>
      </c>
      <c r="D493" s="98">
        <f>C493/E493</f>
        <v/>
      </c>
      <c r="E493" s="98" t="n">
        <v>83.15000000000001</v>
      </c>
      <c r="F493" s="98">
        <f>D493/100000</f>
        <v/>
      </c>
      <c r="G493" s="97">
        <f>(F493/DataSheet!$C$10*100)</f>
        <v/>
      </c>
      <c r="H493" s="98">
        <f>K493/I493</f>
        <v/>
      </c>
      <c r="I493" s="98">
        <f>(J493/L493)*100</f>
        <v/>
      </c>
      <c r="J493" s="97">
        <f>L493/O493</f>
        <v/>
      </c>
      <c r="K493" s="98" t="n">
        <v>7.2</v>
      </c>
      <c r="L493" s="98" t="n">
        <v>21654.75</v>
      </c>
      <c r="M493" s="98" t="n">
        <v>3.8</v>
      </c>
      <c r="N493" s="98">
        <f>K493-I493</f>
        <v/>
      </c>
      <c r="O493" s="98" t="n">
        <v>23.14</v>
      </c>
      <c r="P493" s="98" t="n">
        <v>3.78</v>
      </c>
      <c r="Q493" s="97">
        <f>K493-P493</f>
        <v/>
      </c>
      <c r="R493" s="98" t="n">
        <v>100.65</v>
      </c>
      <c r="S493" s="97">
        <f>(O493*T493)</f>
        <v/>
      </c>
      <c r="T493" s="79" t="n">
        <v>6.97</v>
      </c>
      <c r="U493" s="80" t="n">
        <v>16852.45</v>
      </c>
      <c r="V493" s="80" t="n">
        <v>26.24</v>
      </c>
      <c r="W493" s="97">
        <f>U493/V493</f>
        <v/>
      </c>
      <c r="X493" s="97">
        <f>(W493/U493)*100</f>
        <v/>
      </c>
      <c r="Y493" s="80" t="n">
        <v>13874.4</v>
      </c>
      <c r="Z493" s="80" t="n">
        <v>26.83</v>
      </c>
      <c r="AA493" s="97">
        <f>Y493/Z493</f>
        <v/>
      </c>
      <c r="AB493" s="97">
        <f>(AA493/Y493)*100</f>
        <v/>
      </c>
    </row>
    <row r="494">
      <c r="A494" s="92" t="n">
        <v>493</v>
      </c>
      <c r="B494" s="99" t="n">
        <v>45288</v>
      </c>
      <c r="C494" s="103" t="n">
        <v>36835140.85</v>
      </c>
      <c r="D494" s="98">
        <f>C494/E494</f>
        <v/>
      </c>
      <c r="E494" s="98" t="n">
        <v>83.26000000000001</v>
      </c>
      <c r="F494" s="98">
        <f>D494/100000</f>
        <v/>
      </c>
      <c r="G494" s="97">
        <f>(F494/DataSheet!$C$10*100)</f>
        <v/>
      </c>
      <c r="H494" s="98">
        <f>K494/I494</f>
        <v/>
      </c>
      <c r="I494" s="98">
        <f>(J494/L494)*100</f>
        <v/>
      </c>
      <c r="J494" s="97">
        <f>L494/O494</f>
        <v/>
      </c>
      <c r="K494" s="98" t="n">
        <v>7.2</v>
      </c>
      <c r="L494" s="98" t="n">
        <v>21778.7</v>
      </c>
      <c r="M494" s="98" t="n">
        <v>3.82</v>
      </c>
      <c r="N494" s="98">
        <f>K494-I494</f>
        <v/>
      </c>
      <c r="O494" s="98" t="n">
        <v>23.27</v>
      </c>
      <c r="P494" s="98" t="n">
        <v>3.84</v>
      </c>
      <c r="Q494" s="97">
        <f>K494-P494</f>
        <v/>
      </c>
      <c r="R494" s="98" t="n">
        <v>100.91</v>
      </c>
      <c r="S494" s="97">
        <f>(O494*T494)</f>
        <v/>
      </c>
      <c r="T494" s="79" t="n">
        <v>6.96</v>
      </c>
      <c r="U494" s="80" t="n">
        <v>16933.75</v>
      </c>
      <c r="V494" s="80" t="n">
        <v>26.36</v>
      </c>
      <c r="W494" s="97">
        <f>U494/V494</f>
        <v/>
      </c>
      <c r="X494" s="97">
        <f>(W494/U494)*100</f>
        <v/>
      </c>
      <c r="Y494" s="80" t="n">
        <v>13956.55</v>
      </c>
      <c r="Z494" s="80" t="n">
        <v>26.99</v>
      </c>
      <c r="AA494" s="97">
        <f>Y494/Z494</f>
        <v/>
      </c>
      <c r="AB494" s="97">
        <f>(AA494/Y494)*100</f>
        <v/>
      </c>
    </row>
    <row r="495">
      <c r="A495" s="92" t="n">
        <v>494</v>
      </c>
      <c r="B495" s="99" t="n">
        <v>45289</v>
      </c>
      <c r="C495" s="103" t="n">
        <v>36937725.8</v>
      </c>
      <c r="D495" s="98">
        <f>C495/E495</f>
        <v/>
      </c>
      <c r="E495" s="98" t="n">
        <v>83.19</v>
      </c>
      <c r="F495" s="98">
        <f>D495/100000</f>
        <v/>
      </c>
      <c r="G495" s="97">
        <f>(F495/DataSheet!$C$10*100)</f>
        <v/>
      </c>
      <c r="H495" s="98">
        <f>K495/I495</f>
        <v/>
      </c>
      <c r="I495" s="98">
        <f>(J495/L495)*100</f>
        <v/>
      </c>
      <c r="J495" s="97">
        <f>L495/O495</f>
        <v/>
      </c>
      <c r="K495" s="98" t="n">
        <v>7.17</v>
      </c>
      <c r="L495" s="98" t="n">
        <v>21731.4</v>
      </c>
      <c r="M495" s="98" t="n">
        <v>3.81</v>
      </c>
      <c r="N495" s="98">
        <f>K495-I495</f>
        <v/>
      </c>
      <c r="O495" s="98" t="n">
        <v>23.17</v>
      </c>
      <c r="P495" s="98" t="n">
        <v>3.86</v>
      </c>
      <c r="Q495" s="97">
        <f>K495-P495</f>
        <v/>
      </c>
      <c r="R495" s="98" t="n">
        <v>101.02</v>
      </c>
      <c r="S495" s="97">
        <f>(O495*T495)</f>
        <v/>
      </c>
      <c r="T495" s="79" t="n">
        <v>6.9</v>
      </c>
      <c r="U495" s="80" t="n">
        <v>17077.05</v>
      </c>
      <c r="V495" s="80" t="n">
        <v>26.51</v>
      </c>
      <c r="W495" s="97">
        <f>U495/V495</f>
        <v/>
      </c>
      <c r="X495" s="97">
        <f>(W495/U495)*100</f>
        <v/>
      </c>
      <c r="Y495" s="80" t="n">
        <v>14041.3</v>
      </c>
      <c r="Z495" s="80" t="n">
        <v>27.37</v>
      </c>
      <c r="AA495" s="97">
        <f>Y495/Z495</f>
        <v/>
      </c>
      <c r="AB495" s="97">
        <f>(AA495/Y495)*100</f>
        <v/>
      </c>
    </row>
    <row r="496" customFormat="1" s="91">
      <c r="A496" s="86" t="n">
        <v>495</v>
      </c>
      <c r="B496" s="105" t="n">
        <v>45292</v>
      </c>
      <c r="C496" s="88" t="n">
        <v>37094900.16</v>
      </c>
      <c r="D496" s="90">
        <f>C496/E496</f>
        <v/>
      </c>
      <c r="E496" s="90" t="n">
        <v>83.23</v>
      </c>
      <c r="F496" s="90">
        <f>D496/100000</f>
        <v/>
      </c>
      <c r="G496" s="89">
        <f>(F496/DataSheet!$C$11*100)</f>
        <v/>
      </c>
      <c r="H496" s="90">
        <f>K496/I496</f>
        <v/>
      </c>
      <c r="I496" s="90">
        <f>(J496/L496)*100</f>
        <v/>
      </c>
      <c r="J496" s="89">
        <f>L496/O496</f>
        <v/>
      </c>
      <c r="K496" s="90" t="n">
        <v>7.19</v>
      </c>
      <c r="L496" s="90" t="n">
        <v>21741.9</v>
      </c>
      <c r="M496" s="90" t="n">
        <v>3.81</v>
      </c>
      <c r="N496" s="90">
        <f>K496-I496</f>
        <v/>
      </c>
      <c r="O496" s="90" t="n">
        <v>23.18</v>
      </c>
      <c r="P496" s="90" t="n">
        <v>3.89</v>
      </c>
      <c r="Q496" s="89">
        <f>K496-P496</f>
        <v/>
      </c>
      <c r="R496" s="90" t="n">
        <v>101.02</v>
      </c>
      <c r="S496" s="89">
        <f>(O496*T496)</f>
        <v/>
      </c>
      <c r="T496" s="89" t="n">
        <v>6.94</v>
      </c>
      <c r="U496" s="90" t="n">
        <v>17174</v>
      </c>
      <c r="V496" s="90" t="n">
        <v>26.66</v>
      </c>
      <c r="W496" s="89">
        <f>U496/V496</f>
        <v/>
      </c>
      <c r="X496" s="89">
        <f>(W496/U496)*100</f>
        <v/>
      </c>
      <c r="Y496" s="90" t="n">
        <v>14129.7</v>
      </c>
      <c r="Z496" s="90" t="n">
        <v>27.54</v>
      </c>
      <c r="AA496" s="89">
        <f>Y496/Z496</f>
        <v/>
      </c>
      <c r="AB496" s="89">
        <f>(AA496/Y496)*100</f>
        <v/>
      </c>
    </row>
    <row r="497">
      <c r="A497" s="92" t="n">
        <v>496</v>
      </c>
      <c r="B497" s="99" t="n">
        <v>45293</v>
      </c>
      <c r="C497" s="103" t="n">
        <v>37029723.62</v>
      </c>
      <c r="D497" s="98">
        <f>C497/E497</f>
        <v/>
      </c>
      <c r="E497" s="98" t="n">
        <v>83.27</v>
      </c>
      <c r="F497" s="98">
        <f>D497/100000</f>
        <v/>
      </c>
      <c r="G497" s="97">
        <f>(F497/DataSheet!$C$11*100)</f>
        <v/>
      </c>
      <c r="H497" s="98">
        <f>K497/I497</f>
        <v/>
      </c>
      <c r="I497" s="98">
        <f>(J497/L497)*100</f>
        <v/>
      </c>
      <c r="J497" s="97">
        <f>L497/O497</f>
        <v/>
      </c>
      <c r="K497" s="98" t="n">
        <v>7.2</v>
      </c>
      <c r="L497" s="98" t="n">
        <v>21665.8</v>
      </c>
      <c r="M497" s="98" t="n">
        <v>3.79</v>
      </c>
      <c r="N497" s="98">
        <f>K497-I497</f>
        <v/>
      </c>
      <c r="O497" s="98" t="n">
        <v>23.1</v>
      </c>
      <c r="P497" s="98" t="n">
        <v>3.94</v>
      </c>
      <c r="Q497" s="97">
        <f>K497-P497</f>
        <v/>
      </c>
      <c r="R497" s="98" t="n">
        <v>101.89</v>
      </c>
      <c r="S497" s="97">
        <f>(O497*T497)</f>
        <v/>
      </c>
      <c r="T497" s="79" t="n">
        <v>6.93</v>
      </c>
      <c r="U497" s="80" t="n">
        <v>17148.1</v>
      </c>
      <c r="V497" s="80" t="n">
        <v>26.62</v>
      </c>
      <c r="W497" s="97">
        <f>U497/V497</f>
        <v/>
      </c>
      <c r="X497" s="97">
        <f>(W497/U497)*100</f>
        <v/>
      </c>
      <c r="Y497" s="80" t="n">
        <v>14124.25</v>
      </c>
      <c r="Z497" s="80" t="n">
        <v>27.53</v>
      </c>
      <c r="AA497" s="97">
        <f>Y497/Z497</f>
        <v/>
      </c>
      <c r="AB497" s="97">
        <f>(AA497/Y497)*100</f>
        <v/>
      </c>
    </row>
    <row r="498">
      <c r="A498" s="92" t="n">
        <v>497</v>
      </c>
      <c r="B498" s="99" t="n">
        <v>45294</v>
      </c>
      <c r="C498" s="103" t="n">
        <v>37019528.83</v>
      </c>
      <c r="D498" s="98">
        <f>C498/E498</f>
        <v/>
      </c>
      <c r="E498" s="98" t="n">
        <v>83.28</v>
      </c>
      <c r="F498" s="98">
        <f>D498/100000</f>
        <v/>
      </c>
      <c r="G498" s="97">
        <f>(F498/DataSheet!$C$11*100)</f>
        <v/>
      </c>
      <c r="H498" s="98">
        <f>K498/I498</f>
        <v/>
      </c>
      <c r="I498" s="98">
        <f>(J498/L498)*100</f>
        <v/>
      </c>
      <c r="J498" s="97">
        <f>L498/O498</f>
        <v/>
      </c>
      <c r="K498" s="98" t="n">
        <v>7.21</v>
      </c>
      <c r="L498" s="98" t="n">
        <v>21517.35</v>
      </c>
      <c r="M498" s="98" t="n">
        <v>3.77</v>
      </c>
      <c r="N498" s="98">
        <f>K498-I498</f>
        <v/>
      </c>
      <c r="O498" s="98" t="n">
        <v>22.94</v>
      </c>
      <c r="P498" s="98" t="n">
        <v>3.92</v>
      </c>
      <c r="Q498" s="97">
        <f>K498-P498</f>
        <v/>
      </c>
      <c r="R498" s="98" t="n">
        <v>102.19</v>
      </c>
      <c r="S498" s="97">
        <f>(O498*T498)</f>
        <v/>
      </c>
      <c r="T498" s="79" t="n">
        <v>6.93</v>
      </c>
      <c r="U498" s="80" t="n">
        <v>17189.95</v>
      </c>
      <c r="V498" s="80" t="n">
        <v>26.68</v>
      </c>
      <c r="W498" s="97">
        <f>U498/V498</f>
        <v/>
      </c>
      <c r="X498" s="97">
        <f>(W498/U498)*100</f>
        <v/>
      </c>
      <c r="Y498" s="80" t="n">
        <v>14141</v>
      </c>
      <c r="Z498" s="80" t="n">
        <v>27.57</v>
      </c>
      <c r="AA498" s="97">
        <f>Y498/Z498</f>
        <v/>
      </c>
      <c r="AB498" s="97">
        <f>(AA498/Y498)*100</f>
        <v/>
      </c>
    </row>
    <row r="499">
      <c r="A499" s="92" t="n">
        <v>498</v>
      </c>
      <c r="B499" s="99" t="n">
        <v>45295</v>
      </c>
      <c r="C499" s="103" t="n">
        <v>37346699.18</v>
      </c>
      <c r="D499" s="98">
        <f>C499/E499</f>
        <v/>
      </c>
      <c r="E499" s="98" t="n">
        <v>83.23999999999999</v>
      </c>
      <c r="F499" s="98">
        <f>D499/100000</f>
        <v/>
      </c>
      <c r="G499" s="97">
        <f>(F499/DataSheet!$C$11*100)</f>
        <v/>
      </c>
      <c r="H499" s="98">
        <f>K499/I499</f>
        <v/>
      </c>
      <c r="I499" s="98">
        <f>(J499/L499)*100</f>
        <v/>
      </c>
      <c r="J499" s="97">
        <f>L499/O499</f>
        <v/>
      </c>
      <c r="K499" s="98" t="n">
        <v>7.22</v>
      </c>
      <c r="L499" s="98" t="n">
        <v>21658.6</v>
      </c>
      <c r="M499" s="98" t="n">
        <v>3.79</v>
      </c>
      <c r="N499" s="98">
        <f>K499-I499</f>
        <v/>
      </c>
      <c r="O499" s="98" t="n">
        <v>23.09</v>
      </c>
      <c r="P499" s="98" t="n">
        <v>4</v>
      </c>
      <c r="Q499" s="97">
        <f>K499-P499</f>
        <v/>
      </c>
      <c r="R499" s="98" t="n">
        <v>102.13</v>
      </c>
      <c r="S499" s="97">
        <f>(O499*T499)</f>
        <v/>
      </c>
      <c r="T499" s="79" t="n">
        <v>6.96</v>
      </c>
      <c r="U499" s="80" t="n">
        <v>17443.75</v>
      </c>
      <c r="V499" s="80" t="n">
        <v>27.07</v>
      </c>
      <c r="W499" s="97">
        <f>U499/V499</f>
        <v/>
      </c>
      <c r="X499" s="97">
        <f>(W499/U499)*100</f>
        <v/>
      </c>
      <c r="Y499" s="80" t="n">
        <v>14286.3</v>
      </c>
      <c r="Z499" s="80" t="n">
        <v>27.85</v>
      </c>
      <c r="AA499" s="97">
        <f>Y499/Z499</f>
        <v/>
      </c>
      <c r="AB499" s="97">
        <f>(AA499/Y499)*100</f>
        <v/>
      </c>
    </row>
    <row r="500">
      <c r="A500" s="92" t="n">
        <v>499</v>
      </c>
      <c r="B500" s="99" t="n">
        <v>45296</v>
      </c>
      <c r="C500" s="103" t="n">
        <v>37448192.14</v>
      </c>
      <c r="D500" s="98">
        <f>C500/E500</f>
        <v/>
      </c>
      <c r="E500" s="98" t="n">
        <v>83.09999999999999</v>
      </c>
      <c r="F500" s="98">
        <f>D500/100000</f>
        <v/>
      </c>
      <c r="G500" s="97">
        <f>(F500/DataSheet!$C$11*100)</f>
        <v/>
      </c>
      <c r="H500" s="98">
        <f>K500/I500</f>
        <v/>
      </c>
      <c r="I500" s="98">
        <f>(J500/L500)*100</f>
        <v/>
      </c>
      <c r="J500" s="97">
        <f>L500/O500</f>
        <v/>
      </c>
      <c r="K500" s="98" t="n">
        <v>7.23</v>
      </c>
      <c r="L500" s="98" t="n">
        <v>21710.8</v>
      </c>
      <c r="M500" s="98" t="n">
        <v>3.8</v>
      </c>
      <c r="N500" s="98">
        <f>K500-I500</f>
        <v/>
      </c>
      <c r="O500" s="98" t="n">
        <v>23.15</v>
      </c>
      <c r="P500" s="98" t="n">
        <v>4.05</v>
      </c>
      <c r="Q500" s="97">
        <f>K500-P500</f>
        <v/>
      </c>
      <c r="R500" s="98" t="n">
        <v>102.12</v>
      </c>
      <c r="S500" s="97">
        <f>(O500*T500)</f>
        <v/>
      </c>
      <c r="T500" s="79" t="n">
        <v>6.93</v>
      </c>
      <c r="U500" s="80" t="n">
        <v>17499.65</v>
      </c>
      <c r="V500" s="80" t="n">
        <v>27.16</v>
      </c>
      <c r="W500" s="97">
        <f>U500/V500</f>
        <v/>
      </c>
      <c r="X500" s="97">
        <f>(W500/U500)*100</f>
        <v/>
      </c>
      <c r="Y500" s="80" t="n">
        <v>14382.4</v>
      </c>
      <c r="Z500" s="80" t="n">
        <v>28.04</v>
      </c>
      <c r="AA500" s="97">
        <f>Y500/Z500</f>
        <v/>
      </c>
      <c r="AB500" s="97">
        <f>(AA500/Y500)*100</f>
        <v/>
      </c>
    </row>
    <row r="501">
      <c r="A501" s="92" t="n">
        <v>500</v>
      </c>
      <c r="B501" s="99" t="n">
        <v>45299</v>
      </c>
      <c r="C501" s="103" t="n">
        <v>37150868.55</v>
      </c>
      <c r="D501" s="98">
        <f>C501/E501</f>
        <v/>
      </c>
      <c r="E501" s="98" t="n">
        <v>83.04000000000001</v>
      </c>
      <c r="F501" s="98">
        <f>D501/100000</f>
        <v/>
      </c>
      <c r="G501" s="97">
        <f>(F501/DataSheet!$C$11*100)</f>
        <v/>
      </c>
      <c r="H501" s="98">
        <f>K501/I501</f>
        <v/>
      </c>
      <c r="I501" s="98">
        <f>(J501/L501)*100</f>
        <v/>
      </c>
      <c r="J501" s="97">
        <f>L501/O501</f>
        <v/>
      </c>
      <c r="K501" s="98" t="n">
        <v>7.2</v>
      </c>
      <c r="L501" s="98" t="n">
        <v>21513</v>
      </c>
      <c r="M501" s="98" t="n">
        <v>3.77</v>
      </c>
      <c r="N501" s="98">
        <f>K501-I501</f>
        <v/>
      </c>
      <c r="O501" s="98" t="n">
        <v>22.94</v>
      </c>
      <c r="P501" s="98" t="n">
        <v>4.02</v>
      </c>
      <c r="Q501" s="97">
        <f>K501-P501</f>
        <v/>
      </c>
      <c r="R501" s="98" t="n">
        <v>101.92</v>
      </c>
      <c r="S501" s="97">
        <f>(O501*T501)</f>
        <v/>
      </c>
      <c r="T501" s="79" t="n">
        <v>6.95</v>
      </c>
      <c r="U501" s="80" t="n">
        <v>17350.55</v>
      </c>
      <c r="V501" s="80" t="n">
        <v>26.93</v>
      </c>
      <c r="W501" s="97">
        <f>U501/V501</f>
        <v/>
      </c>
      <c r="X501" s="97">
        <f>(W501/U501)*100</f>
        <v/>
      </c>
      <c r="Y501" s="80" t="n">
        <v>14298.2</v>
      </c>
      <c r="Z501" s="80" t="n">
        <v>27.87</v>
      </c>
      <c r="AA501" s="97">
        <f>Y501/Z501</f>
        <v/>
      </c>
      <c r="AB501" s="97">
        <f>(AA501/Y501)*100</f>
        <v/>
      </c>
    </row>
    <row r="502">
      <c r="A502" s="92" t="n">
        <v>501</v>
      </c>
      <c r="B502" s="99" t="n">
        <v>45300</v>
      </c>
      <c r="C502" s="103" t="n">
        <v>37265202.84</v>
      </c>
      <c r="D502" s="98">
        <f>C502/E502</f>
        <v/>
      </c>
      <c r="E502" s="98" t="n">
        <v>83.09999999999999</v>
      </c>
      <c r="F502" s="98">
        <f>D502/100000</f>
        <v/>
      </c>
      <c r="G502" s="97">
        <f>(F502/DataSheet!$C$11*100)</f>
        <v/>
      </c>
      <c r="H502" s="98">
        <f>K502/I502</f>
        <v/>
      </c>
      <c r="I502" s="98">
        <f>(J502/L502)*100</f>
        <v/>
      </c>
      <c r="J502" s="97">
        <f>L502/O502</f>
        <v/>
      </c>
      <c r="K502" s="98" t="n">
        <v>7.18</v>
      </c>
      <c r="L502" s="98" t="n">
        <v>21544.85</v>
      </c>
      <c r="M502" s="98" t="n">
        <v>3.77</v>
      </c>
      <c r="N502" s="98">
        <f>K502-I502</f>
        <v/>
      </c>
      <c r="O502" s="98" t="n">
        <v>22.97</v>
      </c>
      <c r="P502" s="98" t="n">
        <v>4.01</v>
      </c>
      <c r="Q502" s="97">
        <f>K502-P502</f>
        <v/>
      </c>
      <c r="R502" s="98" t="n">
        <v>102.28</v>
      </c>
      <c r="S502" s="97">
        <f>(O502*T502)</f>
        <v/>
      </c>
      <c r="T502" s="79" t="n">
        <v>6.96</v>
      </c>
      <c r="U502" s="80" t="n">
        <v>17382</v>
      </c>
      <c r="V502" s="80" t="n">
        <v>26.98</v>
      </c>
      <c r="W502" s="97">
        <f>U502/V502</f>
        <v/>
      </c>
      <c r="X502" s="97">
        <f>(W502/U502)*100</f>
        <v/>
      </c>
      <c r="Y502" s="80" t="n">
        <v>14350.9</v>
      </c>
      <c r="Z502" s="80" t="n">
        <v>27.97</v>
      </c>
      <c r="AA502" s="97">
        <f>Y502/Z502</f>
        <v/>
      </c>
      <c r="AB502" s="97">
        <f>(AA502/Y502)*100</f>
        <v/>
      </c>
    </row>
    <row r="503">
      <c r="A503" s="92" t="n">
        <v>502</v>
      </c>
      <c r="B503" s="99" t="n">
        <v>45301</v>
      </c>
      <c r="C503" s="103" t="n">
        <v>37392677.15</v>
      </c>
      <c r="D503" s="98">
        <f>C503/E503</f>
        <v/>
      </c>
      <c r="E503" s="98" t="n">
        <v>83.02</v>
      </c>
      <c r="F503" s="98">
        <f>D503/100000</f>
        <v/>
      </c>
      <c r="G503" s="97">
        <f>(F503/DataSheet!$C$11*100)</f>
        <v/>
      </c>
      <c r="H503" s="98">
        <f>K503/I503</f>
        <v/>
      </c>
      <c r="I503" s="98">
        <f>(J503/L503)*100</f>
        <v/>
      </c>
      <c r="J503" s="97">
        <f>L503/O503</f>
        <v/>
      </c>
      <c r="K503" s="98" t="n">
        <v>7.17</v>
      </c>
      <c r="L503" s="98" t="n">
        <v>21618.7</v>
      </c>
      <c r="M503" s="98" t="n">
        <v>3.79</v>
      </c>
      <c r="N503" s="98">
        <f>K503-I503</f>
        <v/>
      </c>
      <c r="O503" s="98" t="n">
        <v>23.05</v>
      </c>
      <c r="P503" s="98" t="n">
        <v>4.03</v>
      </c>
      <c r="Q503" s="97">
        <f>K503-P503</f>
        <v/>
      </c>
      <c r="R503" s="98" t="n">
        <v>102.08</v>
      </c>
      <c r="S503" s="97">
        <f>(O503*T503)</f>
        <v/>
      </c>
      <c r="T503" s="79" t="n">
        <v>6.96</v>
      </c>
      <c r="U503" s="80" t="n">
        <v>17425.35</v>
      </c>
      <c r="V503" s="80" t="n">
        <v>27.05</v>
      </c>
      <c r="W503" s="97">
        <f>U503/V503</f>
        <v/>
      </c>
      <c r="X503" s="97">
        <f>(W503/U503)*100</f>
        <v/>
      </c>
      <c r="Y503" s="80" t="n">
        <v>14379.85</v>
      </c>
      <c r="Z503" s="80" t="n">
        <v>28.03</v>
      </c>
      <c r="AA503" s="97">
        <f>Y503/Z503</f>
        <v/>
      </c>
      <c r="AB503" s="97">
        <f>(AA503/Y503)*100</f>
        <v/>
      </c>
    </row>
    <row r="504">
      <c r="A504" s="92" t="n">
        <v>503</v>
      </c>
      <c r="B504" s="99" t="n">
        <v>45302</v>
      </c>
      <c r="C504" s="103" t="n">
        <v>37565219.02</v>
      </c>
      <c r="D504" s="98">
        <f>C504/E504</f>
        <v/>
      </c>
      <c r="E504" s="98" t="n">
        <v>83.06</v>
      </c>
      <c r="F504" s="98">
        <f>D504/100000</f>
        <v/>
      </c>
      <c r="G504" s="97">
        <f>(F504/DataSheet!$C$11*100)</f>
        <v/>
      </c>
      <c r="H504" s="98">
        <f>K504/I504</f>
        <v/>
      </c>
      <c r="I504" s="98">
        <f>(J504/L504)*100</f>
        <v/>
      </c>
      <c r="J504" s="97">
        <f>L504/O504</f>
        <v/>
      </c>
      <c r="K504" s="98" t="n">
        <v>7.16</v>
      </c>
      <c r="L504" s="98" t="n">
        <v>21647.2</v>
      </c>
      <c r="M504" s="98" t="n">
        <v>3.79</v>
      </c>
      <c r="N504" s="98">
        <f>K504-I504</f>
        <v/>
      </c>
      <c r="O504" s="98" t="n">
        <v>23.08</v>
      </c>
      <c r="P504" s="98" t="n">
        <v>3.97</v>
      </c>
      <c r="Q504" s="97">
        <f>K504-P504</f>
        <v/>
      </c>
      <c r="R504" s="98" t="n">
        <v>102.02</v>
      </c>
      <c r="S504" s="97">
        <f>(O504*T504)</f>
        <v/>
      </c>
      <c r="T504" s="79" t="n">
        <v>6.95</v>
      </c>
      <c r="U504" s="80" t="n">
        <v>17500.5</v>
      </c>
      <c r="V504" s="80" t="n">
        <v>27.16</v>
      </c>
      <c r="W504" s="97">
        <f>U504/V504</f>
        <v/>
      </c>
      <c r="X504" s="97">
        <f>(W504/U504)*100</f>
        <v/>
      </c>
      <c r="Y504" s="80" t="n">
        <v>14498.55</v>
      </c>
      <c r="Z504" s="80" t="n">
        <v>28.28</v>
      </c>
      <c r="AA504" s="97">
        <f>Y504/Z504</f>
        <v/>
      </c>
      <c r="AB504" s="97">
        <f>(AA504/Y504)*100</f>
        <v/>
      </c>
    </row>
    <row r="505">
      <c r="A505" s="92" t="n">
        <v>504</v>
      </c>
      <c r="B505" s="99" t="n">
        <v>45303</v>
      </c>
      <c r="C505" s="103" t="n">
        <v>37846544.38</v>
      </c>
      <c r="D505" s="98">
        <f>C505/E505</f>
        <v/>
      </c>
      <c r="E505" s="98" t="n">
        <v>82.84999999999999</v>
      </c>
      <c r="F505" s="98">
        <f>D505/100000</f>
        <v/>
      </c>
      <c r="G505" s="97">
        <f>(F505/DataSheet!$C$11*100)</f>
        <v/>
      </c>
      <c r="H505" s="98">
        <f>K505/I505</f>
        <v/>
      </c>
      <c r="I505" s="98">
        <f>(J505/L505)*100</f>
        <v/>
      </c>
      <c r="J505" s="97">
        <f>L505/O505</f>
        <v/>
      </c>
      <c r="K505" s="98" t="n">
        <v>7.17</v>
      </c>
      <c r="L505" s="98" t="n">
        <v>21894.55</v>
      </c>
      <c r="M505" s="98" t="n">
        <v>3.83</v>
      </c>
      <c r="N505" s="98">
        <f>K505-I505</f>
        <v/>
      </c>
      <c r="O505" s="98" t="n">
        <v>23.34</v>
      </c>
      <c r="P505" s="98" t="n">
        <v>3.93</v>
      </c>
      <c r="Q505" s="97">
        <f>K505-P505</f>
        <v/>
      </c>
      <c r="R505" s="98" t="n">
        <v>102.15</v>
      </c>
      <c r="S505" s="97">
        <f>(O505*T505)</f>
        <v/>
      </c>
      <c r="T505" s="79" t="n">
        <v>6.95</v>
      </c>
      <c r="U505" s="80" t="n">
        <v>17563.85</v>
      </c>
      <c r="V505" s="80" t="n">
        <v>27.26</v>
      </c>
      <c r="W505" s="97">
        <f>U505/V505</f>
        <v/>
      </c>
      <c r="X505" s="97">
        <f>(W505/U505)*100</f>
        <v/>
      </c>
      <c r="Y505" s="80" t="n">
        <v>14552.75</v>
      </c>
      <c r="Z505" s="80" t="n">
        <v>28.39</v>
      </c>
      <c r="AA505" s="97">
        <f>Y505/Z505</f>
        <v/>
      </c>
      <c r="AB505" s="97">
        <f>(AA505/Y505)*100</f>
        <v/>
      </c>
    </row>
    <row r="506">
      <c r="A506" s="92" t="n">
        <v>505</v>
      </c>
      <c r="B506" s="99" t="n">
        <v>45306</v>
      </c>
      <c r="C506" s="103" t="n">
        <v>38129439.27</v>
      </c>
      <c r="D506" s="98">
        <f>C506/E506</f>
        <v/>
      </c>
      <c r="E506" s="98" t="n">
        <v>82.81999999999999</v>
      </c>
      <c r="F506" s="98">
        <f>D506/100000</f>
        <v/>
      </c>
      <c r="G506" s="97">
        <f>(F506/DataSheet!$C$11*100)</f>
        <v/>
      </c>
      <c r="H506" s="98">
        <f>K506/I506</f>
        <v/>
      </c>
      <c r="I506" s="98">
        <f>(J506/L506)*100</f>
        <v/>
      </c>
      <c r="J506" s="97">
        <f>L506/O506</f>
        <v/>
      </c>
      <c r="K506" s="98" t="n">
        <v>7.14</v>
      </c>
      <c r="L506" s="98" t="n">
        <v>22097.45</v>
      </c>
      <c r="M506" s="98" t="n">
        <v>3.87</v>
      </c>
      <c r="N506" s="98">
        <f>K506-I506</f>
        <v/>
      </c>
      <c r="O506" s="98" t="n">
        <v>23.59</v>
      </c>
      <c r="P506" s="98" t="n">
        <v>3.98</v>
      </c>
      <c r="Q506" s="97">
        <f>K506-P506</f>
        <v/>
      </c>
      <c r="R506" s="98" t="n">
        <v>102.15</v>
      </c>
      <c r="S506" s="97">
        <f>(O506*T506)</f>
        <v/>
      </c>
      <c r="T506" s="79" t="n">
        <v>6.95</v>
      </c>
      <c r="U506" s="80" t="n">
        <v>17656.35</v>
      </c>
      <c r="V506" s="80" t="n">
        <v>27.39</v>
      </c>
      <c r="W506" s="97">
        <f>U506/V506</f>
        <v/>
      </c>
      <c r="X506" s="97">
        <f>(W506/U506)*100</f>
        <v/>
      </c>
      <c r="Y506" s="80" t="n">
        <v>14589</v>
      </c>
      <c r="Z506" s="80" t="n">
        <v>28.45</v>
      </c>
      <c r="AA506" s="97">
        <f>Y506/Z506</f>
        <v/>
      </c>
      <c r="AB506" s="97">
        <f>(AA506/Y506)*100</f>
        <v/>
      </c>
    </row>
    <row r="507">
      <c r="A507" s="92" t="n">
        <v>506</v>
      </c>
      <c r="B507" s="99" t="n">
        <v>45307</v>
      </c>
      <c r="C507" s="103" t="n">
        <v>38021747.04</v>
      </c>
      <c r="D507" s="98">
        <f>C507/E507</f>
        <v/>
      </c>
      <c r="E507" s="98" t="n">
        <v>83.08</v>
      </c>
      <c r="F507" s="98">
        <f>D507/100000</f>
        <v/>
      </c>
      <c r="G507" s="97">
        <f>(F507/DataSheet!$C$11*100)</f>
        <v/>
      </c>
      <c r="H507" s="98">
        <f>K507/I507</f>
        <v/>
      </c>
      <c r="I507" s="98">
        <f>(J507/L507)*100</f>
        <v/>
      </c>
      <c r="J507" s="97">
        <f>L507/O507</f>
        <v/>
      </c>
      <c r="K507" s="98" t="n">
        <v>7.14</v>
      </c>
      <c r="L507" s="98" t="n">
        <v>22032.3</v>
      </c>
      <c r="M507" s="98" t="n">
        <v>3.86</v>
      </c>
      <c r="N507" s="98">
        <f>K507-I507</f>
        <v/>
      </c>
      <c r="O507" s="98" t="n">
        <v>23.52</v>
      </c>
      <c r="P507" s="98" t="n">
        <v>4.05</v>
      </c>
      <c r="Q507" s="97">
        <f>K507-P507</f>
        <v/>
      </c>
      <c r="R507" s="98" t="n">
        <v>103.11</v>
      </c>
      <c r="S507" s="97">
        <f>(O507*T507)</f>
        <v/>
      </c>
      <c r="T507" s="79" t="n">
        <v>6.97</v>
      </c>
      <c r="U507" s="80" t="n">
        <v>17599.8</v>
      </c>
      <c r="V507" s="80" t="n">
        <v>27.3</v>
      </c>
      <c r="W507" s="97">
        <f>U507/V507</f>
        <v/>
      </c>
      <c r="X507" s="97">
        <f>(W507/U507)*100</f>
        <v/>
      </c>
      <c r="Y507" s="80" t="n">
        <v>14549.05</v>
      </c>
      <c r="Z507" s="80" t="n">
        <v>28.37</v>
      </c>
      <c r="AA507" s="97">
        <f>Y507/Z507</f>
        <v/>
      </c>
      <c r="AB507" s="97">
        <f>(AA507/Y507)*100</f>
        <v/>
      </c>
    </row>
    <row r="508">
      <c r="A508" s="92" t="n">
        <v>507</v>
      </c>
      <c r="B508" s="99" t="n">
        <v>45308</v>
      </c>
      <c r="C508" s="103" t="n">
        <v>37557740.27</v>
      </c>
      <c r="D508" s="98">
        <f>C508/E508</f>
        <v/>
      </c>
      <c r="E508" s="98" t="n">
        <v>83.18000000000001</v>
      </c>
      <c r="F508" s="98">
        <f>D508/100000</f>
        <v/>
      </c>
      <c r="G508" s="97">
        <f>(F508/DataSheet!$C$11*100)</f>
        <v/>
      </c>
      <c r="H508" s="98">
        <f>K508/I508</f>
        <v/>
      </c>
      <c r="I508" s="98">
        <f>(J508/L508)*100</f>
        <v/>
      </c>
      <c r="J508" s="97">
        <f>L508/O508</f>
        <v/>
      </c>
      <c r="K508" s="98" t="n">
        <v>7.16</v>
      </c>
      <c r="L508" s="98" t="n">
        <v>21571.95</v>
      </c>
      <c r="M508" s="98" t="n">
        <v>3.78</v>
      </c>
      <c r="N508" s="98">
        <f>K508-I508</f>
        <v/>
      </c>
      <c r="O508" s="98" t="n">
        <v>23.03</v>
      </c>
      <c r="P508" s="98" t="n">
        <v>4.1</v>
      </c>
      <c r="Q508" s="97">
        <f>K508-P508</f>
        <v/>
      </c>
      <c r="R508" s="98" t="n">
        <v>103.2</v>
      </c>
      <c r="S508" s="97">
        <f>(O508*T508)</f>
        <v/>
      </c>
      <c r="T508" s="79" t="n">
        <v>6.95</v>
      </c>
      <c r="U508" s="80" t="n">
        <v>17413.15</v>
      </c>
      <c r="V508" s="80" t="n">
        <v>27.01</v>
      </c>
      <c r="W508" s="97">
        <f>U508/V508</f>
        <v/>
      </c>
      <c r="X508" s="97">
        <f>(W508/U508)*100</f>
        <v/>
      </c>
      <c r="Y508" s="80" t="n">
        <v>14396.6</v>
      </c>
      <c r="Z508" s="80" t="n">
        <v>28.05</v>
      </c>
      <c r="AA508" s="97">
        <f>Y508/Z508</f>
        <v/>
      </c>
      <c r="AB508" s="97">
        <f>(AA508/Y508)*100</f>
        <v/>
      </c>
    </row>
    <row r="509">
      <c r="A509" s="92" t="n">
        <v>508</v>
      </c>
      <c r="B509" s="99" t="n">
        <v>45309</v>
      </c>
      <c r="C509" s="103" t="n">
        <v>37470481.82</v>
      </c>
      <c r="D509" s="98">
        <f>C509/E509</f>
        <v/>
      </c>
      <c r="E509" s="98" t="n">
        <v>83.16</v>
      </c>
      <c r="F509" s="98">
        <f>D509/100000</f>
        <v/>
      </c>
      <c r="G509" s="97">
        <f>(F509/DataSheet!$C$11*100)</f>
        <v/>
      </c>
      <c r="H509" s="98">
        <f>K509/I509</f>
        <v/>
      </c>
      <c r="I509" s="98">
        <f>(J509/L509)*100</f>
        <v/>
      </c>
      <c r="J509" s="97">
        <f>L509/O509</f>
        <v/>
      </c>
      <c r="K509" s="98" t="n">
        <v>7.17</v>
      </c>
      <c r="L509" s="98" t="n">
        <v>21462.25</v>
      </c>
      <c r="M509" s="98" t="n">
        <v>3.76</v>
      </c>
      <c r="N509" s="98">
        <f>K509-I509</f>
        <v/>
      </c>
      <c r="O509" s="98" t="n">
        <v>22.64</v>
      </c>
      <c r="P509" s="98" t="n">
        <v>4.14</v>
      </c>
      <c r="Q509" s="97">
        <f>K509-P509</f>
        <v/>
      </c>
      <c r="R509" s="98" t="n">
        <v>103.31</v>
      </c>
      <c r="S509" s="97">
        <f>(O509*T509)</f>
        <v/>
      </c>
      <c r="T509" s="79" t="n">
        <v>6.99</v>
      </c>
      <c r="U509" s="80" t="n">
        <v>17409.45</v>
      </c>
      <c r="V509" s="80" t="n">
        <v>26.93</v>
      </c>
      <c r="W509" s="97">
        <f>U509/V509</f>
        <v/>
      </c>
      <c r="X509" s="97">
        <f>(W509/U509)*100</f>
        <v/>
      </c>
      <c r="Y509" s="80" t="n">
        <v>14394.95</v>
      </c>
      <c r="Z509" s="80" t="n">
        <v>28.01</v>
      </c>
      <c r="AA509" s="97">
        <f>Y509/Z509</f>
        <v/>
      </c>
      <c r="AB509" s="97">
        <f>(AA509/Y509)*100</f>
        <v/>
      </c>
    </row>
    <row r="510">
      <c r="A510" s="92" t="n">
        <v>509</v>
      </c>
      <c r="B510" s="99" t="n">
        <v>45310</v>
      </c>
      <c r="C510" s="103" t="n">
        <v>37887479.17</v>
      </c>
      <c r="D510" s="98">
        <f>C510/E510</f>
        <v/>
      </c>
      <c r="E510" s="98" t="n">
        <v>83.08</v>
      </c>
      <c r="F510" s="98">
        <f>D510/100000</f>
        <v/>
      </c>
      <c r="G510" s="97">
        <f>(F510/DataSheet!$C$11*100)</f>
        <v/>
      </c>
      <c r="H510" s="98">
        <f>K510/I510</f>
        <v/>
      </c>
      <c r="I510" s="98">
        <f>(J510/L510)*100</f>
        <v/>
      </c>
      <c r="J510" s="97">
        <f>L510/O510</f>
        <v/>
      </c>
      <c r="K510" s="98" t="n">
        <v>7.18</v>
      </c>
      <c r="L510" s="98" t="n">
        <v>21622.4</v>
      </c>
      <c r="M510" s="98" t="n">
        <v>3.79</v>
      </c>
      <c r="N510" s="98">
        <f>K510-I510</f>
        <v/>
      </c>
      <c r="O510" s="98" t="n">
        <v>22.79</v>
      </c>
      <c r="P510" s="98" t="n">
        <v>4.13</v>
      </c>
      <c r="Q510" s="97">
        <f>K510-P510</f>
        <v/>
      </c>
      <c r="R510" s="98" t="n">
        <v>103.06</v>
      </c>
      <c r="S510" s="97">
        <f>(O510*T510)</f>
        <v/>
      </c>
      <c r="T510" s="79" t="n">
        <v>7</v>
      </c>
      <c r="U510" s="80" t="n">
        <v>17670.85</v>
      </c>
      <c r="V510" s="80" t="n">
        <v>27.31</v>
      </c>
      <c r="W510" s="97">
        <f>U510/V510</f>
        <v/>
      </c>
      <c r="X510" s="97">
        <f>(W510/U510)*100</f>
        <v/>
      </c>
      <c r="Y510" s="80" t="n">
        <v>14548.55</v>
      </c>
      <c r="Z510" s="80" t="n">
        <v>28.26</v>
      </c>
      <c r="AA510" s="97">
        <f>Y510/Z510</f>
        <v/>
      </c>
      <c r="AB510" s="97">
        <f>(AA510/Y510)*100</f>
        <v/>
      </c>
    </row>
    <row r="511">
      <c r="A511" s="92" t="n">
        <v>510</v>
      </c>
      <c r="B511" s="99" t="n">
        <v>45311</v>
      </c>
      <c r="C511" s="103" t="n">
        <v>37973156.97</v>
      </c>
      <c r="D511" s="98">
        <f>C511/E511</f>
        <v/>
      </c>
      <c r="E511" s="98" t="n">
        <v>83.09999999999999</v>
      </c>
      <c r="F511" s="98">
        <f>D511/100000</f>
        <v/>
      </c>
      <c r="G511" s="97">
        <f>(F511/DataSheet!$C$11*100)</f>
        <v/>
      </c>
      <c r="H511" s="98">
        <f>K511/I511</f>
        <v/>
      </c>
      <c r="I511" s="98">
        <f>(J511/L511)*100</f>
        <v/>
      </c>
      <c r="J511" s="97">
        <f>L511/O511</f>
        <v/>
      </c>
      <c r="K511" s="98" t="n">
        <v>7.18</v>
      </c>
      <c r="L511" s="98" t="n">
        <v>21571.8</v>
      </c>
      <c r="M511" s="98" t="n">
        <v>3.78</v>
      </c>
      <c r="N511" s="98">
        <f>K511-I511</f>
        <v/>
      </c>
      <c r="O511" s="98" t="n">
        <v>22.73</v>
      </c>
      <c r="P511" s="98" t="n">
        <v>4.1</v>
      </c>
      <c r="Q511" s="97">
        <f>K511-P511</f>
        <v/>
      </c>
      <c r="R511" s="98" t="n">
        <v>103.11</v>
      </c>
      <c r="S511" s="97">
        <f>(O511*T511)</f>
        <v/>
      </c>
      <c r="T511" s="79" t="n">
        <v>7</v>
      </c>
      <c r="U511" s="80" t="n">
        <v>17724.7</v>
      </c>
      <c r="V511" s="80" t="n">
        <v>27.37</v>
      </c>
      <c r="W511" s="97">
        <f>U511/V511</f>
        <v/>
      </c>
      <c r="X511" s="97">
        <f>(W511/U511)*100</f>
        <v/>
      </c>
      <c r="Y511" s="80" t="n">
        <v>14614.2</v>
      </c>
      <c r="Z511" s="80" t="n">
        <v>28.38</v>
      </c>
      <c r="AA511" s="97">
        <f>Y511/Z511</f>
        <v/>
      </c>
      <c r="AB511" s="97">
        <f>(AA511/Y511)*100</f>
        <v/>
      </c>
    </row>
    <row r="512">
      <c r="A512" s="92" t="n">
        <v>511</v>
      </c>
      <c r="B512" s="99" t="n">
        <v>45314</v>
      </c>
      <c r="C512" s="103" t="n">
        <v>37116565.62</v>
      </c>
      <c r="D512" s="98">
        <f>C512/E512</f>
        <v/>
      </c>
      <c r="E512" s="98" t="n">
        <v>83.15000000000001</v>
      </c>
      <c r="F512" s="98">
        <f>D512/100000</f>
        <v/>
      </c>
      <c r="G512" s="97">
        <f>(F512/DataSheet!$C$11*100)</f>
        <v/>
      </c>
      <c r="H512" s="98">
        <f>K512/I512</f>
        <v/>
      </c>
      <c r="I512" s="98">
        <f>(J512/L512)*100</f>
        <v/>
      </c>
      <c r="J512" s="97">
        <f>L512/O512</f>
        <v/>
      </c>
      <c r="K512" s="98" t="n">
        <v>7.17</v>
      </c>
      <c r="L512" s="98" t="n">
        <v>21238.8</v>
      </c>
      <c r="M512" s="98" t="n">
        <v>3.72</v>
      </c>
      <c r="N512" s="98">
        <f>K512-I512</f>
        <v/>
      </c>
      <c r="O512" s="98" t="n">
        <v>22.31</v>
      </c>
      <c r="P512" s="98" t="n">
        <v>4.13</v>
      </c>
      <c r="Q512" s="97">
        <f>K512-P512</f>
        <v/>
      </c>
      <c r="R512" s="98" t="n">
        <v>103.4</v>
      </c>
      <c r="S512" s="97">
        <f>(O512*T512)</f>
        <v/>
      </c>
      <c r="T512" s="79" t="n">
        <v>6.99</v>
      </c>
      <c r="U512" s="80" t="n">
        <v>17204.35</v>
      </c>
      <c r="V512" s="80" t="n">
        <v>26.55</v>
      </c>
      <c r="W512" s="97">
        <f>U512/V512</f>
        <v/>
      </c>
      <c r="X512" s="97">
        <f>(W512/U512)*100</f>
        <v/>
      </c>
      <c r="Y512" s="80" t="n">
        <v>14217.35</v>
      </c>
      <c r="Z512" s="80" t="n">
        <v>27.58</v>
      </c>
      <c r="AA512" s="97">
        <f>Y512/Z512</f>
        <v/>
      </c>
      <c r="AB512" s="97">
        <f>(AA512/Y512)*100</f>
        <v/>
      </c>
    </row>
    <row r="513">
      <c r="A513" s="92" t="n">
        <v>512</v>
      </c>
      <c r="B513" s="99" t="n">
        <v>45315</v>
      </c>
      <c r="C513" s="103" t="n">
        <v>37627993.44</v>
      </c>
      <c r="D513" s="98">
        <f>C513/E513</f>
        <v/>
      </c>
      <c r="E513" s="98" t="n">
        <v>83.13</v>
      </c>
      <c r="F513" s="98">
        <f>D513/100000</f>
        <v/>
      </c>
      <c r="G513" s="97">
        <f>(F513/DataSheet!$C$11*100)</f>
        <v/>
      </c>
      <c r="H513" s="98">
        <f>K513/I513</f>
        <v/>
      </c>
      <c r="I513" s="98">
        <f>(J513/L513)*100</f>
        <v/>
      </c>
      <c r="J513" s="97">
        <f>L513/O513</f>
        <v/>
      </c>
      <c r="K513" s="98" t="n">
        <v>7.18</v>
      </c>
      <c r="L513" s="98" t="n">
        <v>21453.95</v>
      </c>
      <c r="M513" s="98" t="n">
        <v>3.76</v>
      </c>
      <c r="N513" s="98">
        <f>K513-I513</f>
        <v/>
      </c>
      <c r="O513" s="98" t="n">
        <v>22.39</v>
      </c>
      <c r="P513" s="98" t="n">
        <v>4.18</v>
      </c>
      <c r="Q513" s="97">
        <f>K513-P513</f>
        <v/>
      </c>
      <c r="R513" s="98" t="n">
        <v>103.03</v>
      </c>
      <c r="S513" s="97">
        <f>(O513*T513)</f>
        <v/>
      </c>
      <c r="T513" s="79" t="n">
        <v>6.99</v>
      </c>
      <c r="U513" s="80" t="n">
        <v>17495.55</v>
      </c>
      <c r="V513" s="80" t="n">
        <v>26.88</v>
      </c>
      <c r="W513" s="97">
        <f>U513/V513</f>
        <v/>
      </c>
      <c r="X513" s="97">
        <f>(W513/U513)*100</f>
        <v/>
      </c>
      <c r="Y513" s="80" t="n">
        <v>14467.35</v>
      </c>
      <c r="Z513" s="80" t="n">
        <v>27.92</v>
      </c>
      <c r="AA513" s="97">
        <f>Y513/Z513</f>
        <v/>
      </c>
      <c r="AB513" s="97">
        <f>(AA513/Y513)*100</f>
        <v/>
      </c>
    </row>
    <row r="514">
      <c r="A514" s="92" t="n">
        <v>513</v>
      </c>
      <c r="B514" s="102" t="n">
        <v>45316</v>
      </c>
      <c r="C514" s="103" t="n">
        <v>37636886.59</v>
      </c>
      <c r="D514" s="98">
        <f>C514/E514</f>
        <v/>
      </c>
      <c r="E514" s="98" t="n">
        <v>83.14</v>
      </c>
      <c r="F514" s="98">
        <f>D514/100000</f>
        <v/>
      </c>
      <c r="G514" s="97">
        <f>(F514/DataSheet!$C$11*100)</f>
        <v/>
      </c>
      <c r="H514" s="98">
        <f>K514/I514</f>
        <v/>
      </c>
      <c r="I514" s="98">
        <f>(J514/L514)*100</f>
        <v/>
      </c>
      <c r="J514" s="97">
        <f>L514/O514</f>
        <v/>
      </c>
      <c r="K514" s="98" t="n">
        <v>7.17</v>
      </c>
      <c r="L514" s="98" t="n">
        <v>21352.6</v>
      </c>
      <c r="M514" s="98" t="n">
        <v>3.74</v>
      </c>
      <c r="N514" s="98">
        <f>K514-I514</f>
        <v/>
      </c>
      <c r="O514" s="98" t="n">
        <v>22.27</v>
      </c>
      <c r="P514" s="98" t="n">
        <v>4.12</v>
      </c>
      <c r="Q514" s="97">
        <f>K514-P514</f>
        <v/>
      </c>
      <c r="R514" s="98" t="n">
        <v>103.37</v>
      </c>
      <c r="S514" s="97">
        <f>(O514*T514)</f>
        <v/>
      </c>
      <c r="T514" s="79" t="n">
        <v>7.03</v>
      </c>
      <c r="U514" s="80" t="n">
        <v>17413.75</v>
      </c>
      <c r="V514" s="80" t="n">
        <v>26.49</v>
      </c>
      <c r="W514" s="97">
        <f>U514/V514</f>
        <v/>
      </c>
      <c r="X514" s="97">
        <f>(W514/U514)*100</f>
        <v/>
      </c>
      <c r="Y514" s="80" t="n">
        <v>14543.8</v>
      </c>
      <c r="Z514" s="80" t="n">
        <v>27.99</v>
      </c>
      <c r="AA514" s="97">
        <f>Y514/Z514</f>
        <v/>
      </c>
      <c r="AB514" s="97">
        <f>(AA514/Y514)*100</f>
        <v/>
      </c>
    </row>
    <row r="515">
      <c r="A515" s="92" t="n">
        <v>514</v>
      </c>
      <c r="B515" s="99" t="n">
        <v>45320</v>
      </c>
      <c r="C515" s="103" t="n">
        <v>38240643.81</v>
      </c>
      <c r="D515" s="98">
        <f>C515/E515</f>
        <v/>
      </c>
      <c r="E515" s="98" t="n">
        <v>83.13</v>
      </c>
      <c r="F515" s="98">
        <f>D515/100000</f>
        <v/>
      </c>
      <c r="G515" s="97">
        <f>(F515/DataSheet!$C$11*100)</f>
        <v/>
      </c>
      <c r="H515" s="98">
        <f>K515/I515</f>
        <v/>
      </c>
      <c r="I515" s="98">
        <f>(J515/L515)*100</f>
        <v/>
      </c>
      <c r="J515" s="97">
        <f>L515/O515</f>
        <v/>
      </c>
      <c r="K515" s="98" t="n">
        <v>7.17</v>
      </c>
      <c r="L515" s="98" t="n">
        <v>21737.6</v>
      </c>
      <c r="M515" s="98" t="n">
        <v>3.81</v>
      </c>
      <c r="N515" s="98">
        <f>K515-I515</f>
        <v/>
      </c>
      <c r="O515" s="98" t="n">
        <v>22.58</v>
      </c>
      <c r="P515" s="98" t="n">
        <v>4.07</v>
      </c>
      <c r="Q515" s="97">
        <f>K515-P515</f>
        <v/>
      </c>
      <c r="R515" s="98" t="n">
        <v>103.42</v>
      </c>
      <c r="S515" s="97">
        <f>(O515*T515)</f>
        <v/>
      </c>
      <c r="T515" s="79" t="n">
        <v>7.04</v>
      </c>
      <c r="U515" s="80" t="n">
        <v>17669.7</v>
      </c>
      <c r="V515" s="80" t="n">
        <v>26.68</v>
      </c>
      <c r="W515" s="97">
        <f>U515/V515</f>
        <v/>
      </c>
      <c r="X515" s="97">
        <f>(W515/U515)*100</f>
        <v/>
      </c>
      <c r="Y515" s="80" t="n">
        <v>14730.25</v>
      </c>
      <c r="Z515" s="80" t="n">
        <v>28.19</v>
      </c>
      <c r="AA515" s="97">
        <f>Y515/Z515</f>
        <v/>
      </c>
      <c r="AB515" s="97">
        <f>(AA515/Y515)*100</f>
        <v/>
      </c>
    </row>
    <row r="516">
      <c r="A516" s="92" t="n">
        <v>515</v>
      </c>
      <c r="B516" s="99" t="n">
        <v>45321</v>
      </c>
      <c r="C516" s="103" t="n">
        <v>38053566.52</v>
      </c>
      <c r="D516" s="98">
        <f>C516/E516</f>
        <v/>
      </c>
      <c r="E516" s="98" t="n">
        <v>83.12</v>
      </c>
      <c r="F516" s="98">
        <f>D516/100000</f>
        <v/>
      </c>
      <c r="G516" s="97">
        <f>(F516/DataSheet!$C$11*100)</f>
        <v/>
      </c>
      <c r="H516" s="98">
        <f>K516/I516</f>
        <v/>
      </c>
      <c r="I516" s="98">
        <f>(J516/L516)*100</f>
        <v/>
      </c>
      <c r="J516" s="97">
        <f>L516/O516</f>
        <v/>
      </c>
      <c r="K516" s="98" t="n">
        <v>7.15</v>
      </c>
      <c r="L516" s="98" t="n">
        <v>21522.1</v>
      </c>
      <c r="M516" s="98" t="n">
        <v>3.77</v>
      </c>
      <c r="N516" s="98">
        <f>K516-I516</f>
        <v/>
      </c>
      <c r="O516" s="98" t="n">
        <v>22.31</v>
      </c>
      <c r="P516" s="98" t="n">
        <v>4.03</v>
      </c>
      <c r="Q516" s="97">
        <f>K516-P516</f>
        <v/>
      </c>
      <c r="R516" s="98" t="n">
        <v>103.21</v>
      </c>
      <c r="S516" s="97">
        <f>(O516*T516)</f>
        <v/>
      </c>
      <c r="T516" s="79" t="n">
        <v>7.04</v>
      </c>
      <c r="U516" s="80" t="n">
        <v>17607.15</v>
      </c>
      <c r="V516" s="80" t="n">
        <v>26.28</v>
      </c>
      <c r="W516" s="97">
        <f>U516/V516</f>
        <v/>
      </c>
      <c r="X516" s="97">
        <f>(W516/U516)*100</f>
        <v/>
      </c>
      <c r="Y516" s="80" t="n">
        <v>14749.95</v>
      </c>
      <c r="Z516" s="80" t="n">
        <v>28.22</v>
      </c>
      <c r="AA516" s="97">
        <f>Y516/Z516</f>
        <v/>
      </c>
      <c r="AB516" s="97">
        <f>(AA516/Y516)*100</f>
        <v/>
      </c>
    </row>
    <row r="517">
      <c r="A517" s="92" t="n">
        <v>516</v>
      </c>
      <c r="B517" s="99" t="n">
        <v>45322</v>
      </c>
      <c r="C517" s="103" t="n">
        <v>38511922.9</v>
      </c>
      <c r="D517" s="98">
        <f>C517/E517</f>
        <v/>
      </c>
      <c r="E517" s="98" t="n">
        <v>83.09</v>
      </c>
      <c r="F517" s="98">
        <f>D517/100000</f>
        <v/>
      </c>
      <c r="G517" s="97">
        <f>(F517/DataSheet!$C$11*100)</f>
        <v/>
      </c>
      <c r="H517" s="98">
        <f>K517/I517</f>
        <v/>
      </c>
      <c r="I517" s="98">
        <f>(J517/L517)*100</f>
        <v/>
      </c>
      <c r="J517" s="97">
        <f>L517/O517</f>
        <v/>
      </c>
      <c r="K517" s="98" t="n">
        <v>7.14</v>
      </c>
      <c r="L517" s="98" t="n">
        <v>21725.7</v>
      </c>
      <c r="M517" s="98" t="n">
        <v>3.81</v>
      </c>
      <c r="N517" s="98">
        <f>K517-I517</f>
        <v/>
      </c>
      <c r="O517" s="98" t="n">
        <v>22.46</v>
      </c>
      <c r="P517" s="98" t="n">
        <v>3.91</v>
      </c>
      <c r="Q517" s="97">
        <f>K517-P517</f>
        <v/>
      </c>
      <c r="R517" s="98" t="n">
        <v>103.08</v>
      </c>
      <c r="S517" s="97">
        <f>(O517*T517)</f>
        <v/>
      </c>
      <c r="T517" s="79" t="n">
        <v>7.04</v>
      </c>
      <c r="U517" s="80" t="n">
        <v>17884.7</v>
      </c>
      <c r="V517" s="80" t="n">
        <v>27.5</v>
      </c>
      <c r="W517" s="97">
        <f>U517/V517</f>
        <v/>
      </c>
      <c r="X517" s="97">
        <f>(W517/U517)*100</f>
        <v/>
      </c>
      <c r="Y517" s="80" t="n">
        <v>15063.5</v>
      </c>
      <c r="Z517" s="80" t="n">
        <v>28.76</v>
      </c>
      <c r="AA517" s="97">
        <f>Y517/Z517</f>
        <v/>
      </c>
      <c r="AB517" s="97">
        <f>(AA517/Y517)*100</f>
        <v/>
      </c>
    </row>
    <row r="518">
      <c r="A518" s="92" t="n">
        <v>517</v>
      </c>
      <c r="B518" s="99" t="n">
        <v>45323</v>
      </c>
      <c r="C518" s="103" t="n">
        <v>38475305.82</v>
      </c>
      <c r="D518" s="98">
        <f>C518/E518</f>
        <v/>
      </c>
      <c r="E518" s="98" t="n">
        <v>82.94</v>
      </c>
      <c r="F518" s="98">
        <f>D518/100000</f>
        <v/>
      </c>
      <c r="G518" s="97">
        <f>(F518/DataSheet!$C$11*100)</f>
        <v/>
      </c>
      <c r="H518" s="98">
        <f>K518/I518</f>
        <v/>
      </c>
      <c r="I518" s="98">
        <f>(J518/L518)*100</f>
        <v/>
      </c>
      <c r="J518" s="97">
        <f>L518/O518</f>
        <v/>
      </c>
      <c r="K518" s="98" t="n">
        <v>7.06</v>
      </c>
      <c r="L518" s="98" t="n">
        <v>21697.45</v>
      </c>
      <c r="M518" s="98" t="n">
        <v>3.8</v>
      </c>
      <c r="N518" s="98">
        <f>K518-I518</f>
        <v/>
      </c>
      <c r="O518" s="98" t="n">
        <v>22.38</v>
      </c>
      <c r="P518" s="98" t="n">
        <v>3.88</v>
      </c>
      <c r="Q518" s="97">
        <f>K518-P518</f>
        <v/>
      </c>
      <c r="R518" s="98" t="n">
        <v>102.87</v>
      </c>
      <c r="S518" s="97">
        <f>(O518*T518)</f>
        <v/>
      </c>
      <c r="T518" s="79" t="n">
        <v>7.04</v>
      </c>
      <c r="U518" s="80" t="n">
        <v>17782.8</v>
      </c>
      <c r="V518" s="80" t="n">
        <v>27.36</v>
      </c>
      <c r="W518" s="97">
        <f>U518/V518</f>
        <v/>
      </c>
      <c r="X518" s="97">
        <f>(W518/U518)*100</f>
        <v/>
      </c>
      <c r="Y518" s="80" t="n">
        <v>15084.2</v>
      </c>
      <c r="Z518" s="80" t="n">
        <v>28.71</v>
      </c>
      <c r="AA518" s="97">
        <f>Y518/Z518</f>
        <v/>
      </c>
      <c r="AB518" s="97">
        <f>(AA518/Y518)*100</f>
        <v/>
      </c>
    </row>
    <row r="519">
      <c r="A519" s="92" t="n">
        <v>518</v>
      </c>
      <c r="B519" s="99" t="n">
        <v>45324</v>
      </c>
      <c r="C519" s="103" t="n">
        <v>38809851.85</v>
      </c>
      <c r="D519" s="98">
        <f>C519/E519</f>
        <v/>
      </c>
      <c r="E519" s="98" t="n">
        <v>82.98999999999999</v>
      </c>
      <c r="F519" s="98">
        <f>D519/100000</f>
        <v/>
      </c>
      <c r="G519" s="97">
        <f>(F519/DataSheet!$C$11*100)</f>
        <v/>
      </c>
      <c r="H519" s="98">
        <f>K519/I519</f>
        <v/>
      </c>
      <c r="I519" s="98">
        <f>(J519/L519)*100</f>
        <v/>
      </c>
      <c r="J519" s="97">
        <f>L519/O519</f>
        <v/>
      </c>
      <c r="K519" s="98" t="n">
        <v>7.05</v>
      </c>
      <c r="L519" s="98" t="n">
        <v>21853.8</v>
      </c>
      <c r="M519" s="98" t="n">
        <v>3.83</v>
      </c>
      <c r="N519" s="98">
        <f>K519-I519</f>
        <v/>
      </c>
      <c r="O519" s="98" t="n">
        <v>22.51</v>
      </c>
      <c r="P519" s="98" t="n">
        <v>4.02</v>
      </c>
      <c r="Q519" s="97">
        <f>K519-P519</f>
        <v/>
      </c>
      <c r="R519" s="98" t="n">
        <v>103.78</v>
      </c>
      <c r="S519" s="97">
        <f>(O519*T519)</f>
        <v/>
      </c>
      <c r="T519" s="79" t="n">
        <v>7.02</v>
      </c>
      <c r="U519" s="80" t="n">
        <v>17873.35</v>
      </c>
      <c r="V519" s="80" t="n">
        <v>27.53</v>
      </c>
      <c r="W519" s="97">
        <f>U519/V519</f>
        <v/>
      </c>
      <c r="X519" s="97">
        <f>(W519/U519)*100</f>
        <v/>
      </c>
      <c r="Y519" s="80" t="n">
        <v>15175.9</v>
      </c>
      <c r="Z519" s="80" t="n">
        <v>28.82</v>
      </c>
      <c r="AA519" s="97">
        <f>Y519/Z519</f>
        <v/>
      </c>
      <c r="AB519" s="97">
        <f>(AA519/Y519)*100</f>
        <v/>
      </c>
    </row>
    <row r="520">
      <c r="A520" s="92" t="n">
        <v>519</v>
      </c>
      <c r="B520" s="99" t="n">
        <v>45327</v>
      </c>
      <c r="C520" s="103" t="n">
        <v>38787779.53</v>
      </c>
      <c r="D520" s="98">
        <f>C520/E520</f>
        <v/>
      </c>
      <c r="E520" s="98" t="n">
        <v>83.03</v>
      </c>
      <c r="F520" s="98">
        <f>D520/100000</f>
        <v/>
      </c>
      <c r="G520" s="97">
        <f>(F520/DataSheet!$C$11*100)</f>
        <v/>
      </c>
      <c r="H520" s="98">
        <f>K520/I520</f>
        <v/>
      </c>
      <c r="I520" s="98">
        <f>(J520/L520)*100</f>
        <v/>
      </c>
      <c r="J520" s="97">
        <f>L520/O520</f>
        <v/>
      </c>
      <c r="K520" s="98" t="n">
        <v>7.09</v>
      </c>
      <c r="L520" s="98" t="n">
        <v>21771.7</v>
      </c>
      <c r="M520" s="98" t="n">
        <v>3.81</v>
      </c>
      <c r="N520" s="98">
        <f>K520-I520</f>
        <v/>
      </c>
      <c r="O520" s="98" t="n">
        <v>22.39</v>
      </c>
      <c r="P520" s="98" t="n">
        <v>4.16</v>
      </c>
      <c r="Q520" s="97">
        <f>K520-P520</f>
        <v/>
      </c>
      <c r="R520" s="98" t="n">
        <v>104.31</v>
      </c>
      <c r="S520" s="97">
        <f>(O520*T520)</f>
        <v/>
      </c>
      <c r="T520" s="79" t="n">
        <v>7.03</v>
      </c>
      <c r="U520" s="80" t="n">
        <v>17871.55</v>
      </c>
      <c r="V520" s="80" t="n">
        <v>27.71</v>
      </c>
      <c r="W520" s="97">
        <f>U520/V520</f>
        <v/>
      </c>
      <c r="X520" s="97">
        <f>(W520/U520)*100</f>
        <v/>
      </c>
      <c r="Y520" s="80" t="n">
        <v>15168.4</v>
      </c>
      <c r="Z520" s="80" t="n">
        <v>28.87</v>
      </c>
      <c r="AA520" s="97">
        <f>Y520/Z520</f>
        <v/>
      </c>
      <c r="AB520" s="97">
        <f>(AA520/Y520)*100</f>
        <v/>
      </c>
    </row>
    <row r="521">
      <c r="A521" s="92" t="n">
        <v>520</v>
      </c>
      <c r="B521" s="99" t="n">
        <v>45328</v>
      </c>
      <c r="C521" s="103" t="n">
        <v>39221464.84</v>
      </c>
      <c r="D521" s="98">
        <f>C521/E521</f>
        <v/>
      </c>
      <c r="E521" s="98" t="n">
        <v>83.05</v>
      </c>
      <c r="F521" s="98">
        <f>D521/100000</f>
        <v/>
      </c>
      <c r="G521" s="97">
        <f>(F521/DataSheet!$C$11*100)</f>
        <v/>
      </c>
      <c r="H521" s="98">
        <f>K521/I521</f>
        <v/>
      </c>
      <c r="I521" s="98">
        <f>(J521/L521)*100</f>
        <v/>
      </c>
      <c r="J521" s="97">
        <f>L521/O521</f>
        <v/>
      </c>
      <c r="K521" s="98" t="n">
        <v>7.08</v>
      </c>
      <c r="L521" s="98" t="n">
        <v>21929.4</v>
      </c>
      <c r="M521" s="98" t="n">
        <v>3.84</v>
      </c>
      <c r="N521" s="98">
        <f>K521-I521</f>
        <v/>
      </c>
      <c r="O521" s="98" t="n">
        <v>22.66</v>
      </c>
      <c r="P521" s="98" t="n">
        <v>4.15</v>
      </c>
      <c r="Q521" s="97">
        <f>K521-P521</f>
        <v/>
      </c>
      <c r="R521" s="98" t="n">
        <v>104.36</v>
      </c>
      <c r="S521" s="97">
        <f>(O521*T521)</f>
        <v/>
      </c>
      <c r="T521" s="79" t="n">
        <v>7.05</v>
      </c>
      <c r="U521" s="80" t="n">
        <v>18082</v>
      </c>
      <c r="V521" s="80" t="n">
        <v>27.83</v>
      </c>
      <c r="W521" s="97">
        <f>U521/V521</f>
        <v/>
      </c>
      <c r="X521" s="97">
        <f>(W521/U521)*100</f>
        <v/>
      </c>
      <c r="Y521" s="80" t="n">
        <v>15310.15</v>
      </c>
      <c r="Z521" s="80" t="n">
        <v>29.07</v>
      </c>
      <c r="AA521" s="97">
        <f>Y521/Z521</f>
        <v/>
      </c>
      <c r="AB521" s="97">
        <f>(AA521/Y521)*100</f>
        <v/>
      </c>
    </row>
    <row r="522">
      <c r="A522" s="92" t="n">
        <v>521</v>
      </c>
      <c r="B522" s="99" t="n">
        <v>45329</v>
      </c>
      <c r="C522" s="103" t="n">
        <v>39466513.91</v>
      </c>
      <c r="D522" s="98">
        <f>C522/E522</f>
        <v/>
      </c>
      <c r="E522" s="98" t="n">
        <v>82.97</v>
      </c>
      <c r="F522" s="98">
        <f>D522/100000</f>
        <v/>
      </c>
      <c r="G522" s="97">
        <f>(F522/DataSheet!$C$11*100)</f>
        <v/>
      </c>
      <c r="H522" s="98">
        <f>K522/I522</f>
        <v/>
      </c>
      <c r="I522" s="98">
        <f>(J522/L522)*100</f>
        <v/>
      </c>
      <c r="J522" s="97">
        <f>L522/O522</f>
        <v/>
      </c>
      <c r="K522" s="98" t="n">
        <v>7.07</v>
      </c>
      <c r="L522" s="98" t="n">
        <v>21930.5</v>
      </c>
      <c r="M522" s="98" t="n">
        <v>3.84</v>
      </c>
      <c r="N522" s="98">
        <f>K522-I522</f>
        <v/>
      </c>
      <c r="O522" s="98" t="n">
        <v>22.66</v>
      </c>
      <c r="P522" s="98" t="n">
        <v>4.11</v>
      </c>
      <c r="Q522" s="97">
        <f>K522-P522</f>
        <v/>
      </c>
      <c r="R522" s="98" t="n">
        <v>103.91</v>
      </c>
      <c r="S522" s="97">
        <f>(O522*T522)</f>
        <v/>
      </c>
      <c r="T522" s="79" t="n">
        <v>7.03</v>
      </c>
      <c r="U522" s="80" t="n">
        <v>18203.35</v>
      </c>
      <c r="V522" s="80" t="n">
        <v>27.98</v>
      </c>
      <c r="W522" s="97">
        <f>U522/V522</f>
        <v/>
      </c>
      <c r="X522" s="97">
        <f>(W522/U522)*100</f>
        <v/>
      </c>
      <c r="Y522" s="80" t="n">
        <v>15390.45</v>
      </c>
      <c r="Z522" s="80" t="n">
        <v>29.11</v>
      </c>
      <c r="AA522" s="97">
        <f>Y522/Z522</f>
        <v/>
      </c>
      <c r="AB522" s="97">
        <f>(AA522/Y522)*100</f>
        <v/>
      </c>
    </row>
    <row r="523">
      <c r="A523" s="92" t="n">
        <v>522</v>
      </c>
      <c r="B523" s="99" t="n">
        <v>45330</v>
      </c>
      <c r="C523" s="103" t="n">
        <v>39356397.24</v>
      </c>
      <c r="D523" s="98">
        <f>C523/E523</f>
        <v/>
      </c>
      <c r="E523" s="98" t="n">
        <v>82.97</v>
      </c>
      <c r="F523" s="98">
        <f>D523/100000</f>
        <v/>
      </c>
      <c r="G523" s="97">
        <f>(F523/DataSheet!$C$11*100)</f>
        <v/>
      </c>
      <c r="H523" s="98">
        <f>K523/I523</f>
        <v/>
      </c>
      <c r="I523" s="98">
        <f>(J523/L523)*100</f>
        <v/>
      </c>
      <c r="J523" s="97">
        <f>L523/O523</f>
        <v/>
      </c>
      <c r="K523" s="98" t="n">
        <v>7.08</v>
      </c>
      <c r="L523" s="98" t="n">
        <v>21717.95</v>
      </c>
      <c r="M523" s="98" t="n">
        <v>3.8</v>
      </c>
      <c r="N523" s="98">
        <f>K523-I523</f>
        <v/>
      </c>
      <c r="O523" s="98" t="n">
        <v>22.45</v>
      </c>
      <c r="P523" s="98" t="n">
        <v>4.15</v>
      </c>
      <c r="Q523" s="97">
        <f>K523-P523</f>
        <v/>
      </c>
      <c r="R523" s="98" t="n">
        <v>104.03</v>
      </c>
      <c r="S523" s="97">
        <f>(O523*T523)</f>
        <v/>
      </c>
      <c r="T523" s="79" t="n">
        <v>7.04</v>
      </c>
      <c r="U523" s="80" t="n">
        <v>18161.85</v>
      </c>
      <c r="V523" s="80" t="n">
        <v>27.94</v>
      </c>
      <c r="W523" s="97">
        <f>U523/V523</f>
        <v/>
      </c>
      <c r="X523" s="97">
        <f>(W523/U523)*100</f>
        <v/>
      </c>
      <c r="Y523" s="80" t="n">
        <v>15323</v>
      </c>
      <c r="Z523" s="80" t="n">
        <v>28.91</v>
      </c>
      <c r="AA523" s="97">
        <f>Y523/Z523</f>
        <v/>
      </c>
      <c r="AB523" s="97">
        <f>(AA523/Y523)*100</f>
        <v/>
      </c>
    </row>
    <row r="524">
      <c r="A524" s="92" t="n">
        <v>523</v>
      </c>
      <c r="B524" s="99" t="n">
        <v>45331</v>
      </c>
      <c r="C524" s="103" t="n">
        <v>39177108.08</v>
      </c>
      <c r="D524" s="98">
        <f>C524/E524</f>
        <v/>
      </c>
      <c r="E524" s="98" t="n">
        <v>83</v>
      </c>
      <c r="F524" s="98">
        <f>D524/100000</f>
        <v/>
      </c>
      <c r="G524" s="97">
        <f>(F524/DataSheet!$C$11*100)</f>
        <v/>
      </c>
      <c r="H524" s="98">
        <f>K524/I524</f>
        <v/>
      </c>
      <c r="I524" s="98">
        <f>(J524/L524)*100</f>
        <v/>
      </c>
      <c r="J524" s="97">
        <f>L524/O524</f>
        <v/>
      </c>
      <c r="K524" s="98" t="n">
        <v>7.11</v>
      </c>
      <c r="L524" s="98" t="n">
        <v>21782.5</v>
      </c>
      <c r="M524" s="98" t="n">
        <v>3.82</v>
      </c>
      <c r="N524" s="98">
        <f>K524-I524</f>
        <v/>
      </c>
      <c r="O524" s="98" t="n">
        <v>22.51</v>
      </c>
      <c r="P524" s="98" t="n">
        <v>4.17</v>
      </c>
      <c r="Q524" s="97">
        <f>K524-P524</f>
        <v/>
      </c>
      <c r="R524" s="98" t="n">
        <v>103.99</v>
      </c>
      <c r="S524" s="97">
        <f>(O524*T524)</f>
        <v/>
      </c>
      <c r="T524" s="79" t="n">
        <v>7.03</v>
      </c>
      <c r="U524" s="80" t="n">
        <v>18003.1</v>
      </c>
      <c r="V524" s="80" t="n">
        <v>27.62</v>
      </c>
      <c r="W524" s="97">
        <f>U524/V524</f>
        <v/>
      </c>
      <c r="X524" s="97">
        <f>(W524/U524)*100</f>
        <v/>
      </c>
      <c r="Y524" s="80" t="n">
        <v>15128.35</v>
      </c>
      <c r="Z524" s="80" t="n">
        <v>28.52</v>
      </c>
      <c r="AA524" s="97">
        <f>Y524/Z524</f>
        <v/>
      </c>
      <c r="AB524" s="97">
        <f>(AA524/Y524)*100</f>
        <v/>
      </c>
    </row>
    <row r="525">
      <c r="A525" s="92" t="n">
        <v>524</v>
      </c>
      <c r="B525" s="99" t="n">
        <v>45334</v>
      </c>
      <c r="C525" s="103" t="n">
        <v>38419004.97</v>
      </c>
      <c r="D525" s="98">
        <f>C525/E525</f>
        <v/>
      </c>
      <c r="E525" s="98" t="n">
        <v>82.97</v>
      </c>
      <c r="F525" s="98">
        <f>D525/100000</f>
        <v/>
      </c>
      <c r="G525" s="97">
        <f>(F525/DataSheet!$C$11*100)</f>
        <v/>
      </c>
      <c r="H525" s="98">
        <f>K525/I525</f>
        <v/>
      </c>
      <c r="I525" s="98">
        <f>(J525/L525)*100</f>
        <v/>
      </c>
      <c r="J525" s="97">
        <f>L525/O525</f>
        <v/>
      </c>
      <c r="K525" s="98" t="n">
        <v>7.09</v>
      </c>
      <c r="L525" s="98" t="n">
        <v>21616.05</v>
      </c>
      <c r="M525" s="98" t="n">
        <v>3.79</v>
      </c>
      <c r="N525" s="98">
        <f>K525-I525</f>
        <v/>
      </c>
      <c r="O525" s="98" t="n">
        <v>22.38</v>
      </c>
      <c r="P525" s="98" t="n">
        <v>4.17</v>
      </c>
      <c r="Q525" s="97">
        <f>K525-P525</f>
        <v/>
      </c>
      <c r="R525" s="98" t="n">
        <v>104.04</v>
      </c>
      <c r="S525" s="97">
        <f>(O525*T525)</f>
        <v/>
      </c>
      <c r="T525" s="79" t="n">
        <v>7.02</v>
      </c>
      <c r="U525" s="80" t="n">
        <v>17572.25</v>
      </c>
      <c r="V525" s="80" t="n">
        <v>26.76</v>
      </c>
      <c r="W525" s="97">
        <f>U525/V525</f>
        <v/>
      </c>
      <c r="X525" s="97">
        <f>(W525/U525)*100</f>
        <v/>
      </c>
      <c r="Y525" s="80" t="n">
        <v>14589.05</v>
      </c>
      <c r="Z525" s="80" t="n">
        <v>27.39</v>
      </c>
      <c r="AA525" s="97">
        <f>Y525/Z525</f>
        <v/>
      </c>
      <c r="AB525" s="97">
        <f>(AA525/Y525)*100</f>
        <v/>
      </c>
    </row>
    <row r="526">
      <c r="A526" s="92" t="n">
        <v>525</v>
      </c>
      <c r="B526" s="99" t="n">
        <v>45335</v>
      </c>
      <c r="C526" s="103" t="n">
        <v>38612008.49</v>
      </c>
      <c r="D526" s="98">
        <f>C526/E526</f>
        <v/>
      </c>
      <c r="E526" s="98" t="n">
        <v>83.09</v>
      </c>
      <c r="F526" s="98">
        <f>D526/100000</f>
        <v/>
      </c>
      <c r="G526" s="97">
        <f>(F526/DataSheet!$C$11*100)</f>
        <v/>
      </c>
      <c r="H526" s="98">
        <f>K526/I526</f>
        <v/>
      </c>
      <c r="I526" s="98">
        <f>(J526/L526)*100</f>
        <v/>
      </c>
      <c r="J526" s="97">
        <f>L526/O526</f>
        <v/>
      </c>
      <c r="K526" s="98" t="n">
        <v>7.09</v>
      </c>
      <c r="L526" s="98" t="n">
        <v>21743.25</v>
      </c>
      <c r="M526" s="98" t="n">
        <v>3.81</v>
      </c>
      <c r="N526" s="98">
        <f>K526-I526</f>
        <v/>
      </c>
      <c r="O526" s="98" t="n">
        <v>22.5</v>
      </c>
      <c r="P526" s="98" t="n">
        <v>4.32</v>
      </c>
      <c r="Q526" s="97">
        <f>K526-P526</f>
        <v/>
      </c>
      <c r="R526" s="98" t="n">
        <v>104.85</v>
      </c>
      <c r="S526" s="97">
        <f>(O526*T526)</f>
        <v/>
      </c>
      <c r="T526" s="79" t="n">
        <v>7.03</v>
      </c>
      <c r="U526" s="80" t="n">
        <v>17622.65</v>
      </c>
      <c r="V526" s="80" t="n">
        <v>26.67</v>
      </c>
      <c r="W526" s="97">
        <f>U526/V526</f>
        <v/>
      </c>
      <c r="X526" s="97">
        <f>(W526/U526)*100</f>
        <v/>
      </c>
      <c r="Y526" s="80" t="n">
        <v>14641.05</v>
      </c>
      <c r="Z526" s="80" t="n">
        <v>27.54</v>
      </c>
      <c r="AA526" s="97">
        <f>Y526/Z526</f>
        <v/>
      </c>
      <c r="AB526" s="97">
        <f>(AA526/Y526)*100</f>
        <v/>
      </c>
    </row>
    <row r="527">
      <c r="A527" s="92" t="n">
        <v>526</v>
      </c>
      <c r="B527" s="99" t="n">
        <v>45336</v>
      </c>
      <c r="C527" s="103" t="n">
        <v>39013295.22</v>
      </c>
      <c r="D527" s="98">
        <f>C527/E527</f>
        <v/>
      </c>
      <c r="E527" s="98" t="n">
        <v>83.03</v>
      </c>
      <c r="F527" s="98">
        <f>D527/100000</f>
        <v/>
      </c>
      <c r="G527" s="97">
        <f>(F527/DataSheet!$C$11*100)</f>
        <v/>
      </c>
      <c r="H527" s="98">
        <f>K527/I527</f>
        <v/>
      </c>
      <c r="I527" s="98">
        <f>(J527/L527)*100</f>
        <v/>
      </c>
      <c r="J527" s="97">
        <f>L527/O527</f>
        <v/>
      </c>
      <c r="K527" s="98" t="n">
        <v>7.11</v>
      </c>
      <c r="L527" s="98" t="n">
        <v>21840.05</v>
      </c>
      <c r="M527" s="98" t="n">
        <v>3.83</v>
      </c>
      <c r="N527" s="98">
        <f>K527-I527</f>
        <v/>
      </c>
      <c r="O527" s="98" t="n">
        <v>22.59</v>
      </c>
      <c r="P527" s="98" t="n">
        <v>4.26</v>
      </c>
      <c r="Q527" s="97">
        <f>K527-P527</f>
        <v/>
      </c>
      <c r="R527" s="98" t="n">
        <v>104.61</v>
      </c>
      <c r="S527" s="97">
        <f>(O527*T527)</f>
        <v/>
      </c>
      <c r="T527" s="79" t="n">
        <v>7.05</v>
      </c>
      <c r="U527" s="80" t="n">
        <v>17773.85</v>
      </c>
      <c r="V527" s="80" t="n">
        <v>26.87</v>
      </c>
      <c r="W527" s="97">
        <f>U527/V527</f>
        <v/>
      </c>
      <c r="X527" s="97">
        <f>(W527/U527)*100</f>
        <v/>
      </c>
      <c r="Y527" s="80" t="n">
        <v>14829.25</v>
      </c>
      <c r="Z527" s="80" t="n">
        <v>27.93</v>
      </c>
      <c r="AA527" s="97">
        <f>Y527/Z527</f>
        <v/>
      </c>
      <c r="AB527" s="97">
        <f>(AA527/Y527)*100</f>
        <v/>
      </c>
    </row>
    <row r="528">
      <c r="A528" s="92" t="n">
        <v>527</v>
      </c>
      <c r="B528" s="99" t="n">
        <v>45337</v>
      </c>
      <c r="C528" s="103" t="n">
        <v>39273480.19</v>
      </c>
      <c r="D528" s="98">
        <f>C528/E528</f>
        <v/>
      </c>
      <c r="E528" s="98" t="n">
        <v>83.08</v>
      </c>
      <c r="F528" s="98">
        <f>D528/100000</f>
        <v/>
      </c>
      <c r="G528" s="97">
        <f>(F528/DataSheet!$C$11*100)</f>
        <v/>
      </c>
      <c r="H528" s="98">
        <f>K528/I528</f>
        <v/>
      </c>
      <c r="I528" s="98">
        <f>(J528/L528)*100</f>
        <v/>
      </c>
      <c r="J528" s="97">
        <f>L528/O528</f>
        <v/>
      </c>
      <c r="K528" s="98" t="n">
        <v>7.08</v>
      </c>
      <c r="L528" s="98" t="n">
        <v>21910.75</v>
      </c>
      <c r="M528" s="98" t="n">
        <v>3.84</v>
      </c>
      <c r="N528" s="98">
        <f>K528-I528</f>
        <v/>
      </c>
      <c r="O528" s="98" t="n">
        <v>22.62</v>
      </c>
      <c r="P528" s="98" t="n">
        <v>4.22</v>
      </c>
      <c r="Q528" s="97">
        <f>K528-P528</f>
        <v/>
      </c>
      <c r="R528" s="98" t="n">
        <v>104.52</v>
      </c>
      <c r="S528" s="97">
        <f>(O528*T528)</f>
        <v/>
      </c>
      <c r="T528" s="79" t="n">
        <v>7.06</v>
      </c>
      <c r="U528" s="80" t="n">
        <v>17941.8</v>
      </c>
      <c r="V528" s="80" t="n">
        <v>27.15</v>
      </c>
      <c r="W528" s="97">
        <f>U528/V528</f>
        <v/>
      </c>
      <c r="X528" s="97">
        <f>(W528/U528)*100</f>
        <v/>
      </c>
      <c r="Y528" s="80" t="n">
        <v>15002.05</v>
      </c>
      <c r="Z528" s="80" t="n">
        <v>28.29</v>
      </c>
      <c r="AA528" s="97">
        <f>Y528/Z528</f>
        <v/>
      </c>
      <c r="AB528" s="97">
        <f>(AA528/Y528)*100</f>
        <v/>
      </c>
    </row>
    <row r="529">
      <c r="A529" s="92" t="n">
        <v>528</v>
      </c>
      <c r="B529" s="99" t="n">
        <v>45338</v>
      </c>
      <c r="C529" s="103" t="n">
        <v>39495674.89</v>
      </c>
      <c r="D529" s="98">
        <f>C529/E529</f>
        <v/>
      </c>
      <c r="E529" s="98" t="n">
        <v>83.01000000000001</v>
      </c>
      <c r="F529" s="98">
        <f>D529/100000</f>
        <v/>
      </c>
      <c r="G529" s="97">
        <f>(F529/DataSheet!$C$11*100)</f>
        <v/>
      </c>
      <c r="H529" s="98">
        <f>K529/I529</f>
        <v/>
      </c>
      <c r="I529" s="98">
        <f>(J529/L529)*100</f>
        <v/>
      </c>
      <c r="J529" s="97">
        <f>L529/O529</f>
        <v/>
      </c>
      <c r="K529" s="98" t="n">
        <v>7.09</v>
      </c>
      <c r="L529" s="98" t="n">
        <v>22040.7</v>
      </c>
      <c r="M529" s="98" t="n">
        <v>3.86</v>
      </c>
      <c r="N529" s="98">
        <f>K529-I529</f>
        <v/>
      </c>
      <c r="O529" s="98" t="n">
        <v>22.76</v>
      </c>
      <c r="P529" s="98" t="n">
        <v>4.27</v>
      </c>
      <c r="Q529" s="97">
        <f>K529-P529</f>
        <v/>
      </c>
      <c r="R529" s="98" t="n">
        <v>104.29</v>
      </c>
      <c r="S529" s="97">
        <f>(O529*T529)</f>
        <v/>
      </c>
      <c r="T529" s="79" t="n">
        <v>7.05</v>
      </c>
      <c r="U529" s="80" t="n">
        <v>18081.7</v>
      </c>
      <c r="V529" s="80" t="n">
        <v>27.35</v>
      </c>
      <c r="W529" s="97">
        <f>U529/V529</f>
        <v/>
      </c>
      <c r="X529" s="97">
        <f>(W529/U529)*100</f>
        <v/>
      </c>
      <c r="Y529" s="80" t="n">
        <v>15098.9</v>
      </c>
      <c r="Z529" s="80" t="n">
        <v>28.6</v>
      </c>
      <c r="AA529" s="97">
        <f>Y529/Z529</f>
        <v/>
      </c>
      <c r="AB529" s="97">
        <f>(AA529/Y529)*100</f>
        <v/>
      </c>
    </row>
    <row r="530">
      <c r="A530" s="92" t="n">
        <v>529</v>
      </c>
      <c r="B530" s="99" t="n">
        <v>45341</v>
      </c>
      <c r="C530" s="103" t="n">
        <v>39706844.16</v>
      </c>
      <c r="D530" s="98">
        <f>C530/E530</f>
        <v/>
      </c>
      <c r="E530" s="98" t="n">
        <v>83.02</v>
      </c>
      <c r="F530" s="98">
        <f>D530/100000</f>
        <v/>
      </c>
      <c r="G530" s="97">
        <f>(F530/DataSheet!$C$11*100)</f>
        <v/>
      </c>
      <c r="H530" s="98">
        <f>K530/I530</f>
        <v/>
      </c>
      <c r="I530" s="98">
        <f>(J530/L530)*100</f>
        <v/>
      </c>
      <c r="J530" s="97">
        <f>L530/O530</f>
        <v/>
      </c>
      <c r="K530" s="98" t="n">
        <v>7.09</v>
      </c>
      <c r="L530" s="98" t="n">
        <v>22122.25</v>
      </c>
      <c r="M530" s="98" t="n">
        <v>3.88</v>
      </c>
      <c r="N530" s="98">
        <f>K530-I530</f>
        <v/>
      </c>
      <c r="O530" s="98" t="n">
        <v>22.84</v>
      </c>
      <c r="P530" s="98" t="n">
        <v>4.31</v>
      </c>
      <c r="Q530" s="97">
        <f>K530-P530</f>
        <v/>
      </c>
      <c r="R530" s="98" t="n">
        <v>104.18</v>
      </c>
      <c r="S530" s="97">
        <f>(O530*T530)</f>
        <v/>
      </c>
      <c r="T530" s="79" t="n">
        <v>7.05</v>
      </c>
      <c r="U530" s="80" t="n">
        <v>18166.65</v>
      </c>
      <c r="V530" s="80" t="n">
        <v>27.48</v>
      </c>
      <c r="W530" s="97">
        <f>U530/V530</f>
        <v/>
      </c>
      <c r="X530" s="97">
        <f>(W530/U530)*100</f>
        <v/>
      </c>
      <c r="Y530" s="80" t="n">
        <v>15171</v>
      </c>
      <c r="Z530" s="80" t="n">
        <v>28.85</v>
      </c>
      <c r="AA530" s="97">
        <f>Y530/Z530</f>
        <v/>
      </c>
      <c r="AB530" s="97">
        <f>(AA530/Y530)*100</f>
        <v/>
      </c>
    </row>
    <row r="531">
      <c r="A531" s="92" t="n">
        <v>530</v>
      </c>
      <c r="B531" s="99" t="n">
        <v>45342</v>
      </c>
      <c r="C531" s="103" t="n">
        <v>39695109.5</v>
      </c>
      <c r="D531" s="98">
        <f>C531/E531</f>
        <v/>
      </c>
      <c r="E531" s="98" t="n">
        <v>82.81999999999999</v>
      </c>
      <c r="F531" s="98">
        <f>D531/100000</f>
        <v/>
      </c>
      <c r="G531" s="97">
        <f>(F531/DataSheet!$C$11*100)</f>
        <v/>
      </c>
      <c r="H531" s="98">
        <f>K531/I531</f>
        <v/>
      </c>
      <c r="I531" s="98">
        <f>(J531/L531)*100</f>
        <v/>
      </c>
      <c r="J531" s="97">
        <f>L531/O531</f>
        <v/>
      </c>
      <c r="K531" s="98" t="n">
        <v>7.06</v>
      </c>
      <c r="L531" s="98" t="n">
        <v>22196.95</v>
      </c>
      <c r="M531" s="98" t="n">
        <v>3.89</v>
      </c>
      <c r="N531" s="98">
        <f>K531-I531</f>
        <v/>
      </c>
      <c r="O531" s="98" t="n">
        <v>22.92</v>
      </c>
      <c r="P531" s="98" t="n">
        <v>4.27</v>
      </c>
      <c r="Q531" s="97">
        <f>K531-P531</f>
        <v/>
      </c>
      <c r="R531" s="98" t="n">
        <v>103.96</v>
      </c>
      <c r="S531" s="97">
        <f>(O531*T531)</f>
        <v/>
      </c>
      <c r="T531" s="79" t="n">
        <v>7.06</v>
      </c>
      <c r="U531" s="80" t="n">
        <v>18137.4</v>
      </c>
      <c r="V531" s="80" t="n">
        <v>27.42</v>
      </c>
      <c r="W531" s="97">
        <f>U531/V531</f>
        <v/>
      </c>
      <c r="X531" s="97">
        <f>(W531/U531)*100</f>
        <v/>
      </c>
      <c r="Y531" s="80" t="n">
        <v>15110.7</v>
      </c>
      <c r="Z531" s="80" t="n">
        <v>28.74</v>
      </c>
      <c r="AA531" s="97">
        <f>Y531/Z531</f>
        <v/>
      </c>
      <c r="AB531" s="97">
        <f>(AA531/Y531)*100</f>
        <v/>
      </c>
    </row>
    <row r="532">
      <c r="A532" s="92" t="n">
        <v>531</v>
      </c>
      <c r="B532" s="99" t="n">
        <v>45343</v>
      </c>
      <c r="C532" s="103" t="n">
        <v>39432876.06</v>
      </c>
      <c r="D532" s="98">
        <f>C532/E532</f>
        <v/>
      </c>
      <c r="E532" s="98" t="n">
        <v>82.93000000000001</v>
      </c>
      <c r="F532" s="98">
        <f>D532/100000</f>
        <v/>
      </c>
      <c r="G532" s="97">
        <f>(F532/DataSheet!$C$11*100)</f>
        <v/>
      </c>
      <c r="H532" s="98">
        <f>K532/I532</f>
        <v/>
      </c>
      <c r="I532" s="98">
        <f>(J532/L532)*100</f>
        <v/>
      </c>
      <c r="J532" s="97">
        <f>L532/O532</f>
        <v/>
      </c>
      <c r="K532" s="98" t="n">
        <v>7.04</v>
      </c>
      <c r="L532" s="98" t="n">
        <v>22055.05</v>
      </c>
      <c r="M532" s="98" t="n">
        <v>3.86</v>
      </c>
      <c r="N532" s="98">
        <f>K532-I532</f>
        <v/>
      </c>
      <c r="O532" s="98" t="n">
        <v>22.77</v>
      </c>
      <c r="P532" s="98" t="n">
        <v>4.31</v>
      </c>
      <c r="Q532" s="97">
        <f>K532-P532</f>
        <v/>
      </c>
      <c r="R532" s="98" t="n">
        <v>103.91</v>
      </c>
      <c r="S532" s="97">
        <f>(O532*T532)</f>
        <v/>
      </c>
      <c r="T532" s="79" t="n">
        <v>7.06</v>
      </c>
      <c r="U532" s="80" t="n">
        <v>17939.45</v>
      </c>
      <c r="V532" s="80" t="n">
        <v>27.13</v>
      </c>
      <c r="W532" s="97">
        <f>U532/V532</f>
        <v/>
      </c>
      <c r="X532" s="97">
        <f>(W532/U532)*100</f>
        <v/>
      </c>
      <c r="Y532" s="80" t="n">
        <v>14992.15</v>
      </c>
      <c r="Z532" s="80" t="n">
        <v>28.52</v>
      </c>
      <c r="AA532" s="97">
        <f>Y532/Z532</f>
        <v/>
      </c>
      <c r="AB532" s="97">
        <f>(AA532/Y532)*100</f>
        <v/>
      </c>
    </row>
    <row r="533">
      <c r="A533" s="92" t="n">
        <v>532</v>
      </c>
      <c r="B533" s="99" t="n">
        <v>45344</v>
      </c>
      <c r="C533" s="103" t="n">
        <v>39762271.88</v>
      </c>
      <c r="D533" s="98">
        <f>C533/E533</f>
        <v/>
      </c>
      <c r="E533" s="98" t="n">
        <v>82.83</v>
      </c>
      <c r="F533" s="98">
        <f>D533/100000</f>
        <v/>
      </c>
      <c r="G533" s="97">
        <f>(F533/DataSheet!$C$11*100)</f>
        <v/>
      </c>
      <c r="H533" s="98">
        <f>K533/I533</f>
        <v/>
      </c>
      <c r="I533" s="98">
        <f>(J533/L533)*100</f>
        <v/>
      </c>
      <c r="J533" s="97">
        <f>L533/O533</f>
        <v/>
      </c>
      <c r="K533" s="98" t="n">
        <v>7.06</v>
      </c>
      <c r="L533" s="98" t="n">
        <v>22217.45</v>
      </c>
      <c r="M533" s="98" t="n">
        <v>3.89</v>
      </c>
      <c r="N533" s="98">
        <f>K533-I533</f>
        <v/>
      </c>
      <c r="O533" s="98" t="n">
        <v>22.94</v>
      </c>
      <c r="P533" s="98" t="n">
        <v>4.33</v>
      </c>
      <c r="Q533" s="97">
        <f>K533-P533</f>
        <v/>
      </c>
      <c r="R533" s="98" t="n">
        <v>103.87</v>
      </c>
      <c r="S533" s="97">
        <f>(O533*T533)</f>
        <v/>
      </c>
      <c r="T533" s="79" t="n">
        <v>7.05</v>
      </c>
      <c r="U533" s="80" t="n">
        <v>18082.9</v>
      </c>
      <c r="V533" s="80" t="n">
        <v>27.34</v>
      </c>
      <c r="W533" s="97">
        <f>U533/V533</f>
        <v/>
      </c>
      <c r="X533" s="97">
        <f>(W533/U533)*100</f>
        <v/>
      </c>
      <c r="Y533" s="80" t="n">
        <v>15083.55</v>
      </c>
      <c r="Z533" s="80" t="n">
        <v>28.69</v>
      </c>
      <c r="AA533" s="97">
        <f>Y533/Z533</f>
        <v/>
      </c>
      <c r="AB533" s="97">
        <f>(AA533/Y533)*100</f>
        <v/>
      </c>
    </row>
    <row r="534">
      <c r="A534" s="92" t="n">
        <v>533</v>
      </c>
      <c r="B534" s="99" t="n">
        <v>45345</v>
      </c>
      <c r="C534" s="103" t="n">
        <v>39851982.1</v>
      </c>
      <c r="D534" s="98">
        <f>C534/E534</f>
        <v/>
      </c>
      <c r="E534" s="98" t="n">
        <v>82.84999999999999</v>
      </c>
      <c r="F534" s="98">
        <f>D534/100000</f>
        <v/>
      </c>
      <c r="G534" s="97">
        <f>(F534/DataSheet!$C$11*100)</f>
        <v/>
      </c>
      <c r="H534" s="98">
        <f>K534/I534</f>
        <v/>
      </c>
      <c r="I534" s="98">
        <f>(J534/L534)*100</f>
        <v/>
      </c>
      <c r="J534" s="97">
        <f>L534/O534</f>
        <v/>
      </c>
      <c r="K534" s="98" t="n">
        <v>7.07</v>
      </c>
      <c r="L534" s="98" t="n">
        <v>22212.7</v>
      </c>
      <c r="M534" s="98" t="n">
        <v>3.89</v>
      </c>
      <c r="N534" s="98">
        <f>K534-I534</f>
        <v/>
      </c>
      <c r="O534" s="98" t="n">
        <v>22.93</v>
      </c>
      <c r="P534" s="98" t="n">
        <v>4.24</v>
      </c>
      <c r="Q534" s="97">
        <f>K534-P534</f>
        <v/>
      </c>
      <c r="R534" s="98" t="n">
        <v>103.85</v>
      </c>
      <c r="S534" s="97">
        <f>(O534*T534)</f>
        <v/>
      </c>
      <c r="T534" s="79" t="n">
        <v>7.05</v>
      </c>
      <c r="U534" s="80" t="n">
        <v>18149.05</v>
      </c>
      <c r="V534" s="80" t="n">
        <v>27.44</v>
      </c>
      <c r="W534" s="97">
        <f>U534/V534</f>
        <v/>
      </c>
      <c r="X534" s="97">
        <f>(W534/U534)*100</f>
        <v/>
      </c>
      <c r="Y534" s="80" t="n">
        <v>15169.5</v>
      </c>
      <c r="Z534" s="80" t="n">
        <v>28.85</v>
      </c>
      <c r="AA534" s="97">
        <f>Y534/Z534</f>
        <v/>
      </c>
      <c r="AB534" s="97">
        <f>(AA534/Y534)*100</f>
        <v/>
      </c>
    </row>
    <row r="535">
      <c r="A535" s="92" t="n">
        <v>534</v>
      </c>
      <c r="B535" s="99" t="n">
        <v>45348</v>
      </c>
      <c r="C535" s="103" t="n">
        <v>39741568.38</v>
      </c>
      <c r="D535" s="98">
        <f>C535/E535</f>
        <v/>
      </c>
      <c r="E535" s="98" t="n">
        <v>82.84</v>
      </c>
      <c r="F535" s="98">
        <f>D535/100000</f>
        <v/>
      </c>
      <c r="G535" s="97">
        <f>(F535/DataSheet!$C$11*100)</f>
        <v/>
      </c>
      <c r="H535" s="98">
        <f>K535/I535</f>
        <v/>
      </c>
      <c r="I535" s="98">
        <f>(J535/L535)*100</f>
        <v/>
      </c>
      <c r="J535" s="97">
        <f>L535/O535</f>
        <v/>
      </c>
      <c r="K535" s="98" t="n">
        <v>7.06</v>
      </c>
      <c r="L535" s="98" t="n">
        <v>22122.05</v>
      </c>
      <c r="M535" s="98" t="n">
        <v>3.87</v>
      </c>
      <c r="N535" s="98">
        <f>K535-I535</f>
        <v/>
      </c>
      <c r="O535" s="98" t="n">
        <v>22.84</v>
      </c>
      <c r="P535" s="98" t="n">
        <v>4.28</v>
      </c>
      <c r="Q535" s="97">
        <f>K535-P535</f>
        <v/>
      </c>
      <c r="R535" s="98" t="n">
        <v>103.75</v>
      </c>
      <c r="S535" s="97">
        <f>(O535*T535)</f>
        <v/>
      </c>
      <c r="T535" s="79" t="n">
        <v>7.02</v>
      </c>
      <c r="U535" s="80" t="n">
        <v>18093</v>
      </c>
      <c r="V535" s="80" t="n">
        <v>27.36</v>
      </c>
      <c r="W535" s="97">
        <f>U535/V535</f>
        <v/>
      </c>
      <c r="X535" s="97">
        <f>(W535/U535)*100</f>
        <v/>
      </c>
      <c r="Y535" s="80" t="n">
        <v>15143.4</v>
      </c>
      <c r="Z535" s="80" t="n">
        <v>28.81</v>
      </c>
      <c r="AA535" s="97">
        <f>Y535/Z535</f>
        <v/>
      </c>
      <c r="AB535" s="97">
        <f>(AA535/Y535)*100</f>
        <v/>
      </c>
    </row>
    <row r="536">
      <c r="A536" s="92" t="n">
        <v>535</v>
      </c>
      <c r="B536" s="99" t="n">
        <v>45349</v>
      </c>
      <c r="C536" s="103" t="n">
        <v>39746429.94</v>
      </c>
      <c r="D536" s="98">
        <f>C536/E536</f>
        <v/>
      </c>
      <c r="E536" s="98" t="n">
        <v>82.87</v>
      </c>
      <c r="F536" s="98">
        <f>D536/100000</f>
        <v/>
      </c>
      <c r="G536" s="97">
        <f>(F536/DataSheet!$C$11*100)</f>
        <v/>
      </c>
      <c r="H536" s="98">
        <f>K536/I536</f>
        <v/>
      </c>
      <c r="I536" s="98">
        <f>(J536/L536)*100</f>
        <v/>
      </c>
      <c r="J536" s="97">
        <f>L536/O536</f>
        <v/>
      </c>
      <c r="K536" s="98" t="n">
        <v>7.06</v>
      </c>
      <c r="L536" s="98" t="n">
        <v>22198.35</v>
      </c>
      <c r="M536" s="98" t="n">
        <v>3.89</v>
      </c>
      <c r="N536" s="98">
        <f>K536-I536</f>
        <v/>
      </c>
      <c r="O536" s="98" t="n">
        <v>22.92</v>
      </c>
      <c r="P536" s="98" t="n">
        <v>4.3</v>
      </c>
      <c r="Q536" s="97">
        <f>K536-P536</f>
        <v/>
      </c>
      <c r="R536" s="98" t="n">
        <v>103.75</v>
      </c>
      <c r="S536" s="97">
        <f>(O536*T536)</f>
        <v/>
      </c>
      <c r="T536" s="79" t="n">
        <v>7.02</v>
      </c>
      <c r="U536" s="80" t="n">
        <v>18074.3</v>
      </c>
      <c r="V536" s="80" t="n">
        <v>27.32</v>
      </c>
      <c r="W536" s="97">
        <f>U536/V536</f>
        <v/>
      </c>
      <c r="X536" s="97">
        <f>(W536/U536)*100</f>
        <v/>
      </c>
      <c r="Y536" s="80" t="n">
        <v>15181.95</v>
      </c>
      <c r="Z536" s="80" t="n">
        <v>29.27</v>
      </c>
      <c r="AA536" s="97">
        <f>Y536/Z536</f>
        <v/>
      </c>
      <c r="AB536" s="97">
        <f>(AA536/Y536)*100</f>
        <v/>
      </c>
    </row>
    <row r="537">
      <c r="A537" s="92" t="n">
        <v>536</v>
      </c>
      <c r="B537" s="99" t="n">
        <v>45350</v>
      </c>
      <c r="C537" s="103" t="n">
        <v>39148154.53</v>
      </c>
      <c r="D537" s="98">
        <f>C537/E537</f>
        <v/>
      </c>
      <c r="E537" s="98" t="n">
        <v>82.90000000000001</v>
      </c>
      <c r="F537" s="98">
        <f>D537/100000</f>
        <v/>
      </c>
      <c r="G537" s="97">
        <f>(F537/DataSheet!$C$11*100)</f>
        <v/>
      </c>
      <c r="H537" s="98">
        <f>K537/I537</f>
        <v/>
      </c>
      <c r="I537" s="98">
        <f>(J537/L537)*100</f>
        <v/>
      </c>
      <c r="J537" s="97">
        <f>L537/O537</f>
        <v/>
      </c>
      <c r="K537" s="98" t="n">
        <v>7.06</v>
      </c>
      <c r="L537" s="98" t="n">
        <v>21951.15</v>
      </c>
      <c r="M537" s="98" t="n">
        <v>3.84</v>
      </c>
      <c r="N537" s="98">
        <f>K537-I537</f>
        <v/>
      </c>
      <c r="O537" s="98" t="n">
        <v>22.66</v>
      </c>
      <c r="P537" s="98" t="n">
        <v>4.26</v>
      </c>
      <c r="Q537" s="97">
        <f>K537-P537</f>
        <v/>
      </c>
      <c r="R537" s="98" t="n">
        <v>103.9</v>
      </c>
      <c r="S537" s="97">
        <f>(O537*T537)</f>
        <v/>
      </c>
      <c r="T537" s="79" t="n">
        <v>6.97</v>
      </c>
      <c r="U537" s="80" t="n">
        <v>17749</v>
      </c>
      <c r="V537" s="80" t="n">
        <v>26.83</v>
      </c>
      <c r="W537" s="97">
        <f>U537/V537</f>
        <v/>
      </c>
      <c r="X537" s="97">
        <f>(W537/U537)*100</f>
        <v/>
      </c>
      <c r="Y537" s="80" t="n">
        <v>14895.25</v>
      </c>
      <c r="Z537" s="80" t="n">
        <v>28.71</v>
      </c>
      <c r="AA537" s="97">
        <f>Y537/Z537</f>
        <v/>
      </c>
      <c r="AB537" s="97">
        <f>(AA537/Y537)*100</f>
        <v/>
      </c>
    </row>
    <row r="538">
      <c r="A538" s="92" t="n">
        <v>537</v>
      </c>
      <c r="B538" s="99" t="n">
        <v>45351</v>
      </c>
      <c r="C538" s="103" t="n">
        <v>39329609.6</v>
      </c>
      <c r="D538" s="98">
        <f>C538/E538</f>
        <v/>
      </c>
      <c r="E538" s="98" t="n">
        <v>82.90000000000001</v>
      </c>
      <c r="F538" s="98">
        <f>D538/100000</f>
        <v/>
      </c>
      <c r="G538" s="97">
        <f>(F538/DataSheet!$C$11*100)</f>
        <v/>
      </c>
      <c r="H538" s="98">
        <f>K538/I538</f>
        <v/>
      </c>
      <c r="I538" s="98">
        <f>(J538/L538)*100</f>
        <v/>
      </c>
      <c r="J538" s="97">
        <f>L538/O538</f>
        <v/>
      </c>
      <c r="K538" s="98" t="n">
        <v>7.07</v>
      </c>
      <c r="L538" s="98" t="n">
        <v>21982.8</v>
      </c>
      <c r="M538" s="98" t="n">
        <v>3.85</v>
      </c>
      <c r="N538" s="98">
        <f>K538-I538</f>
        <v/>
      </c>
      <c r="O538" s="98" t="n">
        <v>22.7</v>
      </c>
      <c r="P538" s="98" t="n">
        <v>4.25</v>
      </c>
      <c r="Q538" s="97">
        <f>K538-P538</f>
        <v/>
      </c>
      <c r="R538" s="98" t="n">
        <v>104.09</v>
      </c>
      <c r="S538" s="97">
        <f>(O538*T538)</f>
        <v/>
      </c>
      <c r="T538" s="79" t="n">
        <v>6.89</v>
      </c>
      <c r="U538" s="80" t="n">
        <v>17831.1</v>
      </c>
      <c r="V538" s="80" t="n">
        <v>26.96</v>
      </c>
      <c r="W538" s="97">
        <f>U538/V538</f>
        <v/>
      </c>
      <c r="X538" s="97">
        <f>(W538/U538)*100</f>
        <v/>
      </c>
      <c r="Y538" s="80" t="n">
        <v>14965.05</v>
      </c>
      <c r="Z538" s="80" t="n">
        <v>28.85</v>
      </c>
      <c r="AA538" s="97">
        <f>Y538/Z538</f>
        <v/>
      </c>
      <c r="AB538" s="97">
        <f>(AA538/Y538)*100</f>
        <v/>
      </c>
    </row>
    <row r="539">
      <c r="A539" s="92" t="n">
        <v>538</v>
      </c>
      <c r="B539" s="99" t="n">
        <v>45352</v>
      </c>
      <c r="C539" s="103" t="n">
        <v>39763870.91</v>
      </c>
      <c r="D539" s="98">
        <f>C539/E539</f>
        <v/>
      </c>
      <c r="E539" s="98" t="n">
        <v>82.84</v>
      </c>
      <c r="F539" s="98">
        <f>D539/100000</f>
        <v/>
      </c>
      <c r="G539" s="97">
        <f>(F539/DataSheet!$C$11*100)</f>
        <v/>
      </c>
      <c r="H539" s="98">
        <f>K539/I539</f>
        <v/>
      </c>
      <c r="I539" s="98">
        <f>(J539/L539)*100</f>
        <v/>
      </c>
      <c r="J539" s="97">
        <f>L539/O539</f>
        <v/>
      </c>
      <c r="K539" s="98" t="n">
        <v>7.06</v>
      </c>
      <c r="L539" s="98" t="n">
        <v>22338.75</v>
      </c>
      <c r="M539" s="98" t="n">
        <v>3.91</v>
      </c>
      <c r="N539" s="98">
        <f>K539-I539</f>
        <v/>
      </c>
      <c r="O539" s="98" t="n">
        <v>23.06</v>
      </c>
      <c r="P539" s="98" t="n">
        <v>4.18</v>
      </c>
      <c r="Q539" s="97">
        <f>K539-P539</f>
        <v/>
      </c>
      <c r="R539" s="98" t="n">
        <v>103.79</v>
      </c>
      <c r="S539" s="97">
        <f>(O539*T539)</f>
        <v/>
      </c>
      <c r="T539" s="79" t="n">
        <v>6.9</v>
      </c>
      <c r="U539" s="97" t="n">
        <v>17974.65</v>
      </c>
      <c r="V539" s="97" t="n">
        <v>27.17</v>
      </c>
      <c r="W539" s="97">
        <f>U539/V539</f>
        <v/>
      </c>
      <c r="X539" s="97">
        <f>(W539/U539)*100</f>
        <v/>
      </c>
      <c r="Y539" s="97" t="n">
        <v>15061.35</v>
      </c>
      <c r="Z539" s="97" t="n">
        <v>29.03</v>
      </c>
      <c r="AA539" s="97">
        <f>Y539/Z539</f>
        <v/>
      </c>
      <c r="AB539" s="97">
        <f>(AA539/Y539)*100</f>
        <v/>
      </c>
    </row>
    <row r="540">
      <c r="A540" s="92" t="n">
        <v>539</v>
      </c>
      <c r="B540" s="99" t="n">
        <v>45353</v>
      </c>
      <c r="C540" s="103" t="n">
        <v>39922379.45</v>
      </c>
      <c r="D540" s="98">
        <f>C540/E540</f>
        <v/>
      </c>
      <c r="E540" s="98" t="n">
        <v>82.84</v>
      </c>
      <c r="F540" s="98">
        <f>D540/100000</f>
        <v/>
      </c>
      <c r="G540" s="97">
        <f>(F540/DataSheet!$C$11*100)</f>
        <v/>
      </c>
      <c r="H540" s="98">
        <f>K540/I540</f>
        <v/>
      </c>
      <c r="I540" s="98">
        <f>(J540/L540)*100</f>
        <v/>
      </c>
      <c r="J540" s="97">
        <f>L540/O540</f>
        <v/>
      </c>
      <c r="K540" s="98" t="n">
        <v>7.06</v>
      </c>
      <c r="L540" s="98" t="n">
        <v>22378.4</v>
      </c>
      <c r="M540" s="98" t="n">
        <v>3.92</v>
      </c>
      <c r="N540" s="98">
        <f>K540-I540</f>
        <v/>
      </c>
      <c r="O540" s="98" t="n">
        <v>23.1</v>
      </c>
      <c r="P540" s="98" t="n">
        <v>4.18</v>
      </c>
      <c r="Q540" s="97">
        <f>K540-P540</f>
        <v/>
      </c>
      <c r="R540" s="98" t="n">
        <v>103.79</v>
      </c>
      <c r="S540" s="97">
        <f>(O540*T540)</f>
        <v/>
      </c>
      <c r="T540" s="79" t="n">
        <v>6.9</v>
      </c>
      <c r="U540" s="97" t="n">
        <v>18093</v>
      </c>
      <c r="V540" s="97" t="n">
        <v>27.35</v>
      </c>
      <c r="W540" s="97">
        <f>U540/V540</f>
        <v/>
      </c>
      <c r="X540" s="97">
        <f>(W540/U540)*100</f>
        <v/>
      </c>
      <c r="Y540" s="97" t="n">
        <v>15168.15</v>
      </c>
      <c r="Z540" s="97" t="n">
        <v>29.24</v>
      </c>
      <c r="AA540" s="97">
        <f>Y540/Z540</f>
        <v/>
      </c>
      <c r="AB540" s="97">
        <f>(AA540/Y540)*100</f>
        <v/>
      </c>
    </row>
    <row r="541">
      <c r="A541" s="92" t="n">
        <v>540</v>
      </c>
      <c r="B541" s="99" t="n">
        <v>45355</v>
      </c>
      <c r="C541" s="103" t="n">
        <v>39889768.11</v>
      </c>
      <c r="D541" s="98">
        <f>C541/E541</f>
        <v/>
      </c>
      <c r="E541" s="98" t="n">
        <v>82.91</v>
      </c>
      <c r="F541" s="98">
        <f>D541/100000</f>
        <v/>
      </c>
      <c r="G541" s="97">
        <f>(F541/DataSheet!$C$11*100)</f>
        <v/>
      </c>
      <c r="H541" s="98">
        <f>K541/I541</f>
        <v/>
      </c>
      <c r="I541" s="98">
        <f>(J541/L541)*100</f>
        <v/>
      </c>
      <c r="J541" s="97">
        <f>L541/O541</f>
        <v/>
      </c>
      <c r="K541" s="98" t="n">
        <v>7.06</v>
      </c>
      <c r="L541" s="98" t="n">
        <v>22405.6</v>
      </c>
      <c r="M541" s="98" t="n">
        <v>3.92</v>
      </c>
      <c r="N541" s="98">
        <f>K541-I541</f>
        <v/>
      </c>
      <c r="O541" s="98" t="n">
        <v>23.13</v>
      </c>
      <c r="P541" s="98" t="n">
        <v>4.21</v>
      </c>
      <c r="Q541" s="97">
        <f>K541-P541</f>
        <v/>
      </c>
      <c r="R541" s="98" t="n">
        <v>103.77</v>
      </c>
      <c r="S541" s="97">
        <f>(O541*T541)</f>
        <v/>
      </c>
      <c r="T541" s="79" t="n">
        <v>6.9</v>
      </c>
      <c r="U541" s="97" t="n">
        <v>18110.05</v>
      </c>
      <c r="V541" s="97" t="n">
        <v>27.38</v>
      </c>
      <c r="W541" s="97">
        <f>U541/V541</f>
        <v/>
      </c>
      <c r="X541" s="97">
        <f>(W541/U541)*100</f>
        <v/>
      </c>
      <c r="Y541" s="97" t="n">
        <v>15077.1</v>
      </c>
      <c r="Z541" s="97" t="n">
        <v>29.06</v>
      </c>
      <c r="AA541" s="97">
        <f>Y541/Z541</f>
        <v/>
      </c>
      <c r="AB541" s="97">
        <f>(AA541/Y541)*100</f>
        <v/>
      </c>
    </row>
    <row r="542">
      <c r="A542" s="92" t="n">
        <v>541</v>
      </c>
      <c r="B542" s="99" t="n">
        <v>45356</v>
      </c>
      <c r="C542" s="103" t="n">
        <v>39810301.9</v>
      </c>
      <c r="D542" s="98">
        <f>C542/E542</f>
        <v/>
      </c>
      <c r="E542" s="98" t="n">
        <v>82.89</v>
      </c>
      <c r="F542" s="98">
        <f>D542/100000</f>
        <v/>
      </c>
      <c r="G542" s="97">
        <f>(F542/DataSheet!$C$11*100)</f>
        <v/>
      </c>
      <c r="H542" s="98">
        <f>K542/I542</f>
        <v/>
      </c>
      <c r="I542" s="98">
        <f>(J542/L542)*100</f>
        <v/>
      </c>
      <c r="J542" s="97">
        <f>L542/O542</f>
        <v/>
      </c>
      <c r="K542" s="98" t="n">
        <v>7.05</v>
      </c>
      <c r="L542" s="98" t="n">
        <v>22356.3</v>
      </c>
      <c r="M542" s="98" t="n">
        <v>3.92</v>
      </c>
      <c r="N542" s="98">
        <f>K542-I542</f>
        <v/>
      </c>
      <c r="O542" s="98" t="n">
        <v>23.08</v>
      </c>
      <c r="P542" s="98" t="n">
        <v>4.15</v>
      </c>
      <c r="Q542" s="97">
        <f>K542-P542</f>
        <v/>
      </c>
      <c r="R542" s="98" t="n">
        <v>103.75</v>
      </c>
      <c r="S542" s="97">
        <f>(O542*T542)</f>
        <v/>
      </c>
      <c r="T542" s="79" t="n">
        <v>6.94</v>
      </c>
      <c r="U542" s="97" t="n">
        <v>18065.2</v>
      </c>
      <c r="V542" s="97" t="n">
        <v>27.31</v>
      </c>
      <c r="W542" s="97">
        <f>U542/V542</f>
        <v/>
      </c>
      <c r="X542" s="97">
        <f>(W542/U542)*100</f>
        <v/>
      </c>
      <c r="Y542" s="97" t="n">
        <v>14979.6</v>
      </c>
      <c r="Z542" s="97" t="n">
        <v>28.87</v>
      </c>
      <c r="AA542" s="97">
        <f>Y542/Z542</f>
        <v/>
      </c>
      <c r="AB542" s="97">
        <f>(AA542/Y542)*100</f>
        <v/>
      </c>
    </row>
    <row r="543">
      <c r="A543" s="92" t="n">
        <v>542</v>
      </c>
      <c r="B543" s="99" t="n">
        <v>45357</v>
      </c>
      <c r="C543" s="103" t="n">
        <v>39640109.44</v>
      </c>
      <c r="D543" s="98">
        <f>C543/E543</f>
        <v/>
      </c>
      <c r="E543" s="98" t="n">
        <v>82.78</v>
      </c>
      <c r="F543" s="98">
        <f>D543/100000</f>
        <v/>
      </c>
      <c r="G543" s="97">
        <f>(F543/DataSheet!$C$11*100)</f>
        <v/>
      </c>
      <c r="H543" s="98">
        <f>K543/I543</f>
        <v/>
      </c>
      <c r="I543" s="98">
        <f>(J543/L543)*100</f>
        <v/>
      </c>
      <c r="J543" s="97">
        <f>L543/O543</f>
        <v/>
      </c>
      <c r="K543" s="98" t="n">
        <v>7.05</v>
      </c>
      <c r="L543" s="98" t="n">
        <v>22474.05</v>
      </c>
      <c r="M543" s="98" t="n">
        <v>3.94</v>
      </c>
      <c r="N543" s="98">
        <f>K543-I543</f>
        <v/>
      </c>
      <c r="O543" s="98" t="n">
        <v>23.2</v>
      </c>
      <c r="P543" s="98" t="n">
        <v>4.1</v>
      </c>
      <c r="Q543" s="97">
        <f>K543-P543</f>
        <v/>
      </c>
      <c r="R543" s="98" t="n">
        <v>103.32</v>
      </c>
      <c r="S543" s="97">
        <f>(O543*T543)</f>
        <v/>
      </c>
      <c r="T543" s="79" t="n">
        <v>6.93</v>
      </c>
      <c r="U543" s="97" t="n">
        <v>17950</v>
      </c>
      <c r="V543" s="97" t="n">
        <v>27.14</v>
      </c>
      <c r="W543" s="97">
        <f>U543/V543</f>
        <v/>
      </c>
      <c r="X543" s="97">
        <f>(W543/U543)*100</f>
        <v/>
      </c>
      <c r="Y543" s="97" t="n">
        <v>14684.2</v>
      </c>
      <c r="Z543" s="97" t="n">
        <v>28.3</v>
      </c>
      <c r="AA543" s="97">
        <f>Y543/Z543</f>
        <v/>
      </c>
      <c r="AB543" s="97">
        <f>(AA543/Y543)*100</f>
        <v/>
      </c>
    </row>
    <row r="544">
      <c r="A544" s="92" t="n">
        <v>543</v>
      </c>
      <c r="B544" s="99" t="n">
        <v>45358</v>
      </c>
      <c r="C544" s="103" t="n">
        <v>39790010.48</v>
      </c>
      <c r="D544" s="98">
        <f>C544/E544</f>
        <v/>
      </c>
      <c r="E544" s="98" t="n">
        <v>82.7</v>
      </c>
      <c r="F544" s="98">
        <f>D544/100000</f>
        <v/>
      </c>
      <c r="G544" s="97">
        <f>(F544/DataSheet!$C$11*100)</f>
        <v/>
      </c>
      <c r="H544" s="98">
        <f>K544/I544</f>
        <v/>
      </c>
      <c r="I544" s="98">
        <f>(J544/L544)*100</f>
        <v/>
      </c>
      <c r="J544" s="97">
        <f>L544/O544</f>
        <v/>
      </c>
      <c r="K544" s="98" t="n">
        <v>7.03</v>
      </c>
      <c r="L544" s="98" t="n">
        <v>22493.55</v>
      </c>
      <c r="M544" s="98" t="n">
        <v>3.94</v>
      </c>
      <c r="N544" s="98">
        <f>K544-I544</f>
        <v/>
      </c>
      <c r="O544" s="98" t="n">
        <v>23.22</v>
      </c>
      <c r="P544" s="98" t="n">
        <v>4.08</v>
      </c>
      <c r="Q544" s="97">
        <f>K544-P544</f>
        <v/>
      </c>
      <c r="R544" s="98" t="n">
        <v>102.77</v>
      </c>
      <c r="S544" s="97">
        <f>(O544*T544)</f>
        <v/>
      </c>
      <c r="T544" s="79" t="n">
        <v>6.91</v>
      </c>
      <c r="U544" s="97" t="n">
        <v>17995.7</v>
      </c>
      <c r="V544" s="97" t="n">
        <v>27.21</v>
      </c>
      <c r="W544" s="97">
        <f>U544/V544</f>
        <v/>
      </c>
      <c r="X544" s="97">
        <f>(W544/U544)*100</f>
        <v/>
      </c>
      <c r="Y544" s="97" t="n">
        <v>14803.2</v>
      </c>
      <c r="Z544" s="97" t="n">
        <v>28.53</v>
      </c>
      <c r="AA544" s="97">
        <f>Y544/Z544</f>
        <v/>
      </c>
      <c r="AB544" s="97">
        <f>(AA544/Y544)*100</f>
        <v/>
      </c>
    </row>
    <row r="545">
      <c r="A545" s="92" t="n">
        <v>544</v>
      </c>
      <c r="B545" s="99" t="n">
        <v>45362</v>
      </c>
      <c r="C545" s="103" t="n">
        <v>39468166.37</v>
      </c>
      <c r="D545" s="98">
        <f>C545/E545</f>
        <v/>
      </c>
      <c r="E545" s="98" t="n">
        <v>82.73</v>
      </c>
      <c r="F545" s="98">
        <f>D545/100000</f>
        <v/>
      </c>
      <c r="G545" s="97">
        <f>(F545/DataSheet!$C$11*100)</f>
        <v/>
      </c>
      <c r="H545" s="98">
        <f>K545/I545</f>
        <v/>
      </c>
      <c r="I545" s="98">
        <f>(J545/L545)*100</f>
        <v/>
      </c>
      <c r="J545" s="97">
        <f>L545/O545</f>
        <v/>
      </c>
      <c r="K545" s="98" t="n">
        <v>7.01</v>
      </c>
      <c r="L545" s="98" t="n">
        <v>22332.65</v>
      </c>
      <c r="M545" s="98" t="n">
        <v>3.91</v>
      </c>
      <c r="N545" s="98">
        <f>K545-I545</f>
        <v/>
      </c>
      <c r="O545" s="98" t="n">
        <v>23.06</v>
      </c>
      <c r="P545" s="98" t="n">
        <v>4.09</v>
      </c>
      <c r="Q545" s="97">
        <f>K545-P545</f>
        <v/>
      </c>
      <c r="R545" s="98" t="n">
        <v>102.46</v>
      </c>
      <c r="S545" s="97">
        <f>(O545*T545)</f>
        <v/>
      </c>
      <c r="T545" s="79" t="n">
        <v>6.92</v>
      </c>
      <c r="U545" s="97" t="n">
        <v>17911.75</v>
      </c>
      <c r="V545" s="97" t="n">
        <v>27.08</v>
      </c>
      <c r="W545" s="97">
        <f>U545/V545</f>
        <v/>
      </c>
      <c r="X545" s="97">
        <f>(W545/U545)*100</f>
        <v/>
      </c>
      <c r="Y545" s="97" t="n">
        <v>14507.15</v>
      </c>
      <c r="Z545" s="97" t="n">
        <v>27.96</v>
      </c>
      <c r="AA545" s="97">
        <f>Y545/Z545</f>
        <v/>
      </c>
      <c r="AB545" s="97">
        <f>(AA545/Y545)*100</f>
        <v/>
      </c>
    </row>
    <row r="546">
      <c r="A546" s="92" t="n">
        <v>545</v>
      </c>
      <c r="B546" s="99" t="n">
        <v>45363</v>
      </c>
      <c r="C546" s="103" t="n">
        <v>39069312.74</v>
      </c>
      <c r="D546" s="98">
        <f>C546/E546</f>
        <v/>
      </c>
      <c r="E546" s="98" t="n">
        <v>82.78</v>
      </c>
      <c r="F546" s="98">
        <f>D546/100000</f>
        <v/>
      </c>
      <c r="G546" s="97">
        <f>(F546/DataSheet!$C$11*100)</f>
        <v/>
      </c>
      <c r="H546" s="98">
        <f>K546/I546</f>
        <v/>
      </c>
      <c r="I546" s="98">
        <f>(J546/L546)*100</f>
        <v/>
      </c>
      <c r="J546" s="97">
        <f>L546/O546</f>
        <v/>
      </c>
      <c r="K546" s="98" t="n">
        <v>7.02</v>
      </c>
      <c r="L546" s="98" t="n">
        <v>22335.7</v>
      </c>
      <c r="M546" s="98" t="n">
        <v>3.91</v>
      </c>
      <c r="N546" s="98">
        <f>K546-I546</f>
        <v/>
      </c>
      <c r="O546" s="98" t="n">
        <v>23.06</v>
      </c>
      <c r="P546" s="98" t="n">
        <v>4.15</v>
      </c>
      <c r="Q546" s="97">
        <f>K546-P546</f>
        <v/>
      </c>
      <c r="R546" s="98" t="n">
        <v>102.54</v>
      </c>
      <c r="S546" s="97">
        <f>(O546*T546)</f>
        <v/>
      </c>
      <c r="T546" s="79" t="n">
        <v>6.89</v>
      </c>
      <c r="U546" s="97" t="n">
        <v>17685.6</v>
      </c>
      <c r="V546" s="97" t="n">
        <v>26.74</v>
      </c>
      <c r="W546" s="97">
        <f>U546/V546</f>
        <v/>
      </c>
      <c r="X546" s="97">
        <f>(W546/U546)*100</f>
        <v/>
      </c>
      <c r="Y546" s="97" t="n">
        <v>14208.65</v>
      </c>
      <c r="Z546" s="97" t="n">
        <v>27.39</v>
      </c>
      <c r="AA546" s="97">
        <f>Y546/Z546</f>
        <v/>
      </c>
      <c r="AB546" s="97">
        <f>(AA546/Y546)*100</f>
        <v/>
      </c>
    </row>
    <row r="547">
      <c r="A547" s="92" t="n">
        <v>546</v>
      </c>
      <c r="B547" s="99" t="n">
        <v>45364</v>
      </c>
      <c r="C547" s="103" t="n">
        <v>37715421.05</v>
      </c>
      <c r="D547" s="98">
        <f>C547/E547</f>
        <v/>
      </c>
      <c r="E547" s="98" t="n">
        <v>82.81999999999999</v>
      </c>
      <c r="F547" s="98">
        <f>D547/100000</f>
        <v/>
      </c>
      <c r="G547" s="97">
        <f>(F547/DataSheet!$C$11*100)</f>
        <v/>
      </c>
      <c r="H547" s="98">
        <f>K547/I547</f>
        <v/>
      </c>
      <c r="I547" s="98">
        <f>(J547/L547)*100</f>
        <v/>
      </c>
      <c r="J547" s="97">
        <f>L547/O547</f>
        <v/>
      </c>
      <c r="K547" s="98" t="n">
        <v>7.03</v>
      </c>
      <c r="L547" s="98" t="n">
        <v>21997.7</v>
      </c>
      <c r="M547" s="98" t="n">
        <v>3.85</v>
      </c>
      <c r="N547" s="98">
        <f>K547-I547</f>
        <v/>
      </c>
      <c r="O547" s="98" t="n">
        <v>22.71</v>
      </c>
      <c r="P547" s="98" t="n">
        <v>4.18</v>
      </c>
      <c r="Q547" s="97">
        <f>K547-P547</f>
        <v/>
      </c>
      <c r="R547" s="98" t="n">
        <v>102.39</v>
      </c>
      <c r="S547" s="97">
        <f>(O547*T547)</f>
        <v/>
      </c>
      <c r="T547" s="79" t="n">
        <v>6.91</v>
      </c>
      <c r="U547" s="97" t="n">
        <v>16948.25</v>
      </c>
      <c r="V547" s="97" t="n">
        <v>25.62</v>
      </c>
      <c r="W547" s="97">
        <f>U547/V547</f>
        <v/>
      </c>
      <c r="X547" s="97">
        <f>(W547/U547)*100</f>
        <v/>
      </c>
      <c r="Y547" s="97" t="n">
        <v>13473.2</v>
      </c>
      <c r="Z547" s="97" t="n">
        <v>25.97</v>
      </c>
      <c r="AA547" s="97">
        <f>Y547/Z547</f>
        <v/>
      </c>
      <c r="AB547" s="97">
        <f>(AA547/Y547)*100</f>
        <v/>
      </c>
    </row>
    <row r="548">
      <c r="A548" s="92" t="n">
        <v>547</v>
      </c>
      <c r="B548" s="99" t="n">
        <v>45365</v>
      </c>
      <c r="C548" s="103" t="n">
        <v>38493522.27</v>
      </c>
      <c r="D548" s="98">
        <f>C548/E548</f>
        <v/>
      </c>
      <c r="E548" s="98" t="n">
        <v>82.91</v>
      </c>
      <c r="F548" s="98">
        <f>D548/100000</f>
        <v/>
      </c>
      <c r="G548" s="97">
        <f>(F548/DataSheet!$C$11*100)</f>
        <v/>
      </c>
      <c r="H548" s="98">
        <f>K548/I548</f>
        <v/>
      </c>
      <c r="I548" s="98">
        <f>(J548/L548)*100</f>
        <v/>
      </c>
      <c r="J548" s="97">
        <f>L548/O548</f>
        <v/>
      </c>
      <c r="K548" s="98" t="n">
        <v>7.04</v>
      </c>
      <c r="L548" s="98" t="n">
        <v>22146.65</v>
      </c>
      <c r="M548" s="98" t="n">
        <v>3.88</v>
      </c>
      <c r="N548" s="98">
        <f>K548-I548</f>
        <v/>
      </c>
      <c r="O548" s="98" t="n">
        <v>22.86</v>
      </c>
      <c r="P548" s="98" t="n">
        <v>4.29</v>
      </c>
      <c r="Q548" s="97">
        <f>K548-P548</f>
        <v/>
      </c>
      <c r="R548" s="98" t="n">
        <v>102.99</v>
      </c>
      <c r="S548" s="97">
        <f>(O548*T548)</f>
        <v/>
      </c>
      <c r="T548" s="79" t="n">
        <v>6.9</v>
      </c>
      <c r="U548" s="97" t="n">
        <v>17308.75</v>
      </c>
      <c r="V548" s="97" t="n">
        <v>26.17</v>
      </c>
      <c r="W548" s="97">
        <f>U548/V548</f>
        <v/>
      </c>
      <c r="X548" s="97">
        <f>(W548/U548)*100</f>
        <v/>
      </c>
      <c r="Y548" s="97" t="n">
        <v>13892.7</v>
      </c>
      <c r="Z548" s="97" t="n">
        <v>26.78</v>
      </c>
      <c r="AA548" s="97">
        <f>Y548/Z548</f>
        <v/>
      </c>
      <c r="AB548" s="97">
        <f>(AA548/Y548)*100</f>
        <v/>
      </c>
    </row>
    <row r="549">
      <c r="A549" s="92" t="n">
        <v>548</v>
      </c>
      <c r="B549" s="102" t="n">
        <v>45366</v>
      </c>
      <c r="C549" s="103" t="n">
        <v>38347978.08</v>
      </c>
      <c r="D549" s="98">
        <f>C549/E549</f>
        <v/>
      </c>
      <c r="E549" s="98" t="n">
        <v>82.88</v>
      </c>
      <c r="F549" s="98">
        <f>D549/100000</f>
        <v/>
      </c>
      <c r="G549" s="97">
        <f>(F549/DataSheet!$C$11*100)</f>
        <v/>
      </c>
      <c r="H549" s="98">
        <f>K549/I549</f>
        <v/>
      </c>
      <c r="I549" s="98">
        <f>(J549/L549)*100</f>
        <v/>
      </c>
      <c r="J549" s="97">
        <f>L549/O549</f>
        <v/>
      </c>
      <c r="K549" s="98" t="n">
        <v>7.06</v>
      </c>
      <c r="L549" s="98" t="n">
        <v>22023.35</v>
      </c>
      <c r="M549" s="98" t="n">
        <v>3.86</v>
      </c>
      <c r="N549" s="98">
        <f>K549-I549</f>
        <v/>
      </c>
      <c r="O549" s="98" t="n">
        <v>22.74</v>
      </c>
      <c r="P549" s="98" t="n">
        <v>4.3</v>
      </c>
      <c r="Q549" s="97">
        <f>K549-P549</f>
        <v/>
      </c>
      <c r="R549" s="98" t="n">
        <v>103.06</v>
      </c>
      <c r="S549" s="97">
        <f>(O549*T549)</f>
        <v/>
      </c>
      <c r="T549" s="79" t="n">
        <v>6.88</v>
      </c>
      <c r="U549" s="97" t="n">
        <v>17254.2</v>
      </c>
      <c r="V549" s="97" t="n">
        <v>26.09</v>
      </c>
      <c r="W549" s="97">
        <f>U549/V549</f>
        <v/>
      </c>
      <c r="X549" s="97">
        <f>(W549/U549)*100</f>
        <v/>
      </c>
      <c r="Y549" s="97" t="n">
        <v>13922.35</v>
      </c>
      <c r="Z549" s="97" t="n">
        <v>26.84</v>
      </c>
      <c r="AA549" s="97">
        <f>Y549/Z549</f>
        <v/>
      </c>
      <c r="AB549" s="97">
        <f>(AA549/Y549)*100</f>
        <v/>
      </c>
    </row>
    <row r="550">
      <c r="A550" s="92" t="n">
        <v>549</v>
      </c>
      <c r="B550" s="99" t="n">
        <v>45369</v>
      </c>
      <c r="C550" s="103" t="n">
        <v>38383634.31</v>
      </c>
      <c r="D550" s="98">
        <f>C550/E550</f>
        <v/>
      </c>
      <c r="E550" s="98" t="n">
        <v>82.90000000000001</v>
      </c>
      <c r="F550" s="98">
        <f>D550/100000</f>
        <v/>
      </c>
      <c r="G550" s="97">
        <f>(F550/DataSheet!$C$11*100)</f>
        <v/>
      </c>
      <c r="H550" s="98">
        <f>K550/I550</f>
        <v/>
      </c>
      <c r="I550" s="98">
        <f>(J550/L550)*100</f>
        <v/>
      </c>
      <c r="J550" s="97">
        <f>L550/O550</f>
        <v/>
      </c>
      <c r="K550" s="98" t="n">
        <v>7.08</v>
      </c>
      <c r="L550" s="98" t="n">
        <v>22055.7</v>
      </c>
      <c r="M550" s="98" t="n">
        <v>3.88</v>
      </c>
      <c r="N550" s="98">
        <f>K550-I550</f>
        <v/>
      </c>
      <c r="O550" s="98" t="n">
        <v>22.77</v>
      </c>
      <c r="P550" s="98" t="n">
        <v>4.32</v>
      </c>
      <c r="Q550" s="97">
        <f>K550-P550</f>
        <v/>
      </c>
      <c r="R550" s="98" t="n">
        <v>103.46</v>
      </c>
      <c r="S550" s="98">
        <f>(O550*T550)</f>
        <v/>
      </c>
      <c r="T550" s="79" t="n">
        <v>6.87</v>
      </c>
      <c r="U550" s="98" t="n">
        <v>17215.85</v>
      </c>
      <c r="V550" s="98" t="n">
        <v>26.03</v>
      </c>
      <c r="W550" s="97">
        <f>U550/V550</f>
        <v/>
      </c>
      <c r="X550" s="97">
        <f>(W550/U550)*100</f>
        <v/>
      </c>
      <c r="Y550" s="97" t="n">
        <v>13882.25</v>
      </c>
      <c r="Z550" s="97" t="n">
        <v>26.76</v>
      </c>
      <c r="AA550" s="97">
        <f>Y550/Z550</f>
        <v/>
      </c>
      <c r="AB550" s="97">
        <f>(AA550/Y550)*100</f>
        <v/>
      </c>
    </row>
    <row r="551">
      <c r="A551" s="92" t="n">
        <v>550</v>
      </c>
      <c r="B551" s="99" t="n">
        <v>45370</v>
      </c>
      <c r="C551" s="103" t="n">
        <v>37895639.8</v>
      </c>
      <c r="D551" s="98">
        <f>C551/E551</f>
        <v/>
      </c>
      <c r="E551" s="98" t="n">
        <v>83</v>
      </c>
      <c r="F551" s="98">
        <f>D551/100000</f>
        <v/>
      </c>
      <c r="G551" s="97">
        <f>(F551/DataSheet!$C$11*100)</f>
        <v/>
      </c>
      <c r="H551" s="98">
        <f>K551/I551</f>
        <v/>
      </c>
      <c r="I551" s="98">
        <f>(J551/L551)*100</f>
        <v/>
      </c>
      <c r="J551" s="97">
        <f>L551/O551</f>
        <v/>
      </c>
      <c r="K551" s="98" t="n">
        <v>7.09</v>
      </c>
      <c r="L551" s="98" t="n">
        <v>21817.45</v>
      </c>
      <c r="M551" s="98" t="n">
        <v>3.84</v>
      </c>
      <c r="N551" s="98">
        <f>K551-I551</f>
        <v/>
      </c>
      <c r="O551" s="98" t="n">
        <v>22.52</v>
      </c>
      <c r="P551" s="98" t="n">
        <v>4.29</v>
      </c>
      <c r="Q551" s="97">
        <f>K551-P551</f>
        <v/>
      </c>
      <c r="R551" s="98" t="n">
        <v>103.48</v>
      </c>
      <c r="S551" s="98">
        <f>(O551*T551)</f>
        <v/>
      </c>
      <c r="T551" s="79" t="n">
        <v>6.87</v>
      </c>
      <c r="U551" s="98" t="n">
        <v>17022.65</v>
      </c>
      <c r="V551" s="98" t="n">
        <v>25.74</v>
      </c>
      <c r="W551" s="97">
        <f>U551/V551</f>
        <v/>
      </c>
      <c r="X551" s="97">
        <f>(W551/U551)*100</f>
        <v/>
      </c>
      <c r="Y551" s="97" t="n">
        <v>13718.4</v>
      </c>
      <c r="Z551" s="97" t="n">
        <v>26.44</v>
      </c>
      <c r="AA551" s="97">
        <f>Y551/Z551</f>
        <v/>
      </c>
      <c r="AB551" s="97">
        <f>(AA551/Y551)*100</f>
        <v/>
      </c>
    </row>
    <row r="552">
      <c r="A552" s="92" t="n">
        <v>551</v>
      </c>
      <c r="B552" s="102" t="n">
        <v>45371</v>
      </c>
      <c r="C552" s="103" t="n">
        <v>37923765.92</v>
      </c>
      <c r="D552" s="98">
        <f>C552/E552</f>
        <v/>
      </c>
      <c r="E552" s="98" t="n">
        <v>83.17</v>
      </c>
      <c r="F552" s="98">
        <f>D552/100000</f>
        <v/>
      </c>
      <c r="G552" s="97">
        <f>(F552/DataSheet!$C$11*100)</f>
        <v/>
      </c>
      <c r="H552" s="98">
        <f>K552/I552</f>
        <v/>
      </c>
      <c r="I552" s="98">
        <f>(J552/L552)*100</f>
        <v/>
      </c>
      <c r="J552" s="97">
        <f>L552/O552</f>
        <v/>
      </c>
      <c r="K552" s="98" t="n">
        <v>7.09</v>
      </c>
      <c r="L552" s="98" t="n">
        <v>21839.1</v>
      </c>
      <c r="M552" s="98" t="n">
        <v>3.85</v>
      </c>
      <c r="N552" s="98">
        <f>K552-I552</f>
        <v/>
      </c>
      <c r="O552" s="98" t="n">
        <v>22.55</v>
      </c>
      <c r="P552" s="98" t="n">
        <v>4.27</v>
      </c>
      <c r="Q552" s="97">
        <f>K552-P552</f>
        <v/>
      </c>
      <c r="R552" s="98" t="n">
        <v>103.04</v>
      </c>
      <c r="S552" s="98">
        <f>(O552*T552)</f>
        <v/>
      </c>
      <c r="T552" s="79" t="n">
        <v>6.93</v>
      </c>
      <c r="U552" s="98" t="n">
        <v>17011.75</v>
      </c>
      <c r="V552" s="98" t="n">
        <v>25.72</v>
      </c>
      <c r="W552" s="97">
        <f>U552/V552</f>
        <v/>
      </c>
      <c r="X552" s="97">
        <f>(W552/U552)*100</f>
        <v/>
      </c>
      <c r="Y552" s="97" t="n">
        <v>13733.55</v>
      </c>
      <c r="Z552" s="97" t="n">
        <v>26.47</v>
      </c>
      <c r="AA552" s="97">
        <f>Y552/Z552</f>
        <v/>
      </c>
      <c r="AB552" s="97">
        <f>(AA552/Y552)*100</f>
        <v/>
      </c>
    </row>
    <row r="553">
      <c r="A553" s="92" t="n">
        <v>552</v>
      </c>
      <c r="B553" s="99" t="n">
        <v>45372</v>
      </c>
      <c r="C553" s="104" t="n">
        <v>38493731.82</v>
      </c>
      <c r="D553" s="98">
        <f>C553/E553</f>
        <v/>
      </c>
      <c r="E553" s="98" t="n">
        <v>83.17</v>
      </c>
      <c r="F553" s="98">
        <f>D553/100000</f>
        <v/>
      </c>
      <c r="G553" s="97">
        <f>(F553/DataSheet!$C$11*100)</f>
        <v/>
      </c>
      <c r="H553" s="98">
        <f>K553/I553</f>
        <v/>
      </c>
      <c r="I553" s="98">
        <f>(J553/L553)*100</f>
        <v/>
      </c>
      <c r="J553" s="97">
        <f>L553/O553</f>
        <v/>
      </c>
      <c r="K553" s="98" t="n">
        <v>7.05</v>
      </c>
      <c r="L553" s="98" t="n">
        <v>22011.95</v>
      </c>
      <c r="M553" s="98" t="n">
        <v>3.88</v>
      </c>
      <c r="N553" s="98">
        <f>K553-I553</f>
        <v/>
      </c>
      <c r="O553" s="98" t="n">
        <v>22.73</v>
      </c>
      <c r="P553" s="98" t="n">
        <v>4.26</v>
      </c>
      <c r="Q553" s="97">
        <f>K553-P553</f>
        <v/>
      </c>
      <c r="R553" s="98" t="n">
        <v>103.66</v>
      </c>
      <c r="S553" s="98">
        <f>(O553*T553)</f>
        <v/>
      </c>
      <c r="T553" s="79" t="n">
        <v>6.9</v>
      </c>
      <c r="U553" s="98" t="n">
        <v>17396.3</v>
      </c>
      <c r="V553" s="98" t="n">
        <v>26.3</v>
      </c>
      <c r="W553" s="97">
        <f>U553/V553</f>
        <v/>
      </c>
      <c r="X553" s="97">
        <f>(W553/U553)*100</f>
        <v/>
      </c>
      <c r="Y553" s="97" t="n">
        <v>14047.3</v>
      </c>
      <c r="Z553" s="97" t="n">
        <v>27.07</v>
      </c>
      <c r="AA553" s="97">
        <f>Y553/Z553</f>
        <v/>
      </c>
      <c r="AB553" s="97">
        <f>(AA553/Y553)*100</f>
        <v/>
      </c>
    </row>
    <row r="554">
      <c r="A554" s="92" t="n">
        <v>553</v>
      </c>
      <c r="B554" s="99" t="n">
        <v>45373</v>
      </c>
      <c r="C554" s="103" t="n">
        <v>38742636.97</v>
      </c>
      <c r="D554" s="98">
        <f>C554/E554</f>
        <v/>
      </c>
      <c r="E554" s="98" t="n">
        <v>83.58</v>
      </c>
      <c r="F554" s="98">
        <f>D554/100000</f>
        <v/>
      </c>
      <c r="G554" s="97">
        <f>(F554/DataSheet!$C$11*100)</f>
        <v/>
      </c>
      <c r="H554" s="98">
        <f>K554/I554</f>
        <v/>
      </c>
      <c r="I554" s="98">
        <f>(J554/L554)*100</f>
        <v/>
      </c>
      <c r="J554" s="97">
        <f>L554/O554</f>
        <v/>
      </c>
      <c r="K554" s="98" t="n">
        <v>7.08</v>
      </c>
      <c r="L554" s="98" t="n">
        <v>22096.75</v>
      </c>
      <c r="M554" s="98" t="n">
        <v>3.89</v>
      </c>
      <c r="N554" s="98">
        <f>K554-I554</f>
        <v/>
      </c>
      <c r="O554" s="98" t="n">
        <v>22.81</v>
      </c>
      <c r="P554" s="98" t="n">
        <v>4.2</v>
      </c>
      <c r="Q554" s="97">
        <f>K554-P554</f>
        <v/>
      </c>
      <c r="R554" s="98" t="n">
        <v>104.17</v>
      </c>
      <c r="S554" s="98">
        <f>(O554*T554)</f>
        <v/>
      </c>
      <c r="T554" s="79" t="n">
        <v>6.87</v>
      </c>
      <c r="U554" s="98" t="n">
        <v>17502.8</v>
      </c>
      <c r="V554" s="98" t="n">
        <v>26.46</v>
      </c>
      <c r="W554" s="97">
        <f>U554/V554</f>
        <v/>
      </c>
      <c r="X554" s="97">
        <f>(W554/U554)*100</f>
        <v/>
      </c>
      <c r="Y554" s="97" t="n">
        <v>14161.4</v>
      </c>
      <c r="Z554" s="97" t="n">
        <v>27.29</v>
      </c>
      <c r="AA554" s="97">
        <f>Y554/Z554</f>
        <v/>
      </c>
      <c r="AB554" s="97">
        <f>(AA554/Y554)*100</f>
        <v/>
      </c>
    </row>
    <row r="555">
      <c r="A555" s="92" t="n">
        <v>554</v>
      </c>
      <c r="B555" s="99" t="n">
        <v>45377</v>
      </c>
      <c r="C555" s="103" t="n">
        <v>38760537.56</v>
      </c>
      <c r="D555" s="98">
        <f>C555/E555</f>
        <v/>
      </c>
      <c r="E555" s="98" t="n">
        <v>83.3</v>
      </c>
      <c r="F555" s="98">
        <f>D555/100000</f>
        <v/>
      </c>
      <c r="G555" s="97">
        <f>(F555/DataSheet!$C$11*100)</f>
        <v/>
      </c>
      <c r="H555" s="98">
        <f>K555/I555</f>
        <v/>
      </c>
      <c r="I555" s="98">
        <f>(J555/L555)*100</f>
        <v/>
      </c>
      <c r="J555" s="97">
        <f>L555/O555</f>
        <v/>
      </c>
      <c r="K555" s="98" t="n">
        <v>7.08</v>
      </c>
      <c r="L555" s="98" t="n">
        <v>22004.7</v>
      </c>
      <c r="M555" s="98" t="n">
        <v>3.87</v>
      </c>
      <c r="N555" s="98">
        <f>K555-I555</f>
        <v/>
      </c>
      <c r="O555" s="98" t="n">
        <v>22.72</v>
      </c>
      <c r="P555" s="98" t="n">
        <v>4.23</v>
      </c>
      <c r="Q555" s="97">
        <f>K555-P555</f>
        <v/>
      </c>
      <c r="R555" s="98" t="n">
        <v>103.99</v>
      </c>
      <c r="S555" s="98">
        <f>(O555*T555)</f>
        <v/>
      </c>
      <c r="T555" s="79" t="n">
        <v>6.94</v>
      </c>
      <c r="U555" s="98" t="n">
        <v>17664.35</v>
      </c>
      <c r="V555" s="98" t="n">
        <v>26.71</v>
      </c>
      <c r="W555" s="97">
        <f>U555/V555</f>
        <v/>
      </c>
      <c r="X555" s="97">
        <f>(W555/U555)*100</f>
        <v/>
      </c>
      <c r="Y555" s="97" t="n">
        <v>14167.85</v>
      </c>
      <c r="Z555" s="97" t="n">
        <v>27.3</v>
      </c>
      <c r="AA555" s="97">
        <f>Y555/Z555</f>
        <v/>
      </c>
      <c r="AB555" s="97">
        <f>(AA555/Y555)*100</f>
        <v/>
      </c>
    </row>
    <row r="556">
      <c r="A556" s="92" t="n">
        <v>555</v>
      </c>
      <c r="B556" s="99" t="n">
        <v>45378</v>
      </c>
      <c r="C556" s="103" t="n">
        <v>38870992.02</v>
      </c>
      <c r="D556" s="98">
        <f>C556/E556</f>
        <v/>
      </c>
      <c r="E556" s="98" t="n">
        <v>83.29000000000001</v>
      </c>
      <c r="F556" s="98">
        <f>D556/100000</f>
        <v/>
      </c>
      <c r="G556" s="97">
        <f>(F556/DataSheet!$C$11*100)</f>
        <v/>
      </c>
      <c r="H556" s="98">
        <f>K556/I556</f>
        <v/>
      </c>
      <c r="I556" s="98">
        <f>(J556/L556)*100</f>
        <v/>
      </c>
      <c r="J556" s="97">
        <f>L556/O556</f>
        <v/>
      </c>
      <c r="K556" s="98" t="n">
        <v>7.07</v>
      </c>
      <c r="L556" s="98" t="n">
        <v>22123.65</v>
      </c>
      <c r="M556" s="98" t="n">
        <v>3.9</v>
      </c>
      <c r="N556" s="98">
        <f>K556-I556</f>
        <v/>
      </c>
      <c r="O556" s="98" t="n">
        <v>22.84</v>
      </c>
      <c r="P556" s="98" t="n">
        <v>4.18</v>
      </c>
      <c r="Q556" s="97">
        <f>K556-P556</f>
        <v/>
      </c>
      <c r="R556" s="98" t="n">
        <v>104.06</v>
      </c>
      <c r="S556" s="98">
        <f>(O556*T556)</f>
        <v/>
      </c>
      <c r="T556" s="79" t="n">
        <v>6.97</v>
      </c>
      <c r="U556" s="98" t="n">
        <v>17685.85</v>
      </c>
      <c r="V556" s="98" t="n">
        <v>26.74</v>
      </c>
      <c r="W556" s="97">
        <f>U556/V556</f>
        <v/>
      </c>
      <c r="X556" s="97">
        <f>(W556/U556)*100</f>
        <v/>
      </c>
      <c r="Y556" s="97" t="n">
        <v>14283.6</v>
      </c>
      <c r="Z556" s="97" t="n">
        <v>27.53</v>
      </c>
      <c r="AA556" s="97">
        <f>Y556/Z556</f>
        <v/>
      </c>
      <c r="AB556" s="97">
        <f>(AA556/Y556)*100</f>
        <v/>
      </c>
    </row>
    <row r="557">
      <c r="A557" s="92" t="n">
        <v>556</v>
      </c>
      <c r="B557" s="102" t="n">
        <v>45379</v>
      </c>
      <c r="C557" s="103" t="n">
        <v>38697657.52</v>
      </c>
      <c r="D557" s="98">
        <f>C557/E557</f>
        <v/>
      </c>
      <c r="E557" s="98" t="n">
        <v>83.34999999999999</v>
      </c>
      <c r="F557" s="98">
        <f>D557/100000</f>
        <v/>
      </c>
      <c r="G557" s="97">
        <f>(F557/DataSheet!$C$11*100)</f>
        <v/>
      </c>
      <c r="H557" s="98">
        <f>K557/I557</f>
        <v/>
      </c>
      <c r="I557" s="98">
        <f>(J557/L557)*100</f>
        <v/>
      </c>
      <c r="J557" s="97">
        <f>L557/O557</f>
        <v/>
      </c>
      <c r="K557" s="98" t="n">
        <v>7.05</v>
      </c>
      <c r="L557" s="98" t="n">
        <v>22326.9</v>
      </c>
      <c r="M557" s="98" t="n">
        <v>3.94</v>
      </c>
      <c r="N557" s="98">
        <f>K557-I557</f>
        <v/>
      </c>
      <c r="O557" s="98" t="n">
        <v>22.88</v>
      </c>
      <c r="P557" s="98" t="n">
        <v>4.2</v>
      </c>
      <c r="Q557" s="97">
        <f>K557-P557</f>
        <v/>
      </c>
      <c r="R557" s="98" t="n">
        <v>104.26</v>
      </c>
      <c r="S557" s="98">
        <f>(O557*T557)</f>
        <v/>
      </c>
      <c r="T557" s="79" t="n">
        <v>7.02</v>
      </c>
      <c r="U557" s="98" t="n">
        <v>17766</v>
      </c>
      <c r="V557" s="98" t="n">
        <v>33.63</v>
      </c>
      <c r="W557" s="97">
        <f>U557/V557</f>
        <v/>
      </c>
      <c r="X557" s="97">
        <f>(W557/U557)*100</f>
        <v/>
      </c>
      <c r="Y557" s="97" t="n">
        <v>14330.5</v>
      </c>
      <c r="Z557" s="97" t="n">
        <v>26.6</v>
      </c>
      <c r="AA557" s="97">
        <f>Y557/Z557</f>
        <v/>
      </c>
      <c r="AB557" s="97">
        <f>(AA557/Y557)*100</f>
        <v/>
      </c>
    </row>
    <row r="558">
      <c r="A558" s="92" t="n">
        <v>557</v>
      </c>
      <c r="B558" s="102" t="n">
        <v>45383</v>
      </c>
      <c r="C558" s="103" t="n">
        <v>39320089.74</v>
      </c>
      <c r="D558" s="98">
        <f>C558/E558</f>
        <v/>
      </c>
      <c r="E558" s="98" t="n">
        <v>83.36</v>
      </c>
      <c r="F558" s="98">
        <f>D558/100000</f>
        <v/>
      </c>
      <c r="G558" s="97">
        <f>(F558/DataSheet!$C$11*100)</f>
        <v/>
      </c>
      <c r="H558" s="98">
        <f>K558/I558</f>
        <v/>
      </c>
      <c r="I558" s="98">
        <f>(J558/L558)*100</f>
        <v/>
      </c>
      <c r="J558" s="97">
        <f>L558/O558</f>
        <v/>
      </c>
      <c r="K558" s="98" t="n">
        <v>7.1</v>
      </c>
      <c r="L558" s="98" t="n">
        <v>22462</v>
      </c>
      <c r="M558" s="98" t="n">
        <v>3.96</v>
      </c>
      <c r="N558" s="98">
        <f>K558-I558</f>
        <v/>
      </c>
      <c r="O558" s="98" t="n">
        <v>23.02</v>
      </c>
      <c r="P558" s="98" t="n">
        <v>4.31</v>
      </c>
      <c r="Q558" s="97">
        <f>K558-P558</f>
        <v/>
      </c>
      <c r="R558" s="98" t="n">
        <v>104.76</v>
      </c>
      <c r="S558" s="98">
        <f>(O558*T558)</f>
        <v/>
      </c>
      <c r="T558" s="79" t="n">
        <v>7.02</v>
      </c>
      <c r="U558" s="98" t="n">
        <v>18084.7</v>
      </c>
      <c r="V558" s="98" t="n">
        <v>34.24</v>
      </c>
      <c r="W558" s="97">
        <f>U558/V558</f>
        <v/>
      </c>
      <c r="X558" s="97">
        <f>(W558/U558)*100</f>
        <v/>
      </c>
      <c r="Y558" s="97" t="n">
        <v>14762.15</v>
      </c>
      <c r="Z558" s="97" t="n">
        <v>27.41</v>
      </c>
      <c r="AA558" s="97">
        <f>Y558/Z558</f>
        <v/>
      </c>
      <c r="AB558" s="97">
        <f>(AA558/Y558)*100</f>
        <v/>
      </c>
    </row>
    <row r="559">
      <c r="A559" s="92" t="n">
        <v>558</v>
      </c>
      <c r="B559" s="99" t="n">
        <v>45384</v>
      </c>
      <c r="C559" s="103" t="n">
        <v>39571607.96</v>
      </c>
      <c r="D559" s="98">
        <f>C559/E559</f>
        <v/>
      </c>
      <c r="E559" s="98" t="n">
        <v>83.31999999999999</v>
      </c>
      <c r="F559" s="98">
        <f>D559/100000</f>
        <v/>
      </c>
      <c r="G559" s="97">
        <f>(F559/DataSheet!$C$11*100)</f>
        <v/>
      </c>
      <c r="H559" s="98">
        <f>K559/I559</f>
        <v/>
      </c>
      <c r="I559" s="98">
        <f>(J559/L559)*100</f>
        <v/>
      </c>
      <c r="J559" s="97">
        <f>L559/O559</f>
        <v/>
      </c>
      <c r="K559" s="98" t="n">
        <v>7.1</v>
      </c>
      <c r="L559" s="98" t="n">
        <v>22453.3</v>
      </c>
      <c r="M559" s="98" t="n">
        <v>3.96</v>
      </c>
      <c r="N559" s="98">
        <f>K559-I559</f>
        <v/>
      </c>
      <c r="O559" s="98" t="n">
        <v>23.01</v>
      </c>
      <c r="P559" s="98" t="n">
        <v>4.35</v>
      </c>
      <c r="Q559" s="97">
        <f>K559-P559</f>
        <v/>
      </c>
      <c r="R559" s="98" t="n">
        <v>104.56</v>
      </c>
      <c r="S559" s="98">
        <f>(O559*T559)</f>
        <v/>
      </c>
      <c r="T559" s="79" t="n">
        <v>6.83</v>
      </c>
      <c r="U559" s="98" t="n">
        <v>18286.35</v>
      </c>
      <c r="V559" s="98" t="n">
        <v>34.62</v>
      </c>
      <c r="W559" s="97">
        <f>U559/V559</f>
        <v/>
      </c>
      <c r="X559" s="97">
        <f>(W559/U559)*100</f>
        <v/>
      </c>
      <c r="Y559" s="97" t="n">
        <v>14908.3</v>
      </c>
      <c r="Z559" s="97" t="n">
        <v>27.68</v>
      </c>
      <c r="AA559" s="97">
        <f>Y559/Z559</f>
        <v/>
      </c>
      <c r="AB559" s="97">
        <f>(AA559/Y559)*100</f>
        <v/>
      </c>
    </row>
    <row r="560">
      <c r="A560" s="92" t="n">
        <v>559</v>
      </c>
      <c r="B560" s="99" t="n">
        <v>45385</v>
      </c>
      <c r="C560" s="103" t="n">
        <v>39749671.79</v>
      </c>
      <c r="D560" s="98">
        <f>C560/E560</f>
        <v/>
      </c>
      <c r="E560" s="98" t="n">
        <v>83.5</v>
      </c>
      <c r="F560" s="98">
        <f>D560/100000</f>
        <v/>
      </c>
      <c r="G560" s="97">
        <f>(F560/DataSheet!$C$11*100)</f>
        <v/>
      </c>
      <c r="H560" s="98">
        <f>K560/I560</f>
        <v/>
      </c>
      <c r="I560" s="98">
        <f>(J560/L560)*100</f>
        <v/>
      </c>
      <c r="J560" s="97">
        <f>L560/O560</f>
        <v/>
      </c>
      <c r="K560" s="98" t="n">
        <v>7.09</v>
      </c>
      <c r="L560" s="98" t="n">
        <v>22434.65</v>
      </c>
      <c r="M560" s="98" t="n">
        <v>3.96</v>
      </c>
      <c r="N560" s="98">
        <f>K560-I560</f>
        <v/>
      </c>
      <c r="O560" s="98" t="n">
        <v>22.99</v>
      </c>
      <c r="P560" s="98" t="n">
        <v>4.35</v>
      </c>
      <c r="Q560" s="97">
        <f>K560-P560</f>
        <v/>
      </c>
      <c r="R560" s="98" t="n">
        <v>103.99</v>
      </c>
      <c r="S560" s="98">
        <f>(O560*T560)</f>
        <v/>
      </c>
      <c r="T560" s="79" t="n">
        <v>6.83</v>
      </c>
      <c r="U560" s="98" t="n">
        <v>18378.6</v>
      </c>
      <c r="V560" s="98" t="n">
        <v>34.78</v>
      </c>
      <c r="W560" s="97">
        <f>U560/V560</f>
        <v/>
      </c>
      <c r="X560" s="97">
        <f>(W560/U560)*100</f>
        <v/>
      </c>
      <c r="Y560" s="97" t="n">
        <v>15065.35</v>
      </c>
      <c r="Z560" s="97" t="n">
        <v>27.97</v>
      </c>
      <c r="AA560" s="97">
        <f>Y560/Z560</f>
        <v/>
      </c>
      <c r="AB560" s="97">
        <f>(AA560/Y560)*100</f>
        <v/>
      </c>
    </row>
    <row r="561">
      <c r="A561" s="92" t="n">
        <v>560</v>
      </c>
      <c r="B561" s="99" t="n">
        <v>45386</v>
      </c>
      <c r="C561" s="103" t="n">
        <v>39839596.9</v>
      </c>
      <c r="D561" s="98">
        <f>C561/E561</f>
        <v/>
      </c>
      <c r="E561" s="98" t="n">
        <v>83.34</v>
      </c>
      <c r="F561" s="98">
        <f>D561/100000</f>
        <v/>
      </c>
      <c r="G561" s="97">
        <f>(F561/DataSheet!$C$11*100)</f>
        <v/>
      </c>
      <c r="H561" s="98">
        <f>K561/I561</f>
        <v/>
      </c>
      <c r="I561" s="98">
        <f>(J561/L561)*100</f>
        <v/>
      </c>
      <c r="J561" s="97">
        <f>L561/O561</f>
        <v/>
      </c>
      <c r="K561" s="98" t="n">
        <v>7.11</v>
      </c>
      <c r="L561" s="98" t="n">
        <v>22514.65</v>
      </c>
      <c r="M561" s="98" t="n">
        <v>3.97</v>
      </c>
      <c r="N561" s="98">
        <f>K561-I561</f>
        <v/>
      </c>
      <c r="O561" s="98" t="n">
        <v>23.07</v>
      </c>
      <c r="P561" s="98" t="n">
        <v>4.3</v>
      </c>
      <c r="Q561" s="97">
        <f>K561-P561</f>
        <v/>
      </c>
      <c r="R561" s="98" t="n">
        <v>103.89</v>
      </c>
      <c r="S561" s="98">
        <f>(O561*T561)</f>
        <v/>
      </c>
      <c r="T561" s="79" t="n">
        <v>6.85</v>
      </c>
      <c r="U561" s="98" t="n">
        <v>18385.95</v>
      </c>
      <c r="V561" s="98" t="n">
        <v>34.8</v>
      </c>
      <c r="W561" s="97">
        <f>U561/V561</f>
        <v/>
      </c>
      <c r="X561" s="97">
        <f>(W561/U561)*100</f>
        <v/>
      </c>
      <c r="Y561" s="97" t="n">
        <v>15159.25</v>
      </c>
      <c r="Z561" s="97" t="n">
        <v>28.14</v>
      </c>
      <c r="AA561" s="97">
        <f>Y561/Z561</f>
        <v/>
      </c>
      <c r="AB561" s="97">
        <f>(AA561/Y561)*100</f>
        <v/>
      </c>
    </row>
    <row r="562">
      <c r="A562" s="92" t="n">
        <v>561</v>
      </c>
      <c r="B562" s="102" t="n">
        <v>45387</v>
      </c>
      <c r="C562" s="103" t="n">
        <v>39946754.22</v>
      </c>
      <c r="D562" s="98">
        <f>C562/E562</f>
        <v/>
      </c>
      <c r="E562" s="98" t="n">
        <v>83.29000000000001</v>
      </c>
      <c r="F562" s="98">
        <f>D562/100000</f>
        <v/>
      </c>
      <c r="G562" s="97">
        <f>(F562/DataSheet!$C$11*100)</f>
        <v/>
      </c>
      <c r="H562" s="98">
        <f>K562/I562</f>
        <v/>
      </c>
      <c r="I562" s="98">
        <f>(J562/L562)*100</f>
        <v/>
      </c>
      <c r="J562" s="97">
        <f>L562/O562</f>
        <v/>
      </c>
      <c r="K562" s="98" t="n">
        <v>7.15</v>
      </c>
      <c r="L562" s="98" t="n">
        <v>22513.7</v>
      </c>
      <c r="M562" s="98" t="n">
        <v>3.97</v>
      </c>
      <c r="N562" s="98">
        <f>K562-I562</f>
        <v/>
      </c>
      <c r="O562" s="98" t="n">
        <v>23.07</v>
      </c>
      <c r="P562" s="98" t="n">
        <v>4.4</v>
      </c>
      <c r="Q562" s="97">
        <f>K562-P562</f>
        <v/>
      </c>
      <c r="R562" s="98" t="n">
        <v>104.07</v>
      </c>
      <c r="S562" s="98">
        <f>(O562*T562)</f>
        <v/>
      </c>
      <c r="T562" s="79" t="n">
        <v>6.86</v>
      </c>
      <c r="U562" s="98" t="n">
        <v>18473.25</v>
      </c>
      <c r="V562" s="98" t="n">
        <v>34.96</v>
      </c>
      <c r="W562" s="97">
        <f>U562/V562</f>
        <v/>
      </c>
      <c r="X562" s="97">
        <f>(W562/U562)*100</f>
        <v/>
      </c>
      <c r="Y562" s="97" t="n">
        <v>15248.2</v>
      </c>
      <c r="Z562" s="97" t="n">
        <v>28.31</v>
      </c>
      <c r="AA562" s="97">
        <f>Y562/Z562</f>
        <v/>
      </c>
      <c r="AB562" s="97">
        <f>(AA562/Y562)*100</f>
        <v/>
      </c>
    </row>
    <row r="563">
      <c r="A563" s="92" t="n">
        <v>562</v>
      </c>
      <c r="B563" s="99" t="n">
        <v>45390</v>
      </c>
      <c r="C563" s="103" t="n">
        <v>40099215.37</v>
      </c>
      <c r="D563" s="98">
        <f>C563/E563</f>
        <v/>
      </c>
      <c r="E563" s="98" t="n">
        <v>83.27</v>
      </c>
      <c r="F563" s="98">
        <f>D563/100000</f>
        <v/>
      </c>
      <c r="G563" s="97">
        <f>(F563/DataSheet!$C$11*100)</f>
        <v/>
      </c>
      <c r="H563" s="98">
        <f>K563/I563</f>
        <v/>
      </c>
      <c r="I563" s="98">
        <f>(J563/L563)*100</f>
        <v/>
      </c>
      <c r="J563" s="97">
        <f>L563/O563</f>
        <v/>
      </c>
      <c r="K563" s="98" t="n">
        <v>7.11</v>
      </c>
      <c r="L563" s="98" t="n">
        <v>22666.3</v>
      </c>
      <c r="M563" s="98" t="n">
        <v>4</v>
      </c>
      <c r="N563" s="98">
        <f>K563-I563</f>
        <v/>
      </c>
      <c r="O563" s="98" t="n">
        <v>23.23</v>
      </c>
      <c r="P563" s="98" t="n">
        <v>4.42</v>
      </c>
      <c r="Q563" s="97">
        <f>K563-P563</f>
        <v/>
      </c>
      <c r="R563" s="98" t="n">
        <v>103.9</v>
      </c>
      <c r="S563" s="98">
        <f>(O563*T563)</f>
        <v/>
      </c>
      <c r="T563" s="79" t="n">
        <v>6.86</v>
      </c>
      <c r="U563" s="98" t="n">
        <v>18511.15</v>
      </c>
      <c r="V563" s="98" t="n">
        <v>35.04</v>
      </c>
      <c r="W563" s="97">
        <f>U563/V563</f>
        <v/>
      </c>
      <c r="X563" s="97">
        <f>(W563/U563)*100</f>
        <v/>
      </c>
      <c r="Y563" s="97" t="n">
        <v>15286.55</v>
      </c>
      <c r="Z563" s="97" t="n">
        <v>28.38</v>
      </c>
      <c r="AA563" s="97">
        <f>Y563/Z563</f>
        <v/>
      </c>
      <c r="AB563" s="97">
        <f>(AA563/Y563)*100</f>
        <v/>
      </c>
    </row>
    <row r="564">
      <c r="A564" s="92" t="n">
        <v>563</v>
      </c>
      <c r="B564" s="102" t="n">
        <v>45391</v>
      </c>
      <c r="C564" s="103" t="n">
        <v>40011543.28</v>
      </c>
      <c r="D564" s="98">
        <f>C564/E564</f>
        <v/>
      </c>
      <c r="E564" s="98" t="n">
        <v>83.18000000000001</v>
      </c>
      <c r="F564" s="98">
        <f>D564/100000</f>
        <v/>
      </c>
      <c r="G564" s="97">
        <f>(F564/DataSheet!$C$11*100)</f>
        <v/>
      </c>
      <c r="H564" s="98">
        <f>K564/I564</f>
        <v/>
      </c>
      <c r="I564" s="98">
        <f>(J564/L564)*100</f>
        <v/>
      </c>
      <c r="J564" s="97">
        <f>L564/O564</f>
        <v/>
      </c>
      <c r="K564" s="98" t="n">
        <v>7.15</v>
      </c>
      <c r="L564" s="98" t="n">
        <v>22642.75</v>
      </c>
      <c r="M564" s="98" t="n">
        <v>3.99</v>
      </c>
      <c r="N564" s="98">
        <f>K564-I564</f>
        <v/>
      </c>
      <c r="O564" s="98" t="n">
        <v>23.2</v>
      </c>
      <c r="P564" s="98" t="n">
        <v>4.36</v>
      </c>
      <c r="Q564" s="97">
        <f>K564-P564</f>
        <v/>
      </c>
      <c r="R564" s="98" t="n">
        <v>103.92</v>
      </c>
      <c r="S564" s="98">
        <f>(O564*T564)</f>
        <v/>
      </c>
      <c r="T564" s="79" t="n">
        <v>6.86</v>
      </c>
      <c r="U564" s="98" t="n">
        <v>18465.55</v>
      </c>
      <c r="V564" s="98" t="n">
        <v>34.95</v>
      </c>
      <c r="W564" s="97">
        <f>U564/V564</f>
        <v/>
      </c>
      <c r="X564" s="97">
        <f>(W564/U564)*100</f>
        <v/>
      </c>
      <c r="Y564" s="97" t="n">
        <v>15293.4</v>
      </c>
      <c r="Z564" s="97" t="n">
        <v>28.39</v>
      </c>
      <c r="AA564" s="97">
        <f>Y564/Z564</f>
        <v/>
      </c>
      <c r="AB564" s="97">
        <f>(AA564/Y564)*100</f>
        <v/>
      </c>
    </row>
    <row r="565">
      <c r="A565" s="92" t="n">
        <v>564</v>
      </c>
      <c r="B565" s="99" t="n">
        <v>45392</v>
      </c>
      <c r="C565" s="103" t="n">
        <v>40240219.26</v>
      </c>
      <c r="D565" s="98">
        <f>C565/E565</f>
        <v/>
      </c>
      <c r="E565" s="98" t="n">
        <v>83.38</v>
      </c>
      <c r="F565" s="98">
        <f>D565/100000</f>
        <v/>
      </c>
      <c r="G565" s="97">
        <f>(F565/DataSheet!$C$11*100)</f>
        <v/>
      </c>
      <c r="H565" s="98">
        <f>K565/I565</f>
        <v/>
      </c>
      <c r="I565" s="98">
        <f>(J565/L565)*100</f>
        <v/>
      </c>
      <c r="J565" s="97">
        <f>L565/O565</f>
        <v/>
      </c>
      <c r="K565" s="98" t="n">
        <v>7.11</v>
      </c>
      <c r="L565" s="98" t="n">
        <v>22753.8</v>
      </c>
      <c r="M565" s="98" t="n">
        <v>4.01</v>
      </c>
      <c r="N565" s="98">
        <f>K565-I565</f>
        <v/>
      </c>
      <c r="O565" s="98" t="n">
        <v>23.32</v>
      </c>
      <c r="P565" s="98" t="n">
        <v>4.54</v>
      </c>
      <c r="Q565" s="97">
        <f>K565-P565</f>
        <v/>
      </c>
      <c r="R565" s="98" t="n">
        <v>105.03</v>
      </c>
      <c r="S565" s="98">
        <f>(O565*T565)</f>
        <v/>
      </c>
      <c r="T565" s="79" t="n">
        <v>6.85</v>
      </c>
      <c r="U565" s="98" t="n">
        <v>18625.4</v>
      </c>
      <c r="V565" s="98" t="n">
        <v>35.19</v>
      </c>
      <c r="W565" s="97">
        <f>U565/V565</f>
        <v/>
      </c>
      <c r="X565" s="97">
        <f>(W565/U565)*100</f>
        <v/>
      </c>
      <c r="Y565" s="97" t="n">
        <v>15384.5</v>
      </c>
      <c r="Z565" s="97" t="n">
        <v>28.56</v>
      </c>
      <c r="AA565" s="97">
        <f>Y565/Z565</f>
        <v/>
      </c>
      <c r="AB565" s="97">
        <f>(AA565/Y565)*100</f>
        <v/>
      </c>
    </row>
    <row r="566">
      <c r="A566" s="92" t="n">
        <v>565</v>
      </c>
      <c r="B566" s="99" t="n">
        <v>45394</v>
      </c>
      <c r="C566" s="103" t="n">
        <v>39989013.97</v>
      </c>
      <c r="D566" s="98">
        <f>C566/E566</f>
        <v/>
      </c>
      <c r="E566" s="98" t="n">
        <v>83.54000000000001</v>
      </c>
      <c r="F566" s="98">
        <f>D566/100000</f>
        <v/>
      </c>
      <c r="G566" s="97">
        <f>(F566/DataSheet!$C$11*100)</f>
        <v/>
      </c>
      <c r="H566" s="98">
        <f>K566/I566</f>
        <v/>
      </c>
      <c r="I566" s="98">
        <f>(J566/L566)*100</f>
        <v/>
      </c>
      <c r="J566" s="97">
        <f>L566/O566</f>
        <v/>
      </c>
      <c r="K566" s="98" t="n">
        <v>7.17</v>
      </c>
      <c r="L566" s="98" t="n">
        <v>22519.4</v>
      </c>
      <c r="M566" s="98" t="n">
        <v>3.95</v>
      </c>
      <c r="N566" s="98">
        <f>K566-I566</f>
        <v/>
      </c>
      <c r="O566" s="98" t="n">
        <v>23.08</v>
      </c>
      <c r="P566" s="98" t="n">
        <v>4.51</v>
      </c>
      <c r="Q566" s="97">
        <f>K566-P566</f>
        <v/>
      </c>
      <c r="R566" s="98" t="n">
        <v>105.83</v>
      </c>
      <c r="S566" s="98">
        <f>(O566*T566)</f>
        <v/>
      </c>
      <c r="T566" s="79" t="n">
        <v>6.86</v>
      </c>
      <c r="U566" s="98" t="n">
        <v>18534.7</v>
      </c>
      <c r="V566" s="98" t="n">
        <v>35.02</v>
      </c>
      <c r="W566" s="97">
        <f>U566/V566</f>
        <v/>
      </c>
      <c r="X566" s="97">
        <f>(W566/U566)*100</f>
        <v/>
      </c>
      <c r="Y566" s="97" t="n">
        <v>15322.15</v>
      </c>
      <c r="Z566" s="97" t="n">
        <v>28.44</v>
      </c>
      <c r="AA566" s="97">
        <f>Y566/Z566</f>
        <v/>
      </c>
      <c r="AB566" s="97">
        <f>(AA566/Y566)*100</f>
        <v/>
      </c>
    </row>
    <row r="567">
      <c r="A567" s="92" t="n">
        <v>566</v>
      </c>
      <c r="B567" s="99" t="n">
        <v>45397</v>
      </c>
      <c r="C567" s="103" t="n">
        <v>39456548.15</v>
      </c>
      <c r="D567" s="98">
        <f>C567/E567</f>
        <v/>
      </c>
      <c r="E567" s="98" t="n">
        <v>83.48</v>
      </c>
      <c r="F567" s="98">
        <f>D567/100000</f>
        <v/>
      </c>
      <c r="G567" s="97">
        <f>(F567/DataSheet!$C$11*100)</f>
        <v/>
      </c>
      <c r="H567" s="98">
        <f>K567/I567</f>
        <v/>
      </c>
      <c r="I567" s="98">
        <f>(J567/L567)*100</f>
        <v/>
      </c>
      <c r="J567" s="97">
        <f>L567/O567</f>
        <v/>
      </c>
      <c r="K567" s="98" t="n">
        <v>7.17</v>
      </c>
      <c r="L567" s="98" t="n">
        <v>22272.5</v>
      </c>
      <c r="M567" s="98" t="n">
        <v>3.91</v>
      </c>
      <c r="N567" s="98">
        <f>K567-I567</f>
        <v/>
      </c>
      <c r="O567" s="98" t="n">
        <v>22.82</v>
      </c>
      <c r="P567" s="98" t="n">
        <v>4.61</v>
      </c>
      <c r="Q567" s="97">
        <f>K567-P567</f>
        <v/>
      </c>
      <c r="R567" s="98" t="n">
        <v>105.99</v>
      </c>
      <c r="S567" s="98">
        <f>(O567*T567)</f>
        <v/>
      </c>
      <c r="T567" s="79" t="n">
        <v>6.86</v>
      </c>
      <c r="U567" s="98" t="n">
        <v>18283.2</v>
      </c>
      <c r="V567" s="98" t="n">
        <v>34.55</v>
      </c>
      <c r="W567" s="97">
        <f>U567/V567</f>
        <v/>
      </c>
      <c r="X567" s="97">
        <f>(W567/U567)*100</f>
        <v/>
      </c>
      <c r="Y567" s="97" t="n">
        <v>15086.65</v>
      </c>
      <c r="Z567" s="97" t="n">
        <v>28.01</v>
      </c>
      <c r="AA567" s="97">
        <f>Y567/Z567</f>
        <v/>
      </c>
      <c r="AB567" s="97">
        <f>(AA567/Y567)*100</f>
        <v/>
      </c>
    </row>
    <row r="568">
      <c r="A568" s="92" t="n">
        <v>567</v>
      </c>
      <c r="B568" s="99" t="n">
        <v>45398</v>
      </c>
      <c r="C568" s="103" t="n">
        <v>39444173.19</v>
      </c>
      <c r="D568" s="98">
        <f>C568/E568</f>
        <v/>
      </c>
      <c r="E568" s="98" t="n">
        <v>83.63</v>
      </c>
      <c r="F568" s="98">
        <f>D568/100000</f>
        <v/>
      </c>
      <c r="G568" s="97">
        <f>(F568/DataSheet!$C$11*100)</f>
        <v/>
      </c>
      <c r="H568" s="98">
        <f>K568/I568</f>
        <v/>
      </c>
      <c r="I568" s="98">
        <f>(J568/L568)*100</f>
        <v/>
      </c>
      <c r="J568" s="97">
        <f>L568/O568</f>
        <v/>
      </c>
      <c r="K568" s="98" t="n">
        <v>7.19</v>
      </c>
      <c r="L568" s="98" t="n">
        <v>22147.9</v>
      </c>
      <c r="M568" s="98" t="n">
        <v>3.88</v>
      </c>
      <c r="N568" s="98">
        <f>K568-I568</f>
        <v/>
      </c>
      <c r="O568" s="98" t="n">
        <v>22.68</v>
      </c>
      <c r="P568" s="98" t="n">
        <v>4.66</v>
      </c>
      <c r="Q568" s="97">
        <f>K568-P568</f>
        <v/>
      </c>
      <c r="R568" s="98" t="n">
        <v>106.06</v>
      </c>
      <c r="S568" s="98">
        <f>(O568*T568)</f>
        <v/>
      </c>
      <c r="T568" s="79" t="n">
        <v>6.86</v>
      </c>
      <c r="U568" s="98" t="n">
        <v>18260.6</v>
      </c>
      <c r="V568" s="98" t="n">
        <v>34.5</v>
      </c>
      <c r="W568" s="97">
        <f>U568/V568</f>
        <v/>
      </c>
      <c r="X568" s="97">
        <f>(W568/U568)*100</f>
        <v/>
      </c>
      <c r="Y568" s="97" t="n">
        <v>15183.7</v>
      </c>
      <c r="Z568" s="97" t="n">
        <v>28.18</v>
      </c>
      <c r="AA568" s="97">
        <f>Y568/Z568</f>
        <v/>
      </c>
      <c r="AB568" s="97">
        <f>(AA568/Y568)*100</f>
        <v/>
      </c>
    </row>
    <row r="569">
      <c r="A569" s="92" t="n">
        <v>568</v>
      </c>
      <c r="B569" s="99" t="n">
        <v>45400</v>
      </c>
      <c r="C569" s="103" t="n">
        <v>39308157.05</v>
      </c>
      <c r="D569" s="98">
        <f>C569/E569</f>
        <v/>
      </c>
      <c r="E569" s="98" t="n">
        <v>83.53</v>
      </c>
      <c r="F569" s="98">
        <f>D569/100000</f>
        <v/>
      </c>
      <c r="G569" s="97">
        <f>(F569/DataSheet!$C$11*100)</f>
        <v/>
      </c>
      <c r="H569" s="98">
        <f>K569/I569</f>
        <v/>
      </c>
      <c r="I569" s="98">
        <f>(J569/L569)*100</f>
        <v/>
      </c>
      <c r="J569" s="97">
        <f>L569/O569</f>
        <v/>
      </c>
      <c r="K569" s="98" t="n">
        <v>7.18</v>
      </c>
      <c r="L569" s="98" t="n">
        <v>21995.85</v>
      </c>
      <c r="M569" s="98" t="n">
        <v>3.86</v>
      </c>
      <c r="N569" s="98">
        <f>K569-I569</f>
        <v/>
      </c>
      <c r="O569" s="98" t="n">
        <v>22.53</v>
      </c>
      <c r="P569" s="98" t="n">
        <v>4.63</v>
      </c>
      <c r="Q569" s="97">
        <f>K569-P569</f>
        <v/>
      </c>
      <c r="R569" s="98" t="n">
        <v>105.98</v>
      </c>
      <c r="S569" s="98">
        <f>(O569*T569)</f>
        <v/>
      </c>
      <c r="T569" s="79" t="n">
        <v>6.88</v>
      </c>
      <c r="U569" s="98" t="n">
        <v>18195.65</v>
      </c>
      <c r="V569" s="98" t="n">
        <v>34.38</v>
      </c>
      <c r="W569" s="97">
        <f>U569/V569</f>
        <v/>
      </c>
      <c r="X569" s="97">
        <f>(W569/U569)*100</f>
        <v/>
      </c>
      <c r="Y569" s="97" t="n">
        <v>15180.6</v>
      </c>
      <c r="Z569" s="97" t="n">
        <v>28.18</v>
      </c>
      <c r="AA569" s="97">
        <f>Y569/Z569</f>
        <v/>
      </c>
      <c r="AB569" s="97">
        <f>(AA569/Y569)*100</f>
        <v/>
      </c>
    </row>
    <row r="570">
      <c r="A570" s="92" t="n">
        <v>569</v>
      </c>
      <c r="B570" s="99" t="n">
        <v>45401</v>
      </c>
      <c r="C570" s="103" t="n">
        <v>39361808.41</v>
      </c>
      <c r="D570" s="98">
        <f>C570/E570</f>
        <v/>
      </c>
      <c r="E570" s="98" t="n">
        <v>83.34999999999999</v>
      </c>
      <c r="F570" s="98">
        <f>D570/100000</f>
        <v/>
      </c>
      <c r="G570" s="97">
        <f>(F570/DataSheet!$C$11*100)</f>
        <v/>
      </c>
      <c r="H570" s="98">
        <f>K570/I570</f>
        <v/>
      </c>
      <c r="I570" s="98">
        <f>(J570/L570)*100</f>
        <v/>
      </c>
      <c r="J570" s="97">
        <f>L570/O570</f>
        <v/>
      </c>
      <c r="K570" s="98" t="n">
        <v>7.22</v>
      </c>
      <c r="L570" s="98" t="n">
        <v>22147</v>
      </c>
      <c r="M570" s="98" t="n">
        <v>3.88</v>
      </c>
      <c r="N570" s="98">
        <f>K570-I570</f>
        <v/>
      </c>
      <c r="O570" s="98" t="n">
        <v>22.68</v>
      </c>
      <c r="P570" s="98" t="n">
        <v>4.62</v>
      </c>
      <c r="Q570" s="97">
        <f>K570-P570</f>
        <v/>
      </c>
      <c r="R570" s="98" t="n">
        <v>105.98</v>
      </c>
      <c r="S570" s="98">
        <f>(O570*T570)</f>
        <v/>
      </c>
      <c r="T570" s="79" t="n">
        <v>6.88</v>
      </c>
      <c r="U570" s="98" t="n">
        <v>18111.25</v>
      </c>
      <c r="V570" s="98" t="n">
        <v>34.22</v>
      </c>
      <c r="W570" s="97">
        <f>U570/V570</f>
        <v/>
      </c>
      <c r="X570" s="97">
        <f>(W570/U570)*100</f>
        <v/>
      </c>
      <c r="Y570" s="97" t="n">
        <v>15162.2</v>
      </c>
      <c r="Z570" s="97" t="n">
        <v>28.12</v>
      </c>
      <c r="AA570" s="97">
        <f>Y570/Z570</f>
        <v/>
      </c>
      <c r="AB570" s="97">
        <f>(AA570/Y570)*100</f>
        <v/>
      </c>
    </row>
    <row r="571">
      <c r="A571" s="92" t="n">
        <v>570</v>
      </c>
      <c r="B571" s="99" t="n">
        <v>45404</v>
      </c>
      <c r="C571" s="103" t="n">
        <v>39796943.29</v>
      </c>
      <c r="D571" s="98">
        <f>C571/E571</f>
        <v/>
      </c>
      <c r="E571" s="98" t="n">
        <v>83.36</v>
      </c>
      <c r="F571" s="98">
        <f>D571/100000</f>
        <v/>
      </c>
      <c r="G571" s="97">
        <f>(F571/DataSheet!$C$11*100)</f>
        <v/>
      </c>
      <c r="H571" s="98">
        <f>K571/I571</f>
        <v/>
      </c>
      <c r="I571" s="98">
        <f>(J571/L571)*100</f>
        <v/>
      </c>
      <c r="J571" s="97">
        <f>L571/O571</f>
        <v/>
      </c>
      <c r="K571" s="98" t="n">
        <v>7.19</v>
      </c>
      <c r="L571" s="98" t="n">
        <v>22336.4</v>
      </c>
      <c r="M571" s="98" t="n">
        <v>3.92</v>
      </c>
      <c r="N571" s="98">
        <f>K571-I571</f>
        <v/>
      </c>
      <c r="O571" s="98" t="n">
        <v>22.78</v>
      </c>
      <c r="P571" s="98" t="n">
        <v>4.61</v>
      </c>
      <c r="Q571" s="97">
        <f>K571-P571</f>
        <v/>
      </c>
      <c r="R571" s="98" t="n">
        <v>105.91</v>
      </c>
      <c r="S571" s="98">
        <f>(O571*T571)</f>
        <v/>
      </c>
      <c r="T571" s="79" t="n">
        <v>6.88</v>
      </c>
      <c r="U571" s="98" t="n">
        <v>18234.3</v>
      </c>
      <c r="V571" s="98" t="n">
        <v>34.43</v>
      </c>
      <c r="W571" s="97">
        <f>U571/V571</f>
        <v/>
      </c>
      <c r="X571" s="97">
        <f>(W571/U571)*100</f>
        <v/>
      </c>
      <c r="Y571" s="97" t="n">
        <v>15338</v>
      </c>
      <c r="Z571" s="97" t="n">
        <v>28.5</v>
      </c>
      <c r="AA571" s="97">
        <f>Y571/Z571</f>
        <v/>
      </c>
      <c r="AB571" s="97">
        <f>(AA571/Y571)*100</f>
        <v/>
      </c>
    </row>
    <row r="572">
      <c r="A572" s="92" t="n">
        <v>571</v>
      </c>
      <c r="B572" s="99" t="n">
        <v>45405</v>
      </c>
      <c r="C572" s="103" t="n">
        <v>39989720.64</v>
      </c>
      <c r="D572" s="98">
        <f>C572/E572</f>
        <v/>
      </c>
      <c r="E572" s="98" t="n">
        <v>83.26000000000001</v>
      </c>
      <c r="F572" s="98">
        <f>D572/100000</f>
        <v/>
      </c>
      <c r="G572" s="97">
        <f>(F572/DataSheet!$C$11*100)</f>
        <v/>
      </c>
      <c r="H572" s="98">
        <f>K572/I572</f>
        <v/>
      </c>
      <c r="I572" s="98">
        <f>(J572/L572)*100</f>
        <v/>
      </c>
      <c r="J572" s="97">
        <f>L572/O572</f>
        <v/>
      </c>
      <c r="K572" s="98" t="n">
        <v>7.16</v>
      </c>
      <c r="L572" s="98" t="n">
        <v>22368</v>
      </c>
      <c r="M572" s="98" t="n">
        <v>3.92</v>
      </c>
      <c r="N572" s="98">
        <f>K572-I572</f>
        <v/>
      </c>
      <c r="O572" s="98" t="n">
        <v>22.54</v>
      </c>
      <c r="P572" s="98" t="n">
        <v>4.6</v>
      </c>
      <c r="Q572" s="97">
        <f>K572-P572</f>
        <v/>
      </c>
      <c r="R572" s="98" t="n">
        <v>105.5</v>
      </c>
      <c r="S572" s="98">
        <f>(O572*T572)</f>
        <v/>
      </c>
      <c r="T572" s="79" t="n">
        <v>6.88</v>
      </c>
      <c r="U572" s="98" t="n">
        <v>18417.95</v>
      </c>
      <c r="V572" s="98" t="n">
        <v>34.75</v>
      </c>
      <c r="W572" s="97">
        <f>U572/V572</f>
        <v/>
      </c>
      <c r="X572" s="97">
        <f>(W572/U572)*100</f>
        <v/>
      </c>
      <c r="Y572" s="97" t="n">
        <v>15486</v>
      </c>
      <c r="Z572" s="97" t="n">
        <v>28.65</v>
      </c>
      <c r="AA572" s="97">
        <f>Y572/Z572</f>
        <v/>
      </c>
      <c r="AB572" s="97">
        <f>(AA572/Y572)*100</f>
        <v/>
      </c>
    </row>
    <row r="573">
      <c r="A573" s="92" t="n">
        <v>572</v>
      </c>
      <c r="B573" s="99" t="n">
        <v>45406</v>
      </c>
      <c r="C573" s="103" t="n">
        <v>40158925.94</v>
      </c>
      <c r="D573" s="98">
        <f>C573/E573</f>
        <v/>
      </c>
      <c r="E573" s="98" t="n">
        <v>83.31</v>
      </c>
      <c r="F573" s="98">
        <f>D573/100000</f>
        <v/>
      </c>
      <c r="G573" s="97">
        <f>(F573/DataSheet!$C$11*100)</f>
        <v/>
      </c>
      <c r="H573" s="98">
        <f>K573/I573</f>
        <v/>
      </c>
      <c r="I573" s="98">
        <f>(J573/L573)*100</f>
        <v/>
      </c>
      <c r="J573" s="97">
        <f>L573/O573</f>
        <v/>
      </c>
      <c r="K573" s="98" t="n">
        <v>7.18</v>
      </c>
      <c r="L573" s="98" t="n">
        <v>22402.4</v>
      </c>
      <c r="M573" s="98" t="n">
        <v>3.93</v>
      </c>
      <c r="N573" s="98">
        <f>K573-I573</f>
        <v/>
      </c>
      <c r="O573" s="98" t="n">
        <v>22.58</v>
      </c>
      <c r="P573" s="98" t="n">
        <v>4.64</v>
      </c>
      <c r="Q573" s="97">
        <f>K573-P573</f>
        <v/>
      </c>
      <c r="R573" s="98" t="n">
        <v>105.7</v>
      </c>
      <c r="S573" s="98">
        <f>(O573*T573)</f>
        <v/>
      </c>
      <c r="T573" s="79" t="n">
        <v>6.88</v>
      </c>
      <c r="U573" s="98" t="n">
        <v>18568.3</v>
      </c>
      <c r="V573" s="98" t="n">
        <v>35.04</v>
      </c>
      <c r="W573" s="97">
        <f>U573/V573</f>
        <v/>
      </c>
      <c r="X573" s="97">
        <f>(W573/U573)*100</f>
        <v/>
      </c>
      <c r="Y573" s="97" t="n">
        <v>15609.2</v>
      </c>
      <c r="Z573" s="97" t="n">
        <v>28.83</v>
      </c>
      <c r="AA573" s="97">
        <f>Y573/Z573</f>
        <v/>
      </c>
      <c r="AB573" s="97">
        <f>(AA573/Y573)*100</f>
        <v/>
      </c>
    </row>
    <row r="574">
      <c r="A574" s="92" t="n">
        <v>573</v>
      </c>
      <c r="B574" s="102" t="n">
        <v>45407</v>
      </c>
      <c r="C574" s="103" t="n">
        <v>40328639</v>
      </c>
      <c r="D574" s="98">
        <f>C574/E574</f>
        <v/>
      </c>
      <c r="E574" s="98" t="n">
        <v>83.31</v>
      </c>
      <c r="F574" s="98">
        <f>D574/100000</f>
        <v/>
      </c>
      <c r="G574" s="97">
        <f>(F574/DataSheet!$C$11*100)</f>
        <v/>
      </c>
      <c r="H574" s="98">
        <f>K574/I574</f>
        <v/>
      </c>
      <c r="I574" s="98">
        <f>(J574/L574)*100</f>
        <v/>
      </c>
      <c r="J574" s="97">
        <f>L574/O574</f>
        <v/>
      </c>
      <c r="K574" s="98" t="n">
        <v>7.2</v>
      </c>
      <c r="L574" s="98" t="n">
        <v>22570.35</v>
      </c>
      <c r="M574" s="98" t="n">
        <v>3.96</v>
      </c>
      <c r="N574" s="98">
        <f>K574-I574</f>
        <v/>
      </c>
      <c r="O574" s="98" t="n">
        <v>22.75</v>
      </c>
      <c r="P574" s="98" t="n">
        <v>4.7</v>
      </c>
      <c r="Q574" s="97">
        <f>K574-P574</f>
        <v/>
      </c>
      <c r="R574" s="98" t="n">
        <v>105.45</v>
      </c>
      <c r="S574" s="98">
        <f>(O574*T574)</f>
        <v/>
      </c>
      <c r="T574" s="79" t="n">
        <v>6.94</v>
      </c>
      <c r="U574" s="98" t="n">
        <v>18643.25</v>
      </c>
      <c r="V574" s="98" t="n">
        <v>35.16</v>
      </c>
      <c r="W574" s="97">
        <f>U574/V574</f>
        <v/>
      </c>
      <c r="X574" s="97">
        <f>(W574/U574)*100</f>
        <v/>
      </c>
      <c r="Y574" s="97" t="n">
        <v>15739.15</v>
      </c>
      <c r="Z574" s="97" t="n">
        <v>29.05</v>
      </c>
      <c r="AA574" s="97">
        <f>Y574/Z574</f>
        <v/>
      </c>
      <c r="AB574" s="97">
        <f>(AA574/Y574)*100</f>
        <v/>
      </c>
    </row>
    <row r="575">
      <c r="A575" s="92" t="n">
        <v>574</v>
      </c>
      <c r="B575" s="99" t="n">
        <v>45408</v>
      </c>
      <c r="C575" s="103" t="n">
        <v>40430580.53</v>
      </c>
      <c r="D575" s="98">
        <f>C575/E575</f>
        <v/>
      </c>
      <c r="E575" s="98" t="n">
        <v>83.40000000000001</v>
      </c>
      <c r="F575" s="98">
        <f>D575/100000</f>
        <v/>
      </c>
      <c r="G575" s="97">
        <f>(F575/DataSheet!$C$11*100)</f>
        <v/>
      </c>
      <c r="H575" s="98">
        <f>K575/I575</f>
        <v/>
      </c>
      <c r="I575" s="98">
        <f>(J575/L575)*100</f>
        <v/>
      </c>
      <c r="J575" s="97">
        <f>L575/O575</f>
        <v/>
      </c>
      <c r="K575" s="98" t="n">
        <v>7.19</v>
      </c>
      <c r="L575" s="98" t="n">
        <v>22419.95</v>
      </c>
      <c r="M575" s="98" t="n">
        <v>3.93</v>
      </c>
      <c r="N575" s="98">
        <f>K575-I575</f>
        <v/>
      </c>
      <c r="O575" s="98" t="n">
        <v>22</v>
      </c>
      <c r="P575" s="98" t="n">
        <v>4.66</v>
      </c>
      <c r="Q575" s="97">
        <f>K575-P575</f>
        <v/>
      </c>
      <c r="R575" s="98" t="n">
        <v>105.8</v>
      </c>
      <c r="S575" s="98">
        <f>(O575*T575)</f>
        <v/>
      </c>
      <c r="T575" s="79" t="n">
        <v>6.96</v>
      </c>
      <c r="U575" s="98" t="n">
        <v>18782.5</v>
      </c>
      <c r="V575" s="98" t="n">
        <v>35.45</v>
      </c>
      <c r="W575" s="97">
        <f>U575/V575</f>
        <v/>
      </c>
      <c r="X575" s="97">
        <f>(W575/U575)*100</f>
        <v/>
      </c>
      <c r="Y575" s="97" t="n">
        <v>15814.5</v>
      </c>
      <c r="Z575" s="97" t="n">
        <v>29.18</v>
      </c>
      <c r="AA575" s="97">
        <f>Y575/Z575</f>
        <v/>
      </c>
      <c r="AB575" s="97">
        <f>(AA575/Y575)*100</f>
        <v/>
      </c>
    </row>
    <row r="576">
      <c r="A576" s="92" t="n">
        <v>575</v>
      </c>
      <c r="B576" s="102" t="n">
        <v>45411</v>
      </c>
      <c r="C576" s="103" t="n">
        <v>40667264.94</v>
      </c>
      <c r="D576" s="98">
        <f>C576/E576</f>
        <v/>
      </c>
      <c r="E576" s="98" t="n">
        <v>83.41</v>
      </c>
      <c r="F576" s="98">
        <f>D576/100000</f>
        <v/>
      </c>
      <c r="G576" s="97">
        <f>(F576/DataSheet!$C$11*100)</f>
        <v/>
      </c>
      <c r="H576" s="98">
        <f>K576/I576</f>
        <v/>
      </c>
      <c r="I576" s="98">
        <f>(J576/L576)*100</f>
        <v/>
      </c>
      <c r="J576" s="97">
        <f>L576/O576</f>
        <v/>
      </c>
      <c r="K576" s="98" t="n">
        <v>7.19</v>
      </c>
      <c r="L576" s="98" t="n">
        <v>22643.4</v>
      </c>
      <c r="M576" s="98" t="n">
        <v>3.97</v>
      </c>
      <c r="N576" s="98">
        <f>K576-I576</f>
        <v/>
      </c>
      <c r="O576" s="98" t="n">
        <v>22.2</v>
      </c>
      <c r="P576" s="98" t="n">
        <v>4.61</v>
      </c>
      <c r="Q576" s="97">
        <f>K576-P576</f>
        <v/>
      </c>
      <c r="R576" s="98" t="n">
        <v>105.44</v>
      </c>
      <c r="S576" s="98">
        <f>(O576*T576)</f>
        <v/>
      </c>
      <c r="T576" s="79" t="n">
        <v>7</v>
      </c>
      <c r="U576" s="98" t="n">
        <v>18847</v>
      </c>
      <c r="V576" s="98" t="n">
        <v>35.48</v>
      </c>
      <c r="W576" s="97">
        <f>U576/V576</f>
        <v/>
      </c>
      <c r="X576" s="97">
        <f>(W576/U576)*100</f>
        <v/>
      </c>
      <c r="Y576" s="97" t="n">
        <v>15824.55</v>
      </c>
      <c r="Z576" s="97" t="n">
        <v>29.1</v>
      </c>
      <c r="AA576" s="97">
        <f>Y576/Z576</f>
        <v/>
      </c>
      <c r="AB576" s="97">
        <f>(AA576/Y576)*100</f>
        <v/>
      </c>
    </row>
    <row r="577">
      <c r="A577" s="92" t="n">
        <v>576</v>
      </c>
      <c r="B577" s="99" t="n">
        <v>45412</v>
      </c>
      <c r="C577" s="103" t="n">
        <v>40682160.53</v>
      </c>
      <c r="D577" s="98">
        <f>C577/E577</f>
        <v/>
      </c>
      <c r="E577" s="98" t="n">
        <v>83.45</v>
      </c>
      <c r="F577" s="98">
        <f>D577/100000</f>
        <v/>
      </c>
      <c r="G577" s="97">
        <f>(F577/DataSheet!$C$11*100)</f>
        <v/>
      </c>
      <c r="H577" s="98">
        <f>K577/I577</f>
        <v/>
      </c>
      <c r="I577" s="98">
        <f>(J577/L577)*100</f>
        <v/>
      </c>
      <c r="J577" s="97">
        <f>L577/O577</f>
        <v/>
      </c>
      <c r="K577" s="98" t="n">
        <v>7.19</v>
      </c>
      <c r="L577" s="98" t="n">
        <v>22604.85</v>
      </c>
      <c r="M577" s="98" t="n">
        <v>3.96</v>
      </c>
      <c r="N577" s="98">
        <f>K577-I577</f>
        <v/>
      </c>
      <c r="O577" s="98" t="n">
        <v>22</v>
      </c>
      <c r="P577" s="98" t="n">
        <v>4.68</v>
      </c>
      <c r="Q577" s="97">
        <f>K577-P577</f>
        <v/>
      </c>
      <c r="R577" s="98" t="n">
        <v>106.1</v>
      </c>
      <c r="S577" s="98">
        <f>(O577*T577)</f>
        <v/>
      </c>
      <c r="T577" s="79" t="n">
        <v>7.01</v>
      </c>
      <c r="U577" s="98" t="n">
        <v>18893</v>
      </c>
      <c r="V577" s="98" t="n">
        <v>35.49</v>
      </c>
      <c r="W577" s="97">
        <f>U577/V577</f>
        <v/>
      </c>
      <c r="X577" s="97">
        <f>(W577/U577)*100</f>
        <v/>
      </c>
      <c r="Y577" s="97" t="n">
        <v>15833.4</v>
      </c>
      <c r="Z577" s="97" t="n">
        <v>28.98</v>
      </c>
      <c r="AA577" s="97">
        <f>Y577/Z577</f>
        <v/>
      </c>
      <c r="AB577" s="97">
        <f>(AA577/Y577)*100</f>
        <v/>
      </c>
    </row>
    <row r="578">
      <c r="A578" s="92" t="n">
        <v>577</v>
      </c>
      <c r="B578" s="99" t="n">
        <v>45414</v>
      </c>
      <c r="C578" s="103" t="n">
        <v>40873843.69</v>
      </c>
      <c r="D578" s="98">
        <f>C578/E578</f>
        <v/>
      </c>
      <c r="E578" s="98" t="n">
        <v>83.43000000000001</v>
      </c>
      <c r="F578" s="98">
        <f>D578/100000</f>
        <v/>
      </c>
      <c r="G578" s="97">
        <f>(F578/DataSheet!$C$11*100)</f>
        <v/>
      </c>
      <c r="H578" s="98">
        <f>K578/I578</f>
        <v/>
      </c>
      <c r="I578" s="98">
        <f>(J578/L578)*100</f>
        <v/>
      </c>
      <c r="J578" s="97">
        <f>L578/O578</f>
        <v/>
      </c>
      <c r="K578" s="98" t="n">
        <v>7.16</v>
      </c>
      <c r="L578" s="98" t="n">
        <v>22648.2</v>
      </c>
      <c r="M578" s="98" t="n">
        <v>3.97</v>
      </c>
      <c r="N578" s="98">
        <f>K578-I578</f>
        <v/>
      </c>
      <c r="O578" s="98" t="n">
        <v>22.03</v>
      </c>
      <c r="P578" s="98" t="n">
        <v>4.58</v>
      </c>
      <c r="Q578" s="97">
        <f>K578-P578</f>
        <v/>
      </c>
      <c r="R578" s="98" t="n">
        <v>105.17</v>
      </c>
      <c r="S578" s="98">
        <f>(O578*T578)</f>
        <v/>
      </c>
      <c r="T578" s="79" t="n">
        <v>7.01</v>
      </c>
      <c r="U578" s="98" t="n">
        <v>18975.25</v>
      </c>
      <c r="V578" s="98" t="n">
        <v>35.95</v>
      </c>
      <c r="W578" s="97">
        <f>U578/V578</f>
        <v/>
      </c>
      <c r="X578" s="97">
        <f>(W578/U578)*100</f>
        <v/>
      </c>
      <c r="Y578" s="97" t="n">
        <v>15848.4</v>
      </c>
      <c r="Z578" s="97" t="n">
        <v>28.87</v>
      </c>
      <c r="AA578" s="97">
        <f>Y578/Z578</f>
        <v/>
      </c>
      <c r="AB578" s="97">
        <f>(AA578/Y578)*100</f>
        <v/>
      </c>
    </row>
    <row r="579">
      <c r="A579" s="92" t="n">
        <v>578</v>
      </c>
      <c r="B579" s="102" t="n">
        <v>45415</v>
      </c>
      <c r="C579" s="103" t="n">
        <v>40662149.85</v>
      </c>
      <c r="D579" s="98">
        <f>C579/E579</f>
        <v/>
      </c>
      <c r="E579" s="98" t="n">
        <v>83.37</v>
      </c>
      <c r="F579" s="98">
        <f>D579/100000</f>
        <v/>
      </c>
      <c r="G579" s="97">
        <f>(F579/DataSheet!$C$11*100)</f>
        <v/>
      </c>
      <c r="H579" s="98">
        <f>K579/I579</f>
        <v/>
      </c>
      <c r="I579" s="98">
        <f>(J579/L579)*100</f>
        <v/>
      </c>
      <c r="J579" s="97">
        <f>L579/O579</f>
        <v/>
      </c>
      <c r="K579" s="98" t="n">
        <v>7.14</v>
      </c>
      <c r="L579" s="98" t="n">
        <v>22475.85</v>
      </c>
      <c r="M579" s="98" t="n">
        <v>3.94</v>
      </c>
      <c r="N579" s="98">
        <f>K579-I579</f>
        <v/>
      </c>
      <c r="O579" s="98" t="n">
        <v>21.87</v>
      </c>
      <c r="P579" s="98" t="n">
        <v>4.49</v>
      </c>
      <c r="Q579" s="97">
        <f>K579-P579</f>
        <v/>
      </c>
      <c r="R579" s="98" t="n">
        <v>104.91</v>
      </c>
      <c r="S579" s="98">
        <f>(O579*T579)</f>
        <v/>
      </c>
      <c r="T579" s="79" t="n">
        <v>7.03</v>
      </c>
      <c r="U579" s="98" t="n">
        <v>18907.7</v>
      </c>
      <c r="V579" s="98" t="n">
        <v>35.87</v>
      </c>
      <c r="W579" s="97">
        <f>U579/V579</f>
        <v/>
      </c>
      <c r="X579" s="97">
        <f>(W579/U579)*100</f>
        <v/>
      </c>
      <c r="Y579" s="97" t="n">
        <v>15793.3</v>
      </c>
      <c r="Z579" s="97" t="n">
        <v>28.51</v>
      </c>
      <c r="AA579" s="97">
        <f>Y579/Z579</f>
        <v/>
      </c>
      <c r="AB579" s="97">
        <f>(AA579/Y579)*100</f>
        <v/>
      </c>
    </row>
    <row r="580">
      <c r="A580" s="92" t="n">
        <v>579</v>
      </c>
      <c r="B580" s="99" t="n">
        <v>45418</v>
      </c>
      <c r="C580" s="103" t="n">
        <v>40366309.43</v>
      </c>
      <c r="D580" s="98">
        <f>C580/E580</f>
        <v/>
      </c>
      <c r="E580" s="98" t="n">
        <v>83.47</v>
      </c>
      <c r="F580" s="98">
        <f>D580/100000</f>
        <v/>
      </c>
      <c r="G580" s="97">
        <f>(F580/DataSheet!$C$11*100)</f>
        <v/>
      </c>
      <c r="H580" s="98">
        <f>K580/I580</f>
        <v/>
      </c>
      <c r="I580" s="98">
        <f>(J580/L580)*100</f>
        <v/>
      </c>
      <c r="J580" s="97">
        <f>L580/O580</f>
        <v/>
      </c>
      <c r="K580" s="98" t="n">
        <v>7.1</v>
      </c>
      <c r="L580" s="98" t="n">
        <v>22442.7</v>
      </c>
      <c r="M580" s="98" t="n">
        <v>3.94</v>
      </c>
      <c r="N580" s="98">
        <f>K580-I580</f>
        <v/>
      </c>
      <c r="O580" s="98" t="n">
        <v>21.77</v>
      </c>
      <c r="P580" s="98" t="n">
        <v>4.48</v>
      </c>
      <c r="Q580" s="97">
        <f>K580-P580</f>
        <v/>
      </c>
      <c r="R580" s="98" t="n">
        <v>104.91</v>
      </c>
      <c r="S580" s="98">
        <f>(O580*T580)</f>
        <v/>
      </c>
      <c r="T580" s="79" t="n">
        <v>6.96</v>
      </c>
      <c r="U580" s="98" t="n">
        <v>18821.3</v>
      </c>
      <c r="V580" s="98" t="n">
        <v>35.64</v>
      </c>
      <c r="W580" s="97">
        <f>U580/V580</f>
        <v/>
      </c>
      <c r="X580" s="97">
        <f>(W580/U580)*100</f>
        <v/>
      </c>
      <c r="Y580" s="97" t="n">
        <v>15617.15</v>
      </c>
      <c r="Z580" s="97" t="n">
        <v>28.2</v>
      </c>
      <c r="AA580" s="97">
        <f>Y580/Z580</f>
        <v/>
      </c>
      <c r="AB580" s="97">
        <f>(AA580/Y580)*100</f>
        <v/>
      </c>
    </row>
    <row r="581">
      <c r="A581" s="92" t="n">
        <v>580</v>
      </c>
      <c r="B581" s="102" t="n">
        <v>45419</v>
      </c>
      <c r="C581" s="103" t="n">
        <v>39879565.52</v>
      </c>
      <c r="D581" s="98">
        <f>C581/E581</f>
        <v/>
      </c>
      <c r="E581" s="98" t="n">
        <v>83.45</v>
      </c>
      <c r="F581" s="98">
        <f>D581/100000</f>
        <v/>
      </c>
      <c r="G581" s="97">
        <f>(F581/DataSheet!$C$11*100)</f>
        <v/>
      </c>
      <c r="H581" s="98">
        <f>K581/I581</f>
        <v/>
      </c>
      <c r="I581" s="98">
        <f>(J581/L581)*100</f>
        <v/>
      </c>
      <c r="J581" s="97">
        <f>L581/O581</f>
        <v/>
      </c>
      <c r="K581" s="98" t="n">
        <v>7.12</v>
      </c>
      <c r="L581" s="98" t="n">
        <v>22302.5</v>
      </c>
      <c r="M581" s="98" t="n">
        <v>3.91</v>
      </c>
      <c r="N581" s="98">
        <f>K581-I581</f>
        <v/>
      </c>
      <c r="O581" s="98" t="n">
        <v>21.61</v>
      </c>
      <c r="P581" s="98" t="n">
        <v>4.46</v>
      </c>
      <c r="Q581" s="97">
        <f>K581-P581</f>
        <v/>
      </c>
      <c r="R581" s="98" t="n">
        <v>105.3</v>
      </c>
      <c r="S581" s="98">
        <f>(O581*T581)</f>
        <v/>
      </c>
      <c r="T581" s="79" t="n">
        <v>6.97</v>
      </c>
      <c r="U581" s="98" t="n">
        <v>18471.85</v>
      </c>
      <c r="V581" s="98" t="n">
        <v>34.93</v>
      </c>
      <c r="W581" s="97">
        <f>U581/V581</f>
        <v/>
      </c>
      <c r="X581" s="97">
        <f>(W581/U581)*100</f>
        <v/>
      </c>
      <c r="Y581" s="97" t="n">
        <v>15339.25</v>
      </c>
      <c r="Z581" s="97" t="n">
        <v>27.61</v>
      </c>
      <c r="AA581" s="97">
        <f>Y581/Z581</f>
        <v/>
      </c>
      <c r="AB581" s="97">
        <f>(AA581/Y581)*100</f>
        <v/>
      </c>
    </row>
    <row r="582">
      <c r="A582" s="92" t="n">
        <v>581</v>
      </c>
      <c r="B582" s="99" t="n">
        <v>45420</v>
      </c>
      <c r="C582" s="103" t="n">
        <v>40097894.26</v>
      </c>
      <c r="D582" s="98">
        <f>C582/E582</f>
        <v/>
      </c>
      <c r="E582" s="98" t="n">
        <v>83.45999999999999</v>
      </c>
      <c r="F582" s="98">
        <f>D582/100000</f>
        <v/>
      </c>
      <c r="G582" s="97">
        <f>(F582/DataSheet!$C$11*100)</f>
        <v/>
      </c>
      <c r="H582" s="98">
        <f>K582/I582</f>
        <v/>
      </c>
      <c r="I582" s="98">
        <f>(J582/L582)*100</f>
        <v/>
      </c>
      <c r="J582" s="97">
        <f>L582/O582</f>
        <v/>
      </c>
      <c r="K582" s="98" t="n">
        <v>7.13</v>
      </c>
      <c r="L582" s="98" t="n">
        <v>22302.5</v>
      </c>
      <c r="M582" s="98" t="n">
        <v>3.91</v>
      </c>
      <c r="N582" s="98">
        <f>K582-I582</f>
        <v/>
      </c>
      <c r="O582" s="98" t="n">
        <v>21.61</v>
      </c>
      <c r="P582" s="98" t="n">
        <v>4.5</v>
      </c>
      <c r="Q582" s="97">
        <f>K582-P582</f>
        <v/>
      </c>
      <c r="R582" s="98" t="n">
        <v>105.42</v>
      </c>
      <c r="S582" s="98">
        <f>(O582*T582)</f>
        <v/>
      </c>
      <c r="T582" s="79" t="n">
        <v>7</v>
      </c>
      <c r="U582" s="98" t="n">
        <v>18568.7</v>
      </c>
      <c r="V582" s="98" t="n">
        <v>35.07</v>
      </c>
      <c r="W582" s="97">
        <f>U582/V582</f>
        <v/>
      </c>
      <c r="X582" s="97">
        <f>(W582/U582)*100</f>
        <v/>
      </c>
      <c r="Y582" s="97" t="n">
        <v>15414.9</v>
      </c>
      <c r="Z582" s="97" t="n">
        <v>27.76</v>
      </c>
      <c r="AA582" s="97">
        <f>Y582/Z582</f>
        <v/>
      </c>
      <c r="AB582" s="97">
        <f>(AA582/Y582)*100</f>
        <v/>
      </c>
    </row>
    <row r="583">
      <c r="A583" s="92" t="n">
        <v>582</v>
      </c>
      <c r="B583" s="99" t="n">
        <v>45421</v>
      </c>
      <c r="C583" s="103" t="n">
        <v>39363100.48</v>
      </c>
      <c r="D583" s="98">
        <f>C583/E583</f>
        <v/>
      </c>
      <c r="E583" s="98" t="n">
        <v>83.44</v>
      </c>
      <c r="F583" s="98">
        <f>D583/100000</f>
        <v/>
      </c>
      <c r="G583" s="97">
        <f>(F583/DataSheet!$C$11*100)</f>
        <v/>
      </c>
      <c r="H583" s="98">
        <f>K583/I583</f>
        <v/>
      </c>
      <c r="I583" s="98">
        <f>(J583/L583)*100</f>
        <v/>
      </c>
      <c r="J583" s="97">
        <f>L583/O583</f>
        <v/>
      </c>
      <c r="K583" s="98" t="n">
        <v>7.13</v>
      </c>
      <c r="L583" s="98" t="n">
        <v>21957.5</v>
      </c>
      <c r="M583" s="98" t="n">
        <v>3.85</v>
      </c>
      <c r="N583" s="98">
        <f>K583-I583</f>
        <v/>
      </c>
      <c r="O583" s="98" t="n">
        <v>21.26</v>
      </c>
      <c r="P583" s="98" t="n">
        <v>4.45</v>
      </c>
      <c r="Q583" s="97">
        <f>K583-P583</f>
        <v/>
      </c>
      <c r="R583" s="98" t="n">
        <v>105.1</v>
      </c>
      <c r="S583" s="98">
        <f>(O583*T583)</f>
        <v/>
      </c>
      <c r="T583" s="79" t="n">
        <v>7.02</v>
      </c>
      <c r="U583" s="98" t="n">
        <v>18245.35</v>
      </c>
      <c r="V583" s="98" t="n">
        <v>34.46</v>
      </c>
      <c r="W583" s="97">
        <f>U583/V583</f>
        <v/>
      </c>
      <c r="X583" s="97">
        <f>(W583/U583)*100</f>
        <v/>
      </c>
      <c r="Y583" s="97" t="n">
        <v>15006.35</v>
      </c>
      <c r="Z583" s="97" t="n">
        <v>26.82</v>
      </c>
      <c r="AA583" s="97">
        <f>Y583/Z583</f>
        <v/>
      </c>
      <c r="AB583" s="97">
        <f>(AA583/Y583)*100</f>
        <v/>
      </c>
    </row>
    <row r="584">
      <c r="A584" s="92" t="n">
        <v>583</v>
      </c>
      <c r="B584" s="99" t="n">
        <v>45422</v>
      </c>
      <c r="C584" s="103" t="n">
        <v>39666011.9</v>
      </c>
      <c r="D584" s="98">
        <f>C584/E584</f>
        <v/>
      </c>
      <c r="E584" s="98" t="n">
        <v>83.54000000000001</v>
      </c>
      <c r="F584" s="98">
        <f>D584/100000</f>
        <v/>
      </c>
      <c r="G584" s="97">
        <f>(F584/DataSheet!$C$11*100)</f>
        <v/>
      </c>
      <c r="H584" s="98">
        <f>K584/I584</f>
        <v/>
      </c>
      <c r="I584" s="98">
        <f>(J584/L584)*100</f>
        <v/>
      </c>
      <c r="J584" s="97">
        <f>L584/O584</f>
        <v/>
      </c>
      <c r="K584" s="98" t="n">
        <v>7.12</v>
      </c>
      <c r="L584" s="98" t="n">
        <v>22055.2</v>
      </c>
      <c r="M584" s="98" t="n">
        <v>3.87</v>
      </c>
      <c r="N584" s="98">
        <f>K584-I584</f>
        <v/>
      </c>
      <c r="O584" s="98" t="n">
        <v>21.33</v>
      </c>
      <c r="P584" s="98" t="n">
        <v>4.5</v>
      </c>
      <c r="Q584" s="97">
        <f>K584-P584</f>
        <v/>
      </c>
      <c r="R584" s="98" t="n">
        <v>105.17</v>
      </c>
      <c r="S584" s="98">
        <f>(O584*T584)</f>
        <v/>
      </c>
      <c r="T584" s="79" t="n">
        <v>7.02</v>
      </c>
      <c r="U584" s="98" t="n">
        <v>18423.3</v>
      </c>
      <c r="V584" s="98" t="n">
        <v>34.67</v>
      </c>
      <c r="W584" s="97">
        <f>U584/V584</f>
        <v/>
      </c>
      <c r="X584" s="97">
        <f>(W584/U584)*100</f>
        <v/>
      </c>
      <c r="Y584" s="97" t="n">
        <v>15104.9</v>
      </c>
      <c r="Z584" s="97" t="n">
        <v>26.96</v>
      </c>
      <c r="AA584" s="97">
        <f>Y584/Z584</f>
        <v/>
      </c>
      <c r="AB584" s="97">
        <f>(AA584/Y584)*100</f>
        <v/>
      </c>
    </row>
    <row r="585">
      <c r="A585" s="92" t="n">
        <v>584</v>
      </c>
      <c r="B585" s="99" t="n">
        <v>45425</v>
      </c>
      <c r="C585" s="103" t="n">
        <v>39743403.98</v>
      </c>
      <c r="D585" s="98">
        <f>C585/E585</f>
        <v/>
      </c>
      <c r="E585" s="98" t="n">
        <v>83.45999999999999</v>
      </c>
      <c r="F585" s="98">
        <f>D585/100000</f>
        <v/>
      </c>
      <c r="G585" s="97">
        <f>(F585/DataSheet!$C$11*100)</f>
        <v/>
      </c>
      <c r="H585" s="98">
        <f>K585/I585</f>
        <v/>
      </c>
      <c r="I585" s="98">
        <f>(J585/L585)*100</f>
        <v/>
      </c>
      <c r="J585" s="97">
        <f>L585/O585</f>
        <v/>
      </c>
      <c r="K585" s="98" t="n">
        <v>7.11</v>
      </c>
      <c r="L585" s="98" t="n">
        <v>22104.05</v>
      </c>
      <c r="M585" s="98" t="n">
        <v>3.88</v>
      </c>
      <c r="N585" s="98">
        <f>K585-I585</f>
        <v/>
      </c>
      <c r="O585" s="98" t="n">
        <v>21.35</v>
      </c>
      <c r="P585" s="98" t="n">
        <v>4.49</v>
      </c>
      <c r="Q585" s="97">
        <f>K585-P585</f>
        <v/>
      </c>
      <c r="R585" s="98" t="n">
        <v>105.1</v>
      </c>
      <c r="S585" s="98">
        <f>(O585*T585)</f>
        <v/>
      </c>
      <c r="T585" s="79" t="n">
        <v>7.03</v>
      </c>
      <c r="U585" s="98" t="n">
        <v>18516.75</v>
      </c>
      <c r="V585" s="98" t="n">
        <v>35.01</v>
      </c>
      <c r="W585" s="97">
        <f>U585/V585</f>
        <v/>
      </c>
      <c r="X585" s="97">
        <f>(W585/U585)*100</f>
        <v/>
      </c>
      <c r="Y585" s="97" t="n">
        <v>15050.75</v>
      </c>
      <c r="Z585" s="97" t="n">
        <v>26.87</v>
      </c>
      <c r="AA585" s="97">
        <f>Y585/Z585</f>
        <v/>
      </c>
      <c r="AB585" s="97">
        <f>(AA585/Y585)*100</f>
        <v/>
      </c>
    </row>
    <row r="586">
      <c r="A586" s="92" t="n">
        <v>585</v>
      </c>
      <c r="B586" s="99" t="n">
        <v>45426</v>
      </c>
      <c r="C586" s="103" t="n">
        <v>40199785.69</v>
      </c>
      <c r="D586" s="98">
        <f>C586/E586</f>
        <v/>
      </c>
      <c r="E586" s="98" t="n">
        <v>83.48</v>
      </c>
      <c r="F586" s="98">
        <f>D586/100000</f>
        <v/>
      </c>
      <c r="G586" s="97">
        <f>(F586/DataSheet!$C$11*100)</f>
        <v/>
      </c>
      <c r="H586" s="98">
        <f>K586/I586</f>
        <v/>
      </c>
      <c r="I586" s="98">
        <f>(J586/L586)*100</f>
        <v/>
      </c>
      <c r="J586" s="97">
        <f>L586/O586</f>
        <v/>
      </c>
      <c r="K586" s="98" t="n">
        <v>7.1</v>
      </c>
      <c r="L586" s="98" t="n">
        <v>22217.85</v>
      </c>
      <c r="M586" s="98" t="n">
        <v>3.9</v>
      </c>
      <c r="N586" s="98">
        <f>K586-I586</f>
        <v/>
      </c>
      <c r="O586" s="98" t="n">
        <v>21.19</v>
      </c>
      <c r="P586" s="98" t="n">
        <v>4.44</v>
      </c>
      <c r="Q586" s="97">
        <f>K586-P586</f>
        <v/>
      </c>
      <c r="R586" s="98" t="n">
        <v>104.89</v>
      </c>
      <c r="S586" s="98">
        <f>(O586*T586)</f>
        <v/>
      </c>
      <c r="T586" s="79" t="n">
        <v>7.02</v>
      </c>
      <c r="U586" s="98" t="n">
        <v>18690.1</v>
      </c>
      <c r="V586" s="98" t="n">
        <v>35.23</v>
      </c>
      <c r="W586" s="97">
        <f>U586/V586</f>
        <v/>
      </c>
      <c r="X586" s="97">
        <f>(W586/U586)*100</f>
        <v/>
      </c>
      <c r="Y586" s="97" t="n">
        <v>15315.45</v>
      </c>
      <c r="Z586" s="97" t="n">
        <v>27.25</v>
      </c>
      <c r="AA586" s="97">
        <f>Y586/Z586</f>
        <v/>
      </c>
      <c r="AB586" s="97">
        <f>(AA586/Y586)*100</f>
        <v/>
      </c>
    </row>
    <row r="587">
      <c r="A587" s="92" t="n">
        <v>586</v>
      </c>
      <c r="B587" s="102" t="n">
        <v>45427</v>
      </c>
      <c r="C587" s="103" t="n">
        <v>40436646.87</v>
      </c>
      <c r="D587" s="98">
        <f>C587/E587</f>
        <v/>
      </c>
      <c r="E587" s="98" t="n">
        <v>83.41</v>
      </c>
      <c r="F587" s="98">
        <f>D587/100000</f>
        <v/>
      </c>
      <c r="G587" s="97">
        <f>(F587/DataSheet!$C$11*100)</f>
        <v/>
      </c>
      <c r="H587" s="98">
        <f>K587/I587</f>
        <v/>
      </c>
      <c r="I587" s="98">
        <f>(J587/L587)*100</f>
        <v/>
      </c>
      <c r="J587" s="97">
        <f>L587/O587</f>
        <v/>
      </c>
      <c r="K587" s="98" t="n">
        <v>7.08</v>
      </c>
      <c r="L587" s="98" t="n">
        <v>22200.55</v>
      </c>
      <c r="M587" s="98" t="n">
        <v>3.89</v>
      </c>
      <c r="N587" s="98">
        <f>K587-I587</f>
        <v/>
      </c>
      <c r="O587" s="98" t="n">
        <v>21.17</v>
      </c>
      <c r="P587" s="98" t="n">
        <v>4.34</v>
      </c>
      <c r="Q587" s="97">
        <f>K587-P587</f>
        <v/>
      </c>
      <c r="R587" s="98" t="n">
        <v>104.21</v>
      </c>
      <c r="S587" s="98">
        <f>(O587*T587)</f>
        <v/>
      </c>
      <c r="T587" s="79" t="n">
        <v>7.02</v>
      </c>
      <c r="U587" s="98" t="n">
        <v>18865.2</v>
      </c>
      <c r="V587" s="98" t="n">
        <v>35.84</v>
      </c>
      <c r="W587" s="97">
        <f>U587/V587</f>
        <v/>
      </c>
      <c r="X587" s="97">
        <f>(W587/U587)*100</f>
        <v/>
      </c>
      <c r="Y587" s="97" t="n">
        <v>15431.2</v>
      </c>
      <c r="Z587" s="97" t="n">
        <v>27.4</v>
      </c>
      <c r="AA587" s="97">
        <f>Y587/Z587</f>
        <v/>
      </c>
      <c r="AB587" s="97">
        <f>(AA587/Y587)*100</f>
        <v/>
      </c>
    </row>
    <row r="588">
      <c r="A588" s="92" t="n">
        <v>587</v>
      </c>
      <c r="B588" s="99" t="n">
        <v>45428</v>
      </c>
      <c r="C588" s="103" t="n">
        <v>40749121.16</v>
      </c>
      <c r="D588" s="98">
        <f>C588/E588</f>
        <v/>
      </c>
      <c r="E588" s="98" t="n">
        <v>83.45</v>
      </c>
      <c r="F588" s="98">
        <f>D588/100000</f>
        <v/>
      </c>
      <c r="G588" s="97">
        <f>(F588/DataSheet!$C$11*100)</f>
        <v/>
      </c>
      <c r="H588" s="98">
        <f>K588/I588</f>
        <v/>
      </c>
      <c r="I588" s="98">
        <f>(J588/L588)*100</f>
        <v/>
      </c>
      <c r="J588" s="97">
        <f>L588/O588</f>
        <v/>
      </c>
      <c r="K588" s="98" t="n">
        <v>7.07</v>
      </c>
      <c r="L588" s="98" t="n">
        <v>22403.85</v>
      </c>
      <c r="M588" s="98" t="n">
        <v>3.93</v>
      </c>
      <c r="N588" s="98">
        <f>K588-I588</f>
        <v/>
      </c>
      <c r="O588" s="98" t="n">
        <v>21.41</v>
      </c>
      <c r="P588" s="98" t="n">
        <v>4.37</v>
      </c>
      <c r="Q588" s="97">
        <f>K588-P588</f>
        <v/>
      </c>
      <c r="R588" s="98" t="n">
        <v>104.34</v>
      </c>
      <c r="S588" s="98">
        <f>(O588*T588)</f>
        <v/>
      </c>
      <c r="T588" s="79" t="n">
        <v>7.03</v>
      </c>
      <c r="U588" s="98" t="n">
        <v>19048.8</v>
      </c>
      <c r="V588" s="98" t="n">
        <v>36.18</v>
      </c>
      <c r="W588" s="97">
        <f>U588/V588</f>
        <v/>
      </c>
      <c r="X588" s="97">
        <f>(W588/U588)*100</f>
        <v/>
      </c>
      <c r="Y588" s="97" t="n">
        <v>15545.75</v>
      </c>
      <c r="Z588" s="97" t="n">
        <v>27.31</v>
      </c>
      <c r="AA588" s="97">
        <f>Y588/Z588</f>
        <v/>
      </c>
      <c r="AB588" s="97">
        <f>(AA588/Y588)*100</f>
        <v/>
      </c>
    </row>
    <row r="589">
      <c r="A589" s="92" t="n">
        <v>588</v>
      </c>
      <c r="B589" s="99" t="n">
        <v>45429</v>
      </c>
      <c r="C589" s="103" t="n">
        <v>41039455.76</v>
      </c>
      <c r="D589" s="98">
        <f>C589/E589</f>
        <v/>
      </c>
      <c r="E589" s="98" t="n">
        <v>83.28</v>
      </c>
      <c r="F589" s="98">
        <f>D589/100000</f>
        <v/>
      </c>
      <c r="G589" s="97">
        <f>(F589/DataSheet!$C$11*100)</f>
        <v/>
      </c>
      <c r="H589" s="98">
        <f>K589/I589</f>
        <v/>
      </c>
      <c r="I589" s="98">
        <f>(J589/L589)*100</f>
        <v/>
      </c>
      <c r="J589" s="97">
        <f>L589/O589</f>
        <v/>
      </c>
      <c r="K589" s="98" t="n">
        <v>7.09</v>
      </c>
      <c r="L589" s="98" t="n">
        <v>22466.1</v>
      </c>
      <c r="M589" s="98" t="n">
        <v>3.94</v>
      </c>
      <c r="N589" s="98">
        <f>K589-I589</f>
        <v/>
      </c>
      <c r="O589" s="98" t="n">
        <v>21.47</v>
      </c>
      <c r="P589" s="98" t="n">
        <v>4.42</v>
      </c>
      <c r="Q589" s="97">
        <f>K589-P589</f>
        <v/>
      </c>
      <c r="R589" s="98" t="n">
        <v>104.33</v>
      </c>
      <c r="S589" s="98">
        <f>(O589*T589)</f>
        <v/>
      </c>
      <c r="T589" s="79" t="n">
        <v>6.99</v>
      </c>
      <c r="U589" s="98" t="n">
        <v>19249.2</v>
      </c>
      <c r="V589" s="98" t="n">
        <v>36.61</v>
      </c>
      <c r="W589" s="97">
        <f>U589/V589</f>
        <v/>
      </c>
      <c r="X589" s="97">
        <f>(W589/U589)*100</f>
        <v/>
      </c>
      <c r="Y589" s="97" t="n">
        <v>15792.9</v>
      </c>
      <c r="Z589" s="97" t="n">
        <v>27.79</v>
      </c>
      <c r="AA589" s="97">
        <f>Y589/Z589</f>
        <v/>
      </c>
      <c r="AB589" s="97">
        <f>(AA589/Y589)*100</f>
        <v/>
      </c>
    </row>
    <row r="590">
      <c r="A590" s="92" t="n">
        <v>589</v>
      </c>
      <c r="B590" s="99" t="n">
        <v>45430</v>
      </c>
      <c r="C590" s="103" t="n">
        <v>41255336.84</v>
      </c>
      <c r="D590" s="98">
        <f>C590/E590</f>
        <v/>
      </c>
      <c r="E590" s="98" t="n">
        <v>83.28</v>
      </c>
      <c r="F590" s="98">
        <f>D590/100000</f>
        <v/>
      </c>
      <c r="G590" s="97">
        <f>(F590/DataSheet!$C$11*100)</f>
        <v/>
      </c>
      <c r="H590" s="98">
        <f>K590/I590</f>
        <v/>
      </c>
      <c r="I590" s="98">
        <f>(J590/L590)*100</f>
        <v/>
      </c>
      <c r="J590" s="97">
        <f>L590/O590</f>
        <v/>
      </c>
      <c r="K590" s="98" t="n">
        <v>7.07</v>
      </c>
      <c r="L590" s="98" t="n">
        <v>22502</v>
      </c>
      <c r="M590" s="98" t="n">
        <v>3.95</v>
      </c>
      <c r="N590" s="98">
        <f>K590-I590</f>
        <v/>
      </c>
      <c r="O590" s="98" t="n">
        <v>21.5</v>
      </c>
      <c r="P590" s="98" t="n">
        <v>4.42</v>
      </c>
      <c r="Q590" s="97">
        <f>K590-P590</f>
        <v/>
      </c>
      <c r="R590" s="98" t="n">
        <v>104.46</v>
      </c>
      <c r="S590" s="98">
        <f>(O590*T590)</f>
        <v/>
      </c>
      <c r="T590" s="79" t="n">
        <v>6.99</v>
      </c>
      <c r="U590" s="98" t="n">
        <v>19352.6</v>
      </c>
      <c r="V590" s="98" t="n">
        <v>36.8</v>
      </c>
      <c r="W590" s="97">
        <f>U590/V590</f>
        <v/>
      </c>
      <c r="X590" s="97">
        <f>(W590/U590)*100</f>
        <v/>
      </c>
      <c r="Y590" s="97" t="n">
        <v>15935.5</v>
      </c>
      <c r="Z590" s="97" t="n">
        <v>28.04</v>
      </c>
      <c r="AA590" s="97">
        <f>Y590/Z590</f>
        <v/>
      </c>
      <c r="AB590" s="97">
        <f>(AA590/Y590)*100</f>
        <v/>
      </c>
    </row>
    <row r="591">
      <c r="A591" s="92" t="n">
        <v>590</v>
      </c>
      <c r="B591" s="99" t="n">
        <v>45433</v>
      </c>
      <c r="C591" s="103" t="n">
        <v>41472492.49</v>
      </c>
      <c r="D591" s="98">
        <f>C591/E591</f>
        <v/>
      </c>
      <c r="E591" s="98" t="n">
        <v>83.25</v>
      </c>
      <c r="F591" s="98">
        <f>D591/100000</f>
        <v/>
      </c>
      <c r="G591" s="97">
        <f>(F591/DataSheet!$C$11*100)</f>
        <v/>
      </c>
      <c r="H591" s="98">
        <f>K591/I591</f>
        <v/>
      </c>
      <c r="I591" s="98">
        <f>(J591/L591)*100</f>
        <v/>
      </c>
      <c r="J591" s="97">
        <f>L591/O591</f>
        <v/>
      </c>
      <c r="K591" s="98" t="n">
        <v>6.99</v>
      </c>
      <c r="L591" s="98" t="n">
        <v>22529.05</v>
      </c>
      <c r="M591" s="98" t="n">
        <v>3.95</v>
      </c>
      <c r="N591" s="98">
        <f>K591-I591</f>
        <v/>
      </c>
      <c r="O591" s="98" t="n">
        <v>21.52</v>
      </c>
      <c r="P591" s="98" t="n">
        <v>4.41</v>
      </c>
      <c r="Q591" s="97">
        <f>K591-P591</f>
        <v/>
      </c>
      <c r="R591" s="98" t="n">
        <v>104.55</v>
      </c>
      <c r="S591" s="98">
        <f>(O591*T591)</f>
        <v/>
      </c>
      <c r="T591" s="79" t="n">
        <v>6.86</v>
      </c>
      <c r="U591" s="98" t="n">
        <v>19413.2</v>
      </c>
      <c r="V591" s="98" t="n">
        <v>37.04</v>
      </c>
      <c r="W591" s="97">
        <f>U591/V591</f>
        <v/>
      </c>
      <c r="X591" s="97">
        <f>(W591/U591)*100</f>
        <v/>
      </c>
      <c r="Y591" s="97" t="n">
        <v>15867.75</v>
      </c>
      <c r="Z591" s="97" t="n">
        <v>27.92</v>
      </c>
      <c r="AA591" s="97">
        <f>Y591/Z591</f>
        <v/>
      </c>
      <c r="AB591" s="97">
        <f>(AA591/Y591)*100</f>
        <v/>
      </c>
    </row>
    <row r="592">
      <c r="A592" s="92" t="n">
        <v>591</v>
      </c>
      <c r="B592" s="99" t="n">
        <v>45434</v>
      </c>
      <c r="C592" s="103" t="n">
        <v>41612682.8</v>
      </c>
      <c r="D592" s="98">
        <f>C592/E592</f>
        <v/>
      </c>
      <c r="E592" s="98" t="n">
        <v>83.22</v>
      </c>
      <c r="F592" s="98">
        <f>D592/100000</f>
        <v/>
      </c>
      <c r="G592" s="97">
        <f>(F592/DataSheet!$C$11*100)</f>
        <v/>
      </c>
      <c r="H592" s="98">
        <f>K592/I592</f>
        <v/>
      </c>
      <c r="I592" s="98">
        <f>(J592/L592)*100</f>
        <v/>
      </c>
      <c r="J592" s="97">
        <f>L592/O592</f>
        <v/>
      </c>
      <c r="K592" s="98" t="n">
        <v>6.99</v>
      </c>
      <c r="L592" s="98" t="n">
        <v>22597.8</v>
      </c>
      <c r="M592" s="98" t="n">
        <v>3.96</v>
      </c>
      <c r="N592" s="98">
        <f>K592-I592</f>
        <v/>
      </c>
      <c r="O592" s="98" t="n">
        <v>21.55</v>
      </c>
      <c r="P592" s="98" t="n">
        <v>4.42</v>
      </c>
      <c r="Q592" s="97">
        <f>K592-P592</f>
        <v/>
      </c>
      <c r="R592" s="98" t="n">
        <v>104.83</v>
      </c>
      <c r="S592" s="98">
        <f>(O592*T592)</f>
        <v/>
      </c>
      <c r="T592" s="79" t="n">
        <v>6.87</v>
      </c>
      <c r="U592" s="98" t="n">
        <v>19469.35</v>
      </c>
      <c r="V592" s="98" t="n">
        <v>37.21</v>
      </c>
      <c r="W592" s="97">
        <f>U592/V592</f>
        <v/>
      </c>
      <c r="X592" s="97">
        <f>(W592/U592)*100</f>
        <v/>
      </c>
      <c r="Y592" s="97" t="n">
        <v>15847.05</v>
      </c>
      <c r="Z592" s="97" t="n">
        <v>27.92</v>
      </c>
      <c r="AA592" s="97">
        <f>Y592/Z592</f>
        <v/>
      </c>
      <c r="AB592" s="97">
        <f>(AA592/Y592)*100</f>
        <v/>
      </c>
    </row>
    <row r="593">
      <c r="A593" s="92" t="n">
        <v>592</v>
      </c>
      <c r="B593" s="102" t="n">
        <v>45435</v>
      </c>
      <c r="C593" s="103" t="n">
        <v>42034696.43</v>
      </c>
      <c r="D593" s="98">
        <f>C593/E593</f>
        <v/>
      </c>
      <c r="E593" s="98" t="n">
        <v>83.23999999999999</v>
      </c>
      <c r="F593" s="98">
        <f>D593/100000</f>
        <v/>
      </c>
      <c r="G593" s="97">
        <f>(F593/DataSheet!$C$11*100)</f>
        <v/>
      </c>
      <c r="H593" s="98">
        <f>K593/I593</f>
        <v/>
      </c>
      <c r="I593" s="98">
        <f>(J593/L593)*100</f>
        <v/>
      </c>
      <c r="J593" s="97">
        <f>L593/O593</f>
        <v/>
      </c>
      <c r="K593" s="98" t="n">
        <v>6.98</v>
      </c>
      <c r="L593" s="98" t="n">
        <v>22967.65</v>
      </c>
      <c r="M593" s="98" t="n">
        <v>4.03</v>
      </c>
      <c r="N593" s="98">
        <f>K593-I593</f>
        <v/>
      </c>
      <c r="O593" s="98" t="n">
        <v>21.9</v>
      </c>
      <c r="P593" s="98" t="n">
        <v>4.47</v>
      </c>
      <c r="Q593" s="97">
        <f>K593-P593</f>
        <v/>
      </c>
      <c r="R593" s="98" t="n">
        <v>105.03</v>
      </c>
      <c r="S593" s="98">
        <f>(O593*T593)</f>
        <v/>
      </c>
      <c r="T593" s="79" t="n">
        <v>6.87</v>
      </c>
      <c r="U593" s="98" t="n">
        <v>19562.55</v>
      </c>
      <c r="V593" s="98" t="n">
        <v>37.39</v>
      </c>
      <c r="W593" s="97">
        <f>U593/V593</f>
        <v/>
      </c>
      <c r="X593" s="97">
        <f>(W593/U593)*100</f>
        <v/>
      </c>
      <c r="Y593" s="97" t="n">
        <v>15885.85</v>
      </c>
      <c r="Z593" s="97" t="n">
        <v>27.99</v>
      </c>
      <c r="AA593" s="97">
        <f>Y593/Z593</f>
        <v/>
      </c>
      <c r="AB593" s="97">
        <f>(AA593/Y593)*100</f>
        <v/>
      </c>
    </row>
    <row r="594">
      <c r="A594" s="92" t="n">
        <v>593</v>
      </c>
      <c r="B594" s="99" t="n">
        <v>45436</v>
      </c>
      <c r="C594" s="103" t="n">
        <v>42012888.33</v>
      </c>
      <c r="D594" s="98">
        <f>C594/E594</f>
        <v/>
      </c>
      <c r="E594" s="98" t="n">
        <v>83.06</v>
      </c>
      <c r="F594" s="98">
        <f>D594/100000</f>
        <v/>
      </c>
      <c r="G594" s="97">
        <f>(F594/DataSheet!$C$11*100)</f>
        <v/>
      </c>
      <c r="H594" s="98">
        <f>K594/I594</f>
        <v/>
      </c>
      <c r="I594" s="98">
        <f>(J594/L594)*100</f>
        <v/>
      </c>
      <c r="J594" s="97">
        <f>L594/O594</f>
        <v/>
      </c>
      <c r="K594" s="98" t="n">
        <v>6.99</v>
      </c>
      <c r="L594" s="98" t="n">
        <v>22957.1</v>
      </c>
      <c r="M594" s="98" t="n">
        <v>4.03</v>
      </c>
      <c r="N594" s="98">
        <f>K594-I594</f>
        <v/>
      </c>
      <c r="O594" s="98" t="n">
        <v>21.88</v>
      </c>
      <c r="P594" s="98" t="n">
        <v>4.46</v>
      </c>
      <c r="Q594" s="97">
        <f>K594-P594</f>
        <v/>
      </c>
      <c r="R594" s="98" t="n">
        <v>104.63</v>
      </c>
      <c r="S594" s="98">
        <f>(O594*T594)</f>
        <v/>
      </c>
      <c r="T594" s="79" t="n">
        <v>6.88</v>
      </c>
      <c r="U594" s="98" t="n">
        <v>19553.15</v>
      </c>
      <c r="V594" s="98" t="n">
        <v>37.33</v>
      </c>
      <c r="W594" s="97">
        <f>U594/V594</f>
        <v/>
      </c>
      <c r="X594" s="97">
        <f>(W594/U594)*100</f>
        <v/>
      </c>
      <c r="Y594" s="97" t="n">
        <v>15865.65</v>
      </c>
      <c r="Z594" s="97" t="n">
        <v>27.98</v>
      </c>
      <c r="AA594" s="97">
        <f>Y594/Z594</f>
        <v/>
      </c>
      <c r="AB594" s="97">
        <f>(AA594/Y594)*100</f>
        <v/>
      </c>
    </row>
    <row r="595">
      <c r="A595" s="92" t="n">
        <v>594</v>
      </c>
      <c r="B595" s="102" t="n">
        <v>45439</v>
      </c>
      <c r="C595" s="103" t="n">
        <v>41997745.34</v>
      </c>
      <c r="D595" s="98">
        <f>C595/E595</f>
        <v/>
      </c>
      <c r="E595" s="98" t="n">
        <v>83.09999999999999</v>
      </c>
      <c r="F595" s="98">
        <f>D595/100000</f>
        <v/>
      </c>
      <c r="G595" s="97">
        <f>(F595/DataSheet!$C$11*100)</f>
        <v/>
      </c>
      <c r="H595" s="98">
        <f>K595/I595</f>
        <v/>
      </c>
      <c r="I595" s="98">
        <f>(J595/L595)*100</f>
        <v/>
      </c>
      <c r="J595" s="97">
        <f>L595/O595</f>
        <v/>
      </c>
      <c r="K595" s="98" t="n">
        <v>6.98</v>
      </c>
      <c r="L595" s="98" t="n">
        <v>22932.45</v>
      </c>
      <c r="M595" s="98" t="n">
        <v>4.02</v>
      </c>
      <c r="N595" s="98">
        <f>K595-I595</f>
        <v/>
      </c>
      <c r="O595" s="98" t="n">
        <v>21.85</v>
      </c>
      <c r="P595" s="98" t="n">
        <v>4.46</v>
      </c>
      <c r="Q595" s="97">
        <f>K595-P595</f>
        <v/>
      </c>
      <c r="R595" s="98" t="n">
        <v>104.63</v>
      </c>
      <c r="S595" s="98">
        <f>(O595*T595)</f>
        <v/>
      </c>
      <c r="T595" s="79" t="n">
        <v>6.91</v>
      </c>
      <c r="U595" s="98" t="n">
        <v>19625.9</v>
      </c>
      <c r="V595" s="98" t="n">
        <v>37.43</v>
      </c>
      <c r="W595" s="97">
        <f>U595/V595</f>
        <v/>
      </c>
      <c r="X595" s="97">
        <f>(W595/U595)*100</f>
        <v/>
      </c>
      <c r="Y595" s="97" t="n">
        <v>15935.55</v>
      </c>
      <c r="Z595" s="97" t="n">
        <v>28.08</v>
      </c>
      <c r="AA595" s="97">
        <f>Y595/Z595</f>
        <v/>
      </c>
      <c r="AB595" s="97">
        <f>(AA595/Y595)*100</f>
        <v/>
      </c>
    </row>
    <row r="596">
      <c r="A596" s="92" t="n">
        <v>595</v>
      </c>
      <c r="B596" s="99" t="n">
        <v>45440</v>
      </c>
      <c r="C596" s="103" t="n">
        <v>41704680.41</v>
      </c>
      <c r="D596" s="98">
        <f>C596/E596</f>
        <v/>
      </c>
      <c r="E596" s="98" t="n">
        <v>83.16</v>
      </c>
      <c r="F596" s="98">
        <f>D596/100000</f>
        <v/>
      </c>
      <c r="G596" s="97">
        <f>(F596/DataSheet!$C$11*100)</f>
        <v/>
      </c>
      <c r="H596" s="98">
        <f>K596/I596</f>
        <v/>
      </c>
      <c r="I596" s="98">
        <f>(J596/L596)*100</f>
        <v/>
      </c>
      <c r="J596" s="97">
        <f>L596/O596</f>
        <v/>
      </c>
      <c r="K596" s="98" t="n">
        <v>6.99</v>
      </c>
      <c r="L596" s="98" t="n">
        <v>22888.15</v>
      </c>
      <c r="M596" s="98" t="n">
        <v>4.01</v>
      </c>
      <c r="N596" s="98">
        <f>K596-I596</f>
        <v/>
      </c>
      <c r="O596" s="98" t="n">
        <v>21.74</v>
      </c>
      <c r="P596" s="98" t="n">
        <v>4.54</v>
      </c>
      <c r="Q596" s="97">
        <f>K596-P596</f>
        <v/>
      </c>
      <c r="R596" s="98" t="n">
        <v>104.53</v>
      </c>
      <c r="S596" s="98">
        <f>(O596*T596)</f>
        <v/>
      </c>
      <c r="T596" s="79" t="n">
        <v>6.91</v>
      </c>
      <c r="U596" s="98" t="n">
        <v>19474.95</v>
      </c>
      <c r="V596" s="98" t="n">
        <v>37.06</v>
      </c>
      <c r="W596" s="97">
        <f>U596/V596</f>
        <v/>
      </c>
      <c r="X596" s="97">
        <f>(W596/U596)*100</f>
        <v/>
      </c>
      <c r="Y596" s="97" t="n">
        <v>15773.05</v>
      </c>
      <c r="Z596" s="97" t="n">
        <v>28.05</v>
      </c>
      <c r="AA596" s="97">
        <f>Y596/Z596</f>
        <v/>
      </c>
      <c r="AB596" s="97">
        <f>(AA596/Y596)*100</f>
        <v/>
      </c>
    </row>
    <row r="597">
      <c r="A597" s="92" t="n">
        <v>596</v>
      </c>
      <c r="B597" s="99" t="n">
        <v>45441</v>
      </c>
      <c r="C597" s="103" t="n">
        <v>41520721.83</v>
      </c>
      <c r="D597" s="98">
        <f>C597/E597</f>
        <v/>
      </c>
      <c r="E597" s="98" t="n">
        <v>83.34</v>
      </c>
      <c r="F597" s="98">
        <f>D597/100000</f>
        <v/>
      </c>
      <c r="G597" s="97">
        <f>(F597/DataSheet!$C$11*100)</f>
        <v/>
      </c>
      <c r="H597" s="98">
        <f>K597/I597</f>
        <v/>
      </c>
      <c r="I597" s="98">
        <f>(J597/L597)*100</f>
        <v/>
      </c>
      <c r="J597" s="97">
        <f>L597/O597</f>
        <v/>
      </c>
      <c r="K597" s="98" t="n">
        <v>7</v>
      </c>
      <c r="L597" s="98" t="n">
        <v>22704.7</v>
      </c>
      <c r="M597" s="98" t="n">
        <v>3.98</v>
      </c>
      <c r="N597" s="98">
        <f>K597-I597</f>
        <v/>
      </c>
      <c r="O597" s="98" t="n">
        <v>21.57</v>
      </c>
      <c r="P597" s="98" t="n">
        <v>4.61</v>
      </c>
      <c r="Q597" s="97">
        <f>K597-P597</f>
        <v/>
      </c>
      <c r="R597" s="98" t="n">
        <v>105.03</v>
      </c>
      <c r="S597" s="98">
        <f>(O597*T597)</f>
        <v/>
      </c>
      <c r="T597" s="79" t="n">
        <v>6.9</v>
      </c>
      <c r="U597" s="98" t="n">
        <v>19421.2</v>
      </c>
      <c r="V597" s="98" t="n">
        <v>36.95</v>
      </c>
      <c r="W597" s="97">
        <f>U597/V597</f>
        <v/>
      </c>
      <c r="X597" s="97">
        <f>(W597/U597)*100</f>
        <v/>
      </c>
      <c r="Y597" s="97" t="n">
        <v>15786.2</v>
      </c>
      <c r="Z597" s="97" t="n">
        <v>27.96</v>
      </c>
      <c r="AA597" s="97">
        <f>Y597/Z597</f>
        <v/>
      </c>
      <c r="AB597" s="97">
        <f>(AA597/Y597)*100</f>
        <v/>
      </c>
    </row>
    <row r="598">
      <c r="A598" s="92" t="n">
        <v>597</v>
      </c>
      <c r="B598" s="99" t="n">
        <v>45442</v>
      </c>
      <c r="C598" s="103" t="n">
        <v>41044220.46</v>
      </c>
      <c r="D598" s="98">
        <f>C598/E598</f>
        <v/>
      </c>
      <c r="E598" s="98" t="n">
        <v>83.28</v>
      </c>
      <c r="F598" s="98">
        <f>D598/100000</f>
        <v/>
      </c>
      <c r="G598" s="97">
        <f>(F598/DataSheet!$C$11*100)</f>
        <v/>
      </c>
      <c r="H598" s="98">
        <f>K598/I598</f>
        <v/>
      </c>
      <c r="I598" s="98">
        <f>(J598/L598)*100</f>
        <v/>
      </c>
      <c r="J598" s="97">
        <f>L598/O598</f>
        <v/>
      </c>
      <c r="K598" s="98" t="n">
        <v>7</v>
      </c>
      <c r="L598" s="98" t="n">
        <v>22488.65</v>
      </c>
      <c r="M598" s="98" t="n">
        <v>3.94</v>
      </c>
      <c r="N598" s="98">
        <f>K598-I598</f>
        <v/>
      </c>
      <c r="O598" s="98" t="n">
        <v>21.36</v>
      </c>
      <c r="P598" s="98" t="n">
        <v>4.55</v>
      </c>
      <c r="Q598" s="97">
        <f>K598-P598</f>
        <v/>
      </c>
      <c r="R598" s="98" t="n">
        <v>104.65</v>
      </c>
      <c r="S598" s="98">
        <f>(O598*T598)</f>
        <v/>
      </c>
      <c r="T598" s="79" t="n">
        <v>6.88</v>
      </c>
      <c r="U598" s="98" t="n">
        <v>19196.7</v>
      </c>
      <c r="V598" s="98" t="n">
        <v>36.65</v>
      </c>
      <c r="W598" s="97">
        <f>U598/V598</f>
        <v/>
      </c>
      <c r="X598" s="97">
        <f>(W598/U598)*100</f>
        <v/>
      </c>
      <c r="Y598" s="97" t="n">
        <v>15551.95</v>
      </c>
      <c r="Z598" s="97" t="n">
        <v>27.58</v>
      </c>
      <c r="AA598" s="97">
        <f>Y598/Z598</f>
        <v/>
      </c>
      <c r="AB598" s="97">
        <f>(AA598/Y598)*100</f>
        <v/>
      </c>
    </row>
    <row r="599">
      <c r="A599" s="92" t="n">
        <v>598</v>
      </c>
      <c r="B599" s="102" t="n">
        <v>45443</v>
      </c>
      <c r="C599" s="103" t="n">
        <v>41220552.19</v>
      </c>
      <c r="D599" s="98">
        <f>C599/E599</f>
        <v/>
      </c>
      <c r="E599" s="98" t="n">
        <v>83.42</v>
      </c>
      <c r="F599" s="98">
        <f>D599/100000</f>
        <v/>
      </c>
      <c r="G599" s="97">
        <f>(F599/DataSheet!$C$11*100)</f>
        <v/>
      </c>
      <c r="H599" s="98">
        <f>K599/I599</f>
        <v/>
      </c>
      <c r="I599" s="98">
        <f>(J599/L599)*100</f>
        <v/>
      </c>
      <c r="J599" s="97">
        <f>L599/O599</f>
        <v/>
      </c>
      <c r="K599" s="98" t="n">
        <v>6.98</v>
      </c>
      <c r="L599" s="98" t="n">
        <v>22530.7</v>
      </c>
      <c r="M599" s="98" t="n">
        <v>3.95</v>
      </c>
      <c r="N599" s="98">
        <f>K599-I599</f>
        <v/>
      </c>
      <c r="O599" s="98" t="n">
        <v>21.4</v>
      </c>
      <c r="P599" s="98" t="n">
        <v>4.5</v>
      </c>
      <c r="Q599" s="97">
        <f>K599-P599</f>
        <v/>
      </c>
      <c r="R599" s="98" t="n">
        <v>104.62</v>
      </c>
      <c r="S599" s="98">
        <f>(O599*T599)</f>
        <v/>
      </c>
      <c r="T599" s="79" t="n">
        <v>6.89</v>
      </c>
      <c r="U599" s="98" t="n">
        <v>19308.75</v>
      </c>
      <c r="V599" s="98" t="n">
        <v>39.46</v>
      </c>
      <c r="W599" s="97">
        <f>U599/V599</f>
        <v/>
      </c>
      <c r="X599" s="97">
        <f>(W599/U599)*100</f>
        <v/>
      </c>
      <c r="Y599" s="97" t="n">
        <v>15626.65</v>
      </c>
      <c r="Z599" s="97" t="n">
        <v>27.72</v>
      </c>
      <c r="AA599" s="97">
        <f>Y599/Z599</f>
        <v/>
      </c>
      <c r="AB599" s="97">
        <f>(AA599/Y599)*100</f>
        <v/>
      </c>
    </row>
    <row r="600">
      <c r="A600" s="92" t="n">
        <v>599</v>
      </c>
      <c r="B600" s="99" t="n">
        <v>45446</v>
      </c>
      <c r="C600" s="103" t="n">
        <v>42587013.04</v>
      </c>
      <c r="D600" s="98">
        <f>C600/E600</f>
        <v/>
      </c>
      <c r="E600" s="98" t="n">
        <v>83.08</v>
      </c>
      <c r="F600" s="98">
        <f>D600/100000</f>
        <v/>
      </c>
      <c r="G600" s="97">
        <f>(F600/DataSheet!$C$11*100)</f>
        <v/>
      </c>
      <c r="H600" s="98">
        <f>K600/I600</f>
        <v/>
      </c>
      <c r="I600" s="98">
        <f>(J600/L600)*100</f>
        <v/>
      </c>
      <c r="J600" s="97">
        <f>L600/O600</f>
        <v/>
      </c>
      <c r="K600" s="98" t="n">
        <v>6.94</v>
      </c>
      <c r="L600" s="98" t="n">
        <v>23263.9</v>
      </c>
      <c r="M600" s="98" t="n">
        <v>4.08</v>
      </c>
      <c r="N600" s="98">
        <f>K600-I600</f>
        <v/>
      </c>
      <c r="O600" s="98" t="n">
        <v>22.13</v>
      </c>
      <c r="P600" s="98" t="n">
        <v>4.39</v>
      </c>
      <c r="Q600" s="97">
        <f>K600-P600</f>
        <v/>
      </c>
      <c r="R600" s="98" t="n">
        <v>104.07</v>
      </c>
      <c r="S600" s="98">
        <f>(O600*T600)</f>
        <v/>
      </c>
      <c r="T600" s="79" t="n">
        <v>6.89</v>
      </c>
      <c r="U600" s="98" t="n">
        <v>19889.85</v>
      </c>
      <c r="V600" s="98" t="n">
        <v>40.47</v>
      </c>
      <c r="W600" s="97">
        <f>U600/V600</f>
        <v/>
      </c>
      <c r="X600" s="97">
        <f>(W600/U600)*100</f>
        <v/>
      </c>
      <c r="Y600" s="97" t="n">
        <v>15948.75</v>
      </c>
      <c r="Z600" s="97" t="n">
        <v>28.25</v>
      </c>
      <c r="AA600" s="97">
        <f>Y600/Z600</f>
        <v/>
      </c>
      <c r="AB600" s="97">
        <f>(AA600/Y600)*100</f>
        <v/>
      </c>
    </row>
    <row r="601">
      <c r="A601" s="92" t="n">
        <v>600</v>
      </c>
      <c r="B601" s="102" t="n">
        <v>45447</v>
      </c>
      <c r="C601" s="103" t="n">
        <v>39481254.77</v>
      </c>
      <c r="D601" s="98">
        <f>C601/E601</f>
        <v/>
      </c>
      <c r="E601" s="98" t="n">
        <v>83.52</v>
      </c>
      <c r="F601" s="98">
        <f>D601/100000</f>
        <v/>
      </c>
      <c r="G601" s="97">
        <f>(F601/DataSheet!$C$11*100)</f>
        <v/>
      </c>
      <c r="H601" s="98">
        <f>K601/I601</f>
        <v/>
      </c>
      <c r="I601" s="98">
        <f>(J601/L601)*100</f>
        <v/>
      </c>
      <c r="J601" s="97">
        <f>L601/O601</f>
        <v/>
      </c>
      <c r="K601" s="98" t="n">
        <v>7.03</v>
      </c>
      <c r="L601" s="98" t="n">
        <v>21884.5</v>
      </c>
      <c r="M601" s="98" t="n">
        <v>3.84</v>
      </c>
      <c r="N601" s="98">
        <f>K601-I601</f>
        <v/>
      </c>
      <c r="O601" s="98" t="n">
        <v>20.81</v>
      </c>
      <c r="P601" s="98" t="n">
        <v>4.33</v>
      </c>
      <c r="Q601" s="97">
        <f>K601-P601</f>
        <v/>
      </c>
      <c r="R601" s="98" t="n">
        <v>104.05</v>
      </c>
      <c r="S601" s="98">
        <f>(O601*T601)</f>
        <v/>
      </c>
      <c r="T601" s="79" t="n">
        <v>6.89</v>
      </c>
      <c r="U601" s="98" t="n">
        <v>18476.25</v>
      </c>
      <c r="V601" s="98" t="n">
        <v>37.58</v>
      </c>
      <c r="W601" s="97">
        <f>U601/V601</f>
        <v/>
      </c>
      <c r="X601" s="97">
        <f>(W601/U601)*100</f>
        <v/>
      </c>
      <c r="Y601" s="97" t="n">
        <v>14761.1</v>
      </c>
      <c r="Z601" s="97" t="n">
        <v>26.36</v>
      </c>
      <c r="AA601" s="97">
        <f>Y601/Z601</f>
        <v/>
      </c>
      <c r="AB601" s="97">
        <f>(AA601/Y601)*100</f>
        <v/>
      </c>
    </row>
    <row r="602">
      <c r="A602" s="92" t="n">
        <v>601</v>
      </c>
      <c r="B602" s="99" t="n">
        <v>45448</v>
      </c>
      <c r="C602" s="103" t="n">
        <v>40808337.45</v>
      </c>
      <c r="D602" s="98">
        <f>C602/E602</f>
        <v/>
      </c>
      <c r="E602" s="98" t="n">
        <v>83.37</v>
      </c>
      <c r="F602" s="98">
        <f>D602/100000</f>
        <v/>
      </c>
      <c r="G602" s="97">
        <f>(F602/DataSheet!$C$11*100)</f>
        <v/>
      </c>
      <c r="H602" s="98">
        <f>K602/I602</f>
        <v/>
      </c>
      <c r="I602" s="98">
        <f>(J602/L602)*100</f>
        <v/>
      </c>
      <c r="J602" s="97">
        <f>L602/O602</f>
        <v/>
      </c>
      <c r="K602" s="98" t="n">
        <v>7.02</v>
      </c>
      <c r="L602" s="98" t="n">
        <v>22620.35</v>
      </c>
      <c r="M602" s="98" t="n">
        <v>3.97</v>
      </c>
      <c r="N602" s="98">
        <f>K602-I602</f>
        <v/>
      </c>
      <c r="O602" s="98" t="n">
        <v>21.51</v>
      </c>
      <c r="P602" s="98" t="n">
        <v>4.27</v>
      </c>
      <c r="Q602" s="97">
        <f>K602-P602</f>
        <v/>
      </c>
      <c r="R602" s="98" t="n">
        <v>104.22</v>
      </c>
      <c r="S602" s="98">
        <f>(O602*T602)</f>
        <v/>
      </c>
      <c r="T602" s="79" t="n">
        <v>6.87</v>
      </c>
      <c r="U602" s="98" t="n">
        <v>19189.8</v>
      </c>
      <c r="V602" s="98" t="n">
        <v>39.03</v>
      </c>
      <c r="W602" s="97">
        <f>U602/V602</f>
        <v/>
      </c>
      <c r="X602" s="97">
        <f>(W602/U602)*100</f>
        <v/>
      </c>
      <c r="Y602" s="97" t="n">
        <v>15250</v>
      </c>
      <c r="Z602" s="97" t="n">
        <v>27.25</v>
      </c>
      <c r="AA602" s="97">
        <f>Y602/Z602</f>
        <v/>
      </c>
      <c r="AB602" s="97">
        <f>(AA602/Y602)*100</f>
        <v/>
      </c>
    </row>
    <row r="603">
      <c r="A603" s="92" t="n">
        <v>602</v>
      </c>
      <c r="B603" s="99" t="n">
        <v>45449</v>
      </c>
      <c r="C603" s="103" t="n">
        <v>41593792.43</v>
      </c>
      <c r="D603" s="98">
        <f>C603/E603</f>
        <v/>
      </c>
      <c r="E603" s="98" t="n">
        <v>83.45999999999999</v>
      </c>
      <c r="F603" s="98">
        <f>D603/100000</f>
        <v/>
      </c>
      <c r="G603" s="97">
        <f>(F603/DataSheet!$C$11*100)</f>
        <v/>
      </c>
      <c r="H603" s="98">
        <f>K603/I603</f>
        <v/>
      </c>
      <c r="I603" s="98">
        <f>(J603/L603)*100</f>
        <v/>
      </c>
      <c r="J603" s="97">
        <f>L603/O603</f>
        <v/>
      </c>
      <c r="K603" s="98" t="n">
        <v>7.01</v>
      </c>
      <c r="L603" s="98" t="n">
        <v>22821.4</v>
      </c>
      <c r="M603" s="98" t="n">
        <v>4</v>
      </c>
      <c r="N603" s="98">
        <f>K603-I603</f>
        <v/>
      </c>
      <c r="O603" s="98" t="n">
        <v>21.71</v>
      </c>
      <c r="P603" s="98" t="n">
        <v>4.28</v>
      </c>
      <c r="Q603" s="97">
        <f>K603-P603</f>
        <v/>
      </c>
      <c r="R603" s="98" t="n">
        <v>104.05</v>
      </c>
      <c r="S603" s="98">
        <f>(O603*T603)</f>
        <v/>
      </c>
      <c r="T603" s="79" t="n">
        <v>6.88</v>
      </c>
      <c r="U603" s="98" t="n">
        <v>19607.2</v>
      </c>
      <c r="V603" s="98" t="n">
        <v>39.88</v>
      </c>
      <c r="W603" s="97">
        <f>U603/V603</f>
        <v/>
      </c>
      <c r="X603" s="97">
        <f>(W603/U603)*100</f>
        <v/>
      </c>
      <c r="Y603" s="97" t="n">
        <v>15745.9</v>
      </c>
      <c r="Z603" s="97" t="n">
        <v>28.08</v>
      </c>
      <c r="AA603" s="97">
        <f>Y603/Z603</f>
        <v/>
      </c>
      <c r="AB603" s="97">
        <f>(AA603/Y603)*100</f>
        <v/>
      </c>
    </row>
    <row r="604">
      <c r="A604" s="92" t="n">
        <v>603</v>
      </c>
      <c r="B604" s="99" t="n">
        <v>45450</v>
      </c>
      <c r="C604" s="103" t="n">
        <v>42362278.53</v>
      </c>
      <c r="D604" s="98">
        <f>C604/E604</f>
        <v/>
      </c>
      <c r="E604" s="98" t="n">
        <v>83.52</v>
      </c>
      <c r="F604" s="98">
        <f>D604/100000</f>
        <v/>
      </c>
      <c r="G604" s="97">
        <f>(F604/DataSheet!$C$11*100)</f>
        <v/>
      </c>
      <c r="H604" s="98">
        <f>K604/I604</f>
        <v/>
      </c>
      <c r="I604" s="98">
        <f>(J604/L604)*100</f>
        <v/>
      </c>
      <c r="J604" s="97">
        <f>L604/O604</f>
        <v/>
      </c>
      <c r="K604" s="98" t="n">
        <v>7.01</v>
      </c>
      <c r="L604" s="98" t="n">
        <v>23290.15</v>
      </c>
      <c r="M604" s="98" t="n">
        <v>4.08</v>
      </c>
      <c r="N604" s="98">
        <f>K604-I604</f>
        <v/>
      </c>
      <c r="O604" s="98" t="n">
        <v>22.15</v>
      </c>
      <c r="P604" s="98" t="n">
        <v>4.43</v>
      </c>
      <c r="Q604" s="97">
        <f>K604-P604</f>
        <v/>
      </c>
      <c r="R604" s="98" t="n">
        <v>104.85</v>
      </c>
      <c r="S604" s="98">
        <f>(O604*T604)</f>
        <v/>
      </c>
      <c r="T604" s="79" t="n">
        <v>6.88</v>
      </c>
      <c r="U604" s="98" t="n">
        <v>19884.25</v>
      </c>
      <c r="V604" s="98" t="n">
        <v>40.44</v>
      </c>
      <c r="W604" s="97">
        <f>U604/V604</f>
        <v/>
      </c>
      <c r="X604" s="97">
        <f>(W604/U604)*100</f>
        <v/>
      </c>
      <c r="Y604" s="97" t="n">
        <v>16100</v>
      </c>
      <c r="Z604" s="97" t="n">
        <v>28.68</v>
      </c>
      <c r="AA604" s="97">
        <f>Y604/Z604</f>
        <v/>
      </c>
      <c r="AB604" s="97">
        <f>(AA604/Y604)*100</f>
        <v/>
      </c>
    </row>
    <row r="605">
      <c r="A605" s="92" t="n">
        <v>604</v>
      </c>
      <c r="B605" s="99" t="n">
        <v>45453</v>
      </c>
      <c r="C605" s="103" t="n">
        <v>42532403.08</v>
      </c>
      <c r="D605" s="98">
        <f>C605/E605</f>
        <v/>
      </c>
      <c r="E605" s="98" t="n">
        <v>83.5</v>
      </c>
      <c r="F605" s="98">
        <f>D605/100000</f>
        <v/>
      </c>
      <c r="G605" s="97">
        <f>(F605/DataSheet!$C$11*100)</f>
        <v/>
      </c>
      <c r="H605" s="98">
        <f>K605/I605</f>
        <v/>
      </c>
      <c r="I605" s="98">
        <f>(J605/L605)*100</f>
        <v/>
      </c>
      <c r="J605" s="97">
        <f>L605/O605</f>
        <v/>
      </c>
      <c r="K605" s="98" t="n">
        <v>7.03</v>
      </c>
      <c r="L605" s="98" t="n">
        <v>23259.2</v>
      </c>
      <c r="M605" s="98" t="n">
        <v>4.08</v>
      </c>
      <c r="N605" s="98">
        <f>K605-I605</f>
        <v/>
      </c>
      <c r="O605" s="98" t="n">
        <v>22.12</v>
      </c>
      <c r="P605" s="98" t="n">
        <v>4.47</v>
      </c>
      <c r="Q605" s="97">
        <f>K605-P605</f>
        <v/>
      </c>
      <c r="R605" s="98" t="n">
        <v>105.11</v>
      </c>
      <c r="S605" s="98">
        <f>(O605*T605)</f>
        <v/>
      </c>
      <c r="T605" s="79" t="n">
        <v>6.88</v>
      </c>
      <c r="U605" s="98" t="n">
        <v>19956.65</v>
      </c>
      <c r="V605" s="98" t="n">
        <v>40.55</v>
      </c>
      <c r="W605" s="97">
        <f>U605/V605</f>
        <v/>
      </c>
      <c r="X605" s="97">
        <f>(W605/U605)*100</f>
        <v/>
      </c>
      <c r="Y605" s="97" t="n">
        <v>16312.5</v>
      </c>
      <c r="Z605" s="97" t="n">
        <v>29.06</v>
      </c>
      <c r="AA605" s="97">
        <f>Y605/Z605</f>
        <v/>
      </c>
      <c r="AB605" s="97">
        <f>(AA605/Y605)*100</f>
        <v/>
      </c>
    </row>
    <row r="606">
      <c r="A606" s="92" t="n">
        <v>605</v>
      </c>
      <c r="B606" s="99" t="n">
        <v>45454</v>
      </c>
      <c r="C606" s="103" t="n">
        <v>42707122.5</v>
      </c>
      <c r="D606" s="98">
        <f>C606/E606</f>
        <v/>
      </c>
      <c r="E606" s="98" t="n">
        <v>83.59999999999999</v>
      </c>
      <c r="F606" s="98">
        <f>D606/100000</f>
        <v/>
      </c>
      <c r="G606" s="97">
        <f>(F606/DataSheet!$C$11*100)</f>
        <v/>
      </c>
      <c r="H606" s="98">
        <f>K606/I606</f>
        <v/>
      </c>
      <c r="I606" s="98">
        <f>(J606/L606)*100</f>
        <v/>
      </c>
      <c r="J606" s="97">
        <f>L606/O606</f>
        <v/>
      </c>
      <c r="K606" s="98" t="n">
        <v>7.01</v>
      </c>
      <c r="L606" s="98" t="n">
        <v>23264.85</v>
      </c>
      <c r="M606" s="98" t="n">
        <v>4.08</v>
      </c>
      <c r="N606" s="98">
        <f>K606-I606</f>
        <v/>
      </c>
      <c r="O606" s="98" t="n">
        <v>22.13</v>
      </c>
      <c r="P606" s="98" t="n">
        <v>4.4</v>
      </c>
      <c r="Q606" s="97">
        <f>K606-P606</f>
        <v/>
      </c>
      <c r="R606" s="98" t="n">
        <v>105.19</v>
      </c>
      <c r="S606" s="98">
        <f>(O606*T606)</f>
        <v/>
      </c>
      <c r="T606" s="79" t="n">
        <v>6.88</v>
      </c>
      <c r="U606" s="98" t="n">
        <v>20119.55</v>
      </c>
      <c r="V606" s="98" t="n">
        <v>40.88</v>
      </c>
      <c r="W606" s="97">
        <f>U606/V606</f>
        <v/>
      </c>
      <c r="X606" s="97">
        <f>(W606/U606)*100</f>
        <v/>
      </c>
      <c r="Y606" s="97" t="n">
        <v>16413.65</v>
      </c>
      <c r="Z606" s="97" t="n">
        <v>29.24</v>
      </c>
      <c r="AA606" s="97">
        <f>Y606/Z606</f>
        <v/>
      </c>
      <c r="AB606" s="97">
        <f>(AA606/Y606)*100</f>
        <v/>
      </c>
    </row>
    <row r="607">
      <c r="A607" s="92" t="n">
        <v>606</v>
      </c>
      <c r="B607" s="102" t="n">
        <v>45455</v>
      </c>
      <c r="C607" s="103" t="n">
        <v>42951615.61</v>
      </c>
      <c r="D607" s="98">
        <f>C607/E607</f>
        <v/>
      </c>
      <c r="E607" s="98" t="n">
        <v>83.43000000000001</v>
      </c>
      <c r="F607" s="98">
        <f>D607/100000</f>
        <v/>
      </c>
      <c r="G607" s="97">
        <f>(F607/DataSheet!$C$11*100)</f>
        <v/>
      </c>
      <c r="H607" s="98">
        <f>K607/I607</f>
        <v/>
      </c>
      <c r="I607" s="98">
        <f>(J607/L607)*100</f>
        <v/>
      </c>
      <c r="J607" s="97">
        <f>L607/O607</f>
        <v/>
      </c>
      <c r="K607" s="98" t="n">
        <v>6.98</v>
      </c>
      <c r="L607" s="98" t="n">
        <v>23322.95</v>
      </c>
      <c r="M607" s="98" t="n">
        <v>4.09</v>
      </c>
      <c r="N607" s="98">
        <f>K607-I607</f>
        <v/>
      </c>
      <c r="O607" s="98" t="n">
        <v>22.18</v>
      </c>
      <c r="P607" s="98" t="n">
        <v>4.31</v>
      </c>
      <c r="Q607" s="97">
        <f>K607-P607</f>
        <v/>
      </c>
      <c r="R607" s="98" t="n">
        <v>104.61</v>
      </c>
      <c r="S607" s="98">
        <f>(O607*T607)</f>
        <v/>
      </c>
      <c r="T607" s="79" t="n">
        <v>6.88</v>
      </c>
      <c r="U607" s="98" t="n">
        <v>20321.2</v>
      </c>
      <c r="V607" s="98" t="n">
        <v>41.29</v>
      </c>
      <c r="W607" s="97">
        <f>U607/V607</f>
        <v/>
      </c>
      <c r="X607" s="97">
        <f>(W607/U607)*100</f>
        <v/>
      </c>
      <c r="Y607" s="97" t="n">
        <v>16567.7</v>
      </c>
      <c r="Z607" s="97" t="n">
        <v>29.52</v>
      </c>
      <c r="AA607" s="97">
        <f>Y607/Z607</f>
        <v/>
      </c>
      <c r="AB607" s="97">
        <f>(AA607/Y607)*100</f>
        <v/>
      </c>
    </row>
    <row r="608">
      <c r="A608" s="92" t="n">
        <v>607</v>
      </c>
      <c r="B608" s="99" t="n">
        <v>45456</v>
      </c>
      <c r="C608" s="103" t="n">
        <v>43190115.96</v>
      </c>
      <c r="D608" s="98">
        <f>C608/E608</f>
        <v/>
      </c>
      <c r="E608" s="98" t="n">
        <v>83.54000000000001</v>
      </c>
      <c r="F608" s="98">
        <f>D608/100000</f>
        <v/>
      </c>
      <c r="G608" s="97">
        <f>(F608/DataSheet!$C$11*100)</f>
        <v/>
      </c>
      <c r="H608" s="98">
        <f>K608/I608</f>
        <v/>
      </c>
      <c r="I608" s="98">
        <f>(J608/L608)*100</f>
        <v/>
      </c>
      <c r="J608" s="97">
        <f>L608/O608</f>
        <v/>
      </c>
      <c r="K608" s="98" t="n">
        <v>6.98</v>
      </c>
      <c r="L608" s="98" t="n">
        <v>23398.9</v>
      </c>
      <c r="M608" s="98" t="n">
        <v>4.06</v>
      </c>
      <c r="N608" s="98">
        <f>K608-I608</f>
        <v/>
      </c>
      <c r="O608" s="98" t="n">
        <v>22.25</v>
      </c>
      <c r="P608" s="98" t="n">
        <v>4.24</v>
      </c>
      <c r="Q608" s="97">
        <f>K608-P608</f>
        <v/>
      </c>
      <c r="R608" s="98" t="n">
        <v>105.18</v>
      </c>
      <c r="S608" s="98">
        <f>(O608*T608)</f>
        <v/>
      </c>
      <c r="T608" s="79" t="n">
        <v>6.86</v>
      </c>
      <c r="U608" s="98" t="n">
        <v>20480.05</v>
      </c>
      <c r="V608" s="98" t="n">
        <v>41.6</v>
      </c>
      <c r="W608" s="97">
        <f>U608/V608</f>
        <v/>
      </c>
      <c r="X608" s="97">
        <f>(W608/U608)*100</f>
        <v/>
      </c>
      <c r="Y608" s="97" t="n">
        <v>16701.65</v>
      </c>
      <c r="Z608" s="97" t="n">
        <v>29.76</v>
      </c>
      <c r="AA608" s="97">
        <f>Y608/Z608</f>
        <v/>
      </c>
      <c r="AB608" s="97">
        <f>(AA608/Y608)*100</f>
        <v/>
      </c>
    </row>
    <row r="609">
      <c r="A609" s="92" t="n">
        <v>608</v>
      </c>
      <c r="B609" s="99" t="n">
        <v>45457</v>
      </c>
      <c r="C609" s="103" t="n">
        <v>43513560.25</v>
      </c>
      <c r="D609" s="98">
        <f>C609/E609</f>
        <v/>
      </c>
      <c r="E609" s="98" t="n">
        <v>83.54000000000001</v>
      </c>
      <c r="F609" s="98">
        <f>D609/100000</f>
        <v/>
      </c>
      <c r="G609" s="97">
        <f>(F609/DataSheet!$C$11*100)</f>
        <v/>
      </c>
      <c r="H609" s="98">
        <f>K609/I609</f>
        <v/>
      </c>
      <c r="I609" s="98">
        <f>(J609/L609)*100</f>
        <v/>
      </c>
      <c r="J609" s="97">
        <f>L609/O609</f>
        <v/>
      </c>
      <c r="K609" s="98" t="n">
        <v>6.98</v>
      </c>
      <c r="L609" s="98" t="n">
        <v>23465.6</v>
      </c>
      <c r="M609" s="98" t="n">
        <v>4.07</v>
      </c>
      <c r="N609" s="98">
        <f>K609-I609</f>
        <v/>
      </c>
      <c r="O609" s="98" t="n">
        <v>22.32</v>
      </c>
      <c r="P609" s="98" t="n">
        <v>4.22</v>
      </c>
      <c r="Q609" s="97">
        <f>K609-P609</f>
        <v/>
      </c>
      <c r="R609" s="98" t="n">
        <v>105.54</v>
      </c>
      <c r="S609" s="98">
        <f>(O609*T609)</f>
        <v/>
      </c>
      <c r="T609" s="79" t="n">
        <v>6.85</v>
      </c>
      <c r="U609" s="98" t="n">
        <v>20698.25</v>
      </c>
      <c r="V609" s="98" t="n">
        <v>42.04</v>
      </c>
      <c r="W609" s="97">
        <f>U609/V609</f>
        <v/>
      </c>
      <c r="X609" s="97">
        <f>(W609/U609)*100</f>
        <v/>
      </c>
      <c r="Y609" s="97" t="n">
        <v>16845.55</v>
      </c>
      <c r="Z609" s="97" t="n">
        <v>30.01</v>
      </c>
      <c r="AA609" s="97">
        <f>Y609/Z609</f>
        <v/>
      </c>
      <c r="AB609" s="97">
        <f>(AA609/Y609)*100</f>
        <v/>
      </c>
    </row>
    <row r="610">
      <c r="A610" s="92" t="n">
        <v>609</v>
      </c>
      <c r="B610" s="99" t="n">
        <v>45461</v>
      </c>
      <c r="C610" s="103" t="n">
        <v>43742181.18</v>
      </c>
      <c r="D610" s="98">
        <f>C610/E610</f>
        <v/>
      </c>
      <c r="E610" s="98" t="n">
        <v>83.33</v>
      </c>
      <c r="F610" s="98">
        <f>D610/100000</f>
        <v/>
      </c>
      <c r="G610" s="97">
        <f>(F610/DataSheet!$C$11*100)</f>
        <v/>
      </c>
      <c r="H610" s="98">
        <f>K610/I610</f>
        <v/>
      </c>
      <c r="I610" s="98">
        <f>(J610/L610)*100</f>
        <v/>
      </c>
      <c r="J610" s="97">
        <f>L610/O610</f>
        <v/>
      </c>
      <c r="K610" s="98" t="n">
        <v>6.98</v>
      </c>
      <c r="L610" s="98" t="n">
        <v>23557.9</v>
      </c>
      <c r="M610" s="98" t="n">
        <v>4.08</v>
      </c>
      <c r="N610" s="98">
        <f>K610-I610</f>
        <v/>
      </c>
      <c r="O610" s="98" t="n">
        <v>22.4</v>
      </c>
      <c r="P610" s="98" t="n">
        <v>4.21</v>
      </c>
      <c r="Q610" s="97">
        <f>K610-P610</f>
        <v/>
      </c>
      <c r="R610" s="98" t="n">
        <v>104.87</v>
      </c>
      <c r="S610" s="98">
        <f>(O610*T610)</f>
        <v/>
      </c>
      <c r="T610" s="79" t="n">
        <v>6.86</v>
      </c>
      <c r="U610" s="98" t="n">
        <v>20809.75</v>
      </c>
      <c r="V610" s="98" t="n">
        <v>42.27</v>
      </c>
      <c r="W610" s="97">
        <f>U610/V610</f>
        <v/>
      </c>
      <c r="X610" s="97">
        <f>(W610/U610)*100</f>
        <v/>
      </c>
      <c r="Y610" s="97" t="n">
        <v>17007.85</v>
      </c>
      <c r="Z610" s="97" t="n">
        <v>30.31</v>
      </c>
      <c r="AA610" s="97">
        <f>Y610/Z610</f>
        <v/>
      </c>
      <c r="AB610" s="97">
        <f>(AA610/Y610)*100</f>
        <v/>
      </c>
    </row>
    <row r="611">
      <c r="A611" s="92" t="n">
        <v>610</v>
      </c>
      <c r="B611" s="99" t="n">
        <v>45462</v>
      </c>
      <c r="C611" s="103" t="n">
        <v>43423245.43</v>
      </c>
      <c r="D611" s="98">
        <f>C611/E611</f>
        <v/>
      </c>
      <c r="E611" s="98" t="n">
        <v>83.45999999999999</v>
      </c>
      <c r="F611" s="98">
        <f>D611/100000</f>
        <v/>
      </c>
      <c r="G611" s="97">
        <f>(F611/DataSheet!$C$11*100)</f>
        <v/>
      </c>
      <c r="H611" s="98">
        <f>K611/I611</f>
        <v/>
      </c>
      <c r="I611" s="98">
        <f>(J611/L611)*100</f>
        <v/>
      </c>
      <c r="J611" s="97">
        <f>L611/O611</f>
        <v/>
      </c>
      <c r="K611" s="98" t="n">
        <v>6.97</v>
      </c>
      <c r="L611" s="98" t="n">
        <v>23516</v>
      </c>
      <c r="M611" s="98" t="n">
        <v>4.08</v>
      </c>
      <c r="N611" s="98">
        <f>K611-I611</f>
        <v/>
      </c>
      <c r="O611" s="98" t="n">
        <v>22.36</v>
      </c>
      <c r="P611" s="98" t="n">
        <v>4.23</v>
      </c>
      <c r="Q611" s="97">
        <f>K611-P611</f>
        <v/>
      </c>
      <c r="R611" s="98" t="n">
        <v>104.87</v>
      </c>
      <c r="S611" s="98">
        <f>(O611*T611)</f>
        <v/>
      </c>
      <c r="T611" s="79" t="n">
        <v>6.87</v>
      </c>
      <c r="U611" s="98" t="n">
        <v>20591.65</v>
      </c>
      <c r="V611" s="98" t="n">
        <v>41.82</v>
      </c>
      <c r="W611" s="97">
        <f>U611/V611</f>
        <v/>
      </c>
      <c r="X611" s="97">
        <f>(W611/U611)*100</f>
        <v/>
      </c>
      <c r="Y611" s="97" t="n">
        <v>16942.8</v>
      </c>
      <c r="Z611" s="97" t="n">
        <v>30.15</v>
      </c>
      <c r="AA611" s="97">
        <f>Y611/Z611</f>
        <v/>
      </c>
      <c r="AB611" s="97">
        <f>(AA611/Y611)*100</f>
        <v/>
      </c>
    </row>
    <row r="612">
      <c r="A612" s="92" t="n">
        <v>611</v>
      </c>
      <c r="B612" s="102" t="n">
        <v>45463</v>
      </c>
      <c r="C612" s="103" t="n">
        <v>43602241.6</v>
      </c>
      <c r="D612" s="98">
        <f>C612/E612</f>
        <v/>
      </c>
      <c r="E612" s="98" t="n">
        <v>83.62</v>
      </c>
      <c r="F612" s="98">
        <f>D612/100000</f>
        <v/>
      </c>
      <c r="G612" s="97">
        <f>(F612/DataSheet!$C$11*100)</f>
        <v/>
      </c>
      <c r="H612" s="98">
        <f>K612/I612</f>
        <v/>
      </c>
      <c r="I612" s="98">
        <f>(J612/L612)*100</f>
        <v/>
      </c>
      <c r="J612" s="97">
        <f>L612/O612</f>
        <v/>
      </c>
      <c r="K612" s="98" t="n">
        <v>6.97</v>
      </c>
      <c r="L612" s="98" t="n">
        <v>23567</v>
      </c>
      <c r="M612" s="98" t="n">
        <v>4.05</v>
      </c>
      <c r="N612" s="98">
        <f>K612-I612</f>
        <v/>
      </c>
      <c r="O612" s="98" t="n">
        <v>22.41</v>
      </c>
      <c r="P612" s="98" t="n">
        <v>4.26</v>
      </c>
      <c r="Q612" s="97">
        <f>K612-P612</f>
        <v/>
      </c>
      <c r="R612" s="98" t="n">
        <v>105.22</v>
      </c>
      <c r="S612" s="98">
        <f>(O612*T612)</f>
        <v/>
      </c>
      <c r="T612" s="79" t="n">
        <v>6.83</v>
      </c>
      <c r="U612" s="98" t="n">
        <v>20766.7</v>
      </c>
      <c r="V612" s="98" t="n">
        <v>42.18</v>
      </c>
      <c r="W612" s="97">
        <f>U612/V612</f>
        <v/>
      </c>
      <c r="X612" s="97">
        <f>(W612/U612)*100</f>
        <v/>
      </c>
      <c r="Y612" s="97" t="n">
        <v>17054</v>
      </c>
      <c r="Z612" s="97" t="n">
        <v>30.35</v>
      </c>
      <c r="AA612" s="97">
        <f>Y612/Z612</f>
        <v/>
      </c>
      <c r="AB612" s="97">
        <f>(AA612/Y612)*100</f>
        <v/>
      </c>
    </row>
    <row r="613">
      <c r="A613" s="92" t="n">
        <v>612</v>
      </c>
      <c r="B613" s="99" t="n">
        <v>45464</v>
      </c>
      <c r="C613" s="103" t="n">
        <v>43480399.44</v>
      </c>
      <c r="D613" s="98">
        <f>C613/E613</f>
        <v/>
      </c>
      <c r="E613" s="98" t="n">
        <v>83.55</v>
      </c>
      <c r="F613" s="98">
        <f>D613/100000</f>
        <v/>
      </c>
      <c r="G613" s="97">
        <f>(F613/DataSheet!$C$11*100)</f>
        <v/>
      </c>
      <c r="H613" s="98">
        <f>K613/I613</f>
        <v/>
      </c>
      <c r="I613" s="98">
        <f>(J613/L613)*100</f>
        <v/>
      </c>
      <c r="J613" s="97">
        <f>L613/O613</f>
        <v/>
      </c>
      <c r="K613" s="98" t="n">
        <v>6.97</v>
      </c>
      <c r="L613" s="98" t="n">
        <v>23501.1</v>
      </c>
      <c r="M613" s="98" t="n">
        <v>4.04</v>
      </c>
      <c r="N613" s="98">
        <f>K613-I613</f>
        <v/>
      </c>
      <c r="O613" s="98" t="n">
        <v>22.34</v>
      </c>
      <c r="P613" s="98" t="n">
        <v>4.25</v>
      </c>
      <c r="Q613" s="97">
        <f>K613-P613</f>
        <v/>
      </c>
      <c r="R613" s="98" t="n">
        <v>105.44</v>
      </c>
      <c r="S613" s="98">
        <f>(O613*T613)</f>
        <v/>
      </c>
      <c r="T613" s="79" t="n">
        <v>6.83</v>
      </c>
      <c r="U613" s="98" t="n">
        <v>20735.25</v>
      </c>
      <c r="V613" s="98" t="n">
        <v>42.11</v>
      </c>
      <c r="W613" s="97">
        <f>U613/V613</f>
        <v/>
      </c>
      <c r="X613" s="97">
        <f>(W613/U613)*100</f>
        <v/>
      </c>
      <c r="Y613" s="97" t="n">
        <v>17046.55</v>
      </c>
      <c r="Z613" s="97" t="n">
        <v>30.33</v>
      </c>
      <c r="AA613" s="97">
        <f>Y613/Z613</f>
        <v/>
      </c>
      <c r="AB613" s="97">
        <f>(AA613/Y613)*100</f>
        <v/>
      </c>
    </row>
    <row r="614">
      <c r="A614" s="92" t="n">
        <v>613</v>
      </c>
      <c r="B614" s="102" t="n">
        <v>45467</v>
      </c>
      <c r="C614" s="103" t="n">
        <v>43580375.93</v>
      </c>
      <c r="D614" s="98">
        <f>C614/E614</f>
        <v/>
      </c>
      <c r="E614" s="98" t="n">
        <v>83.45</v>
      </c>
      <c r="F614" s="98">
        <f>D614/100000</f>
        <v/>
      </c>
      <c r="G614" s="97">
        <f>(F614/DataSheet!$C$11*100)</f>
        <v/>
      </c>
      <c r="H614" s="98">
        <f>K614/I614</f>
        <v/>
      </c>
      <c r="I614" s="98">
        <f>(J614/L614)*100</f>
        <v/>
      </c>
      <c r="J614" s="97">
        <f>L614/O614</f>
        <v/>
      </c>
      <c r="K614" s="98" t="n">
        <v>6.97</v>
      </c>
      <c r="L614" s="98" t="n">
        <v>23537.85</v>
      </c>
      <c r="M614" s="98" t="n">
        <v>4.05</v>
      </c>
      <c r="N614" s="98">
        <f>K614-I614</f>
        <v/>
      </c>
      <c r="O614" s="98" t="n">
        <v>22.38</v>
      </c>
      <c r="P614" s="98" t="n">
        <v>4.23</v>
      </c>
      <c r="Q614" s="97">
        <f>K614-P614</f>
        <v/>
      </c>
      <c r="R614" s="98" t="n">
        <v>105.12</v>
      </c>
      <c r="S614" s="98">
        <f>(O614*T614)</f>
        <v/>
      </c>
      <c r="T614" s="79" t="n">
        <v>6.83</v>
      </c>
      <c r="U614" s="98" t="n">
        <v>20784</v>
      </c>
      <c r="V614" s="98" t="n">
        <v>42.21</v>
      </c>
      <c r="W614" s="97">
        <f>U614/V614</f>
        <v/>
      </c>
      <c r="X614" s="97">
        <f>(W614/U614)*100</f>
        <v/>
      </c>
      <c r="Y614" s="97" t="n">
        <v>17048.15</v>
      </c>
      <c r="Z614" s="97" t="n">
        <v>30.34</v>
      </c>
      <c r="AA614" s="97">
        <f>Y614/Z614</f>
        <v/>
      </c>
      <c r="AB614" s="97">
        <f>(AA614/Y614)*100</f>
        <v/>
      </c>
    </row>
    <row r="615">
      <c r="A615" s="92" t="n">
        <v>614</v>
      </c>
      <c r="B615" s="99" t="n">
        <v>45468</v>
      </c>
      <c r="C615" s="103" t="n">
        <v>43606749.49</v>
      </c>
      <c r="D615" s="98">
        <f>C615/E615</f>
        <v/>
      </c>
      <c r="E615" s="98" t="n">
        <v>83.40000000000001</v>
      </c>
      <c r="F615" s="98">
        <f>D615/100000</f>
        <v/>
      </c>
      <c r="G615" s="97">
        <f>(F615/DataSheet!$C$11*100)</f>
        <v/>
      </c>
      <c r="H615" s="98">
        <f>K615/I615</f>
        <v/>
      </c>
      <c r="I615" s="98">
        <f>(J615/L615)*100</f>
        <v/>
      </c>
      <c r="J615" s="97">
        <f>L615/O615</f>
        <v/>
      </c>
      <c r="K615" s="98" t="n">
        <v>6.98</v>
      </c>
      <c r="L615" s="98" t="n">
        <v>23721.3</v>
      </c>
      <c r="M615" s="98" t="n">
        <v>4.08</v>
      </c>
      <c r="N615" s="98">
        <f>K615-I615</f>
        <v/>
      </c>
      <c r="O615" s="98" t="n">
        <v>22.55</v>
      </c>
      <c r="P615" s="98" t="n">
        <v>4.24</v>
      </c>
      <c r="Q615" s="97">
        <f>K615-P615</f>
        <v/>
      </c>
      <c r="R615" s="98" t="n">
        <v>105.25</v>
      </c>
      <c r="S615" s="98">
        <f>(O615*T615)</f>
        <v/>
      </c>
      <c r="T615" s="79" t="n">
        <v>6.84</v>
      </c>
      <c r="U615" s="98" t="n">
        <v>20734.55</v>
      </c>
      <c r="V615" s="98" t="n">
        <v>42.11</v>
      </c>
      <c r="W615" s="97">
        <f>U615/V615</f>
        <v/>
      </c>
      <c r="X615" s="97">
        <f>(W615/U615)*100</f>
        <v/>
      </c>
      <c r="Y615" s="97" t="n">
        <v>17059.7</v>
      </c>
      <c r="Z615" s="97" t="n">
        <v>30.36</v>
      </c>
      <c r="AA615" s="97">
        <f>Y615/Z615</f>
        <v/>
      </c>
      <c r="AB615" s="97">
        <f>(AA615/Y615)*100</f>
        <v/>
      </c>
    </row>
    <row r="616">
      <c r="A616" s="92" t="n">
        <v>615</v>
      </c>
      <c r="B616" s="99" t="n">
        <v>45469</v>
      </c>
      <c r="C616" s="103" t="n">
        <v>43733308.06</v>
      </c>
      <c r="D616" s="98">
        <f>C616/E616</f>
        <v/>
      </c>
      <c r="E616" s="98" t="n">
        <v>83.56</v>
      </c>
      <c r="F616" s="98">
        <f>D616/100000</f>
        <v/>
      </c>
      <c r="G616" s="97">
        <f>(F616/DataSheet!$C$11*100)</f>
        <v/>
      </c>
      <c r="H616" s="98">
        <f>K616/I616</f>
        <v/>
      </c>
      <c r="I616" s="98">
        <f>(J616/L616)*100</f>
        <v/>
      </c>
      <c r="J616" s="97">
        <f>L616/O616</f>
        <v/>
      </c>
      <c r="K616" s="98" t="n">
        <v>6.99</v>
      </c>
      <c r="L616" s="98" t="n">
        <v>23868.8</v>
      </c>
      <c r="M616" s="98" t="n">
        <v>4.1</v>
      </c>
      <c r="N616" s="98">
        <f>K616-I616</f>
        <v/>
      </c>
      <c r="O616" s="98" t="n">
        <v>22.69</v>
      </c>
      <c r="P616" s="98" t="n">
        <v>4.32</v>
      </c>
      <c r="Q616" s="97">
        <f>K616-P616</f>
        <v/>
      </c>
      <c r="R616" s="98" t="n">
        <v>105.71</v>
      </c>
      <c r="S616" s="98">
        <f>(O616*T616)</f>
        <v/>
      </c>
      <c r="T616" s="79" t="n">
        <v>6.84</v>
      </c>
      <c r="U616" s="98" t="n">
        <v>20680.7</v>
      </c>
      <c r="V616" s="98" t="n">
        <v>42</v>
      </c>
      <c r="W616" s="97">
        <f>U616/V616</f>
        <v/>
      </c>
      <c r="X616" s="97">
        <f>(W616/U616)*100</f>
        <v/>
      </c>
      <c r="Y616" s="97" t="n">
        <v>17095.7</v>
      </c>
      <c r="Z616" s="97" t="n">
        <v>30.42</v>
      </c>
      <c r="AA616" s="97">
        <f>Y616/Z616</f>
        <v/>
      </c>
      <c r="AB616" s="97">
        <f>(AA616/Y616)*100</f>
        <v/>
      </c>
    </row>
    <row r="617">
      <c r="A617" s="92" t="n">
        <v>616</v>
      </c>
      <c r="B617" s="99" t="n">
        <v>45470</v>
      </c>
      <c r="C617" s="103" t="n">
        <v>43871681.82</v>
      </c>
      <c r="D617" s="98">
        <f>C617/E617</f>
        <v/>
      </c>
      <c r="E617" s="98" t="n">
        <v>83.43000000000001</v>
      </c>
      <c r="F617" s="98">
        <f>D617/100000</f>
        <v/>
      </c>
      <c r="G617" s="97">
        <f>(F617/DataSheet!$C$11*100)</f>
        <v/>
      </c>
      <c r="H617" s="98">
        <f>K617/I617</f>
        <v/>
      </c>
      <c r="I617" s="98">
        <f>(J617/L617)*100</f>
        <v/>
      </c>
      <c r="J617" s="97">
        <f>L617/O617</f>
        <v/>
      </c>
      <c r="K617" s="98" t="n">
        <v>7</v>
      </c>
      <c r="L617" s="98" t="n">
        <v>24044.5</v>
      </c>
      <c r="M617" s="98" t="n">
        <v>4.13</v>
      </c>
      <c r="N617" s="98">
        <f>K617-I617</f>
        <v/>
      </c>
      <c r="O617" s="98" t="n">
        <v>22.86</v>
      </c>
      <c r="P617" s="98" t="n">
        <v>4.28</v>
      </c>
      <c r="Q617" s="97">
        <f>K617-P617</f>
        <v/>
      </c>
      <c r="R617" s="98" t="n">
        <v>105.57</v>
      </c>
      <c r="S617" s="98">
        <f>(O617*T617)</f>
        <v/>
      </c>
      <c r="T617" s="79" t="n">
        <v>6.83</v>
      </c>
      <c r="U617" s="98" t="n">
        <v>20723.15</v>
      </c>
      <c r="V617" s="98" t="n">
        <v>42.09</v>
      </c>
      <c r="W617" s="97">
        <f>U617/V617</f>
        <v/>
      </c>
      <c r="X617" s="97">
        <f>(W617/U617)*100</f>
        <v/>
      </c>
      <c r="Y617" s="97" t="n">
        <v>16999.55</v>
      </c>
      <c r="Z617" s="97" t="n">
        <v>30.25</v>
      </c>
      <c r="AA617" s="97">
        <f>Y617/Z617</f>
        <v/>
      </c>
      <c r="AB617" s="97">
        <f>(AA617/Y617)*100</f>
        <v/>
      </c>
    </row>
    <row r="618">
      <c r="A618" s="92" t="n">
        <v>617</v>
      </c>
      <c r="B618" s="102" t="n">
        <v>45471</v>
      </c>
      <c r="C618" s="103" t="n">
        <v>43967789.06</v>
      </c>
      <c r="D618" s="98">
        <f>C618/E618</f>
        <v/>
      </c>
      <c r="E618" s="98" t="n">
        <v>83.34999999999999</v>
      </c>
      <c r="F618" s="98">
        <f>D618/100000</f>
        <v/>
      </c>
      <c r="G618" s="97">
        <f>(F618/DataSheet!$C$11*100)</f>
        <v/>
      </c>
      <c r="H618" s="98">
        <f>K618/I618</f>
        <v/>
      </c>
      <c r="I618" s="98">
        <f>(J618/L618)*100</f>
        <v/>
      </c>
      <c r="J618" s="97">
        <f>L618/O618</f>
        <v/>
      </c>
      <c r="K618" s="98" t="n">
        <v>7</v>
      </c>
      <c r="L618" s="98" t="n">
        <v>24010.6</v>
      </c>
      <c r="M618" s="98" t="n">
        <v>4.14</v>
      </c>
      <c r="N618" s="98">
        <f>K618-I618</f>
        <v/>
      </c>
      <c r="O618" s="98" t="n">
        <v>22.85</v>
      </c>
      <c r="P618" s="98" t="n">
        <v>4.39</v>
      </c>
      <c r="Q618" s="97">
        <f>K618-P618</f>
        <v/>
      </c>
      <c r="R618" s="98" t="n">
        <v>105.54</v>
      </c>
      <c r="S618" s="98">
        <f>(O618*T618)</f>
        <v/>
      </c>
      <c r="T618" s="79" t="n">
        <v>6.83</v>
      </c>
      <c r="U618" s="98" t="n">
        <v>20831.95</v>
      </c>
      <c r="V618" s="98" t="n">
        <v>42.33</v>
      </c>
      <c r="W618" s="97">
        <f>U618/V618</f>
        <v/>
      </c>
      <c r="X618" s="97">
        <f>(W618/U618)*100</f>
        <v/>
      </c>
      <c r="Y618" s="97" t="n">
        <v>17111.05</v>
      </c>
      <c r="Z618" s="97" t="n">
        <v>30.7</v>
      </c>
      <c r="AA618" s="97">
        <f>Y618/Z618</f>
        <v/>
      </c>
      <c r="AB618" s="97">
        <f>(AA618/Y618)*100</f>
        <v/>
      </c>
    </row>
    <row r="619">
      <c r="A619" s="92" t="n">
        <v>618</v>
      </c>
      <c r="B619" s="99" t="n">
        <v>45474</v>
      </c>
      <c r="C619" s="103" t="n">
        <v>44341027</v>
      </c>
      <c r="D619" s="98">
        <f>C619/E619</f>
        <v/>
      </c>
      <c r="E619" s="98" t="n">
        <v>83.43000000000001</v>
      </c>
      <c r="F619" s="98">
        <f>D619/100000</f>
        <v/>
      </c>
      <c r="G619" s="97">
        <f>(F619/DataSheet!$C$11*100)</f>
        <v/>
      </c>
      <c r="H619" s="98">
        <f>K619/I619</f>
        <v/>
      </c>
      <c r="I619" s="98">
        <f>(J619/L619)*100</f>
        <v/>
      </c>
      <c r="J619" s="97">
        <f>L619/O619</f>
        <v/>
      </c>
      <c r="K619" s="98" t="n">
        <v>7.01</v>
      </c>
      <c r="L619" s="98" t="n">
        <v>24141.95</v>
      </c>
      <c r="M619" s="98" t="n">
        <v>4.16</v>
      </c>
      <c r="N619" s="98">
        <f>K619-I619</f>
        <v/>
      </c>
      <c r="O619" s="98" t="n">
        <v>22.97</v>
      </c>
      <c r="P619" s="98" t="n">
        <v>4.47</v>
      </c>
      <c r="Q619" s="97">
        <f>K619-P619</f>
        <v/>
      </c>
      <c r="R619" s="98" t="n">
        <v>105.63</v>
      </c>
      <c r="S619" s="98">
        <f>(O619*T619)</f>
        <v/>
      </c>
      <c r="T619" s="79" t="n">
        <v>6.83</v>
      </c>
      <c r="U619" s="98" t="n">
        <v>21029.9</v>
      </c>
      <c r="V619" s="98" t="n">
        <v>42.73</v>
      </c>
      <c r="W619" s="97">
        <f>U619/V619</f>
        <v/>
      </c>
      <c r="X619" s="97">
        <f>(W619/U619)*100</f>
        <v/>
      </c>
      <c r="Y619" s="97" t="n">
        <v>17367.65</v>
      </c>
      <c r="Z619" s="97" t="n">
        <v>31.16</v>
      </c>
      <c r="AA619" s="97">
        <f>Y619/Z619</f>
        <v/>
      </c>
      <c r="AB619" s="97">
        <f>(AA619/Y619)*100</f>
        <v/>
      </c>
    </row>
    <row r="620">
      <c r="A620" s="92" t="n">
        <v>619</v>
      </c>
      <c r="B620" s="102" t="n">
        <v>45475</v>
      </c>
      <c r="C620" s="103" t="n">
        <v>44271573.34</v>
      </c>
      <c r="D620" s="97">
        <f>C620/E620</f>
        <v/>
      </c>
      <c r="E620" s="97" t="n">
        <v>83.5</v>
      </c>
      <c r="F620" s="97">
        <f>D620/100000</f>
        <v/>
      </c>
      <c r="G620" s="97">
        <f>(F620/DataSheet!$C$11*100)</f>
        <v/>
      </c>
      <c r="H620" s="98">
        <f>K620/I620</f>
        <v/>
      </c>
      <c r="I620" s="98">
        <f>(J620/L620)*100</f>
        <v/>
      </c>
      <c r="J620" s="97">
        <f>L620/O620</f>
        <v/>
      </c>
      <c r="K620" s="98" t="n">
        <v>7</v>
      </c>
      <c r="L620" s="107" t="n">
        <v>24123.85</v>
      </c>
      <c r="M620" s="98" t="n">
        <v>4.16</v>
      </c>
      <c r="N620" s="98">
        <f>K620-I620</f>
        <v/>
      </c>
      <c r="O620" s="98" t="n">
        <v>22.96</v>
      </c>
      <c r="P620" s="98" t="n">
        <v>4.43</v>
      </c>
      <c r="Q620" s="97">
        <f>K620-P620</f>
        <v/>
      </c>
      <c r="R620" s="98" t="n">
        <v>105.72</v>
      </c>
      <c r="S620" s="98">
        <f>(O620*T620)</f>
        <v/>
      </c>
      <c r="T620" s="79" t="n">
        <v>6.82</v>
      </c>
      <c r="U620" s="98" t="n">
        <v>20909.9</v>
      </c>
      <c r="V620" s="98" t="n">
        <v>42.49</v>
      </c>
      <c r="W620" s="98">
        <f>U620/V620</f>
        <v/>
      </c>
      <c r="X620" s="98">
        <f>(W620/U620)*100</f>
        <v/>
      </c>
      <c r="Y620" s="98" t="n">
        <v>17339.35</v>
      </c>
      <c r="Z620" s="98" t="n">
        <v>31.11</v>
      </c>
      <c r="AA620" s="98">
        <f>Y620/Z620</f>
        <v/>
      </c>
      <c r="AB620" s="98">
        <f>(AA620/Y620)*100</f>
        <v/>
      </c>
    </row>
    <row r="621">
      <c r="A621" s="92" t="n">
        <v>620</v>
      </c>
      <c r="B621" s="99" t="n">
        <v>45476</v>
      </c>
      <c r="C621" s="103" t="n">
        <v>44602042.92</v>
      </c>
      <c r="D621" s="97">
        <f>C621/E621</f>
        <v/>
      </c>
      <c r="E621" s="97" t="n">
        <v>83.52</v>
      </c>
      <c r="F621" s="97">
        <f>D621/100000</f>
        <v/>
      </c>
      <c r="G621" s="97">
        <f>(F621/DataSheet!$C$11*100)</f>
        <v/>
      </c>
      <c r="H621" s="98">
        <f>K621/I621</f>
        <v/>
      </c>
      <c r="I621" s="98">
        <f>(J621/L621)*100</f>
        <v/>
      </c>
      <c r="J621" s="97">
        <f>L621/O621</f>
        <v/>
      </c>
      <c r="K621" s="98" t="n">
        <v>7</v>
      </c>
      <c r="L621" s="98" t="n">
        <v>24286.5</v>
      </c>
      <c r="M621" s="98" t="n">
        <v>4.18</v>
      </c>
      <c r="N621" s="98">
        <f>K621-I621</f>
        <v/>
      </c>
      <c r="O621" s="98" t="n">
        <v>23.11</v>
      </c>
      <c r="P621" s="98" t="n">
        <v>4.35</v>
      </c>
      <c r="Q621" s="97">
        <f>K621-P621</f>
        <v/>
      </c>
      <c r="R621" s="98" t="n">
        <v>105.4</v>
      </c>
      <c r="S621" s="98">
        <f>(O621*T621)</f>
        <v/>
      </c>
      <c r="T621" s="79" t="n">
        <v>6.78</v>
      </c>
      <c r="U621" s="98" t="n">
        <v>21072.75</v>
      </c>
      <c r="V621" s="98" t="n">
        <v>42.82</v>
      </c>
      <c r="W621" s="98">
        <f>U621/V621</f>
        <v/>
      </c>
      <c r="X621" s="98">
        <f>(W621/U621)*100</f>
        <v/>
      </c>
      <c r="Y621" s="98" t="n">
        <v>17494.7</v>
      </c>
      <c r="Z621" s="98" t="n">
        <v>31.39</v>
      </c>
      <c r="AA621" s="98">
        <f>Y621/Z621</f>
        <v/>
      </c>
      <c r="AB621" s="98">
        <f>(AA621/Y621)*100</f>
        <v/>
      </c>
    </row>
    <row r="622">
      <c r="A622" s="92" t="n">
        <v>621</v>
      </c>
      <c r="B622" s="99" t="n">
        <v>45477</v>
      </c>
      <c r="C622" s="103" t="n">
        <v>44787012.68</v>
      </c>
      <c r="D622" s="97">
        <f>C622/E622</f>
        <v/>
      </c>
      <c r="E622" s="97" t="n">
        <v>83.47</v>
      </c>
      <c r="F622" s="97">
        <f>D622/100000</f>
        <v/>
      </c>
      <c r="G622" s="97">
        <f>(F622/DataSheet!$C$11*100)</f>
        <v/>
      </c>
      <c r="H622" s="98">
        <f>K622/I622</f>
        <v/>
      </c>
      <c r="I622" s="98">
        <f>(J622/L622)*100</f>
        <v/>
      </c>
      <c r="J622" s="97">
        <f>L622/O622</f>
        <v/>
      </c>
      <c r="K622" s="98" t="n">
        <v>6.99</v>
      </c>
      <c r="L622" s="98" t="n">
        <v>24302.15</v>
      </c>
      <c r="M622" s="98" t="n">
        <v>4.19</v>
      </c>
      <c r="N622" s="98">
        <f>K622-I622</f>
        <v/>
      </c>
      <c r="O622" s="98" t="n">
        <v>23.13</v>
      </c>
      <c r="P622" s="98" t="n">
        <v>4.37</v>
      </c>
      <c r="Q622" s="97">
        <f>K622-P622</f>
        <v/>
      </c>
      <c r="R622" s="98" t="n">
        <v>105.13</v>
      </c>
      <c r="S622" s="98">
        <f>(O622*T622)</f>
        <v/>
      </c>
      <c r="T622" s="79" t="n">
        <v>6.78</v>
      </c>
      <c r="U622" s="98" t="n">
        <v>21215.3</v>
      </c>
      <c r="V622" s="98" t="n">
        <v>43.1</v>
      </c>
      <c r="W622" s="98">
        <f>U622/V622</f>
        <v/>
      </c>
      <c r="X622" s="98">
        <f>(W622/U622)*100</f>
        <v/>
      </c>
      <c r="Y622" s="98" t="n">
        <v>17591.95</v>
      </c>
      <c r="Z622" s="98" t="n">
        <v>31.56</v>
      </c>
      <c r="AA622" s="98">
        <f>Y622/Z622</f>
        <v/>
      </c>
      <c r="AB622" s="98">
        <f>(AA622/Y622)*100</f>
        <v/>
      </c>
    </row>
    <row r="623">
      <c r="A623" s="92" t="n">
        <v>622</v>
      </c>
      <c r="B623" s="99" t="n">
        <v>45478</v>
      </c>
      <c r="C623" s="103" t="n">
        <v>45043956.25</v>
      </c>
      <c r="D623" s="97">
        <f>C623/E623</f>
        <v/>
      </c>
      <c r="E623" s="97" t="n">
        <v>83.5</v>
      </c>
      <c r="F623" s="97">
        <f>D623/100000</f>
        <v/>
      </c>
      <c r="G623" s="97">
        <f>(F623/DataSheet!$C$11*100)</f>
        <v/>
      </c>
      <c r="H623" s="98">
        <f>K623/I623</f>
        <v/>
      </c>
      <c r="I623" s="98">
        <f>(J623/L623)*100</f>
        <v/>
      </c>
      <c r="J623" s="97">
        <f>L623/O623</f>
        <v/>
      </c>
      <c r="K623" s="98" t="n">
        <v>6.99</v>
      </c>
      <c r="L623" s="98" t="n">
        <v>24323.85</v>
      </c>
      <c r="M623" s="98" t="n">
        <v>4.19</v>
      </c>
      <c r="N623" s="98">
        <f>K623-I623</f>
        <v/>
      </c>
      <c r="O623" s="98" t="n">
        <v>23.15</v>
      </c>
      <c r="P623" s="98" t="n">
        <v>4.27</v>
      </c>
      <c r="Q623" s="97">
        <f>K623-P623</f>
        <v/>
      </c>
      <c r="R623" s="98" t="n">
        <v>104.88</v>
      </c>
      <c r="S623" s="98">
        <f>(O623*T623)</f>
        <v/>
      </c>
      <c r="T623" s="79" t="n">
        <v>6.78</v>
      </c>
      <c r="U623" s="98" t="n">
        <v>21352.5</v>
      </c>
      <c r="V623" s="98" t="n">
        <v>43.38</v>
      </c>
      <c r="W623" s="98">
        <f>U623/V623</f>
        <v/>
      </c>
      <c r="X623" s="98">
        <f>(W623/U623)*100</f>
        <v/>
      </c>
      <c r="Y623" s="98" t="n">
        <v>17712.3</v>
      </c>
      <c r="Z623" s="98" t="n">
        <v>31.77</v>
      </c>
      <c r="AA623" s="98">
        <f>Y623/Z623</f>
        <v/>
      </c>
      <c r="AB623" s="98">
        <f>(AA623/Y623)*100</f>
        <v/>
      </c>
    </row>
    <row r="624">
      <c r="A624" s="92" t="n">
        <v>623</v>
      </c>
      <c r="B624" s="99" t="n">
        <v>45481</v>
      </c>
      <c r="C624" s="103" t="n">
        <v>45018897.51</v>
      </c>
      <c r="D624" s="97">
        <f>C624/E624</f>
        <v/>
      </c>
      <c r="E624" s="97" t="n">
        <v>83.5</v>
      </c>
      <c r="F624" s="97">
        <f>D624/100000</f>
        <v/>
      </c>
      <c r="G624" s="97">
        <f>(F624/DataSheet!$C$11*100)</f>
        <v/>
      </c>
      <c r="H624" s="98">
        <f>K624/I624</f>
        <v/>
      </c>
      <c r="I624" s="98">
        <f>(J624/L624)*100</f>
        <v/>
      </c>
      <c r="J624" s="97">
        <f>L624/O624</f>
        <v/>
      </c>
      <c r="K624" s="98" t="n">
        <v>6.98</v>
      </c>
      <c r="L624" s="98" t="n">
        <v>24320.55</v>
      </c>
      <c r="M624" s="98" t="n">
        <v>4.19</v>
      </c>
      <c r="N624" s="98">
        <f>K624-I624</f>
        <v/>
      </c>
      <c r="O624" s="98" t="n">
        <v>23.14</v>
      </c>
      <c r="P624" s="98" t="n">
        <v>4.28</v>
      </c>
      <c r="Q624" s="97">
        <f>K624-P624</f>
        <v/>
      </c>
      <c r="R624" s="98" t="n">
        <v>105</v>
      </c>
      <c r="S624" s="98">
        <f>(O624*T624)</f>
        <v/>
      </c>
      <c r="T624" s="79" t="n">
        <v>6.78</v>
      </c>
      <c r="U624" s="98" t="n">
        <v>21289.35</v>
      </c>
      <c r="V624" s="98" t="n">
        <v>43.25</v>
      </c>
      <c r="W624" s="98">
        <f>U624/V624</f>
        <v/>
      </c>
      <c r="X624" s="98">
        <f>(W624/U624)*100</f>
        <v/>
      </c>
      <c r="Y624" s="98" t="n">
        <v>17665.75</v>
      </c>
      <c r="Z624" s="98" t="n">
        <v>31.69</v>
      </c>
      <c r="AA624" s="98">
        <f>Y624/Z624</f>
        <v/>
      </c>
      <c r="AB624" s="98">
        <f>(AA624/Y624)*100</f>
        <v/>
      </c>
    </row>
    <row r="625">
      <c r="A625" s="92" t="n">
        <v>624</v>
      </c>
      <c r="B625" s="99" t="n">
        <v>45482</v>
      </c>
      <c r="C625" s="103" t="n">
        <v>45179204.66</v>
      </c>
      <c r="D625" s="97">
        <f>C625/E625</f>
        <v/>
      </c>
      <c r="E625" s="97" t="n">
        <v>83.45999999999999</v>
      </c>
      <c r="F625" s="97">
        <f>D625/100000</f>
        <v/>
      </c>
      <c r="G625" s="97">
        <f>(F625/DataSheet!$C$11*100)</f>
        <v/>
      </c>
      <c r="H625" s="98">
        <f>K625/I625</f>
        <v/>
      </c>
      <c r="I625" s="98">
        <f>(J625/L625)*100</f>
        <v/>
      </c>
      <c r="J625" s="97">
        <f>L625/O625</f>
        <v/>
      </c>
      <c r="K625" s="98" t="n">
        <v>6.98</v>
      </c>
      <c r="L625" s="98" t="n">
        <v>24433.2</v>
      </c>
      <c r="M625" s="98" t="n">
        <v>4.21</v>
      </c>
      <c r="N625" s="98">
        <f>K625-I625</f>
        <v/>
      </c>
      <c r="O625" s="98" t="n">
        <v>23.25</v>
      </c>
      <c r="P625" s="98" t="n">
        <v>4.29</v>
      </c>
      <c r="Q625" s="97">
        <f>K625-P625</f>
        <v/>
      </c>
      <c r="R625" s="98" t="n">
        <v>105.13</v>
      </c>
      <c r="S625" s="98">
        <f>(O625*T625)</f>
        <v/>
      </c>
      <c r="T625" s="79" t="n">
        <v>6.78</v>
      </c>
      <c r="U625" s="98" t="n">
        <v>21347.5</v>
      </c>
      <c r="V625" s="98" t="n">
        <v>43.37</v>
      </c>
      <c r="W625" s="98">
        <f>U625/V625</f>
        <v/>
      </c>
      <c r="X625" s="98">
        <f>(W625/U625)*100</f>
        <v/>
      </c>
      <c r="Y625" s="98" t="n">
        <v>17707.65</v>
      </c>
      <c r="Z625" s="98" t="n">
        <v>31.76</v>
      </c>
      <c r="AA625" s="98">
        <f>Y625/Z625</f>
        <v/>
      </c>
      <c r="AB625" s="98">
        <f>(AA625/Y625)*100</f>
        <v/>
      </c>
    </row>
    <row r="626">
      <c r="A626" s="92" t="n">
        <v>625</v>
      </c>
      <c r="B626" s="102" t="n">
        <v>45483</v>
      </c>
      <c r="C626" s="103" t="n">
        <v>45055469.66</v>
      </c>
      <c r="D626" s="97">
        <f>C626/E626</f>
        <v/>
      </c>
      <c r="E626" s="97" t="n">
        <v>83.51000000000001</v>
      </c>
      <c r="F626" s="97">
        <f>D626/100000</f>
        <v/>
      </c>
      <c r="G626" s="97">
        <f>(F626/DataSheet!$C$11*100)</f>
        <v/>
      </c>
      <c r="H626" s="98">
        <f>K626/I626</f>
        <v/>
      </c>
      <c r="I626" s="98">
        <f>(J626/L626)*100</f>
        <v/>
      </c>
      <c r="J626" s="97">
        <f>L626/O626</f>
        <v/>
      </c>
      <c r="K626" s="98" t="n">
        <v>6.97</v>
      </c>
      <c r="L626" s="98" t="n">
        <v>24324.45</v>
      </c>
      <c r="M626" s="98" t="n">
        <v>4.19</v>
      </c>
      <c r="N626" s="98">
        <f>K626-I626</f>
        <v/>
      </c>
      <c r="O626" s="98" t="n">
        <v>23.15</v>
      </c>
      <c r="P626" s="98" t="n">
        <v>4.28</v>
      </c>
      <c r="Q626" s="97">
        <f>K626-P626</f>
        <v/>
      </c>
      <c r="R626" s="98" t="n">
        <v>105.05</v>
      </c>
      <c r="S626" s="98">
        <f>(O626*T626)</f>
        <v/>
      </c>
      <c r="T626" s="79" t="n">
        <v>6.78</v>
      </c>
      <c r="U626" s="98" t="n">
        <v>21266.6</v>
      </c>
      <c r="V626" s="98" t="n">
        <v>43.2</v>
      </c>
      <c r="W626" s="98">
        <f>U626/V626</f>
        <v/>
      </c>
      <c r="X626" s="98">
        <f>(W626/U626)*100</f>
        <v/>
      </c>
      <c r="Y626" s="98" t="n">
        <v>17585.7</v>
      </c>
      <c r="Z626" s="98" t="n">
        <v>31.55</v>
      </c>
      <c r="AA626" s="98">
        <f>Y626/Z626</f>
        <v/>
      </c>
      <c r="AB626" s="98">
        <f>(AA626/Y626)*100</f>
        <v/>
      </c>
    </row>
    <row r="627">
      <c r="A627" s="92" t="n">
        <v>626</v>
      </c>
      <c r="B627" s="99" t="n">
        <v>45484</v>
      </c>
      <c r="C627" s="103" t="n">
        <v>45170277.05</v>
      </c>
      <c r="D627" s="97">
        <f>C627/E627</f>
        <v/>
      </c>
      <c r="E627" s="97" t="n">
        <v>83.5</v>
      </c>
      <c r="F627" s="97">
        <f>D627/100000</f>
        <v/>
      </c>
      <c r="G627" s="97">
        <f>(F627/DataSheet!$C$11*100)</f>
        <v/>
      </c>
      <c r="H627" s="98">
        <f>K627/I627</f>
        <v/>
      </c>
      <c r="I627" s="98">
        <f>(J627/L627)*100</f>
        <v/>
      </c>
      <c r="J627" s="97">
        <f>L627/O627</f>
        <v/>
      </c>
      <c r="K627" s="98" t="n">
        <v>6.98</v>
      </c>
      <c r="L627" s="98" t="n">
        <v>24315.95</v>
      </c>
      <c r="M627" s="98" t="n">
        <v>4.19</v>
      </c>
      <c r="N627" s="98">
        <f>K627-I627</f>
        <v/>
      </c>
      <c r="O627" s="98" t="n">
        <v>23.14</v>
      </c>
      <c r="P627" s="98" t="n">
        <v>4.21</v>
      </c>
      <c r="Q627" s="97">
        <f>K627-P627</f>
        <v/>
      </c>
      <c r="R627" s="98" t="n">
        <v>104.44</v>
      </c>
      <c r="S627" s="98">
        <f>(O627*T627)</f>
        <v/>
      </c>
      <c r="T627" s="79" t="n">
        <v>6.77</v>
      </c>
      <c r="U627" s="98" t="n">
        <v>21312.15</v>
      </c>
      <c r="V627" s="98" t="n">
        <v>43.29</v>
      </c>
      <c r="W627" s="98">
        <f>U627/V627</f>
        <v/>
      </c>
      <c r="X627" s="98">
        <f>(W627/U627)*100</f>
        <v/>
      </c>
      <c r="Y627" s="98" t="n">
        <v>17692.15</v>
      </c>
      <c r="Z627" s="98" t="n">
        <v>31.74</v>
      </c>
      <c r="AA627" s="98">
        <f>Y627/Z627</f>
        <v/>
      </c>
      <c r="AB627" s="98">
        <f>(AA627/Y627)*100</f>
        <v/>
      </c>
    </row>
    <row r="628">
      <c r="A628" s="92" t="n">
        <v>627</v>
      </c>
      <c r="B628" s="99" t="n">
        <v>45485</v>
      </c>
      <c r="C628" s="103" t="n">
        <v>45290317.48</v>
      </c>
      <c r="D628" s="97">
        <f>C628/E628</f>
        <v/>
      </c>
      <c r="E628" s="97" t="n">
        <v>83.51000000000001</v>
      </c>
      <c r="F628" s="97">
        <f>D628/100000</f>
        <v/>
      </c>
      <c r="G628" s="97">
        <f>(F628/DataSheet!$C$11*100)</f>
        <v/>
      </c>
      <c r="H628" s="98">
        <f>K628/I628</f>
        <v/>
      </c>
      <c r="I628" s="98">
        <f>(J628/L628)*100</f>
        <v/>
      </c>
      <c r="J628" s="97">
        <f>L628/O628</f>
        <v/>
      </c>
      <c r="K628" s="98" t="n">
        <v>6.98</v>
      </c>
      <c r="L628" s="98" t="n">
        <v>24502.15</v>
      </c>
      <c r="M628" s="98" t="n">
        <v>4.22</v>
      </c>
      <c r="N628" s="98">
        <f>K628-I628</f>
        <v/>
      </c>
      <c r="O628" s="98" t="n">
        <v>23.32</v>
      </c>
      <c r="P628" s="98" t="n">
        <v>4.18</v>
      </c>
      <c r="Q628" s="97">
        <f>K628-P628</f>
        <v/>
      </c>
      <c r="R628" s="98" t="n">
        <v>104.09</v>
      </c>
      <c r="S628" s="98">
        <f>(O628*T628)</f>
        <v/>
      </c>
      <c r="T628" s="79" t="n">
        <v>6.76</v>
      </c>
      <c r="U628" s="98" t="n">
        <v>21300.25</v>
      </c>
      <c r="V628" s="98" t="n">
        <v>43.27</v>
      </c>
      <c r="W628" s="98">
        <f>U628/V628</f>
        <v/>
      </c>
      <c r="X628" s="98">
        <f>(W628/U628)*100</f>
        <v/>
      </c>
      <c r="Y628" s="98" t="n">
        <v>17679.2</v>
      </c>
      <c r="Z628" s="98" t="n">
        <v>31.71</v>
      </c>
      <c r="AA628" s="98">
        <f>Y628/Z628</f>
        <v/>
      </c>
      <c r="AB628" s="98">
        <f>(AA628/Y628)*100</f>
        <v/>
      </c>
    </row>
    <row r="629">
      <c r="A629" s="92" t="n">
        <v>628</v>
      </c>
      <c r="B629" s="99" t="n">
        <v>45488</v>
      </c>
      <c r="C629" s="103" t="n">
        <v>45550695.16</v>
      </c>
      <c r="D629" s="97">
        <f>C629/E629</f>
        <v/>
      </c>
      <c r="E629" s="97" t="n">
        <v>83.55</v>
      </c>
      <c r="F629" s="97">
        <f>D629/100000</f>
        <v/>
      </c>
      <c r="G629" s="97">
        <f>(F629/DataSheet!$C$11*100)</f>
        <v/>
      </c>
      <c r="H629" s="98">
        <f>K629/I629</f>
        <v/>
      </c>
      <c r="I629" s="98">
        <f>(J629/L629)*100</f>
        <v/>
      </c>
      <c r="J629" s="97">
        <f>L629/O629</f>
        <v/>
      </c>
      <c r="K629" s="98" t="n">
        <v>6.98</v>
      </c>
      <c r="L629" s="98" t="n">
        <v>24586.7</v>
      </c>
      <c r="M629" s="98" t="n">
        <v>4.16</v>
      </c>
      <c r="N629" s="98">
        <f>K629-I629</f>
        <v/>
      </c>
      <c r="O629" s="98" t="n">
        <v>23.38</v>
      </c>
      <c r="P629" s="98" t="n">
        <v>4.23</v>
      </c>
      <c r="Q629" s="97">
        <f>K629-P629</f>
        <v/>
      </c>
      <c r="R629" s="98" t="n">
        <v>104.19</v>
      </c>
      <c r="S629" s="98">
        <f>(O629*T629)</f>
        <v/>
      </c>
      <c r="T629" s="79" t="n">
        <v>6.76</v>
      </c>
      <c r="U629" s="98" t="n">
        <v>21448.85</v>
      </c>
      <c r="V629" s="98" t="n">
        <v>43.57</v>
      </c>
      <c r="W629" s="98">
        <f>U629/V629</f>
        <v/>
      </c>
      <c r="X629" s="98">
        <f>(W629/U629)*100</f>
        <v/>
      </c>
      <c r="Y629" s="98" t="n">
        <v>17743.15</v>
      </c>
      <c r="Z629" s="98" t="n">
        <v>31.82</v>
      </c>
      <c r="AA629" s="98">
        <f>Y629/Z629</f>
        <v/>
      </c>
      <c r="AB629" s="98">
        <f>(AA629/Y629)*100</f>
        <v/>
      </c>
    </row>
    <row r="630">
      <c r="A630" s="92" t="n">
        <v>629</v>
      </c>
      <c r="B630" s="99" t="n">
        <v>45489</v>
      </c>
      <c r="C630" s="103" t="n">
        <v>45577615.32</v>
      </c>
      <c r="D630" s="97">
        <f>C630/E630</f>
        <v/>
      </c>
      <c r="E630" s="97" t="n">
        <v>83.52</v>
      </c>
      <c r="F630" s="97">
        <f>D630/100000</f>
        <v/>
      </c>
      <c r="G630" s="97">
        <f>(F630/DataSheet!$C$11*100)</f>
        <v/>
      </c>
      <c r="H630" s="98">
        <f>K630/I630</f>
        <v/>
      </c>
      <c r="I630" s="98">
        <f>(J630/L630)*100</f>
        <v/>
      </c>
      <c r="J630" s="97">
        <f>L630/O630</f>
        <v/>
      </c>
      <c r="K630" s="98" t="n">
        <v>6.96</v>
      </c>
      <c r="L630" s="98" t="n">
        <v>24613</v>
      </c>
      <c r="M630" s="98" t="n">
        <v>4.17</v>
      </c>
      <c r="N630" s="98">
        <f>K630-I630</f>
        <v/>
      </c>
      <c r="O630" s="98" t="n">
        <v>23.39</v>
      </c>
      <c r="P630" s="98" t="n">
        <v>4.16</v>
      </c>
      <c r="Q630" s="97">
        <f>K630-P630</f>
        <v/>
      </c>
      <c r="R630" s="98" t="n">
        <v>104.27</v>
      </c>
      <c r="S630" s="98">
        <f>(O630*T630)</f>
        <v/>
      </c>
      <c r="T630" s="79" t="n">
        <v>6.76</v>
      </c>
      <c r="U630" s="98" t="n">
        <v>21456.5</v>
      </c>
      <c r="V630" s="98" t="n">
        <v>43.58</v>
      </c>
      <c r="W630" s="98">
        <f>U630/V630</f>
        <v/>
      </c>
      <c r="X630" s="98">
        <f>(W630/U630)*100</f>
        <v/>
      </c>
      <c r="Y630" s="98" t="n">
        <v>17774.9</v>
      </c>
      <c r="Z630" s="98" t="n">
        <v>31.88</v>
      </c>
      <c r="AA630" s="98">
        <f>Y630/Z630</f>
        <v/>
      </c>
      <c r="AB630" s="98">
        <f>(AA630/Y630)*100</f>
        <v/>
      </c>
    </row>
    <row r="631">
      <c r="A631" s="92" t="n">
        <v>630</v>
      </c>
      <c r="B631" s="102" t="n">
        <v>45491</v>
      </c>
      <c r="C631" s="103" t="n">
        <v>45484159.17</v>
      </c>
      <c r="D631" s="97">
        <f>C631/E631</f>
        <v/>
      </c>
      <c r="E631" s="97" t="n">
        <v>83.58</v>
      </c>
      <c r="F631" s="97">
        <f>D631/100000</f>
        <v/>
      </c>
      <c r="G631" s="97">
        <f>(F631/DataSheet!$C$11*100)</f>
        <v/>
      </c>
      <c r="H631" s="98">
        <f>K631/I631</f>
        <v/>
      </c>
      <c r="I631" s="98">
        <f>(J631/L631)*100</f>
        <v/>
      </c>
      <c r="J631" s="97">
        <f>L631/O631</f>
        <v/>
      </c>
      <c r="K631" s="98" t="n">
        <v>6.96</v>
      </c>
      <c r="L631" s="98" t="n">
        <v>24800.85</v>
      </c>
      <c r="M631" s="98" t="n">
        <v>4.19</v>
      </c>
      <c r="N631" s="98">
        <f>K631-I631</f>
        <v/>
      </c>
      <c r="O631" s="98" t="n">
        <v>23.57</v>
      </c>
      <c r="P631" s="98" t="n">
        <v>4.2</v>
      </c>
      <c r="Q631" s="97">
        <f>K631-P631</f>
        <v/>
      </c>
      <c r="R631" s="98" t="n">
        <v>104.17</v>
      </c>
      <c r="S631" s="98">
        <f>(O631*T631)</f>
        <v/>
      </c>
      <c r="T631" s="79" t="n">
        <v>6.75</v>
      </c>
      <c r="U631" s="98" t="n">
        <v>21255.6</v>
      </c>
      <c r="V631" s="98" t="n">
        <v>43.11</v>
      </c>
      <c r="W631" s="98">
        <f>U631/V631</f>
        <v/>
      </c>
      <c r="X631" s="98">
        <f>(W631/U631)*100</f>
        <v/>
      </c>
      <c r="Y631" s="98" t="n">
        <v>17577.65</v>
      </c>
      <c r="Z631" s="98" t="n">
        <v>31.49</v>
      </c>
      <c r="AA631" s="98">
        <f>Y631/Z631</f>
        <v/>
      </c>
      <c r="AB631" s="98">
        <f>(AA631/Y631)*100</f>
        <v/>
      </c>
    </row>
    <row r="632">
      <c r="A632" s="92" t="n">
        <v>631</v>
      </c>
      <c r="B632" s="99" t="n">
        <v>45492</v>
      </c>
      <c r="C632" s="103" t="n">
        <v>44491920.21</v>
      </c>
      <c r="D632" s="97">
        <f>C632/E632</f>
        <v/>
      </c>
      <c r="E632" s="97" t="n">
        <v>83.72</v>
      </c>
      <c r="F632" s="97">
        <f>D632/100000</f>
        <v/>
      </c>
      <c r="G632" s="97">
        <f>(F632/DataSheet!$C$11*100)</f>
        <v/>
      </c>
      <c r="H632" s="98">
        <f>K632/I632</f>
        <v/>
      </c>
      <c r="I632" s="98">
        <f>(J632/L632)*100</f>
        <v/>
      </c>
      <c r="J632" s="97">
        <f>L632/O632</f>
        <v/>
      </c>
      <c r="K632" s="98" t="n">
        <v>6.96</v>
      </c>
      <c r="L632" s="98" t="n">
        <v>24530.9</v>
      </c>
      <c r="M632" s="98" t="n">
        <v>4.16</v>
      </c>
      <c r="N632" s="98">
        <f>K632-I632</f>
        <v/>
      </c>
      <c r="O632" s="98" t="n">
        <v>23.31</v>
      </c>
      <c r="P632" s="98" t="n">
        <v>4.24</v>
      </c>
      <c r="Q632" s="97">
        <f>K632-P632</f>
        <v/>
      </c>
      <c r="R632" s="98" t="n">
        <v>104.4</v>
      </c>
      <c r="S632" s="98">
        <f>(O632*T632)</f>
        <v/>
      </c>
      <c r="T632" s="79" t="n">
        <v>6.76</v>
      </c>
      <c r="U632" s="98" t="n">
        <v>20812.25</v>
      </c>
      <c r="V632" s="98" t="n">
        <v>42.17</v>
      </c>
      <c r="W632" s="98">
        <f>U632/V632</f>
        <v/>
      </c>
      <c r="X632" s="98">
        <f>(W632/U632)*100</f>
        <v/>
      </c>
      <c r="Y632" s="98" t="n">
        <v>17163.4</v>
      </c>
      <c r="Z632" s="98" t="n">
        <v>30.8</v>
      </c>
      <c r="AA632" s="98">
        <f>Y632/Z632</f>
        <v/>
      </c>
      <c r="AB632" s="98">
        <f>(AA632/Y632)*100</f>
        <v/>
      </c>
    </row>
    <row r="633">
      <c r="A633" s="92" t="n">
        <v>632</v>
      </c>
      <c r="B633" s="102" t="n">
        <v>45495</v>
      </c>
      <c r="C633" s="103" t="n">
        <v>44868754.27</v>
      </c>
      <c r="D633" s="97">
        <f>C633/E633</f>
        <v/>
      </c>
      <c r="E633" s="97" t="n">
        <v>83.65000000000001</v>
      </c>
      <c r="F633" s="97">
        <f>D633/100000</f>
        <v/>
      </c>
      <c r="G633" s="97">
        <f>(F633/DataSheet!$C$11*100)</f>
        <v/>
      </c>
      <c r="H633" s="98">
        <f>K633/I633</f>
        <v/>
      </c>
      <c r="I633" s="98">
        <f>(J633/L633)*100</f>
        <v/>
      </c>
      <c r="J633" s="97">
        <f>L633/O633</f>
        <v/>
      </c>
      <c r="K633" s="98" t="n">
        <v>6.96</v>
      </c>
      <c r="L633" s="98" t="n">
        <v>24509.25</v>
      </c>
      <c r="M633" s="98" t="n">
        <v>4.15</v>
      </c>
      <c r="N633" s="98">
        <f>K633-I633</f>
        <v/>
      </c>
      <c r="O633" s="98" t="n">
        <v>23.28</v>
      </c>
      <c r="P633" s="98" t="n">
        <v>4.25</v>
      </c>
      <c r="Q633" s="97">
        <f>K633-P633</f>
        <v/>
      </c>
      <c r="R633" s="98" t="n">
        <v>104.31</v>
      </c>
      <c r="S633" s="98">
        <f>(O633*T633)</f>
        <v/>
      </c>
      <c r="T633" s="79" t="n">
        <v>6.75</v>
      </c>
      <c r="U633" s="98" t="n">
        <v>21040.35</v>
      </c>
      <c r="V633" s="98" t="n">
        <v>42.61</v>
      </c>
      <c r="W633" s="98">
        <f>U633/V633</f>
        <v/>
      </c>
      <c r="X633" s="98">
        <f>(W633/U633)*100</f>
        <v/>
      </c>
      <c r="Y633" s="98" t="n">
        <v>17317</v>
      </c>
      <c r="Z633" s="98" t="n">
        <v>30.98</v>
      </c>
      <c r="AA633" s="98">
        <f>Y633/Z633</f>
        <v/>
      </c>
      <c r="AB633" s="98">
        <f>(AA633/Y633)*100</f>
        <v/>
      </c>
    </row>
    <row r="634">
      <c r="A634" s="92" t="n">
        <v>633</v>
      </c>
      <c r="B634" s="99" t="n">
        <v>45496</v>
      </c>
      <c r="C634" s="103" t="n">
        <v>44685467.37</v>
      </c>
      <c r="D634" s="97">
        <f>C634/E634</f>
        <v/>
      </c>
      <c r="E634" s="97" t="n">
        <v>83.67</v>
      </c>
      <c r="F634" s="97">
        <f>D634/100000</f>
        <v/>
      </c>
      <c r="G634" s="97">
        <f>(F634/DataSheet!$C$11*100)</f>
        <v/>
      </c>
      <c r="H634" s="98">
        <f>K634/I634</f>
        <v/>
      </c>
      <c r="I634" s="98">
        <f>(J634/L634)*100</f>
        <v/>
      </c>
      <c r="J634" s="97">
        <f>L634/O634</f>
        <v/>
      </c>
      <c r="K634" s="98" t="n">
        <v>6.97</v>
      </c>
      <c r="L634" s="98" t="n">
        <v>24479.05</v>
      </c>
      <c r="M634" s="98" t="n">
        <v>4.12</v>
      </c>
      <c r="N634" s="98">
        <f>K634-I634</f>
        <v/>
      </c>
      <c r="O634" s="98" t="n">
        <v>23.11</v>
      </c>
      <c r="P634" s="98" t="n">
        <v>4.25</v>
      </c>
      <c r="Q634" s="97">
        <f>K634-P634</f>
        <v/>
      </c>
      <c r="R634" s="98" t="n">
        <v>104.45</v>
      </c>
      <c r="S634" s="98">
        <f>(O634*T634)</f>
        <v/>
      </c>
      <c r="T634" s="79" t="n">
        <v>6.75</v>
      </c>
      <c r="U634" s="98" t="n">
        <v>20947.8</v>
      </c>
      <c r="V634" s="98" t="n">
        <v>42.28</v>
      </c>
      <c r="W634" s="98">
        <f>U634/V634</f>
        <v/>
      </c>
      <c r="X634" s="98">
        <f>(W634/U634)*100</f>
        <v/>
      </c>
      <c r="Y634" s="98" t="n">
        <v>17212.15</v>
      </c>
      <c r="Z634" s="98" t="n">
        <v>30.64</v>
      </c>
      <c r="AA634" s="98">
        <f>Y634/Z634</f>
        <v/>
      </c>
      <c r="AB634" s="98">
        <f>(AA634/Y634)*100</f>
        <v/>
      </c>
    </row>
    <row r="635">
      <c r="A635" s="92" t="n">
        <v>634</v>
      </c>
      <c r="B635" s="99" t="n">
        <v>45497</v>
      </c>
      <c r="C635" s="103" t="n">
        <v>44997221.17</v>
      </c>
      <c r="D635" s="97">
        <f>C635/E635</f>
        <v/>
      </c>
      <c r="E635" s="97" t="n">
        <v>83.70999999999999</v>
      </c>
      <c r="F635" s="97">
        <f>D635/100000</f>
        <v/>
      </c>
      <c r="G635" s="97">
        <f>(F635/DataSheet!$C$11*100)</f>
        <v/>
      </c>
      <c r="H635" s="98">
        <f>K635/I635</f>
        <v/>
      </c>
      <c r="I635" s="98">
        <f>(J635/L635)*100</f>
        <v/>
      </c>
      <c r="J635" s="97">
        <f>L635/O635</f>
        <v/>
      </c>
      <c r="K635" s="98" t="n">
        <v>6.96</v>
      </c>
      <c r="L635" s="98" t="n">
        <v>24413.5</v>
      </c>
      <c r="M635" s="98" t="n">
        <v>4.11</v>
      </c>
      <c r="N635" s="98">
        <f>K635-I635</f>
        <v/>
      </c>
      <c r="O635" s="98" t="n">
        <v>23.05</v>
      </c>
      <c r="P635" s="98" t="n">
        <v>4.28</v>
      </c>
      <c r="Q635" s="97">
        <f>K635-P635</f>
        <v/>
      </c>
      <c r="R635" s="98" t="n">
        <v>104.39</v>
      </c>
      <c r="S635" s="98">
        <f>(O635*T635)</f>
        <v/>
      </c>
      <c r="T635" s="79" t="n">
        <v>6.75</v>
      </c>
      <c r="U635" s="98" t="n">
        <v>21133.35</v>
      </c>
      <c r="V635" s="98" t="n">
        <v>42.54</v>
      </c>
      <c r="W635" s="98">
        <f>U635/V635</f>
        <v/>
      </c>
      <c r="X635" s="98">
        <f>(W635/U635)*100</f>
        <v/>
      </c>
      <c r="Y635" s="98" t="n">
        <v>17532.7</v>
      </c>
      <c r="Z635" s="98" t="n">
        <v>31.25</v>
      </c>
      <c r="AA635" s="98">
        <f>Y635/Z635</f>
        <v/>
      </c>
      <c r="AB635" s="98">
        <f>(AA635/Y635)*100</f>
        <v/>
      </c>
    </row>
    <row r="636">
      <c r="A636" s="92" t="n">
        <v>635</v>
      </c>
      <c r="B636" s="99" t="n">
        <v>45498</v>
      </c>
      <c r="C636" s="103" t="n">
        <v>45031398.62</v>
      </c>
      <c r="D636" s="97">
        <f>C636/E636</f>
        <v/>
      </c>
      <c r="E636" s="97" t="n">
        <v>83.72</v>
      </c>
      <c r="F636" s="97">
        <f>D636/100000</f>
        <v/>
      </c>
      <c r="G636" s="97">
        <f>(F636/DataSheet!$C$11*100)</f>
        <v/>
      </c>
      <c r="H636" s="98">
        <f>K636/I636</f>
        <v/>
      </c>
      <c r="I636" s="98">
        <f>(J636/L636)*100</f>
        <v/>
      </c>
      <c r="J636" s="97">
        <f>L636/O636</f>
        <v/>
      </c>
      <c r="K636" s="98" t="n">
        <v>6.95</v>
      </c>
      <c r="L636" s="98" t="n">
        <v>24406.1</v>
      </c>
      <c r="M636" s="98" t="n">
        <v>4.11</v>
      </c>
      <c r="N636" s="98">
        <f>K636-I636</f>
        <v/>
      </c>
      <c r="O636" s="98" t="n">
        <v>23.03</v>
      </c>
      <c r="P636" s="98" t="n">
        <v>4.24</v>
      </c>
      <c r="Q636" s="97">
        <f>K636-P636</f>
        <v/>
      </c>
      <c r="R636" s="98" t="n">
        <v>104.36</v>
      </c>
      <c r="S636" s="98">
        <f>(O636*T636)</f>
        <v/>
      </c>
      <c r="T636" s="79" t="n">
        <v>6.73</v>
      </c>
      <c r="U636" s="98" t="n">
        <v>21080.45</v>
      </c>
      <c r="V636" s="98" t="n">
        <v>42.42</v>
      </c>
      <c r="W636" s="98">
        <f>U636/V636</f>
        <v/>
      </c>
      <c r="X636" s="98">
        <f>(W636/U636)*100</f>
        <v/>
      </c>
      <c r="Y636" s="98" t="n">
        <v>17483.8</v>
      </c>
      <c r="Z636" s="98" t="n">
        <v>31.16</v>
      </c>
      <c r="AA636" s="98">
        <f>Y636/Z636</f>
        <v/>
      </c>
      <c r="AB636" s="98">
        <f>(AA636/Y636)*100</f>
        <v/>
      </c>
    </row>
    <row r="637">
      <c r="A637" s="92" t="n">
        <v>636</v>
      </c>
      <c r="B637" s="102" t="n">
        <v>45499</v>
      </c>
      <c r="C637" s="103" t="n">
        <v>45739890.28</v>
      </c>
      <c r="D637" s="97">
        <f>C637/E637</f>
        <v/>
      </c>
      <c r="E637" s="97" t="n">
        <v>83.72</v>
      </c>
      <c r="F637" s="97">
        <f>D637/100000</f>
        <v/>
      </c>
      <c r="G637" s="97">
        <f>(F637/DataSheet!$C$11*100)</f>
        <v/>
      </c>
      <c r="H637" s="98">
        <f>K637/I637</f>
        <v/>
      </c>
      <c r="I637" s="98">
        <f>(J637/L637)*100</f>
        <v/>
      </c>
      <c r="J637" s="97">
        <f>L637/O637</f>
        <v/>
      </c>
      <c r="K637" s="98" t="n">
        <v>6.94</v>
      </c>
      <c r="L637" s="98" t="n">
        <v>24834.85</v>
      </c>
      <c r="M637" s="98" t="n">
        <v>4.19</v>
      </c>
      <c r="N637" s="98">
        <f>K637-I637</f>
        <v/>
      </c>
      <c r="O637" s="98" t="n">
        <v>23.4</v>
      </c>
      <c r="P637" s="98" t="n">
        <v>4.23</v>
      </c>
      <c r="Q637" s="97">
        <f>K637-P637</f>
        <v/>
      </c>
      <c r="R637" s="98" t="n">
        <v>104.39</v>
      </c>
      <c r="S637" s="98">
        <f>(O637*T637)</f>
        <v/>
      </c>
      <c r="T637" s="79" t="n">
        <v>6.73</v>
      </c>
      <c r="U637" s="98" t="n">
        <v>21442.4</v>
      </c>
      <c r="V637" s="98" t="n">
        <v>42.9</v>
      </c>
      <c r="W637" s="98">
        <f>U637/V637</f>
        <v/>
      </c>
      <c r="X637" s="98">
        <f>(W637/U637)*100</f>
        <v/>
      </c>
      <c r="Y637" s="98" t="n">
        <v>17647.4</v>
      </c>
      <c r="Z637" s="98" t="n">
        <v>31.46</v>
      </c>
      <c r="AA637" s="98">
        <f>Y637/Z637</f>
        <v/>
      </c>
      <c r="AB637" s="98">
        <f>(AA637/Y637)*100</f>
        <v/>
      </c>
    </row>
    <row r="638">
      <c r="A638" s="92" t="n">
        <v>637</v>
      </c>
      <c r="B638" s="99" t="n">
        <v>45502</v>
      </c>
      <c r="C638" s="103" t="n">
        <v>46023211.2</v>
      </c>
      <c r="D638" s="97">
        <f>C638/E638</f>
        <v/>
      </c>
      <c r="E638" s="97" t="n">
        <v>83.73999999999999</v>
      </c>
      <c r="F638" s="97">
        <f>D638/100000</f>
        <v/>
      </c>
      <c r="G638" s="97">
        <f>(F638/DataSheet!$C$11*100)</f>
        <v/>
      </c>
      <c r="H638" s="98">
        <f>K638/I638</f>
        <v/>
      </c>
      <c r="I638" s="98">
        <f>(J638/L638)*100</f>
        <v/>
      </c>
      <c r="J638" s="97">
        <f>L638/O638</f>
        <v/>
      </c>
      <c r="K638" s="98" t="n">
        <v>6.91</v>
      </c>
      <c r="L638" s="98" t="n">
        <v>24836.1</v>
      </c>
      <c r="M638" s="98" t="n">
        <v>4.19</v>
      </c>
      <c r="N638" s="98">
        <f>K638-I638</f>
        <v/>
      </c>
      <c r="O638" s="98" t="n">
        <v>23.4</v>
      </c>
      <c r="P638" s="98" t="n">
        <v>4.18</v>
      </c>
      <c r="Q638" s="97">
        <f>K638-P638</f>
        <v/>
      </c>
      <c r="R638" s="98" t="n">
        <v>104.56</v>
      </c>
      <c r="S638" s="98">
        <f>(O638*T638)</f>
        <v/>
      </c>
      <c r="T638" s="79" t="n">
        <v>6.63</v>
      </c>
      <c r="U638" s="98" t="n">
        <v>21644.85</v>
      </c>
      <c r="V638" s="98" t="n">
        <v>43.28</v>
      </c>
      <c r="W638" s="98">
        <f>U638/V638</f>
        <v/>
      </c>
      <c r="X638" s="98">
        <f>(W638/U638)*100</f>
        <v/>
      </c>
      <c r="Y638" s="98" t="n">
        <v>17836.55</v>
      </c>
      <c r="Z638" s="98" t="n">
        <v>31.78</v>
      </c>
      <c r="AA638" s="98">
        <f>Y638/Z638</f>
        <v/>
      </c>
      <c r="AB638" s="98">
        <f>(AA638/Y638)*100</f>
        <v/>
      </c>
    </row>
    <row r="639">
      <c r="A639" s="92" t="n">
        <v>638</v>
      </c>
      <c r="B639" s="102" t="n">
        <v>45503</v>
      </c>
      <c r="C639" s="103" t="n">
        <v>46138219.93</v>
      </c>
      <c r="D639" s="97">
        <f>C639/E639</f>
        <v/>
      </c>
      <c r="E639" s="97" t="n">
        <v>83.72</v>
      </c>
      <c r="F639" s="97">
        <f>D639/100000</f>
        <v/>
      </c>
      <c r="G639" s="97">
        <f>(F639/DataSheet!$C$11*100)</f>
        <v/>
      </c>
      <c r="H639" s="98">
        <f>K639/I639</f>
        <v/>
      </c>
      <c r="I639" s="98">
        <f>(J639/L639)*100</f>
        <v/>
      </c>
      <c r="J639" s="97">
        <f>L639/O639</f>
        <v/>
      </c>
      <c r="K639" s="98" t="n">
        <v>6.93</v>
      </c>
      <c r="L639" s="98" t="n">
        <v>24857.3</v>
      </c>
      <c r="M639" s="98" t="n">
        <v>4.19</v>
      </c>
      <c r="N639" s="98">
        <f>K639-I639</f>
        <v/>
      </c>
      <c r="O639" s="98" t="n">
        <v>23.31</v>
      </c>
      <c r="P639" s="98" t="n">
        <v>4.14</v>
      </c>
      <c r="Q639" s="97">
        <f>K639-P639</f>
        <v/>
      </c>
      <c r="R639" s="98" t="n">
        <v>104.55</v>
      </c>
      <c r="S639" s="98">
        <f>(O639*T639)</f>
        <v/>
      </c>
      <c r="T639" s="79" t="n">
        <v>6.63</v>
      </c>
      <c r="U639" s="98" t="n">
        <v>21749.5</v>
      </c>
      <c r="V639" s="98" t="n">
        <v>44.97</v>
      </c>
      <c r="W639" s="98">
        <f>U639/V639</f>
        <v/>
      </c>
      <c r="X639" s="98">
        <f>(W639/U639)*100</f>
        <v/>
      </c>
      <c r="Y639" s="98" t="n">
        <v>17983.3</v>
      </c>
      <c r="Z639" s="98" t="n">
        <v>31.91</v>
      </c>
      <c r="AA639" s="98">
        <f>Y639/Z639</f>
        <v/>
      </c>
      <c r="AB639" s="98">
        <f>(AA639/Y639)*100</f>
        <v/>
      </c>
    </row>
    <row r="640">
      <c r="A640" s="92" t="n">
        <v>639</v>
      </c>
      <c r="B640" s="99" t="n">
        <v>45504</v>
      </c>
      <c r="C640" s="103" t="n">
        <v>46287184.13</v>
      </c>
      <c r="D640" s="97">
        <f>C640/E640</f>
        <v/>
      </c>
      <c r="E640" s="97" t="n">
        <v>83.69</v>
      </c>
      <c r="F640" s="97">
        <f>D640/100000</f>
        <v/>
      </c>
      <c r="G640" s="97">
        <f>(F640/DataSheet!$C$11*100)</f>
        <v/>
      </c>
      <c r="H640" s="98">
        <f>K640/I640</f>
        <v/>
      </c>
      <c r="I640" s="98">
        <f>(J640/L640)*100</f>
        <v/>
      </c>
      <c r="J640" s="97">
        <f>L640/O640</f>
        <v/>
      </c>
      <c r="K640" s="98" t="n">
        <v>6.92</v>
      </c>
      <c r="L640" s="98" t="n">
        <v>24951.15</v>
      </c>
      <c r="M640" s="98" t="n">
        <v>4.21</v>
      </c>
      <c r="N640" s="98">
        <f>K640-I640</f>
        <v/>
      </c>
      <c r="O640" s="98" t="n">
        <v>23.4</v>
      </c>
      <c r="P640" s="98" t="n">
        <v>4.03</v>
      </c>
      <c r="Q640" s="97">
        <f>K640-P640</f>
        <v/>
      </c>
      <c r="R640" s="98" t="n">
        <v>104.1</v>
      </c>
      <c r="S640" s="98">
        <f>(O640*T640)</f>
        <v/>
      </c>
      <c r="T640" s="79" t="n">
        <v>6.65</v>
      </c>
      <c r="U640" s="98" t="n">
        <v>21860.95</v>
      </c>
      <c r="V640" s="98" t="n">
        <v>45.37</v>
      </c>
      <c r="W640" s="98">
        <f>U640/V640</f>
        <v/>
      </c>
      <c r="X640" s="98">
        <f>(W640/U640)*100</f>
        <v/>
      </c>
      <c r="Y640" s="98" t="n">
        <v>17948</v>
      </c>
      <c r="Z640" s="98" t="n">
        <v>31.81</v>
      </c>
      <c r="AA640" s="98">
        <f>Y640/Z640</f>
        <v/>
      </c>
      <c r="AB640" s="98">
        <f>(AA640/Y640)*100</f>
        <v/>
      </c>
    </row>
    <row r="641">
      <c r="A641" s="92" t="n">
        <v>640</v>
      </c>
      <c r="B641" s="99" t="n">
        <v>45505</v>
      </c>
      <c r="C641" s="103" t="n">
        <v>46206138.76</v>
      </c>
      <c r="D641" s="97">
        <f>C641/E641</f>
        <v/>
      </c>
      <c r="E641" s="97" t="n">
        <v>83.70999999999999</v>
      </c>
      <c r="F641" s="97">
        <f>D641/100000</f>
        <v/>
      </c>
      <c r="G641" s="97">
        <f>(F641/DataSheet!$C$11*100)</f>
        <v/>
      </c>
      <c r="H641" s="98">
        <f>K641/I641</f>
        <v/>
      </c>
      <c r="I641" s="98">
        <f>(J641/L641)*100</f>
        <v/>
      </c>
      <c r="J641" s="97">
        <f>L641/O641</f>
        <v/>
      </c>
      <c r="K641" s="98" t="n">
        <v>6.91</v>
      </c>
      <c r="L641" s="98" t="n">
        <v>25010.9</v>
      </c>
      <c r="M641" s="98" t="n">
        <v>4.22</v>
      </c>
      <c r="N641" s="98">
        <f>K641-I641</f>
        <v/>
      </c>
      <c r="O641" s="98" t="n">
        <v>23.45</v>
      </c>
      <c r="P641" s="98" t="n">
        <v>3.98</v>
      </c>
      <c r="Q641" s="97">
        <f>K641-P641</f>
        <v/>
      </c>
      <c r="R641" s="98" t="n">
        <v>104.42</v>
      </c>
      <c r="S641" s="98">
        <f>(O641*T641)</f>
        <v/>
      </c>
      <c r="T641" s="79" t="n">
        <v>6.68</v>
      </c>
      <c r="U641" s="98" t="n">
        <v>21706.45</v>
      </c>
      <c r="V641" s="98" t="n">
        <v>44.87</v>
      </c>
      <c r="W641" s="98">
        <f>U641/V641</f>
        <v/>
      </c>
      <c r="X641" s="98">
        <f>(W641/U641)*100</f>
        <v/>
      </c>
      <c r="Y641" s="98" t="n">
        <v>17825.05</v>
      </c>
      <c r="Z641" s="98" t="n">
        <v>31.54</v>
      </c>
      <c r="AA641" s="98">
        <f>Y641/Z641</f>
        <v/>
      </c>
      <c r="AB641" s="98">
        <f>(AA641/Y641)*100</f>
        <v/>
      </c>
    </row>
    <row r="642">
      <c r="A642" s="92" t="n">
        <v>641</v>
      </c>
      <c r="B642" s="99" t="n">
        <v>45506</v>
      </c>
      <c r="C642" s="103" t="n">
        <v>45764272.12</v>
      </c>
      <c r="D642" s="97">
        <f>C642/E642</f>
        <v/>
      </c>
      <c r="E642" s="97" t="n">
        <v>83.79000000000001</v>
      </c>
      <c r="F642" s="97">
        <f>D642/100000</f>
        <v/>
      </c>
      <c r="G642" s="97">
        <f>(F642/DataSheet!$C$11*100)</f>
        <v/>
      </c>
      <c r="H642" s="98">
        <f>K642/I642</f>
        <v/>
      </c>
      <c r="I642" s="98">
        <f>(J642/L642)*100</f>
        <v/>
      </c>
      <c r="J642" s="97">
        <f>L642/O642</f>
        <v/>
      </c>
      <c r="K642" s="98" t="n">
        <v>6.9</v>
      </c>
      <c r="L642" s="98" t="n">
        <v>24717.7</v>
      </c>
      <c r="M642" s="98" t="n">
        <v>4.17</v>
      </c>
      <c r="N642" s="98">
        <f>K642-I642</f>
        <v/>
      </c>
      <c r="O642" s="98" t="n">
        <v>23.09</v>
      </c>
      <c r="P642" s="98" t="n">
        <v>3.79</v>
      </c>
      <c r="Q642" s="97">
        <f>K642-P642</f>
        <v/>
      </c>
      <c r="R642" s="98" t="n">
        <v>103.21</v>
      </c>
      <c r="S642" s="98">
        <f>(O642*T642)</f>
        <v/>
      </c>
      <c r="T642" s="79" t="n">
        <v>6.68</v>
      </c>
      <c r="U642" s="98" t="n">
        <v>21492.25</v>
      </c>
      <c r="V642" s="98" t="n">
        <v>44.12</v>
      </c>
      <c r="W642" s="98">
        <f>U642/V642</f>
        <v/>
      </c>
      <c r="X642" s="98">
        <f>(W642/U642)*100</f>
        <v/>
      </c>
      <c r="Y642" s="98" t="n">
        <v>17677.65</v>
      </c>
      <c r="Z642" s="98" t="n">
        <v>31.25</v>
      </c>
      <c r="AA642" s="98">
        <f>Y642/Z642</f>
        <v/>
      </c>
      <c r="AB642" s="98">
        <f>(AA642/Y642)*100</f>
        <v/>
      </c>
    </row>
    <row r="643">
      <c r="A643" s="92" t="n">
        <v>642</v>
      </c>
      <c r="B643" s="99" t="n">
        <v>45509</v>
      </c>
      <c r="C643" s="103" t="n">
        <v>44223258.27</v>
      </c>
      <c r="D643" s="97">
        <f>C643/E643</f>
        <v/>
      </c>
      <c r="E643" s="97" t="n">
        <v>84.01000000000001</v>
      </c>
      <c r="F643" s="97">
        <f>D643/100000</f>
        <v/>
      </c>
      <c r="G643" s="97">
        <f>(F643/DataSheet!$C$11*100)</f>
        <v/>
      </c>
      <c r="H643" s="98">
        <f>K643/I643</f>
        <v/>
      </c>
      <c r="I643" s="98">
        <f>(J643/L643)*100</f>
        <v/>
      </c>
      <c r="J643" s="97">
        <f>L643/O643</f>
        <v/>
      </c>
      <c r="K643" s="98" t="n">
        <v>6.86</v>
      </c>
      <c r="L643" s="98" t="n">
        <v>24055.6</v>
      </c>
      <c r="M643" s="98" t="n">
        <v>4.05</v>
      </c>
      <c r="N643" s="98">
        <f>K643-I643</f>
        <v/>
      </c>
      <c r="O643" s="98" t="n">
        <v>22.38</v>
      </c>
      <c r="P643" s="98" t="n">
        <v>3.77</v>
      </c>
      <c r="Q643" s="97">
        <f>K643-P643</f>
        <v/>
      </c>
      <c r="R643" s="98" t="n">
        <v>102.48</v>
      </c>
      <c r="S643" s="98">
        <f>(O643*T643)</f>
        <v/>
      </c>
      <c r="T643" s="79" t="n">
        <v>6.65</v>
      </c>
      <c r="U643" s="98" t="n">
        <v>20734.85</v>
      </c>
      <c r="V643" s="98" t="n">
        <v>42.52</v>
      </c>
      <c r="W643" s="98">
        <f>U643/V643</f>
        <v/>
      </c>
      <c r="X643" s="98">
        <f>(W643/U643)*100</f>
        <v/>
      </c>
      <c r="Y643" s="98" t="n">
        <v>16937.9</v>
      </c>
      <c r="Z643" s="98" t="n">
        <v>29.86</v>
      </c>
      <c r="AA643" s="98">
        <f>Y643/Z643</f>
        <v/>
      </c>
      <c r="AB643" s="98">
        <f>(AA643/Y643)*100</f>
        <v/>
      </c>
    </row>
    <row r="644">
      <c r="A644" s="92" t="n">
        <v>643</v>
      </c>
      <c r="B644" s="99" t="n">
        <v>45510</v>
      </c>
      <c r="C644" s="103" t="n">
        <v>44011151.82</v>
      </c>
      <c r="D644" s="97">
        <f>C644/E644</f>
        <v/>
      </c>
      <c r="E644" s="97" t="n">
        <v>83.93000000000001</v>
      </c>
      <c r="F644" s="97">
        <f>D644/100000</f>
        <v/>
      </c>
      <c r="G644" s="97">
        <f>(F644/DataSheet!$C$11*100)</f>
        <v/>
      </c>
      <c r="H644" s="98">
        <f>K644/I644</f>
        <v/>
      </c>
      <c r="I644" s="98">
        <f>(J644/L644)*100</f>
        <v/>
      </c>
      <c r="J644" s="97">
        <f>L644/O644</f>
        <v/>
      </c>
      <c r="K644" s="98" t="n">
        <v>6.87</v>
      </c>
      <c r="L644" s="98" t="n">
        <v>23992.55</v>
      </c>
      <c r="M644" s="98" t="n">
        <v>4.04</v>
      </c>
      <c r="N644" s="98">
        <f>K644-I644</f>
        <v/>
      </c>
      <c r="O644" s="98" t="n">
        <v>22.3</v>
      </c>
      <c r="P644" s="98" t="n">
        <v>3.88</v>
      </c>
      <c r="Q644" s="97">
        <f>K644-P644</f>
        <v/>
      </c>
      <c r="R644" s="98" t="n">
        <v>102.75</v>
      </c>
      <c r="S644" s="98">
        <f>(O644*T644)</f>
        <v/>
      </c>
      <c r="T644" s="79" t="n">
        <v>6.63</v>
      </c>
      <c r="U644" s="98" t="n">
        <v>20611.15</v>
      </c>
      <c r="V644" s="98" t="n">
        <v>42.39</v>
      </c>
      <c r="W644" s="98">
        <f>U644/V644</f>
        <v/>
      </c>
      <c r="X644" s="98">
        <f>(W644/U644)*100</f>
        <v/>
      </c>
      <c r="Y644" s="98" t="n">
        <v>16871.85</v>
      </c>
      <c r="Z644" s="98" t="n">
        <v>29.68</v>
      </c>
      <c r="AA644" s="98">
        <f>Y644/Z644</f>
        <v/>
      </c>
      <c r="AB644" s="98">
        <f>(AA644/Y644)*100</f>
        <v/>
      </c>
    </row>
    <row r="645">
      <c r="A645" s="92" t="n">
        <v>644</v>
      </c>
      <c r="B645" s="102" t="n">
        <v>45511</v>
      </c>
      <c r="C645" s="103" t="n">
        <v>44905295.76</v>
      </c>
      <c r="D645" s="97">
        <f>C645/E645</f>
        <v/>
      </c>
      <c r="E645" s="97" t="n">
        <v>83.88</v>
      </c>
      <c r="F645" s="97">
        <f>D645/100000</f>
        <v/>
      </c>
      <c r="G645" s="97">
        <f>(F645/DataSheet!$C$11*100)</f>
        <v/>
      </c>
      <c r="H645" s="98">
        <f>K645/I645</f>
        <v/>
      </c>
      <c r="I645" s="98">
        <f>(J645/L645)*100</f>
        <v/>
      </c>
      <c r="J645" s="97">
        <f>L645/O645</f>
        <v/>
      </c>
      <c r="K645" s="98" t="n">
        <v>6.86</v>
      </c>
      <c r="L645" s="98" t="n">
        <v>24297.5</v>
      </c>
      <c r="M645" s="98" t="n">
        <v>4.09</v>
      </c>
      <c r="N645" s="98">
        <f>K645-I645</f>
        <v/>
      </c>
      <c r="O645" s="98" t="n">
        <v>22.61</v>
      </c>
      <c r="P645" s="98" t="n">
        <v>3.92</v>
      </c>
      <c r="Q645" s="97">
        <f>K645-P645</f>
        <v/>
      </c>
      <c r="R645" s="98" t="n">
        <v>102.99</v>
      </c>
      <c r="S645" s="98">
        <f>(O645*T645)</f>
        <v/>
      </c>
      <c r="T645" s="79" t="n">
        <v>6.63</v>
      </c>
      <c r="U645" s="98" t="n">
        <v>21063.7</v>
      </c>
      <c r="V645" s="98" t="n">
        <v>43.43</v>
      </c>
      <c r="W645" s="98">
        <f>U645/V645</f>
        <v/>
      </c>
      <c r="X645" s="98">
        <f>(W645/U645)*100</f>
        <v/>
      </c>
      <c r="Y645" s="98" t="n">
        <v>17274.9</v>
      </c>
      <c r="Z645" s="98" t="n">
        <v>30.45</v>
      </c>
      <c r="AA645" s="98">
        <f>Y645/Z645</f>
        <v/>
      </c>
      <c r="AB645" s="98">
        <f>(AA645/Y645)*100</f>
        <v/>
      </c>
    </row>
    <row r="646">
      <c r="A646" s="92" t="n">
        <v>645</v>
      </c>
      <c r="B646" s="99" t="n">
        <v>45512</v>
      </c>
      <c r="C646" s="103" t="n">
        <v>44637476.84</v>
      </c>
      <c r="D646" s="97">
        <f>C646/E646</f>
        <v/>
      </c>
      <c r="E646" s="97" t="n">
        <v>83.98999999999999</v>
      </c>
      <c r="F646" s="97">
        <f>D646/100000</f>
        <v/>
      </c>
      <c r="G646" s="97">
        <f>(F646/DataSheet!$C$11*100)</f>
        <v/>
      </c>
      <c r="H646" s="98">
        <f>K646/I646</f>
        <v/>
      </c>
      <c r="I646" s="98">
        <f>(J646/L646)*100</f>
        <v/>
      </c>
      <c r="J646" s="97">
        <f>L646/O646</f>
        <v/>
      </c>
      <c r="K646" s="98" t="n">
        <v>6.87</v>
      </c>
      <c r="L646" s="98" t="n">
        <v>24117</v>
      </c>
      <c r="M646" s="98" t="n">
        <v>4.06</v>
      </c>
      <c r="N646" s="98">
        <f>K646-I646</f>
        <v/>
      </c>
      <c r="O646" s="98" t="n">
        <v>22.44</v>
      </c>
      <c r="P646" s="98" t="n">
        <v>3.99</v>
      </c>
      <c r="Q646" s="97">
        <f>K646-P646</f>
        <v/>
      </c>
      <c r="R646" s="98" t="n">
        <v>103.02</v>
      </c>
      <c r="S646" s="98">
        <f>(O646*T646)</f>
        <v/>
      </c>
      <c r="T646" s="79" t="n">
        <v>6.66</v>
      </c>
      <c r="U646" s="98" t="n">
        <v>20991</v>
      </c>
      <c r="V646" s="98" t="n">
        <v>43.14</v>
      </c>
      <c r="W646" s="98">
        <f>U646/V646</f>
        <v/>
      </c>
      <c r="X646" s="98">
        <f>(W646/U646)*100</f>
        <v/>
      </c>
      <c r="Y646" s="98" t="n">
        <v>17226.15</v>
      </c>
      <c r="Z646" s="98" t="n">
        <v>30.57</v>
      </c>
      <c r="AA646" s="98">
        <f>Y646/Z646</f>
        <v/>
      </c>
      <c r="AB646" s="98">
        <f>(AA646/Y646)*100</f>
        <v/>
      </c>
    </row>
    <row r="647">
      <c r="A647" s="92" t="n">
        <v>646</v>
      </c>
      <c r="B647" s="99" t="n">
        <v>45513</v>
      </c>
      <c r="C647" s="103" t="n">
        <v>45087644.26</v>
      </c>
      <c r="D647" s="98">
        <f>C647/E647</f>
        <v/>
      </c>
      <c r="E647" s="98" t="n">
        <v>83.94</v>
      </c>
      <c r="F647" s="98">
        <f>D647/100000</f>
        <v/>
      </c>
      <c r="G647" s="97">
        <f>(F647/DataSheet!$C$11*100)</f>
        <v/>
      </c>
      <c r="H647" s="98">
        <f>K647/I647</f>
        <v/>
      </c>
      <c r="I647" s="98">
        <f>(J647/L647)*100</f>
        <v/>
      </c>
      <c r="J647" s="97">
        <f>L647/O647</f>
        <v/>
      </c>
      <c r="K647" s="98" t="n">
        <v>6.88</v>
      </c>
      <c r="L647" s="98" t="n">
        <v>24367.5</v>
      </c>
      <c r="M647" s="98" t="n">
        <v>4.11</v>
      </c>
      <c r="N647" s="98">
        <f>K647-I647</f>
        <v/>
      </c>
      <c r="O647" s="98" t="n">
        <v>22.67</v>
      </c>
      <c r="P647" s="98" t="n">
        <v>3.94</v>
      </c>
      <c r="Q647" s="97">
        <f>K647-P647</f>
        <v/>
      </c>
      <c r="R647" s="98" t="n">
        <v>102.95</v>
      </c>
      <c r="S647" s="98">
        <f>(O647*T647)</f>
        <v/>
      </c>
      <c r="T647" s="79" t="n">
        <v>6.65</v>
      </c>
      <c r="U647" s="98" t="n">
        <v>21151.35</v>
      </c>
      <c r="V647" s="98" t="n">
        <v>43.51</v>
      </c>
      <c r="W647" s="98">
        <f>U647/V647</f>
        <v/>
      </c>
      <c r="X647" s="98">
        <f>(W647/U647)*100</f>
        <v/>
      </c>
      <c r="Y647" s="98" t="n">
        <v>17335.9</v>
      </c>
      <c r="Z647" s="98" t="n">
        <v>30.68</v>
      </c>
      <c r="AA647" s="98">
        <f>Y647/Z647</f>
        <v/>
      </c>
      <c r="AB647" s="98">
        <f>(AA647/Y647)*100</f>
        <v/>
      </c>
    </row>
    <row r="648">
      <c r="A648" s="92" t="n">
        <v>647</v>
      </c>
      <c r="B648" s="99" t="n">
        <v>45516</v>
      </c>
      <c r="C648" s="103" t="n">
        <v>45030066.12</v>
      </c>
      <c r="D648" s="98">
        <f>C648/E648</f>
        <v/>
      </c>
      <c r="E648" s="97" t="n">
        <v>83.93000000000001</v>
      </c>
      <c r="F648" s="98">
        <f>D648/100000</f>
        <v/>
      </c>
      <c r="G648" s="97">
        <f>(F648/DataSheet!$C$11*100)</f>
        <v/>
      </c>
      <c r="H648" s="98">
        <f>K648/I648</f>
        <v/>
      </c>
      <c r="I648" s="98">
        <f>(J648/L648)*100</f>
        <v/>
      </c>
      <c r="J648" s="97">
        <f>L648/O648</f>
        <v/>
      </c>
      <c r="K648" s="98" t="n">
        <v>6.879</v>
      </c>
      <c r="L648" s="98" t="n">
        <v>24347</v>
      </c>
      <c r="M648" s="98" t="n">
        <v>4.1</v>
      </c>
      <c r="N648" s="98">
        <f>K648-I648</f>
        <v/>
      </c>
      <c r="O648" s="98" t="n">
        <v>22.65</v>
      </c>
      <c r="P648" s="98" t="n">
        <v>3.907</v>
      </c>
      <c r="Q648" s="97">
        <f>K648-P648</f>
        <v/>
      </c>
      <c r="R648" s="98" t="n">
        <v>103.14</v>
      </c>
      <c r="S648" s="98">
        <f>(O648*T648)</f>
        <v/>
      </c>
      <c r="T648" s="79" t="n">
        <v>6.64</v>
      </c>
      <c r="U648" s="98" t="n">
        <v>21208.7</v>
      </c>
      <c r="V648" s="97" t="n">
        <v>43.41</v>
      </c>
      <c r="W648" s="98">
        <f>U648/V648</f>
        <v/>
      </c>
      <c r="X648" s="98">
        <f>(W648/U648)*100</f>
        <v/>
      </c>
      <c r="Y648" s="98" t="n">
        <v>22379.75</v>
      </c>
      <c r="Z648" s="98" t="n">
        <v>30.67</v>
      </c>
      <c r="AA648" s="98">
        <f>Y648/Z648</f>
        <v/>
      </c>
      <c r="AB648" s="98">
        <f>(AA648/Y648)*100</f>
        <v/>
      </c>
    </row>
    <row r="649">
      <c r="A649" s="92" t="n">
        <v>648</v>
      </c>
      <c r="B649" s="99" t="n">
        <v>45517</v>
      </c>
      <c r="C649" s="103" t="n">
        <v>44597885.12</v>
      </c>
      <c r="D649" s="98">
        <f>C649/E649</f>
        <v/>
      </c>
      <c r="E649" s="97" t="n">
        <v>83.91</v>
      </c>
      <c r="F649" s="98">
        <f>D649/100000</f>
        <v/>
      </c>
      <c r="G649" s="97">
        <f>(F649/DataSheet!$C$11*100)</f>
        <v/>
      </c>
      <c r="H649" s="98">
        <f>K649/I649</f>
        <v/>
      </c>
      <c r="I649" s="98">
        <f>(J649/L649)*100</f>
        <v/>
      </c>
      <c r="J649" s="97">
        <f>L649/O649</f>
        <v/>
      </c>
      <c r="K649" s="98" t="n">
        <v>6.88</v>
      </c>
      <c r="L649" s="98" t="n">
        <v>24139</v>
      </c>
      <c r="M649" s="98" t="n">
        <v>4.07</v>
      </c>
      <c r="N649" s="98">
        <f>K649-I649</f>
        <v/>
      </c>
      <c r="O649" s="98" t="n">
        <v>22.46</v>
      </c>
      <c r="P649" s="98" t="n">
        <v>3.846</v>
      </c>
      <c r="Q649" s="97">
        <f>K649-P649</f>
        <v/>
      </c>
      <c r="R649" s="98" t="n">
        <v>102.56</v>
      </c>
      <c r="S649" s="98">
        <f>(O649*T649)</f>
        <v/>
      </c>
      <c r="T649" s="79" t="n">
        <v>6.64</v>
      </c>
      <c r="U649" s="98" t="n">
        <v>21044.95</v>
      </c>
      <c r="V649" s="97" t="n">
        <v>42.89</v>
      </c>
      <c r="W649" s="98">
        <f>U649/V649</f>
        <v/>
      </c>
      <c r="X649" s="98">
        <f>(W649/U649)*100</f>
        <v/>
      </c>
      <c r="Y649" s="98" t="n">
        <v>22311.95</v>
      </c>
      <c r="Z649" s="98" t="n">
        <v>30.03</v>
      </c>
      <c r="AA649" s="98">
        <f>Y649/Z649</f>
        <v/>
      </c>
      <c r="AB649" s="98">
        <f>(AA649/Y649)*100</f>
        <v/>
      </c>
    </row>
    <row r="650">
      <c r="A650" s="92" t="n">
        <v>649</v>
      </c>
      <c r="B650" s="99" t="n">
        <v>45518</v>
      </c>
      <c r="C650" s="103" t="n">
        <v>44492637.03</v>
      </c>
      <c r="D650" s="98">
        <f>C650/E650</f>
        <v/>
      </c>
      <c r="E650" s="97" t="n">
        <v>83.95999999999999</v>
      </c>
      <c r="F650" s="98">
        <f>D650/100000</f>
        <v/>
      </c>
      <c r="G650" s="97">
        <f>(F650/DataSheet!$C$11*100)</f>
        <v/>
      </c>
      <c r="H650" s="98">
        <f>K650/I650</f>
        <v/>
      </c>
      <c r="I650" s="98">
        <f>(J650/L650)*100</f>
        <v/>
      </c>
      <c r="J650" s="97">
        <f>L650/O650</f>
        <v/>
      </c>
      <c r="K650" s="98" t="n">
        <v>6.858</v>
      </c>
      <c r="L650" s="98" t="n">
        <v>24143.75</v>
      </c>
      <c r="M650" s="98" t="n">
        <v>4.07</v>
      </c>
      <c r="N650" s="98">
        <f>K650-I650</f>
        <v/>
      </c>
      <c r="O650" s="98" t="n">
        <v>22.47</v>
      </c>
      <c r="P650" s="98" t="n">
        <v>3.839</v>
      </c>
      <c r="Q650" s="97">
        <f>K650-P650</f>
        <v/>
      </c>
      <c r="R650" s="98" t="n">
        <v>102.57</v>
      </c>
      <c r="S650" s="98">
        <f>(O650*T650)</f>
        <v/>
      </c>
      <c r="T650" s="79" t="n">
        <v>6.62</v>
      </c>
      <c r="U650" s="98" t="n">
        <v>20917.75</v>
      </c>
      <c r="V650" s="97" t="n">
        <v>42.56</v>
      </c>
      <c r="W650" s="98">
        <f>U650/V650</f>
        <v/>
      </c>
      <c r="X650" s="98">
        <f>(W650/U650)*100</f>
        <v/>
      </c>
      <c r="Y650" s="98" t="n">
        <v>22360.85</v>
      </c>
      <c r="Z650" s="98" t="n">
        <v>29.65</v>
      </c>
      <c r="AA650" s="98">
        <f>Y650/Z650</f>
        <v/>
      </c>
      <c r="AB650" s="98">
        <f>(AA650/Y650)*100</f>
        <v/>
      </c>
    </row>
    <row r="651">
      <c r="A651" s="92" t="n">
        <v>650</v>
      </c>
      <c r="B651" s="99" t="n">
        <v>45520</v>
      </c>
      <c r="C651" s="103" t="n">
        <v>45222585.44</v>
      </c>
      <c r="D651" s="98">
        <f>C651/E651</f>
        <v/>
      </c>
      <c r="E651" s="97" t="n">
        <v>83.88</v>
      </c>
      <c r="F651" s="98">
        <f>D651/100000</f>
        <v/>
      </c>
      <c r="G651" s="97">
        <f>(F651/DataSheet!$C$11*100)</f>
        <v/>
      </c>
      <c r="H651" s="98">
        <f>K651/I651</f>
        <v/>
      </c>
      <c r="I651" s="98">
        <f>(J651/L651)*100</f>
        <v/>
      </c>
      <c r="J651" s="97">
        <f>L651/O651</f>
        <v/>
      </c>
      <c r="K651" s="98" t="n">
        <v>6.867</v>
      </c>
      <c r="L651" s="98" t="n">
        <v>24541.15</v>
      </c>
      <c r="M651" s="98" t="n">
        <v>4.14</v>
      </c>
      <c r="N651" s="98">
        <f>K651-I651</f>
        <v/>
      </c>
      <c r="O651" s="98" t="n">
        <v>22.8</v>
      </c>
      <c r="P651" s="98" t="n">
        <v>3.883</v>
      </c>
      <c r="Q651" s="97">
        <f>K651-P651</f>
        <v/>
      </c>
      <c r="R651" s="98" t="n">
        <v>102.46</v>
      </c>
      <c r="S651" s="98">
        <f>(O651*T651)</f>
        <v/>
      </c>
      <c r="T651" s="79" t="n">
        <v>6.63</v>
      </c>
      <c r="U651" s="98" t="n">
        <v>21298.35</v>
      </c>
      <c r="V651" s="97" t="n">
        <v>43.09</v>
      </c>
      <c r="W651" s="98">
        <f>U651/V651</f>
        <v/>
      </c>
      <c r="X651" s="98">
        <f>(W651/U651)*100</f>
        <v/>
      </c>
      <c r="Y651" s="98" t="n">
        <v>22367.85</v>
      </c>
      <c r="Z651" s="98" t="n">
        <v>30.21</v>
      </c>
      <c r="AA651" s="98">
        <f>Y651/Z651</f>
        <v/>
      </c>
      <c r="AB651" s="98">
        <f>(AA651/Y651)*100</f>
        <v/>
      </c>
    </row>
    <row r="652">
      <c r="A652" s="92" t="n">
        <v>651</v>
      </c>
      <c r="B652" s="102" t="n">
        <v>45523</v>
      </c>
      <c r="C652" s="103" t="n">
        <v>45495630.17</v>
      </c>
      <c r="D652" s="98">
        <f>C652/E652</f>
        <v/>
      </c>
      <c r="E652" s="97" t="n">
        <v>83.84999999999999</v>
      </c>
      <c r="F652" s="98">
        <f>D652/100000</f>
        <v/>
      </c>
      <c r="G652" s="97">
        <f>(F652/DataSheet!$C$11*100)</f>
        <v/>
      </c>
      <c r="H652" s="98">
        <f>K652/I652</f>
        <v/>
      </c>
      <c r="I652" s="98">
        <f>(J652/L652)*100</f>
        <v/>
      </c>
      <c r="J652" s="97">
        <f>L652/O652</f>
        <v/>
      </c>
      <c r="K652" s="98" t="n">
        <v>6.864</v>
      </c>
      <c r="L652" s="98" t="n">
        <v>24572.65</v>
      </c>
      <c r="M652" s="98" t="n">
        <v>4.14</v>
      </c>
      <c r="N652" s="98">
        <f>K652-I652</f>
        <v/>
      </c>
      <c r="O652" s="98" t="n">
        <v>22.83</v>
      </c>
      <c r="P652" s="98" t="n">
        <v>3.875</v>
      </c>
      <c r="Q652" s="97">
        <f>K652-P652</f>
        <v/>
      </c>
      <c r="R652" s="98" t="n">
        <v>101.89</v>
      </c>
      <c r="S652" s="98">
        <f>(O652*T652)</f>
        <v/>
      </c>
      <c r="T652" s="79" t="n">
        <v>6.56</v>
      </c>
      <c r="U652" s="98" t="n">
        <v>21351.4</v>
      </c>
      <c r="V652" s="97" t="n">
        <v>43.16</v>
      </c>
      <c r="W652" s="98">
        <f>U652/V652</f>
        <v/>
      </c>
      <c r="X652" s="98">
        <f>(W652/U652)*100</f>
        <v/>
      </c>
      <c r="Y652" s="98" t="n">
        <v>22357.4</v>
      </c>
      <c r="Z652" s="98" t="n">
        <v>30.65</v>
      </c>
      <c r="AA652" s="98">
        <f>Y652/Z652</f>
        <v/>
      </c>
      <c r="AB652" s="98">
        <f>(AA652/Y652)*100</f>
        <v/>
      </c>
    </row>
    <row r="653">
      <c r="A653" s="92" t="n">
        <v>652</v>
      </c>
      <c r="B653" s="99" t="n">
        <v>45524</v>
      </c>
      <c r="C653" s="103" t="n">
        <v>45757953.43</v>
      </c>
      <c r="D653" s="98">
        <f>C653/E653</f>
        <v/>
      </c>
      <c r="E653" s="97" t="n">
        <v>83.75</v>
      </c>
      <c r="F653" s="98">
        <f>D653/100000</f>
        <v/>
      </c>
      <c r="G653" s="97">
        <f>(F653/DataSheet!$C$11*100)</f>
        <v/>
      </c>
      <c r="H653" s="98">
        <f>K653/I653</f>
        <v/>
      </c>
      <c r="I653" s="98">
        <f>(J653/L653)*100</f>
        <v/>
      </c>
      <c r="J653" s="97">
        <f>L653/O653</f>
        <v/>
      </c>
      <c r="K653" s="98" t="n">
        <v>6.856</v>
      </c>
      <c r="L653" s="98" t="n">
        <v>24698.85</v>
      </c>
      <c r="M653" s="98" t="n">
        <v>4.16</v>
      </c>
      <c r="N653" s="98">
        <f>K653-I653</f>
        <v/>
      </c>
      <c r="O653" s="98" t="n">
        <v>22.95</v>
      </c>
      <c r="P653" s="98" t="n">
        <v>3.81</v>
      </c>
      <c r="Q653" s="97">
        <f>K653-P653</f>
        <v/>
      </c>
      <c r="R653" s="98" t="n">
        <v>101.44</v>
      </c>
      <c r="S653" s="98">
        <f>(O653*T653)</f>
        <v/>
      </c>
      <c r="T653" s="79" t="n">
        <v>6.6</v>
      </c>
      <c r="U653" s="98" t="n">
        <v>21529.05</v>
      </c>
      <c r="V653" s="97" t="n">
        <v>43.52</v>
      </c>
      <c r="W653" s="98">
        <f>U653/V653</f>
        <v/>
      </c>
      <c r="X653" s="98">
        <f>(W653/U653)*100</f>
        <v/>
      </c>
      <c r="Y653" s="98" t="n">
        <v>22493.5</v>
      </c>
      <c r="Z653" s="98" t="n">
        <v>30.82</v>
      </c>
      <c r="AA653" s="98">
        <f>Y653/Z653</f>
        <v/>
      </c>
      <c r="AB653" s="98">
        <f>(AA653/Y653)*100</f>
        <v/>
      </c>
    </row>
    <row r="654">
      <c r="A654" s="92" t="n">
        <v>653</v>
      </c>
      <c r="B654" s="99" t="n">
        <v>45525</v>
      </c>
      <c r="C654" s="103" t="n">
        <v>46003536.94</v>
      </c>
      <c r="D654" s="98">
        <f>C654/E654</f>
        <v/>
      </c>
      <c r="E654" s="97" t="n">
        <v>83.87</v>
      </c>
      <c r="F654" s="98">
        <f>D654/100000</f>
        <v/>
      </c>
      <c r="G654" s="97">
        <f>(F654/DataSheet!$C$11*100)</f>
        <v/>
      </c>
      <c r="H654" s="98">
        <f>K654/I654</f>
        <v/>
      </c>
      <c r="I654" s="98">
        <f>(J654/L654)*100</f>
        <v/>
      </c>
      <c r="J654" s="97">
        <f>L654/O654</f>
        <v/>
      </c>
      <c r="K654" s="98" t="n">
        <v>6.853</v>
      </c>
      <c r="L654" s="98" t="n">
        <v>24770.2</v>
      </c>
      <c r="M654" s="98" t="n">
        <v>4.17</v>
      </c>
      <c r="N654" s="98">
        <f>K654-I654</f>
        <v/>
      </c>
      <c r="O654" s="98" t="n">
        <v>23.01</v>
      </c>
      <c r="P654" s="98" t="n">
        <v>3.799</v>
      </c>
      <c r="Q654" s="97">
        <f>K654-P654</f>
        <v/>
      </c>
      <c r="R654" s="98" t="n">
        <v>101.04</v>
      </c>
      <c r="S654" s="98">
        <f>(O654*T654)</f>
        <v/>
      </c>
      <c r="T654" s="79" t="n">
        <v>6.61</v>
      </c>
      <c r="U654" s="98" t="n">
        <v>21617.7</v>
      </c>
      <c r="V654" s="97" t="n">
        <v>43.7</v>
      </c>
      <c r="W654" s="98">
        <f>U654/V654</f>
        <v/>
      </c>
      <c r="X654" s="98">
        <f>(W654/U654)*100</f>
        <v/>
      </c>
      <c r="Y654" s="98" t="n">
        <v>22423.7</v>
      </c>
      <c r="Z654" s="98" t="n">
        <v>31.16</v>
      </c>
      <c r="AA654" s="98">
        <f>Y654/Z654</f>
        <v/>
      </c>
      <c r="AB654" s="98">
        <f>(AA654/Y654)*100</f>
        <v/>
      </c>
    </row>
    <row r="655">
      <c r="A655" s="92" t="n">
        <v>654</v>
      </c>
      <c r="B655" s="99" t="n">
        <v>45526</v>
      </c>
      <c r="C655" s="103" t="n">
        <v>46134977.4</v>
      </c>
      <c r="D655" s="98">
        <f>C655/E655</f>
        <v/>
      </c>
      <c r="E655" s="97" t="n">
        <v>83.93000000000001</v>
      </c>
      <c r="F655" s="98">
        <f>D655/100000</f>
        <v/>
      </c>
      <c r="G655" s="97">
        <f>(F655/DataSheet!$C$11*100)</f>
        <v/>
      </c>
      <c r="H655" s="98">
        <f>K655/I655</f>
        <v/>
      </c>
      <c r="I655" s="98">
        <f>(J655/L655)*100</f>
        <v/>
      </c>
      <c r="J655" s="97">
        <f>L655/O655</f>
        <v/>
      </c>
      <c r="K655" s="98" t="n">
        <v>6.852</v>
      </c>
      <c r="L655" s="98" t="n">
        <v>24811.5</v>
      </c>
      <c r="M655" s="98" t="n">
        <v>4.18</v>
      </c>
      <c r="N655" s="98">
        <f>K655-I655</f>
        <v/>
      </c>
      <c r="O655" s="98" t="n">
        <v>23.05</v>
      </c>
      <c r="P655" s="98" t="n">
        <v>3.858</v>
      </c>
      <c r="Q655" s="97">
        <f>K655-P655</f>
        <v/>
      </c>
      <c r="R655" s="98" t="n">
        <v>101.51</v>
      </c>
      <c r="S655" s="98">
        <f>(O655*T655)</f>
        <v/>
      </c>
      <c r="T655" s="79" t="n">
        <v>6.66</v>
      </c>
      <c r="U655" s="98" t="n">
        <v>21760.35</v>
      </c>
      <c r="V655" s="97" t="n">
        <v>43.99</v>
      </c>
      <c r="W655" s="98">
        <f>U655/V655</f>
        <v/>
      </c>
      <c r="X655" s="98">
        <f>(W655/U655)*100</f>
        <v/>
      </c>
      <c r="Y655" s="98" t="n">
        <v>22256.1</v>
      </c>
      <c r="Z655" s="98" t="n">
        <v>31.25</v>
      </c>
      <c r="AA655" s="98">
        <f>Y655/Z655</f>
        <v/>
      </c>
      <c r="AB655" s="98">
        <f>(AA655/Y655)*100</f>
        <v/>
      </c>
    </row>
    <row r="656">
      <c r="A656" s="92" t="n">
        <v>655</v>
      </c>
      <c r="B656" s="102" t="n">
        <v>45527</v>
      </c>
      <c r="C656" s="103" t="n">
        <v>46076227.7</v>
      </c>
      <c r="D656" s="98">
        <f>C656/E656</f>
        <v/>
      </c>
      <c r="E656" s="97" t="n">
        <v>83.809</v>
      </c>
      <c r="F656" s="98">
        <f>D656/100000</f>
        <v/>
      </c>
      <c r="G656" s="97">
        <f>(F656/DataSheet!$C$11*100)</f>
        <v/>
      </c>
      <c r="H656" s="98">
        <f>K656/I656</f>
        <v/>
      </c>
      <c r="I656" s="98">
        <f>(J656/L656)*100</f>
        <v/>
      </c>
      <c r="J656" s="97">
        <f>L656/O656</f>
        <v/>
      </c>
      <c r="K656" s="98" t="n">
        <v>6.859</v>
      </c>
      <c r="L656" s="98" t="n">
        <v>24823.15</v>
      </c>
      <c r="M656" s="98" t="n">
        <v>4.18</v>
      </c>
      <c r="N656" s="98">
        <f>K656-I656</f>
        <v/>
      </c>
      <c r="O656" s="98" t="n">
        <v>23.06</v>
      </c>
      <c r="P656" s="98" t="n">
        <v>3.795</v>
      </c>
      <c r="Q656" s="97">
        <f>K656-P656</f>
        <v/>
      </c>
      <c r="R656" s="98" t="n">
        <v>100.72</v>
      </c>
      <c r="S656" s="98">
        <f>(O656*T656)</f>
        <v/>
      </c>
      <c r="T656" s="79" t="n">
        <v>6.65</v>
      </c>
      <c r="U656" s="98" t="n">
        <v>21645.65</v>
      </c>
      <c r="V656" s="97" t="n">
        <v>43.76</v>
      </c>
      <c r="W656" s="98">
        <f>U656/V656</f>
        <v/>
      </c>
      <c r="X656" s="98">
        <f>(W656/U656)*100</f>
        <v/>
      </c>
      <c r="Y656" s="98" t="n">
        <v>21965.15</v>
      </c>
      <c r="Z656" s="98" t="n">
        <v>31.29</v>
      </c>
      <c r="AA656" s="98">
        <f>Y656/Z656</f>
        <v/>
      </c>
      <c r="AB656" s="98">
        <f>(AA656/Y656)*100</f>
        <v/>
      </c>
    </row>
    <row r="657">
      <c r="A657" s="92" t="n">
        <v>656</v>
      </c>
      <c r="B657" s="99" t="n">
        <v>45530</v>
      </c>
      <c r="C657" s="103" t="n">
        <v>46295933.68</v>
      </c>
      <c r="D657" s="98">
        <f>C657/E657</f>
        <v/>
      </c>
      <c r="E657" s="97" t="n">
        <v>83.84</v>
      </c>
      <c r="F657" s="98">
        <f>D657/100000</f>
        <v/>
      </c>
      <c r="G657" s="97">
        <f>(F657/DataSheet!$C$11*100)</f>
        <v/>
      </c>
      <c r="H657" s="98">
        <f>K657/I657</f>
        <v/>
      </c>
      <c r="I657" s="98">
        <f>(J657/L657)*100</f>
        <v/>
      </c>
      <c r="J657" s="97">
        <f>L657/O657</f>
        <v/>
      </c>
      <c r="K657" s="98" t="n">
        <v>6.851</v>
      </c>
      <c r="L657" s="98" t="n">
        <v>25010.6</v>
      </c>
      <c r="M657" s="98" t="n">
        <v>4.21</v>
      </c>
      <c r="N657" s="98">
        <f>K657-I657</f>
        <v/>
      </c>
      <c r="O657" s="98" t="n">
        <v>23.24</v>
      </c>
      <c r="P657" s="98" t="n">
        <v>3.82</v>
      </c>
      <c r="Q657" s="97">
        <f>K657-P657</f>
        <v/>
      </c>
      <c r="R657" s="98" t="n">
        <v>100.85</v>
      </c>
      <c r="S657" s="98">
        <f>(O657*T657)</f>
        <v/>
      </c>
      <c r="T657" s="79" t="n">
        <v>6.65</v>
      </c>
      <c r="U657" s="98" t="n">
        <v>21758.45</v>
      </c>
      <c r="V657" s="97" t="n">
        <v>43.99</v>
      </c>
      <c r="W657" s="98">
        <f>U657/V657</f>
        <v/>
      </c>
      <c r="X657" s="98">
        <f>(W657/U657)*100</f>
        <v/>
      </c>
      <c r="Y657" s="98" t="n">
        <v>22079.9</v>
      </c>
      <c r="Z657" s="98" t="n">
        <v>31.42</v>
      </c>
      <c r="AA657" s="98">
        <f>Y657/Z657</f>
        <v/>
      </c>
      <c r="AB657" s="98">
        <f>(AA657/Y657)*100</f>
        <v/>
      </c>
    </row>
    <row r="658">
      <c r="A658" s="92" t="n">
        <v>657</v>
      </c>
      <c r="B658" s="102" t="n">
        <v>45531</v>
      </c>
      <c r="C658" s="103" t="n">
        <v>46401936.54</v>
      </c>
      <c r="D658" s="98">
        <f>C658/E658</f>
        <v/>
      </c>
      <c r="E658" s="97" t="n">
        <v>83.91</v>
      </c>
      <c r="F658" s="98">
        <f>D658/100000</f>
        <v/>
      </c>
      <c r="G658" s="97">
        <f>(F658/DataSheet!$C$11*100)</f>
        <v/>
      </c>
      <c r="H658" s="98">
        <f>K658/I658</f>
        <v/>
      </c>
      <c r="I658" s="98">
        <f>(J658/L658)*100</f>
        <v/>
      </c>
      <c r="J658" s="97">
        <f>L658/O658</f>
        <v/>
      </c>
      <c r="K658" s="98" t="n">
        <v>6.861</v>
      </c>
      <c r="L658" s="98" t="n">
        <v>25017.75</v>
      </c>
      <c r="M658" s="98" t="n">
        <v>4.22</v>
      </c>
      <c r="N658" s="98">
        <f>K658-I658</f>
        <v/>
      </c>
      <c r="O658" s="98" t="n">
        <v>23.24</v>
      </c>
      <c r="P658" s="98" t="n">
        <v>3.829</v>
      </c>
      <c r="Q658" s="97">
        <f>K658-P658</f>
        <v/>
      </c>
      <c r="R658" s="98" t="n">
        <v>100.55</v>
      </c>
      <c r="S658" s="98">
        <f>(O658*T658)</f>
        <v/>
      </c>
      <c r="T658" s="79" t="n">
        <v>6.64</v>
      </c>
      <c r="U658" s="98" t="n">
        <v>21869.75</v>
      </c>
      <c r="V658" s="97" t="n">
        <v>44.21</v>
      </c>
      <c r="W658" s="98">
        <f>U658/V658</f>
        <v/>
      </c>
      <c r="X658" s="98">
        <f>(W658/U658)*100</f>
        <v/>
      </c>
      <c r="Y658" s="98" t="n">
        <v>22235.35</v>
      </c>
      <c r="Z658" s="98" t="n">
        <v>31.66</v>
      </c>
      <c r="AA658" s="98">
        <f>Y658/Z658</f>
        <v/>
      </c>
      <c r="AB658" s="98">
        <f>(AA658/Y658)*100</f>
        <v/>
      </c>
    </row>
    <row r="659">
      <c r="A659" s="92" t="n">
        <v>658</v>
      </c>
      <c r="B659" s="102" t="n">
        <v>45532</v>
      </c>
      <c r="C659" s="103" t="n">
        <v>46387121.74</v>
      </c>
      <c r="D659" s="98">
        <f>C659/E659</f>
        <v/>
      </c>
      <c r="E659" s="97" t="n">
        <v>83.90000000000001</v>
      </c>
      <c r="F659" s="98">
        <f>D659/100000</f>
        <v/>
      </c>
      <c r="G659" s="97">
        <f>(F659/DataSheet!$C$11*100)</f>
        <v/>
      </c>
      <c r="H659" s="98">
        <f>K659/I659</f>
        <v/>
      </c>
      <c r="I659" s="98">
        <f>(J659/L659)*100</f>
        <v/>
      </c>
      <c r="J659" s="97">
        <f>L659/O659</f>
        <v/>
      </c>
      <c r="K659" s="98" t="n">
        <v>6.861</v>
      </c>
      <c r="L659" s="98" t="n">
        <v>25052.35</v>
      </c>
      <c r="M659" s="98" t="n">
        <v>4.22</v>
      </c>
      <c r="N659" s="98">
        <f>K659-I659</f>
        <v/>
      </c>
      <c r="O659" s="98" t="n">
        <v>23.28</v>
      </c>
      <c r="P659" s="98" t="n">
        <v>3.839</v>
      </c>
      <c r="Q659" s="97">
        <f>K659-P659</f>
        <v/>
      </c>
      <c r="R659" s="98" t="n">
        <v>101.09</v>
      </c>
      <c r="S659" s="98">
        <f>(O659*T659)</f>
        <v/>
      </c>
      <c r="T659" s="79" t="n">
        <v>6.64</v>
      </c>
      <c r="U659" s="98" t="n">
        <v>21838.7</v>
      </c>
      <c r="V659" s="97" t="n">
        <v>44.14</v>
      </c>
      <c r="W659" s="98">
        <f>U659/V659</f>
        <v/>
      </c>
      <c r="X659" s="98">
        <f>(W659/U659)*100</f>
        <v/>
      </c>
      <c r="Y659" s="98" t="n">
        <v>22264.7</v>
      </c>
      <c r="Z659" s="98" t="n">
        <v>31.6</v>
      </c>
      <c r="AA659" s="98">
        <f>Y659/Z659</f>
        <v/>
      </c>
      <c r="AB659" s="98">
        <f>(AA659/Y659)*100</f>
        <v/>
      </c>
    </row>
    <row r="660">
      <c r="A660" s="92" t="n">
        <v>659</v>
      </c>
      <c r="B660" s="99" t="n">
        <v>45533</v>
      </c>
      <c r="C660" s="103" t="n">
        <v>46332157.79</v>
      </c>
      <c r="D660" s="98">
        <f>C660/E660</f>
        <v/>
      </c>
      <c r="E660" s="97" t="n">
        <v>83.88</v>
      </c>
      <c r="F660" s="98">
        <f>D660/100000</f>
        <v/>
      </c>
      <c r="G660" s="97">
        <f>(F660/DataSheet!$C$11*100)</f>
        <v/>
      </c>
      <c r="H660" s="98">
        <f>K660/I660</f>
        <v/>
      </c>
      <c r="I660" s="98">
        <f>(J660/L660)*100</f>
        <v/>
      </c>
      <c r="J660" s="97">
        <f>L660/O660</f>
        <v/>
      </c>
      <c r="K660" s="98" t="n">
        <v>6.864</v>
      </c>
      <c r="L660" s="98" t="n">
        <v>25151.95</v>
      </c>
      <c r="M660" s="98" t="n">
        <v>4.24</v>
      </c>
      <c r="N660" s="98">
        <f>K660-I660</f>
        <v/>
      </c>
      <c r="O660" s="98" t="n">
        <v>23.37</v>
      </c>
      <c r="P660" s="98" t="n">
        <v>3.863</v>
      </c>
      <c r="Q660" s="97">
        <f>K660-P660</f>
        <v/>
      </c>
      <c r="R660" s="98" t="n">
        <v>101.34</v>
      </c>
      <c r="S660" s="98">
        <f>(O660*T660)</f>
        <v/>
      </c>
      <c r="T660" s="79" t="n">
        <v>6.65</v>
      </c>
      <c r="U660" s="98" t="n">
        <v>21741.35</v>
      </c>
      <c r="V660" s="97" t="n">
        <v>43.95</v>
      </c>
      <c r="W660" s="98">
        <f>U660/V660</f>
        <v/>
      </c>
      <c r="X660" s="98">
        <f>(W660/U660)*100</f>
        <v/>
      </c>
      <c r="Y660" s="98" t="n">
        <v>22190.35</v>
      </c>
      <c r="Z660" s="98" t="n">
        <v>31.42</v>
      </c>
      <c r="AA660" s="98">
        <f>Y660/Z660</f>
        <v/>
      </c>
      <c r="AB660" s="98">
        <f>(AA660/Y660)*100</f>
        <v/>
      </c>
    </row>
    <row r="661">
      <c r="A661" s="92" t="n">
        <v>660</v>
      </c>
      <c r="B661" s="99" t="n">
        <v>45534</v>
      </c>
      <c r="C661" s="103" t="n">
        <v>46557196.97</v>
      </c>
      <c r="D661" s="98">
        <f>C661/E661</f>
        <v/>
      </c>
      <c r="E661" s="97" t="n">
        <v>83.867</v>
      </c>
      <c r="F661" s="98">
        <f>D661/100000</f>
        <v/>
      </c>
      <c r="G661" s="97">
        <f>(F661/DataSheet!$C$11*100)</f>
        <v/>
      </c>
      <c r="H661" s="98">
        <f>K661/I661</f>
        <v/>
      </c>
      <c r="I661" s="98">
        <f>(J661/L661)*100</f>
        <v/>
      </c>
      <c r="J661" s="97">
        <f>L661/O661</f>
        <v/>
      </c>
      <c r="K661" s="98" t="n">
        <v>6.863</v>
      </c>
      <c r="L661" s="98" t="n">
        <v>25235.9</v>
      </c>
      <c r="M661" s="98" t="n">
        <v>4.26</v>
      </c>
      <c r="N661" s="98">
        <f>K661-I661</f>
        <v/>
      </c>
      <c r="O661" s="98" t="n">
        <v>23.47</v>
      </c>
      <c r="P661" s="98" t="n">
        <v>3.909</v>
      </c>
      <c r="Q661" s="97">
        <f>K661-P661</f>
        <v/>
      </c>
      <c r="R661" s="98" t="n">
        <v>101.7</v>
      </c>
      <c r="S661" s="98">
        <f>(O661*T661)</f>
        <v/>
      </c>
      <c r="T661" s="79" t="n">
        <v>6.65</v>
      </c>
      <c r="U661" s="98" t="n">
        <v>21925.45</v>
      </c>
      <c r="V661" s="97" t="n">
        <v>44.22</v>
      </c>
      <c r="W661" s="98">
        <f>U661/V661</f>
        <v/>
      </c>
      <c r="X661" s="98">
        <f>(W661/U661)*100</f>
        <v/>
      </c>
      <c r="Y661" s="98" t="n">
        <v>22047.7</v>
      </c>
      <c r="Z661" s="98" t="n">
        <v>31.58</v>
      </c>
      <c r="AA661" s="98">
        <f>Y661/Z661</f>
        <v/>
      </c>
      <c r="AB661" s="98">
        <f>(AA661/Y661)*100</f>
        <v/>
      </c>
    </row>
    <row r="662">
      <c r="A662" s="92" t="n">
        <v>661</v>
      </c>
      <c r="B662" s="99" t="n">
        <v>45537</v>
      </c>
      <c r="C662" s="103" t="n">
        <v>46587149.18</v>
      </c>
      <c r="D662" s="98">
        <f>C662/E662</f>
        <v/>
      </c>
      <c r="E662" s="97" t="n">
        <v>83.88</v>
      </c>
      <c r="F662" s="98">
        <f>D662/100000</f>
        <v/>
      </c>
      <c r="G662" s="97">
        <f>(F662/DataSheet!$C$11*100)</f>
        <v/>
      </c>
      <c r="H662" s="98">
        <f>K662/I662</f>
        <v/>
      </c>
      <c r="I662" s="98">
        <f>(J662/L662)*100</f>
        <v/>
      </c>
      <c r="J662" s="97">
        <f>L662/O662</f>
        <v/>
      </c>
      <c r="K662" s="98" t="n">
        <v>6.876</v>
      </c>
      <c r="L662" s="98" t="n">
        <v>25278.7</v>
      </c>
      <c r="M662" s="98" t="n">
        <v>4.27</v>
      </c>
      <c r="N662" s="98">
        <f>K662-I662</f>
        <v/>
      </c>
      <c r="O662" s="98" t="n">
        <v>23.51</v>
      </c>
      <c r="P662" s="98" t="n">
        <v>3.926</v>
      </c>
      <c r="Q662" s="97">
        <f>K662-P662</f>
        <v/>
      </c>
      <c r="R662" s="98" t="n">
        <v>101.65</v>
      </c>
      <c r="S662" s="98">
        <f>(O662*T662)</f>
        <v/>
      </c>
      <c r="T662" s="79" t="n">
        <v>6.63</v>
      </c>
      <c r="U662" s="98" t="n">
        <v>21862.85</v>
      </c>
      <c r="V662" s="97" t="n">
        <v>44.1</v>
      </c>
      <c r="W662" s="98">
        <f>U662/V662</f>
        <v/>
      </c>
      <c r="X662" s="98">
        <f>(W662/U662)*100</f>
        <v/>
      </c>
      <c r="Y662" s="98" t="n">
        <v>21798.95</v>
      </c>
      <c r="Z662" s="98" t="n">
        <v>31.55</v>
      </c>
      <c r="AA662" s="98">
        <f>Y662/Z662</f>
        <v/>
      </c>
      <c r="AB662" s="98">
        <f>(AA662/Y662)*100</f>
        <v/>
      </c>
    </row>
    <row r="663">
      <c r="A663" s="92" t="n">
        <v>662</v>
      </c>
      <c r="B663" s="102" t="n">
        <v>45538</v>
      </c>
      <c r="C663" s="103" t="n">
        <v>46678436.06</v>
      </c>
      <c r="D663" s="98">
        <f>C663/E663</f>
        <v/>
      </c>
      <c r="E663" s="97" t="n">
        <v>83.95</v>
      </c>
      <c r="F663" s="98">
        <f>D663/100000</f>
        <v/>
      </c>
      <c r="G663" s="97">
        <f>(F663/DataSheet!$C$11*100)</f>
        <v/>
      </c>
      <c r="H663" s="98">
        <f>K663/I663</f>
        <v/>
      </c>
      <c r="I663" s="98">
        <f>(J663/L663)*100</f>
        <v/>
      </c>
      <c r="J663" s="97">
        <f>L663/O663</f>
        <v/>
      </c>
      <c r="K663" s="98" t="n">
        <v>6.87</v>
      </c>
      <c r="L663" s="98" t="n">
        <v>25279.85</v>
      </c>
      <c r="M663" s="98" t="n">
        <v>4.27</v>
      </c>
      <c r="N663" s="98">
        <f>K663-I663</f>
        <v/>
      </c>
      <c r="O663" s="98" t="n">
        <v>23.51</v>
      </c>
      <c r="P663" s="98" t="n">
        <v>3.831</v>
      </c>
      <c r="Q663" s="97">
        <f>K663-P663</f>
        <v/>
      </c>
      <c r="R663" s="98" t="n">
        <v>101.82</v>
      </c>
      <c r="S663" s="98">
        <f>(O663*T663)</f>
        <v/>
      </c>
      <c r="T663" s="79" t="n">
        <v>6.65</v>
      </c>
      <c r="U663" s="98" t="n">
        <v>21913.8</v>
      </c>
      <c r="V663" s="97" t="n">
        <v>44.23</v>
      </c>
      <c r="W663" s="98">
        <f>U663/V663</f>
        <v/>
      </c>
      <c r="X663" s="98">
        <f>(W663/U663)*100</f>
        <v/>
      </c>
      <c r="Y663" s="98" t="n">
        <v>21853.55</v>
      </c>
      <c r="Z663" s="98" t="n">
        <v>31.74</v>
      </c>
      <c r="AA663" s="98">
        <f>Y663/Z663</f>
        <v/>
      </c>
      <c r="AB663" s="98">
        <f>(AA663/Y663)*100</f>
        <v/>
      </c>
    </row>
    <row r="664">
      <c r="A664" s="92" t="n">
        <v>663</v>
      </c>
      <c r="B664" s="99" t="n">
        <v>45539</v>
      </c>
      <c r="C664" s="103" t="n">
        <v>46636960.47</v>
      </c>
      <c r="D664" s="98">
        <f>C664/E664</f>
        <v/>
      </c>
      <c r="E664" s="97" t="n">
        <v>83.95999999999999</v>
      </c>
      <c r="F664" s="98">
        <f>D664/100000</f>
        <v/>
      </c>
      <c r="G664" s="97">
        <f>(F664/DataSheet!$C$11*100)</f>
        <v/>
      </c>
      <c r="H664" s="98">
        <f>K664/I664</f>
        <v/>
      </c>
      <c r="I664" s="98">
        <f>(J664/L664)*100</f>
        <v/>
      </c>
      <c r="J664" s="97">
        <f>L664/O664</f>
        <v/>
      </c>
      <c r="K664" s="98" t="n">
        <v>6.859</v>
      </c>
      <c r="L664" s="98" t="n">
        <v>25198.7</v>
      </c>
      <c r="M664" s="98" t="n">
        <v>4.26</v>
      </c>
      <c r="N664" s="98">
        <f>K664-I664</f>
        <v/>
      </c>
      <c r="O664" s="98" t="n">
        <v>23.43</v>
      </c>
      <c r="P664" s="98" t="n">
        <v>3.757</v>
      </c>
      <c r="Q664" s="97">
        <f>K664-P664</f>
        <v/>
      </c>
      <c r="R664" s="98" t="n">
        <v>101.36</v>
      </c>
      <c r="S664" s="98">
        <f>(O664*T664)</f>
        <v/>
      </c>
      <c r="T664" s="79" t="n">
        <v>6.65</v>
      </c>
      <c r="U664" s="98" t="n">
        <v>21895.35</v>
      </c>
      <c r="V664" s="97" t="n">
        <v>44.2</v>
      </c>
      <c r="W664" s="98">
        <f>U664/V664</f>
        <v/>
      </c>
      <c r="X664" s="98">
        <f>(W664/U664)*100</f>
        <v/>
      </c>
      <c r="Y664" s="98" t="n">
        <v>21621.4</v>
      </c>
      <c r="Z664" s="98" t="n">
        <v>31.84</v>
      </c>
      <c r="AA664" s="98">
        <f>Y664/Z664</f>
        <v/>
      </c>
      <c r="AB664" s="98">
        <f>(AA664/Y664)*100</f>
        <v/>
      </c>
    </row>
    <row r="665">
      <c r="A665" s="92" t="n">
        <v>664</v>
      </c>
      <c r="B665" s="99" t="n">
        <v>45540</v>
      </c>
      <c r="C665" s="103" t="n">
        <v>46693528.88</v>
      </c>
      <c r="D665" s="98">
        <f>C665/E665</f>
        <v/>
      </c>
      <c r="E665" s="97" t="n">
        <v>83.961</v>
      </c>
      <c r="F665" s="98">
        <f>D665/100000</f>
        <v/>
      </c>
      <c r="G665" s="97">
        <f>(F665/DataSheet!$C$11*100)</f>
        <v/>
      </c>
      <c r="H665" s="98">
        <f>K665/I665</f>
        <v/>
      </c>
      <c r="I665" s="98">
        <f>(J665/L665)*100</f>
        <v/>
      </c>
      <c r="J665" s="97">
        <f>L665/O665</f>
        <v/>
      </c>
      <c r="K665" s="98" t="n">
        <v>6.855</v>
      </c>
      <c r="L665" s="98" t="n">
        <v>25145.1</v>
      </c>
      <c r="M665" s="98" t="n">
        <v>4.25</v>
      </c>
      <c r="N665" s="98">
        <f>K665-I665</f>
        <v/>
      </c>
      <c r="O665" s="98" t="n">
        <v>23.38</v>
      </c>
      <c r="P665" s="98" t="n">
        <v>3.725</v>
      </c>
      <c r="Q665" s="97">
        <f>K665-P665</f>
        <v/>
      </c>
      <c r="R665" s="98" t="n">
        <v>101.11</v>
      </c>
      <c r="S665" s="98">
        <f>(O665*T665)</f>
        <v/>
      </c>
      <c r="T665" s="79" t="n">
        <v>6.65</v>
      </c>
      <c r="U665" s="98" t="n">
        <v>21976.9</v>
      </c>
      <c r="V665" s="97" t="n">
        <v>44.36</v>
      </c>
      <c r="W665" s="98">
        <f>U665/V665</f>
        <v/>
      </c>
      <c r="X665" s="98">
        <f>(W665/U665)*100</f>
        <v/>
      </c>
      <c r="Y665" s="98" t="n">
        <v>21675.8</v>
      </c>
      <c r="Z665" s="98" t="n">
        <v>32.14</v>
      </c>
      <c r="AA665" s="98">
        <f>Y665/Z665</f>
        <v/>
      </c>
      <c r="AB665" s="98">
        <f>(AA665/Y665)*100</f>
        <v/>
      </c>
    </row>
    <row r="666">
      <c r="A666" s="92" t="n">
        <v>665</v>
      </c>
      <c r="B666" s="99" t="n">
        <v>45541</v>
      </c>
      <c r="C666" s="103" t="n">
        <v>46139779.52</v>
      </c>
      <c r="D666" s="98">
        <f>C666/E666</f>
        <v/>
      </c>
      <c r="E666" s="97" t="n">
        <v>83.985</v>
      </c>
      <c r="F666" s="98">
        <f>D666/100000</f>
        <v/>
      </c>
      <c r="G666" s="97">
        <f>(F666/DataSheet!$C$11*100)</f>
        <v/>
      </c>
      <c r="H666" s="98">
        <f>K666/I666</f>
        <v/>
      </c>
      <c r="I666" s="98">
        <f>(J666/L666)*100</f>
        <v/>
      </c>
      <c r="J666" s="97">
        <f>L666/O666</f>
        <v/>
      </c>
      <c r="K666" s="98" t="n">
        <v>6.854</v>
      </c>
      <c r="L666" s="98" t="n">
        <v>24852.15</v>
      </c>
      <c r="M666" s="98" t="n">
        <v>4.2</v>
      </c>
      <c r="N666" s="98">
        <f>K666-I666</f>
        <v/>
      </c>
      <c r="O666" s="98" t="n">
        <v>23.11</v>
      </c>
      <c r="P666" s="98" t="n">
        <v>3.716</v>
      </c>
      <c r="Q666" s="97">
        <f>K666-P666</f>
        <v/>
      </c>
      <c r="R666" s="98" t="n">
        <v>101.18</v>
      </c>
      <c r="S666" s="98">
        <f>(O666*T666)</f>
        <v/>
      </c>
      <c r="T666" s="79" t="n">
        <v>6.64</v>
      </c>
      <c r="U666" s="98" t="n">
        <v>21675.8</v>
      </c>
      <c r="V666" s="97" t="n">
        <v>43.75</v>
      </c>
      <c r="W666" s="98">
        <f>U666/V666</f>
        <v/>
      </c>
      <c r="X666" s="98">
        <f>(W666/U666)*100</f>
        <v/>
      </c>
      <c r="Y666" s="98" t="n">
        <v>21976.9</v>
      </c>
      <c r="Z666" s="98" t="n">
        <v>31.81</v>
      </c>
      <c r="AA666" s="98">
        <f>Y666/Z666</f>
        <v/>
      </c>
      <c r="AB666" s="98">
        <f>(AA666/Y666)*100</f>
        <v/>
      </c>
    </row>
    <row r="667">
      <c r="A667" s="92" t="n">
        <v>666</v>
      </c>
      <c r="B667" s="99" t="n">
        <v>45544</v>
      </c>
      <c r="C667" s="103" t="n">
        <v>46111648.47</v>
      </c>
      <c r="D667" s="98">
        <f>C667/E667</f>
        <v/>
      </c>
      <c r="E667" s="97" t="n">
        <v>83.928</v>
      </c>
      <c r="F667" s="98">
        <f>D667/100000</f>
        <v/>
      </c>
      <c r="G667" s="97">
        <f>(F667/DataSheet!$C$11*100)</f>
        <v/>
      </c>
      <c r="H667" s="98">
        <f>K667/I667</f>
        <v/>
      </c>
      <c r="I667" s="98">
        <f>(J667/L667)*100</f>
        <v/>
      </c>
      <c r="J667" s="97">
        <f>L667/O667</f>
        <v/>
      </c>
      <c r="K667" s="98" t="n">
        <v>6.854</v>
      </c>
      <c r="L667" s="98" t="n">
        <v>24936.4</v>
      </c>
      <c r="M667" s="98" t="n">
        <v>4.21</v>
      </c>
      <c r="N667" s="98">
        <f>K667-I667</f>
        <v/>
      </c>
      <c r="O667" s="98" t="n">
        <v>23.19</v>
      </c>
      <c r="P667" s="98" t="n">
        <v>3.702</v>
      </c>
      <c r="Q667" s="97">
        <f>K667-P667</f>
        <v/>
      </c>
      <c r="R667" s="98" t="n">
        <v>101.55</v>
      </c>
      <c r="S667" s="98">
        <f>(O667*T667)</f>
        <v/>
      </c>
      <c r="T667" s="79" t="n">
        <v>6.65</v>
      </c>
      <c r="U667" s="98" t="n">
        <v>21621.4</v>
      </c>
      <c r="V667" s="97" t="n">
        <v>43.64</v>
      </c>
      <c r="W667" s="98">
        <f>U667/V667</f>
        <v/>
      </c>
      <c r="X667" s="98">
        <f>(W667/U667)*100</f>
        <v/>
      </c>
      <c r="Y667" s="98" t="n">
        <v>21895.35</v>
      </c>
      <c r="Z667" s="98" t="n">
        <v>31.55</v>
      </c>
      <c r="AA667" s="98">
        <f>Y667/Z667</f>
        <v/>
      </c>
      <c r="AB667" s="98">
        <f>(AA667/Y667)*100</f>
        <v/>
      </c>
    </row>
    <row r="668">
      <c r="A668" s="92" t="n">
        <v>667</v>
      </c>
      <c r="B668" s="99" t="n">
        <v>45545</v>
      </c>
      <c r="C668" s="103" t="n">
        <v>46464366.6</v>
      </c>
      <c r="D668" s="98">
        <f>C668/E668</f>
        <v/>
      </c>
      <c r="E668" s="97" t="n">
        <v>83.949</v>
      </c>
      <c r="F668" s="98">
        <f>D668/100000</f>
        <v/>
      </c>
      <c r="G668" s="97">
        <f>(F668/DataSheet!$C$11*100)</f>
        <v/>
      </c>
      <c r="H668" s="98">
        <f>K668/I668</f>
        <v/>
      </c>
      <c r="I668" s="98">
        <f>(J668/L668)*100</f>
        <v/>
      </c>
      <c r="J668" s="97">
        <f>L668/O668</f>
        <v/>
      </c>
      <c r="K668" s="98" t="n">
        <v>6.851</v>
      </c>
      <c r="L668" s="98" t="n">
        <v>25041.1</v>
      </c>
      <c r="M668" s="98" t="n">
        <v>4.15</v>
      </c>
      <c r="N668" s="98">
        <f>K668-I668</f>
        <v/>
      </c>
      <c r="O668" s="98" t="n">
        <v>23.29</v>
      </c>
      <c r="P668" s="98" t="n">
        <v>3.64</v>
      </c>
      <c r="Q668" s="97">
        <f>K668-P668</f>
        <v/>
      </c>
      <c r="R668" s="98" t="n">
        <v>101.63</v>
      </c>
      <c r="S668" s="98">
        <f>(O668*T668)</f>
        <v/>
      </c>
      <c r="T668" s="79" t="n">
        <v>6.64</v>
      </c>
      <c r="U668" s="98" t="n">
        <v>21853.55</v>
      </c>
      <c r="V668" s="97" t="n">
        <v>44.11</v>
      </c>
      <c r="W668" s="98">
        <f>U668/V668</f>
        <v/>
      </c>
      <c r="X668" s="98">
        <f>(W668/U668)*100</f>
        <v/>
      </c>
      <c r="Y668" s="98" t="n">
        <v>21913.8</v>
      </c>
      <c r="Z668" s="98" t="n">
        <v>31.94</v>
      </c>
      <c r="AA668" s="98">
        <f>Y668/Z668</f>
        <v/>
      </c>
      <c r="AB668" s="98">
        <f>(AA668/Y668)*100</f>
        <v/>
      </c>
    </row>
    <row r="669">
      <c r="A669" s="92" t="n">
        <v>668</v>
      </c>
      <c r="B669" s="99" t="n">
        <v>45546</v>
      </c>
      <c r="C669" s="103" t="n">
        <v>46188514.38</v>
      </c>
      <c r="D669" s="98">
        <f>C669/E669</f>
        <v/>
      </c>
      <c r="E669" s="97" t="n">
        <v>83.95999999999999</v>
      </c>
      <c r="F669" s="98">
        <f>D669/100000</f>
        <v/>
      </c>
      <c r="G669" s="97">
        <f>(F669/DataSheet!$C$11*100)</f>
        <v/>
      </c>
      <c r="H669" s="98">
        <f>K669/I669</f>
        <v/>
      </c>
      <c r="I669" s="98">
        <f>(J669/L669)*100</f>
        <v/>
      </c>
      <c r="J669" s="97">
        <f>L669/O669</f>
        <v/>
      </c>
      <c r="K669" s="98" t="n">
        <v>6.83</v>
      </c>
      <c r="L669" s="98" t="n">
        <v>24918.45</v>
      </c>
      <c r="M669" s="98" t="n">
        <v>4.11</v>
      </c>
      <c r="N669" s="98">
        <f>K669-I669</f>
        <v/>
      </c>
      <c r="O669" s="98" t="n">
        <v>23.17</v>
      </c>
      <c r="P669" s="98" t="n">
        <v>3.661</v>
      </c>
      <c r="Q669" s="97">
        <f>K669-P669</f>
        <v/>
      </c>
      <c r="R669" s="98" t="n">
        <v>101.68</v>
      </c>
      <c r="S669" s="98">
        <f>(O669*T669)</f>
        <v/>
      </c>
      <c r="T669" s="79" t="n">
        <v>6.63</v>
      </c>
      <c r="U669" s="98" t="n">
        <v>21798.95</v>
      </c>
      <c r="V669" s="97" t="n">
        <v>44</v>
      </c>
      <c r="W669" s="98">
        <f>U669/V669</f>
        <v/>
      </c>
      <c r="X669" s="98">
        <f>(W669/U669)*100</f>
        <v/>
      </c>
      <c r="Y669" s="98" t="n">
        <v>21862.85</v>
      </c>
      <c r="Z669" s="98" t="n">
        <v>31.69</v>
      </c>
      <c r="AA669" s="98">
        <f>Y669/Z669</f>
        <v/>
      </c>
      <c r="AB669" s="98">
        <f>(AA669/Y669)*100</f>
        <v/>
      </c>
    </row>
    <row r="670">
      <c r="A670" s="92" t="n">
        <v>669</v>
      </c>
      <c r="B670" s="102" t="n">
        <v>45547</v>
      </c>
      <c r="C670" s="103" t="n">
        <v>46855202.83</v>
      </c>
      <c r="D670" s="98">
        <f>C670/E670</f>
        <v/>
      </c>
      <c r="E670" s="97" t="n">
        <v>83.92</v>
      </c>
      <c r="F670" s="98">
        <f>D670/100000</f>
        <v/>
      </c>
      <c r="G670" s="97">
        <f>(F670/DataSheet!$C$11*100)</f>
        <v/>
      </c>
      <c r="H670" s="98">
        <f>K670/I670</f>
        <v/>
      </c>
      <c r="I670" s="98">
        <f>(J670/L670)*100</f>
        <v/>
      </c>
      <c r="J670" s="97">
        <f>L670/O670</f>
        <v/>
      </c>
      <c r="K670" s="98" t="n">
        <v>6.811</v>
      </c>
      <c r="L670" s="98" t="n">
        <v>25388.9</v>
      </c>
      <c r="M670" s="98" t="n">
        <v>4.18</v>
      </c>
      <c r="N670" s="98">
        <f>K670-I670</f>
        <v/>
      </c>
      <c r="O670" s="98" t="n">
        <v>23.61</v>
      </c>
      <c r="P670" s="98" t="n">
        <v>3.68</v>
      </c>
      <c r="Q670" s="97">
        <f>K670-P670</f>
        <v/>
      </c>
      <c r="R670" s="98" t="n">
        <v>101.37</v>
      </c>
      <c r="S670" s="98">
        <f>(O670*T670)</f>
        <v/>
      </c>
      <c r="T670" s="79" t="n">
        <v>6.65</v>
      </c>
      <c r="U670" s="98" t="n">
        <v>22047.7</v>
      </c>
      <c r="V670" s="97" t="n">
        <v>44.5</v>
      </c>
      <c r="W670" s="98">
        <f>U670/V670</f>
        <v/>
      </c>
      <c r="X670" s="98">
        <f>(W670/U670)*100</f>
        <v/>
      </c>
      <c r="Y670" s="98" t="n">
        <v>21925.45</v>
      </c>
      <c r="Z670" s="98" t="n">
        <v>31.94</v>
      </c>
      <c r="AA670" s="98">
        <f>Y670/Z670</f>
        <v/>
      </c>
      <c r="AB670" s="98">
        <f>(AA670/Y670)*100</f>
        <v/>
      </c>
    </row>
    <row r="671">
      <c r="A671" s="92" t="n">
        <v>670</v>
      </c>
      <c r="B671" s="99" t="n">
        <v>45548</v>
      </c>
      <c r="C671" s="103" t="n">
        <v>46991524.25</v>
      </c>
      <c r="D671" s="98">
        <f>C671/E671</f>
        <v/>
      </c>
      <c r="E671" s="97" t="n">
        <v>83.88</v>
      </c>
      <c r="F671" s="98">
        <f>D671/100000</f>
        <v/>
      </c>
      <c r="G671" s="97">
        <f>(F671/DataSheet!$C$11*100)</f>
        <v/>
      </c>
      <c r="H671" s="98">
        <f>K671/I671</f>
        <v/>
      </c>
      <c r="I671" s="98">
        <f>(J671/L671)*100</f>
        <v/>
      </c>
      <c r="J671" s="97">
        <f>L671/O671</f>
        <v/>
      </c>
      <c r="K671" s="98" t="n">
        <v>6.792</v>
      </c>
      <c r="L671" s="98" t="n">
        <v>25356.5</v>
      </c>
      <c r="M671" s="98" t="n">
        <v>4.07</v>
      </c>
      <c r="N671" s="98">
        <f>K671-I671</f>
        <v/>
      </c>
      <c r="O671" s="98" t="n">
        <v>23.58</v>
      </c>
      <c r="P671" s="98" t="n">
        <v>3.657</v>
      </c>
      <c r="Q671" s="97">
        <f>K671-P671</f>
        <v/>
      </c>
      <c r="R671" s="98" t="n">
        <v>101.11</v>
      </c>
      <c r="S671" s="98">
        <f>(O671*T671)</f>
        <v/>
      </c>
      <c r="T671" s="79" t="n">
        <v>6.57</v>
      </c>
      <c r="U671" s="98" t="n">
        <v>22190.35</v>
      </c>
      <c r="V671" s="97" t="n">
        <v>44.79</v>
      </c>
      <c r="W671" s="98">
        <f>U671/V671</f>
        <v/>
      </c>
      <c r="X671" s="98">
        <f>(W671/U671)*100</f>
        <v/>
      </c>
      <c r="Y671" s="98" t="n">
        <v>21741.35</v>
      </c>
      <c r="Z671" s="98" t="n">
        <v>32.22</v>
      </c>
      <c r="AA671" s="98">
        <f>Y671/Z671</f>
        <v/>
      </c>
      <c r="AB671" s="98">
        <f>(AA671/Y671)*100</f>
        <v/>
      </c>
    </row>
    <row r="672">
      <c r="A672" s="92" t="n">
        <v>671</v>
      </c>
      <c r="B672" s="99" t="n">
        <v>45551</v>
      </c>
      <c r="C672" s="103" t="n">
        <v>47147099.85</v>
      </c>
      <c r="D672" s="98">
        <f>C672/E672</f>
        <v/>
      </c>
      <c r="E672" s="97" t="n">
        <v>83.84</v>
      </c>
      <c r="F672" s="98">
        <f>D672/100000</f>
        <v/>
      </c>
      <c r="G672" s="97">
        <f>(F672/DataSheet!$C$11*100)</f>
        <v/>
      </c>
      <c r="H672" s="98">
        <f>K672/I672</f>
        <v/>
      </c>
      <c r="I672" s="98">
        <f>(J672/L672)*100</f>
        <v/>
      </c>
      <c r="J672" s="97">
        <f>L672/O672</f>
        <v/>
      </c>
      <c r="K672" s="98" t="n">
        <v>6.762</v>
      </c>
      <c r="L672" s="98" t="n">
        <v>25383.75</v>
      </c>
      <c r="M672" s="98" t="n">
        <v>4.07</v>
      </c>
      <c r="N672" s="98">
        <f>K672-I672</f>
        <v/>
      </c>
      <c r="O672" s="98" t="n">
        <v>23.61</v>
      </c>
      <c r="P672" s="98" t="n">
        <v>3.618</v>
      </c>
      <c r="Q672" s="97">
        <f>K672-P672</f>
        <v/>
      </c>
      <c r="R672" s="98" t="n">
        <v>100.76</v>
      </c>
      <c r="S672" s="98">
        <f>(O672*T672)</f>
        <v/>
      </c>
      <c r="T672" s="79" t="n">
        <v>6.58</v>
      </c>
      <c r="U672" s="98" t="n">
        <v>22264.7</v>
      </c>
      <c r="V672" s="97" t="n">
        <v>44.94</v>
      </c>
      <c r="W672" s="98">
        <f>U672/V672</f>
        <v/>
      </c>
      <c r="X672" s="98">
        <f>(W672/U672)*100</f>
        <v/>
      </c>
      <c r="Y672" s="98" t="n">
        <v>21838.7</v>
      </c>
      <c r="Z672" s="98" t="n">
        <v>32.27</v>
      </c>
      <c r="AA672" s="98">
        <f>Y672/Z672</f>
        <v/>
      </c>
      <c r="AB672" s="98">
        <f>(AA672/Y672)*100</f>
        <v/>
      </c>
    </row>
    <row r="673">
      <c r="A673" s="92" t="n">
        <v>672</v>
      </c>
      <c r="B673" s="99" t="n">
        <v>45552</v>
      </c>
      <c r="C673" s="103" t="n">
        <v>47145940.77</v>
      </c>
      <c r="D673" s="98">
        <f>C673/E673</f>
        <v/>
      </c>
      <c r="E673" s="97" t="n">
        <v>83.747</v>
      </c>
      <c r="F673" s="98">
        <f>D673/100000</f>
        <v/>
      </c>
      <c r="G673" s="97">
        <f>(F673/DataSheet!$C$11*100)</f>
        <v/>
      </c>
      <c r="H673" s="98">
        <f>K673/I673</f>
        <v/>
      </c>
      <c r="I673" s="98">
        <f>(J673/L673)*100</f>
        <v/>
      </c>
      <c r="J673" s="97">
        <f>L673/O673</f>
        <v/>
      </c>
      <c r="K673" s="98" t="n">
        <v>6.779</v>
      </c>
      <c r="L673" s="98" t="n">
        <v>25418.55</v>
      </c>
      <c r="M673" s="98" t="n">
        <v>4.05</v>
      </c>
      <c r="N673" s="98">
        <f>K673-I673</f>
        <v/>
      </c>
      <c r="O673" s="98" t="n">
        <v>23.64</v>
      </c>
      <c r="P673" s="98" t="n">
        <v>3.648</v>
      </c>
      <c r="Q673" s="97">
        <f>K673-P673</f>
        <v/>
      </c>
      <c r="R673" s="98" t="n">
        <v>100.89</v>
      </c>
      <c r="S673" s="98">
        <f>(O673*T673)</f>
        <v/>
      </c>
      <c r="T673" s="79" t="n">
        <v>6.6</v>
      </c>
      <c r="U673" s="98" t="n">
        <v>22235.35</v>
      </c>
      <c r="V673" s="97" t="n">
        <v>44.88</v>
      </c>
      <c r="W673" s="98">
        <f>U673/V673</f>
        <v/>
      </c>
      <c r="X673" s="98">
        <f>(W673/U673)*100</f>
        <v/>
      </c>
      <c r="Y673" s="98" t="n">
        <v>21869.75</v>
      </c>
      <c r="Z673" s="98" t="n">
        <v>32.05</v>
      </c>
      <c r="AA673" s="98">
        <f>Y673/Z673</f>
        <v/>
      </c>
      <c r="AB673" s="98">
        <f>(AA673/Y673)*100</f>
        <v/>
      </c>
    </row>
    <row r="674">
      <c r="A674" s="92" t="n">
        <v>673</v>
      </c>
      <c r="B674" s="102" t="n">
        <v>45553</v>
      </c>
      <c r="C674" s="103" t="n">
        <v>46894452.2</v>
      </c>
      <c r="D674" s="98">
        <f>C674/E674</f>
        <v/>
      </c>
      <c r="E674" s="97" t="n">
        <v>83.65000000000001</v>
      </c>
      <c r="F674" s="98">
        <f>D674/100000</f>
        <v/>
      </c>
      <c r="G674" s="97">
        <f>(F674/DataSheet!$C$11*100)</f>
        <v/>
      </c>
      <c r="H674" s="98">
        <f>K674/I674</f>
        <v/>
      </c>
      <c r="I674" s="98">
        <f>(J674/L674)*100</f>
        <v/>
      </c>
      <c r="J674" s="97">
        <f>L674/O674</f>
        <v/>
      </c>
      <c r="K674" s="98" t="n">
        <v>6.78</v>
      </c>
      <c r="L674" s="98" t="n">
        <v>25377.55</v>
      </c>
      <c r="M674" s="98" t="n">
        <v>4.04</v>
      </c>
      <c r="N674" s="98">
        <f>K674-I674</f>
        <v/>
      </c>
      <c r="O674" s="98" t="n">
        <v>23.6</v>
      </c>
      <c r="P674" s="98" t="n">
        <v>3.713</v>
      </c>
      <c r="Q674" s="97">
        <f>K674-P674</f>
        <v/>
      </c>
      <c r="R674" s="98" t="n">
        <v>100.6</v>
      </c>
      <c r="S674" s="98">
        <f>(O674*T674)</f>
        <v/>
      </c>
      <c r="T674" s="79" t="n">
        <v>6.6</v>
      </c>
      <c r="U674" s="98" t="n">
        <v>22079.9</v>
      </c>
      <c r="V674" s="97" t="n">
        <v>44.57</v>
      </c>
      <c r="W674" s="98">
        <f>U674/V674</f>
        <v/>
      </c>
      <c r="X674" s="98">
        <f>(W674/U674)*100</f>
        <v/>
      </c>
      <c r="Y674" s="98" t="n">
        <v>21758.45</v>
      </c>
      <c r="Z674" s="98" t="n">
        <v>31.94</v>
      </c>
      <c r="AA674" s="98">
        <f>Y674/Z674</f>
        <v/>
      </c>
      <c r="AB674" s="98">
        <f>(AA674/Y674)*100</f>
        <v/>
      </c>
    </row>
    <row r="675">
      <c r="A675" s="92" t="n">
        <v>674</v>
      </c>
      <c r="B675" s="99" t="n">
        <v>45554</v>
      </c>
      <c r="C675" s="103" t="n">
        <v>46652803.38</v>
      </c>
      <c r="D675" s="98">
        <f>C675/E675</f>
        <v/>
      </c>
      <c r="E675" s="97" t="n">
        <v>83.62</v>
      </c>
      <c r="F675" s="98">
        <f>D675/100000</f>
        <v/>
      </c>
      <c r="G675" s="97">
        <f>(F675/DataSheet!$C$11*100)</f>
        <v/>
      </c>
      <c r="H675" s="98">
        <f>K675/I675</f>
        <v/>
      </c>
      <c r="I675" s="98">
        <f>(J675/L675)*100</f>
        <v/>
      </c>
      <c r="J675" s="97">
        <f>L675/O675</f>
        <v/>
      </c>
      <c r="K675" s="98" t="n">
        <v>6.758</v>
      </c>
      <c r="L675" s="98" t="n">
        <v>25415.8</v>
      </c>
      <c r="M675" s="98" t="n">
        <v>4.04</v>
      </c>
      <c r="N675" s="98">
        <f>K675-I675</f>
        <v/>
      </c>
      <c r="O675" s="98" t="n">
        <v>23.64</v>
      </c>
      <c r="P675" s="98" t="n">
        <v>3.719</v>
      </c>
      <c r="Q675" s="97">
        <f>K675-P675</f>
        <v/>
      </c>
      <c r="R675" s="98" t="n">
        <v>100.61</v>
      </c>
      <c r="S675" s="98">
        <f>(O675*T675)</f>
        <v/>
      </c>
      <c r="T675" s="79" t="n">
        <v>6.55</v>
      </c>
      <c r="U675" s="98" t="n">
        <v>21965.15</v>
      </c>
      <c r="V675" s="97" t="n">
        <v>44.33</v>
      </c>
      <c r="W675" s="98">
        <f>U675/V675</f>
        <v/>
      </c>
      <c r="X675" s="98">
        <f>(W675/U675)*100</f>
        <v/>
      </c>
      <c r="Y675" s="98" t="n">
        <v>21645.65</v>
      </c>
      <c r="Z675" s="98" t="n">
        <v>31.58</v>
      </c>
      <c r="AA675" s="98">
        <f>Y675/Z675</f>
        <v/>
      </c>
      <c r="AB675" s="98">
        <f>(AA675/Y675)*100</f>
        <v/>
      </c>
    </row>
    <row r="676">
      <c r="A676" s="92" t="n">
        <v>675</v>
      </c>
      <c r="B676" s="102" t="n">
        <v>45555</v>
      </c>
      <c r="C676" s="103" t="n">
        <v>47278138.28</v>
      </c>
      <c r="D676" s="98">
        <f>C676/E676</f>
        <v/>
      </c>
      <c r="E676" s="97" t="n">
        <v>83.485</v>
      </c>
      <c r="F676" s="98">
        <f>D676/100000</f>
        <v/>
      </c>
      <c r="G676" s="97">
        <f>(F676/DataSheet!$C$11*100)</f>
        <v/>
      </c>
      <c r="H676" s="98">
        <f>K676/I676</f>
        <v/>
      </c>
      <c r="I676" s="98">
        <f>(J676/L676)*100</f>
        <v/>
      </c>
      <c r="J676" s="97">
        <f>L676/O676</f>
        <v/>
      </c>
      <c r="K676" s="98" t="n">
        <v>6.761</v>
      </c>
      <c r="L676" s="98" t="n">
        <v>25790.95</v>
      </c>
      <c r="M676" s="98" t="n">
        <v>4.08</v>
      </c>
      <c r="N676" s="98">
        <f>K676-I676</f>
        <v/>
      </c>
      <c r="O676" s="98" t="n">
        <v>23.98</v>
      </c>
      <c r="P676" s="98" t="n">
        <v>3.741</v>
      </c>
      <c r="Q676" s="97">
        <f>K676-P676</f>
        <v/>
      </c>
      <c r="R676" s="98" t="n">
        <v>100.72</v>
      </c>
      <c r="S676" s="98">
        <f>(O676*T676)</f>
        <v/>
      </c>
      <c r="T676" s="79" t="n">
        <v>6.57</v>
      </c>
      <c r="U676" s="98" t="n">
        <v>22256.1</v>
      </c>
      <c r="V676" s="97" t="n">
        <v>44.92</v>
      </c>
      <c r="W676" s="98">
        <f>U676/V676</f>
        <v/>
      </c>
      <c r="X676" s="98">
        <f>(W676/U676)*100</f>
        <v/>
      </c>
      <c r="Y676" s="98" t="n">
        <v>21760.35</v>
      </c>
      <c r="Z676" s="98" t="n">
        <v>31.91</v>
      </c>
      <c r="AA676" s="98">
        <f>Y676/Z676</f>
        <v/>
      </c>
      <c r="AB676" s="98">
        <f>(AA676/Y676)*100</f>
        <v/>
      </c>
    </row>
    <row r="677">
      <c r="A677" s="92" t="n">
        <v>676</v>
      </c>
      <c r="B677" s="102" t="n">
        <v>45558</v>
      </c>
      <c r="C677" s="103" t="n">
        <v>47701059.95</v>
      </c>
      <c r="D677" s="98">
        <f>C677/E677</f>
        <v/>
      </c>
      <c r="E677" s="97" t="n">
        <v>83.53</v>
      </c>
      <c r="F677" s="98">
        <f>D677/100000</f>
        <v/>
      </c>
      <c r="G677" s="97">
        <f>(F677/DataSheet!$C$11*100)</f>
        <v/>
      </c>
      <c r="H677" s="98">
        <f>K677/I677</f>
        <v/>
      </c>
      <c r="I677" s="98">
        <f>(J677/L677)*100</f>
        <v/>
      </c>
      <c r="J677" s="97">
        <f>L677/O677</f>
        <v/>
      </c>
      <c r="K677" s="98" t="n">
        <v>6.767</v>
      </c>
      <c r="L677" s="98" t="n">
        <v>25939.05</v>
      </c>
      <c r="M677" s="98" t="n">
        <v>3.83</v>
      </c>
      <c r="N677" s="98">
        <f>K677-I677</f>
        <v/>
      </c>
      <c r="O677" s="98" t="n">
        <v>24.12</v>
      </c>
      <c r="P677" s="98" t="n">
        <v>3.751</v>
      </c>
      <c r="Q677" s="97">
        <f>K677-P677</f>
        <v/>
      </c>
      <c r="R677" s="98" t="n">
        <v>100.93</v>
      </c>
      <c r="S677" s="98">
        <f>(O677*T677)</f>
        <v/>
      </c>
      <c r="T677" s="79" t="n">
        <v>6.57</v>
      </c>
      <c r="U677" s="98" t="n">
        <v>22423.7</v>
      </c>
      <c r="V677" s="97" t="n">
        <v>45.26</v>
      </c>
      <c r="W677" s="98">
        <f>U677/V677</f>
        <v/>
      </c>
      <c r="X677" s="98">
        <f>(W677/U677)*100</f>
        <v/>
      </c>
      <c r="Y677" s="98" t="n">
        <v>21617.7</v>
      </c>
      <c r="Z677" s="98" t="n">
        <v>32.15</v>
      </c>
      <c r="AA677" s="98">
        <f>Y677/Z677</f>
        <v/>
      </c>
      <c r="AB677" s="98">
        <f>(AA677/Y677)*100</f>
        <v/>
      </c>
    </row>
    <row r="678">
      <c r="A678" s="92" t="n">
        <v>677</v>
      </c>
      <c r="B678" s="99" t="n">
        <v>45559</v>
      </c>
      <c r="C678" s="103" t="n">
        <v>47725000.13</v>
      </c>
      <c r="D678" s="98">
        <f>C678/E678</f>
        <v/>
      </c>
      <c r="E678" s="97" t="n">
        <v>83.59999999999999</v>
      </c>
      <c r="F678" s="98">
        <f>D678/100000</f>
        <v/>
      </c>
      <c r="G678" s="97">
        <f>(F678/DataSheet!$C$11*100)</f>
        <v/>
      </c>
      <c r="H678" s="98">
        <f>K678/I678</f>
        <v/>
      </c>
      <c r="I678" s="98">
        <f>(J678/L678)*100</f>
        <v/>
      </c>
      <c r="J678" s="97">
        <f>L678/O678</f>
        <v/>
      </c>
      <c r="K678" s="98" t="n">
        <v>6.761</v>
      </c>
      <c r="L678" s="98" t="n">
        <v>25940.4</v>
      </c>
      <c r="M678" s="98" t="n">
        <v>3.83</v>
      </c>
      <c r="N678" s="98">
        <f>K678-I678</f>
        <v/>
      </c>
      <c r="O678" s="98" t="n">
        <v>24.12</v>
      </c>
      <c r="P678" s="98" t="n">
        <v>3.732</v>
      </c>
      <c r="Q678" s="97">
        <f>K678-P678</f>
        <v/>
      </c>
      <c r="R678" s="98" t="n">
        <v>100.24</v>
      </c>
      <c r="S678" s="98">
        <f>(O678*T678)</f>
        <v/>
      </c>
      <c r="T678" s="79" t="n">
        <v>6.58</v>
      </c>
      <c r="U678" s="98" t="n">
        <v>22493.5</v>
      </c>
      <c r="V678" s="97" t="n">
        <v>45.4</v>
      </c>
      <c r="W678" s="98">
        <f>U678/V678</f>
        <v/>
      </c>
      <c r="X678" s="98">
        <f>(W678/U678)*100</f>
        <v/>
      </c>
      <c r="Y678" s="98" t="n">
        <v>21529.05</v>
      </c>
      <c r="Z678" s="98" t="n">
        <v>32.08</v>
      </c>
      <c r="AA678" s="98">
        <f>Y678/Z678</f>
        <v/>
      </c>
      <c r="AB678" s="98">
        <f>(AA678/Y678)*100</f>
        <v/>
      </c>
    </row>
    <row r="679">
      <c r="A679" s="92" t="n">
        <v>678</v>
      </c>
      <c r="B679" s="99" t="n">
        <v>45560</v>
      </c>
      <c r="C679" s="103" t="n">
        <v>47647270.41</v>
      </c>
      <c r="D679" s="98">
        <f>C679/E679</f>
        <v/>
      </c>
      <c r="E679" s="97" t="n">
        <v>83.59999999999999</v>
      </c>
      <c r="F679" s="98">
        <f>D679/100000</f>
        <v/>
      </c>
      <c r="G679" s="97">
        <f>(F679/DataSheet!$C$11*100)</f>
        <v/>
      </c>
      <c r="H679" s="98">
        <f>K679/I679</f>
        <v/>
      </c>
      <c r="I679" s="98">
        <f>(J679/L679)*100</f>
        <v/>
      </c>
      <c r="J679" s="97">
        <f>L679/O679</f>
        <v/>
      </c>
      <c r="K679" s="98" t="n">
        <v>6.738</v>
      </c>
      <c r="L679" s="98" t="n">
        <v>26004.15</v>
      </c>
      <c r="M679" s="98" t="n">
        <v>3.84</v>
      </c>
      <c r="N679" s="98">
        <f>K679-I679</f>
        <v/>
      </c>
      <c r="O679" s="98" t="n">
        <v>24.18</v>
      </c>
      <c r="P679" s="98" t="n">
        <v>3.791</v>
      </c>
      <c r="Q679" s="97">
        <f>K679-P679</f>
        <v/>
      </c>
      <c r="R679" s="98" t="n">
        <v>100.91</v>
      </c>
      <c r="S679" s="98">
        <f>(O679*T679)</f>
        <v/>
      </c>
      <c r="T679" s="79" t="n">
        <v>6.58</v>
      </c>
      <c r="U679" s="98" t="n">
        <v>22357.4</v>
      </c>
      <c r="V679" s="97" t="n">
        <v>45.13</v>
      </c>
      <c r="W679" s="98">
        <f>U679/V679</f>
        <v/>
      </c>
      <c r="X679" s="98">
        <f>(W679/U679)*100</f>
        <v/>
      </c>
      <c r="Y679" s="98" t="n">
        <v>21351.4</v>
      </c>
      <c r="Z679" s="98" t="n">
        <v>31.97</v>
      </c>
      <c r="AA679" s="98">
        <f>Y679/Z679</f>
        <v/>
      </c>
      <c r="AB679" s="98">
        <f>(AA679/Y679)*100</f>
        <v/>
      </c>
    </row>
    <row r="680">
      <c r="A680" s="92" t="n">
        <v>679</v>
      </c>
      <c r="B680" s="102" t="n">
        <v>45561</v>
      </c>
      <c r="C680" s="103" t="n">
        <v>47834255.1</v>
      </c>
      <c r="D680" s="98">
        <f>C680/E680</f>
        <v/>
      </c>
      <c r="E680" s="97" t="n">
        <v>83.601</v>
      </c>
      <c r="F680" s="98">
        <f>D680/100000</f>
        <v/>
      </c>
      <c r="G680" s="97">
        <f>(F680/DataSheet!$C$11*100)</f>
        <v/>
      </c>
      <c r="H680" s="98">
        <f>K680/I680</f>
        <v/>
      </c>
      <c r="I680" s="98">
        <f>(J680/L680)*100</f>
        <v/>
      </c>
      <c r="J680" s="97">
        <f>L680/O680</f>
        <v/>
      </c>
      <c r="K680" s="98" t="n">
        <v>6.718</v>
      </c>
      <c r="L680" s="98" t="n">
        <v>26216.05</v>
      </c>
      <c r="M680" s="98" t="n">
        <v>3.87</v>
      </c>
      <c r="N680" s="98">
        <f>K680-I680</f>
        <v/>
      </c>
      <c r="O680" s="98" t="n">
        <v>24.38</v>
      </c>
      <c r="P680" s="98" t="n">
        <v>3.796</v>
      </c>
      <c r="Q680" s="97">
        <f>K680-P680</f>
        <v/>
      </c>
      <c r="R680" s="98" t="n">
        <v>100.52</v>
      </c>
      <c r="S680" s="98">
        <f>(O680*T680)</f>
        <v/>
      </c>
      <c r="T680" s="79" t="n">
        <v>6.57</v>
      </c>
      <c r="U680" s="98" t="n">
        <v>22367.85</v>
      </c>
      <c r="V680" s="97" t="n">
        <v>45.15</v>
      </c>
      <c r="W680" s="98">
        <f>U680/V680</f>
        <v/>
      </c>
      <c r="X680" s="98">
        <f>(W680/U680)*100</f>
        <v/>
      </c>
      <c r="Y680" s="98" t="n">
        <v>21298.35</v>
      </c>
      <c r="Z680" s="98" t="n">
        <v>31.82</v>
      </c>
      <c r="AA680" s="98">
        <f>Y680/Z680</f>
        <v/>
      </c>
      <c r="AB680" s="98">
        <f>(AA680/Y680)*100</f>
        <v/>
      </c>
    </row>
    <row r="681">
      <c r="A681" s="92" t="n">
        <v>680</v>
      </c>
      <c r="B681" s="99" t="n">
        <v>45562</v>
      </c>
      <c r="C681" s="103" t="n">
        <v>47910402.02</v>
      </c>
      <c r="D681" s="98">
        <f>C681/E681</f>
        <v/>
      </c>
      <c r="E681" s="97" t="n">
        <v>83.70999999999999</v>
      </c>
      <c r="F681" s="98">
        <f>D681/100000</f>
        <v/>
      </c>
      <c r="G681" s="97">
        <f>(F681/DataSheet!$C$11*100)</f>
        <v/>
      </c>
      <c r="H681" s="98">
        <f>K681/I681</f>
        <v/>
      </c>
      <c r="I681" s="98">
        <f>(J681/L681)*100</f>
        <v/>
      </c>
      <c r="J681" s="97">
        <f>L681/O681</f>
        <v/>
      </c>
      <c r="K681" s="98" t="n">
        <v>6.759</v>
      </c>
      <c r="L681" s="98" t="n">
        <v>26178.95</v>
      </c>
      <c r="M681" s="98" t="n">
        <v>3.87</v>
      </c>
      <c r="N681" s="98">
        <f>K681-I681</f>
        <v/>
      </c>
      <c r="O681" s="98" t="n">
        <v>24.34</v>
      </c>
      <c r="P681" s="98" t="n">
        <v>3.751</v>
      </c>
      <c r="Q681" s="97">
        <f>K681-P681</f>
        <v/>
      </c>
      <c r="R681" s="98" t="n">
        <v>100.38</v>
      </c>
      <c r="S681" s="98">
        <f>(O681*T681)</f>
        <v/>
      </c>
      <c r="T681" s="79" t="n">
        <v>6.54</v>
      </c>
      <c r="U681" s="98" t="n">
        <v>22360.85</v>
      </c>
      <c r="V681" s="97" t="n">
        <v>45.13</v>
      </c>
      <c r="W681" s="98">
        <f>U681/V681</f>
        <v/>
      </c>
      <c r="X681" s="98">
        <f>(W681/U681)*100</f>
        <v/>
      </c>
      <c r="Y681" s="98" t="n">
        <v>20917.75</v>
      </c>
      <c r="Z681" s="98" t="n">
        <v>31.76</v>
      </c>
      <c r="AA681" s="98">
        <f>Y681/Z681</f>
        <v/>
      </c>
      <c r="AB681" s="98">
        <f>(AA681/Y681)*100</f>
        <v/>
      </c>
    </row>
    <row r="682">
      <c r="A682" s="92" t="n">
        <v>681</v>
      </c>
      <c r="B682" s="99" t="n">
        <v>45565</v>
      </c>
      <c r="C682" s="103" t="n">
        <v>47531851.61</v>
      </c>
      <c r="D682" s="98">
        <f>C682/E682</f>
        <v/>
      </c>
      <c r="E682" s="97" t="n">
        <v>83.755</v>
      </c>
      <c r="F682" s="98">
        <f>D682/100000</f>
        <v/>
      </c>
      <c r="G682" s="97">
        <f>(F682/DataSheet!$C$11*100)</f>
        <v/>
      </c>
      <c r="H682" s="98">
        <f>K682/I682</f>
        <v/>
      </c>
      <c r="I682" s="98">
        <f>(J682/L682)*100</f>
        <v/>
      </c>
      <c r="J682" s="97">
        <f>L682/O682</f>
        <v/>
      </c>
      <c r="K682" s="98" t="n">
        <v>6.75</v>
      </c>
      <c r="L682" s="98" t="n">
        <v>25810.85</v>
      </c>
      <c r="M682" s="98" t="n">
        <v>3.87</v>
      </c>
      <c r="N682" s="98">
        <f>K682-I682</f>
        <v/>
      </c>
      <c r="O682" s="98" t="n">
        <v>24.26</v>
      </c>
      <c r="P682" s="98" t="n">
        <v>3.787</v>
      </c>
      <c r="Q682" s="97">
        <f>K682-P682</f>
        <v/>
      </c>
      <c r="R682" s="98" t="n">
        <v>100.78</v>
      </c>
      <c r="S682" s="98">
        <f>(O682*T682)</f>
        <v/>
      </c>
      <c r="T682" s="79" t="n">
        <v>6.45</v>
      </c>
      <c r="U682" s="98" t="n">
        <v>22311.95</v>
      </c>
      <c r="V682" s="97" t="n">
        <v>45.66</v>
      </c>
      <c r="W682" s="98">
        <f>U682/V682</f>
        <v/>
      </c>
      <c r="X682" s="98">
        <f>(W682/U682)*100</f>
        <v/>
      </c>
      <c r="Y682" s="98" t="n">
        <v>21044.95</v>
      </c>
      <c r="Z682" s="98" t="n">
        <v>33.49</v>
      </c>
      <c r="AA682" s="98">
        <f>Y682/Z682</f>
        <v/>
      </c>
      <c r="AB682" s="98">
        <f>(AA682/Y682)*100</f>
        <v/>
      </c>
    </row>
    <row r="683">
      <c r="A683" s="92" t="n">
        <v>682</v>
      </c>
      <c r="B683" s="99" t="n">
        <v>45566</v>
      </c>
      <c r="C683" s="103" t="n">
        <v>47596283.68</v>
      </c>
      <c r="D683" s="98">
        <f>C683/E683</f>
        <v/>
      </c>
      <c r="E683" s="97" t="n">
        <v>83.90000000000001</v>
      </c>
      <c r="F683" s="98">
        <f>D683/100000</f>
        <v/>
      </c>
      <c r="G683" s="97">
        <f>(F683/DataSheet!$C$11*100)</f>
        <v/>
      </c>
      <c r="H683" s="98">
        <f>K683/I683</f>
        <v/>
      </c>
      <c r="I683" s="98">
        <f>(J683/L683)*100</f>
        <v/>
      </c>
      <c r="J683" s="97">
        <f>L683/O683</f>
        <v/>
      </c>
      <c r="K683" s="98" t="n">
        <v>6.732</v>
      </c>
      <c r="L683" s="98" t="n">
        <v>25796.9</v>
      </c>
      <c r="M683" s="98" t="n">
        <v>3.86</v>
      </c>
      <c r="N683" s="98">
        <f>K683-I683</f>
        <v/>
      </c>
      <c r="O683" s="98" t="n">
        <v>24.25</v>
      </c>
      <c r="P683" s="98" t="n">
        <v>3.731</v>
      </c>
      <c r="Q683" s="97">
        <f>K683-P683</f>
        <v/>
      </c>
      <c r="R683" s="98" t="n">
        <v>101.19</v>
      </c>
      <c r="S683" s="98">
        <f>(O683*T683)</f>
        <v/>
      </c>
      <c r="T683" s="79" t="n">
        <v>6.48</v>
      </c>
      <c r="U683" s="98" t="n">
        <v>22379.75</v>
      </c>
      <c r="V683" s="97" t="n">
        <v>45.8</v>
      </c>
      <c r="W683" s="98">
        <f>U683/V683</f>
        <v/>
      </c>
      <c r="X683" s="98">
        <f>(W683/U683)*100</f>
        <v/>
      </c>
      <c r="Y683" s="98" t="n">
        <v>21208.7</v>
      </c>
      <c r="Z683" s="98" t="n">
        <v>33.71</v>
      </c>
      <c r="AA683" s="98">
        <f>Y683/Z683</f>
        <v/>
      </c>
      <c r="AB683" s="98">
        <f>(AA683/Y683)*100</f>
        <v/>
      </c>
    </row>
    <row r="684">
      <c r="A684" s="92" t="n">
        <v>683</v>
      </c>
      <c r="B684" s="108" t="n">
        <v>45568</v>
      </c>
      <c r="C684" s="104" t="n">
        <v>46608996.76</v>
      </c>
      <c r="D684" s="98">
        <f>C684/E684</f>
        <v/>
      </c>
      <c r="E684" s="79" t="n">
        <v>83.98999999999999</v>
      </c>
      <c r="F684" s="98">
        <f>D684/100000</f>
        <v/>
      </c>
      <c r="G684" s="97">
        <f>(F684/DataSheet!$C$11*100)</f>
        <v/>
      </c>
      <c r="H684" s="98">
        <f>K684/I684</f>
        <v/>
      </c>
      <c r="I684" s="98">
        <f>(J684/L684)*100</f>
        <v/>
      </c>
      <c r="J684" s="97">
        <f>L684/O684</f>
        <v/>
      </c>
      <c r="K684" s="79" t="n">
        <v>6.777</v>
      </c>
      <c r="L684" s="79" t="n">
        <v>25250.1</v>
      </c>
      <c r="M684" s="79" t="n">
        <v>3.78</v>
      </c>
      <c r="N684" s="98">
        <f>K684-I684</f>
        <v/>
      </c>
      <c r="O684" s="79" t="n">
        <v>23.74</v>
      </c>
      <c r="P684" s="79" t="n">
        <v>3.846</v>
      </c>
      <c r="Q684" s="97">
        <f>K684-P684</f>
        <v/>
      </c>
      <c r="R684" s="79" t="n">
        <v>101.75</v>
      </c>
      <c r="S684" s="98">
        <f>(O684*T684)</f>
        <v/>
      </c>
      <c r="T684" s="79" t="n">
        <v>6.48</v>
      </c>
      <c r="U684" s="79" t="n">
        <v>21904.7</v>
      </c>
      <c r="V684" s="79" t="n">
        <v>44.83</v>
      </c>
      <c r="W684" s="98">
        <f>U684/V684</f>
        <v/>
      </c>
      <c r="X684" s="98">
        <f>(W684/U684)*100</f>
        <v/>
      </c>
      <c r="Y684" s="79" t="n">
        <v>18179.2</v>
      </c>
      <c r="Z684" s="80" t="n">
        <v>33.07</v>
      </c>
      <c r="AA684" s="98">
        <f>Y684/Z684</f>
        <v/>
      </c>
      <c r="AB684" s="98">
        <f>(AA684/Y684)*100</f>
        <v/>
      </c>
    </row>
    <row r="685">
      <c r="A685" s="92" t="n">
        <v>684</v>
      </c>
      <c r="B685" s="108" t="n">
        <v>45569</v>
      </c>
      <c r="C685" s="104" t="n">
        <v>46192308.53</v>
      </c>
      <c r="D685" s="98">
        <f>C685/E685</f>
        <v/>
      </c>
      <c r="E685" s="79" t="n">
        <v>84.023</v>
      </c>
      <c r="F685" s="98">
        <f>D685/100000</f>
        <v/>
      </c>
      <c r="G685" s="97">
        <f>(F685/DataSheet!$C$11*100)</f>
        <v/>
      </c>
      <c r="H685" s="98">
        <f>K685/I685</f>
        <v/>
      </c>
      <c r="I685" s="98">
        <f>(J685/L685)*100</f>
        <v/>
      </c>
      <c r="J685" s="97">
        <f>L685/O685</f>
        <v/>
      </c>
      <c r="K685" s="79" t="n">
        <v>6.829</v>
      </c>
      <c r="L685" s="79" t="n">
        <v>25014.6</v>
      </c>
      <c r="M685" s="79" t="n">
        <v>3.75</v>
      </c>
      <c r="N685" s="98">
        <f>K685-I685</f>
        <v/>
      </c>
      <c r="O685" s="79" t="n">
        <v>23.52</v>
      </c>
      <c r="P685" s="79" t="n">
        <v>3.981</v>
      </c>
      <c r="Q685" s="97">
        <f>K685-P685</f>
        <v/>
      </c>
      <c r="R685" s="79" t="n">
        <v>102.275</v>
      </c>
      <c r="S685" s="98">
        <f>(O685*T685)</f>
        <v/>
      </c>
      <c r="T685" s="79" t="n">
        <v>6.48</v>
      </c>
      <c r="U685" s="79" t="n">
        <v>21710.6</v>
      </c>
      <c r="V685" s="79" t="n">
        <v>44.43</v>
      </c>
      <c r="W685" s="98">
        <f>U685/V685</f>
        <v/>
      </c>
      <c r="X685" s="98">
        <f>(W685/U685)*100</f>
        <v/>
      </c>
      <c r="Y685" s="79" t="n">
        <v>18021.65</v>
      </c>
      <c r="Z685" s="80" t="n">
        <v>32.78</v>
      </c>
      <c r="AA685" s="98">
        <f>Y685/Z685</f>
        <v/>
      </c>
      <c r="AB685" s="98">
        <f>(AA685/Y685)*100</f>
        <v/>
      </c>
    </row>
    <row r="686">
      <c r="A686" s="92" t="n">
        <v>685</v>
      </c>
      <c r="B686" s="108" t="n">
        <v>45572</v>
      </c>
      <c r="C686" s="104" t="n">
        <v>45284402.49</v>
      </c>
      <c r="D686" s="98">
        <f>C686/E686</f>
        <v/>
      </c>
      <c r="E686" s="79" t="n">
        <v>83.98</v>
      </c>
      <c r="F686" s="98">
        <f>D686/100000</f>
        <v/>
      </c>
      <c r="G686" s="97">
        <f>(F686/DataSheet!$C$11*100)</f>
        <v/>
      </c>
      <c r="H686" s="98">
        <f>K686/I686</f>
        <v/>
      </c>
      <c r="I686" s="98">
        <f>(J686/L686)*100</f>
        <v/>
      </c>
      <c r="J686" s="97">
        <f>L686/O686</f>
        <v/>
      </c>
      <c r="K686" s="79" t="n">
        <v>6.846</v>
      </c>
      <c r="L686" s="79" t="n">
        <v>24795.75</v>
      </c>
      <c r="M686" s="79" t="n">
        <v>3.71</v>
      </c>
      <c r="N686" s="98">
        <f>K686-I686</f>
        <v/>
      </c>
      <c r="O686" s="79" t="n">
        <v>23.31</v>
      </c>
      <c r="P686" s="79" t="n">
        <v>4.026</v>
      </c>
      <c r="Q686" s="97">
        <f>K686-P686</f>
        <v/>
      </c>
      <c r="R686" s="79" t="n">
        <v>102.301</v>
      </c>
      <c r="S686" s="98">
        <f>(O686*T686)</f>
        <v/>
      </c>
      <c r="T686" s="79" t="n">
        <v>6.48</v>
      </c>
      <c r="U686" s="79" t="n">
        <v>21264.5</v>
      </c>
      <c r="V686" s="79" t="n">
        <v>43.52</v>
      </c>
      <c r="W686" s="98">
        <f>U686/V686</f>
        <v/>
      </c>
      <c r="X686" s="98">
        <f>(W686/U686)*100</f>
        <v/>
      </c>
      <c r="Y686" s="79" t="n">
        <v>17514.5</v>
      </c>
      <c r="Z686" s="80" t="n">
        <v>31.86</v>
      </c>
      <c r="AA686" s="98">
        <f>Y686/Z686</f>
        <v/>
      </c>
      <c r="AB686" s="98">
        <f>(AA686/Y686)*100</f>
        <v/>
      </c>
    </row>
    <row r="687">
      <c r="A687" s="92" t="n">
        <v>686</v>
      </c>
      <c r="B687" s="108" t="n">
        <v>45573</v>
      </c>
      <c r="C687" s="104" t="n">
        <v>46043124.44</v>
      </c>
      <c r="D687" s="98">
        <f>C687/E687</f>
        <v/>
      </c>
      <c r="E687" s="79" t="n">
        <v>83.94499999999999</v>
      </c>
      <c r="F687" s="98">
        <f>D687/100000</f>
        <v/>
      </c>
      <c r="G687" s="97">
        <f>(F687/DataSheet!$C$11*100)</f>
        <v/>
      </c>
      <c r="H687" s="98">
        <f>K687/I687</f>
        <v/>
      </c>
      <c r="I687" s="98">
        <f>(J687/L687)*100</f>
        <v/>
      </c>
      <c r="J687" s="97">
        <f>L687/O687</f>
        <v/>
      </c>
      <c r="K687" s="79" t="n">
        <v>6.806</v>
      </c>
      <c r="L687" s="79" t="n">
        <v>25013.15</v>
      </c>
      <c r="M687" s="79" t="n">
        <v>3.75</v>
      </c>
      <c r="N687" s="98">
        <f>K687-I687</f>
        <v/>
      </c>
      <c r="O687" s="79" t="n">
        <v>23.51</v>
      </c>
      <c r="P687" s="79" t="n">
        <v>4.035</v>
      </c>
      <c r="Q687" s="97">
        <f>K687-P687</f>
        <v/>
      </c>
      <c r="R687" s="79" t="n">
        <v>102.303</v>
      </c>
      <c r="S687" s="98">
        <f>(O687*T687)</f>
        <v/>
      </c>
      <c r="T687" s="79" t="n">
        <v>6.48</v>
      </c>
      <c r="U687" s="79" t="n">
        <v>21685.65</v>
      </c>
      <c r="V687" s="79" t="n">
        <v>44.38</v>
      </c>
      <c r="W687" s="98">
        <f>U687/V687</f>
        <v/>
      </c>
      <c r="X687" s="98">
        <f>(W687/U687)*100</f>
        <v/>
      </c>
      <c r="Y687" s="79" t="n">
        <v>17882.85</v>
      </c>
      <c r="Z687" s="80" t="n">
        <v>32.53</v>
      </c>
      <c r="AA687" s="98">
        <f>Y687/Z687</f>
        <v/>
      </c>
      <c r="AB687" s="98">
        <f>(AA687/Y687)*100</f>
        <v/>
      </c>
    </row>
    <row r="688">
      <c r="A688" s="92" t="n">
        <v>687</v>
      </c>
      <c r="B688" s="108" t="n">
        <v>45574</v>
      </c>
      <c r="C688" s="104" t="n">
        <v>46321835.9</v>
      </c>
      <c r="D688" s="98">
        <f>C688/E688</f>
        <v/>
      </c>
      <c r="E688" s="79" t="n">
        <v>83.95</v>
      </c>
      <c r="F688" s="98">
        <f>D688/100000</f>
        <v/>
      </c>
      <c r="G688" s="97">
        <f>(F688/DataSheet!$C$11*100)</f>
        <v/>
      </c>
      <c r="H688" s="98">
        <f>K688/I688</f>
        <v/>
      </c>
      <c r="I688" s="98">
        <f>(J688/L688)*100</f>
        <v/>
      </c>
      <c r="J688" s="97">
        <f>L688/O688</f>
        <v/>
      </c>
      <c r="K688" s="79" t="n">
        <v>6.766</v>
      </c>
      <c r="L688" s="79" t="n">
        <v>24981.95</v>
      </c>
      <c r="M688" s="79" t="n">
        <v>3.74</v>
      </c>
      <c r="N688" s="98">
        <f>K688-I688</f>
        <v/>
      </c>
      <c r="O688" s="79" t="n">
        <v>23.48</v>
      </c>
      <c r="P688" s="79" t="n">
        <v>4.067</v>
      </c>
      <c r="Q688" s="97">
        <f>K688-P688</f>
        <v/>
      </c>
      <c r="R688" s="79" t="n">
        <v>102.695</v>
      </c>
      <c r="S688" s="98">
        <f>(O688*T688)</f>
        <v/>
      </c>
      <c r="T688" s="79" t="n">
        <v>6.48</v>
      </c>
      <c r="U688" s="79" t="n">
        <v>21918.3</v>
      </c>
      <c r="V688" s="79" t="n">
        <v>44.85</v>
      </c>
      <c r="W688" s="98">
        <f>U688/V688</f>
        <v/>
      </c>
      <c r="X688" s="98">
        <f>(W688/U688)*100</f>
        <v/>
      </c>
      <c r="Y688" s="79" t="n">
        <v>18103.95</v>
      </c>
      <c r="Z688" s="80" t="n">
        <v>32.93</v>
      </c>
      <c r="AA688" s="98">
        <f>Y688/Z688</f>
        <v/>
      </c>
      <c r="AB688" s="98">
        <f>(AA688/Y688)*100</f>
        <v/>
      </c>
    </row>
    <row r="689">
      <c r="A689" s="92" t="n">
        <v>688</v>
      </c>
      <c r="B689" s="108" t="n">
        <v>45575</v>
      </c>
      <c r="C689" s="104" t="n">
        <v>46325701.41</v>
      </c>
      <c r="D689" s="98">
        <f>C689/E689</f>
        <v/>
      </c>
      <c r="E689" s="79" t="n">
        <v>83.94</v>
      </c>
      <c r="F689" s="98">
        <f>D689/100000</f>
        <v/>
      </c>
      <c r="G689" s="97">
        <f>(F689/DataSheet!$C$11*100)</f>
        <v/>
      </c>
      <c r="H689" s="98">
        <f>K689/I689</f>
        <v/>
      </c>
      <c r="I689" s="98">
        <f>(J689/L689)*100</f>
        <v/>
      </c>
      <c r="J689" s="97">
        <f>L689/O689</f>
        <v/>
      </c>
      <c r="K689" s="79" t="n">
        <v>6.776</v>
      </c>
      <c r="L689" s="79" t="n">
        <v>24998.45</v>
      </c>
      <c r="M689" s="79" t="n">
        <v>3.74</v>
      </c>
      <c r="N689" s="98">
        <f>K689-I689</f>
        <v/>
      </c>
      <c r="O689" s="79" t="n">
        <v>23.5</v>
      </c>
      <c r="P689" s="79" t="n">
        <v>4.094</v>
      </c>
      <c r="Q689" s="97">
        <f>K689-P689</f>
        <v/>
      </c>
      <c r="R689" s="79" t="n">
        <v>102.773</v>
      </c>
      <c r="S689" s="98">
        <f>(O689*T689)</f>
        <v/>
      </c>
      <c r="T689" s="79" t="n">
        <v>6.46</v>
      </c>
      <c r="U689" s="79" t="n">
        <v>21885.65</v>
      </c>
      <c r="V689" s="79" t="n">
        <v>44.49</v>
      </c>
      <c r="W689" s="98">
        <f>U689/V689</f>
        <v/>
      </c>
      <c r="X689" s="98">
        <f>(W689/U689)*100</f>
        <v/>
      </c>
      <c r="Y689" s="79" t="n">
        <v>18127.35</v>
      </c>
      <c r="Z689" s="80" t="n">
        <v>33.15</v>
      </c>
      <c r="AA689" s="98">
        <f>Y689/Z689</f>
        <v/>
      </c>
      <c r="AB689" s="98">
        <f>(AA689/Y689)*100</f>
        <v/>
      </c>
    </row>
    <row r="690">
      <c r="A690" s="92" t="n">
        <v>689</v>
      </c>
      <c r="B690" s="108" t="n">
        <v>45576</v>
      </c>
      <c r="C690" s="104" t="n">
        <v>46357374.2</v>
      </c>
      <c r="D690" s="98">
        <f>C690/E690</f>
        <v/>
      </c>
      <c r="E690" s="79" t="n">
        <v>84.101</v>
      </c>
      <c r="F690" s="98">
        <f>D690/100000</f>
        <v/>
      </c>
      <c r="G690" s="97">
        <f>(F690/DataSheet!$C$11*100)</f>
        <v/>
      </c>
      <c r="H690" s="98">
        <f>K690/I690</f>
        <v/>
      </c>
      <c r="I690" s="98">
        <f>(J690/L690)*100</f>
        <v/>
      </c>
      <c r="J690" s="97">
        <f>L690/O690</f>
        <v/>
      </c>
      <c r="K690" s="79" t="n">
        <v>6.788</v>
      </c>
      <c r="L690" s="79" t="n">
        <v>24964.25</v>
      </c>
      <c r="M690" s="79" t="n">
        <v>3.74</v>
      </c>
      <c r="N690" s="98">
        <f>K690-I690</f>
        <v/>
      </c>
      <c r="O690" s="79" t="n">
        <v>23.47</v>
      </c>
      <c r="P690" s="79" t="n">
        <v>4.073</v>
      </c>
      <c r="Q690" s="97">
        <f>K690-P690</f>
        <v/>
      </c>
      <c r="R690" s="79" t="n">
        <v>102.677</v>
      </c>
      <c r="S690" s="98">
        <f>(O690*T690)</f>
        <v/>
      </c>
      <c r="T690" s="79" t="n">
        <v>6.46</v>
      </c>
      <c r="U690" s="79" t="n">
        <v>21979.15</v>
      </c>
      <c r="V690" s="79" t="n">
        <v>44.69</v>
      </c>
      <c r="W690" s="98">
        <f>U690/V690</f>
        <v/>
      </c>
      <c r="X690" s="98">
        <f>(W690/U690)*100</f>
        <v/>
      </c>
      <c r="Y690" s="79" t="n">
        <v>18213</v>
      </c>
      <c r="Z690" s="80" t="n">
        <v>33.3</v>
      </c>
      <c r="AA690" s="98">
        <f>Y690/Z690</f>
        <v/>
      </c>
      <c r="AB690" s="98">
        <f>(AA690/Y690)*100</f>
        <v/>
      </c>
    </row>
    <row r="691">
      <c r="A691" s="92" t="n">
        <v>690</v>
      </c>
      <c r="B691" s="108" t="n">
        <v>45579</v>
      </c>
      <c r="C691" s="104" t="n">
        <v>46474654.68</v>
      </c>
      <c r="D691" s="98">
        <f>C691/E691</f>
        <v/>
      </c>
      <c r="E691" s="79" t="n">
        <v>84.045</v>
      </c>
      <c r="F691" s="98">
        <f>D691/100000</f>
        <v/>
      </c>
      <c r="G691" s="97">
        <f>(F691/DataSheet!$C$11*100)</f>
        <v/>
      </c>
      <c r="H691" s="98">
        <f>K691/I691</f>
        <v/>
      </c>
      <c r="I691" s="98">
        <f>(J691/L691)*100</f>
        <v/>
      </c>
      <c r="J691" s="97">
        <f>L691/O691</f>
        <v/>
      </c>
      <c r="K691" s="79" t="n">
        <v>6.782</v>
      </c>
      <c r="L691" s="79" t="n">
        <v>25127.95</v>
      </c>
      <c r="M691" s="79" t="n">
        <v>3.76</v>
      </c>
      <c r="N691" s="98">
        <f>K691-I691</f>
        <v/>
      </c>
      <c r="O691" s="79" t="n">
        <v>23.62</v>
      </c>
      <c r="P691" s="79" t="n">
        <v>4.073</v>
      </c>
      <c r="Q691" s="97">
        <f>K691-P691</f>
        <v/>
      </c>
      <c r="R691" s="79" t="n">
        <v>103.082</v>
      </c>
      <c r="S691" s="98">
        <f>(O691*T691)</f>
        <v/>
      </c>
      <c r="T691" s="79" t="n">
        <v>6.46</v>
      </c>
      <c r="U691" s="79" t="n">
        <v>22058.8</v>
      </c>
      <c r="V691" s="79" t="n">
        <v>44.85</v>
      </c>
      <c r="W691" s="98">
        <f>U691/V691</f>
        <v/>
      </c>
      <c r="X691" s="98">
        <f>(W691/U691)*100</f>
        <v/>
      </c>
      <c r="Y691" s="79" t="n">
        <v>18265.1</v>
      </c>
      <c r="Z691" s="80" t="n">
        <v>33.4</v>
      </c>
      <c r="AA691" s="98">
        <f>Y691/Z691</f>
        <v/>
      </c>
      <c r="AB691" s="98">
        <f>(AA691/Y691)*100</f>
        <v/>
      </c>
    </row>
    <row r="692">
      <c r="A692" s="92" t="n">
        <v>691</v>
      </c>
      <c r="B692" s="108" t="n">
        <v>45580</v>
      </c>
      <c r="C692" s="104" t="n">
        <v>46501803.76</v>
      </c>
      <c r="D692" s="98">
        <f>C692/E692</f>
        <v/>
      </c>
      <c r="E692" s="79" t="n">
        <v>84.04000000000001</v>
      </c>
      <c r="F692" s="98">
        <f>D692/100000</f>
        <v/>
      </c>
      <c r="G692" s="97">
        <f>(F692/DataSheet!$C$11*100)</f>
        <v/>
      </c>
      <c r="H692" s="98">
        <f>K692/I692</f>
        <v/>
      </c>
      <c r="I692" s="98">
        <f>(J692/L692)*100</f>
        <v/>
      </c>
      <c r="J692" s="97">
        <f>L692/O692</f>
        <v/>
      </c>
      <c r="K692" s="79" t="n">
        <v>6.769</v>
      </c>
      <c r="L692" s="79" t="n">
        <v>25057.35</v>
      </c>
      <c r="M692" s="79" t="n">
        <v>3.75</v>
      </c>
      <c r="N692" s="98">
        <f>K692-I692</f>
        <v/>
      </c>
      <c r="O692" s="79" t="n">
        <v>23.55</v>
      </c>
      <c r="P692" s="79" t="n">
        <v>4.038</v>
      </c>
      <c r="Q692" s="97">
        <f>K692-P692</f>
        <v/>
      </c>
      <c r="R692" s="79" t="n">
        <v>103.055</v>
      </c>
      <c r="S692" s="98">
        <f>(O692*T692)</f>
        <v/>
      </c>
      <c r="T692" s="79" t="n">
        <v>6.44</v>
      </c>
      <c r="U692" s="79" t="n">
        <v>22128.65</v>
      </c>
      <c r="V692" s="79" t="n">
        <v>44.96</v>
      </c>
      <c r="W692" s="98">
        <f>U692/V692</f>
        <v/>
      </c>
      <c r="X692" s="98">
        <f>(W692/U692)*100</f>
        <v/>
      </c>
      <c r="Y692" s="79" t="n">
        <v>18467.65</v>
      </c>
      <c r="Z692" s="80" t="n">
        <v>33.77</v>
      </c>
      <c r="AA692" s="98">
        <f>Y692/Z692</f>
        <v/>
      </c>
      <c r="AB692" s="98">
        <f>(AA692/Y692)*100</f>
        <v/>
      </c>
    </row>
    <row r="693">
      <c r="A693" s="92" t="n">
        <v>692</v>
      </c>
      <c r="B693" s="108" t="n">
        <v>45581</v>
      </c>
      <c r="C693" s="104" t="n">
        <v>46455987.05</v>
      </c>
      <c r="D693" s="98">
        <f>C693/E693</f>
        <v/>
      </c>
      <c r="E693" s="79" t="n">
        <v>84.03</v>
      </c>
      <c r="F693" s="98">
        <f>D693/100000</f>
        <v/>
      </c>
      <c r="G693" s="97">
        <f>(F693/DataSheet!$C$11*100)</f>
        <v/>
      </c>
      <c r="H693" s="98">
        <f>K693/I693</f>
        <v/>
      </c>
      <c r="I693" s="98">
        <f>(J693/L693)*100</f>
        <v/>
      </c>
      <c r="J693" s="97">
        <f>L693/O693</f>
        <v/>
      </c>
      <c r="K693" s="79" t="n">
        <v>6.773</v>
      </c>
      <c r="L693" s="79" t="n">
        <v>24971.3</v>
      </c>
      <c r="M693" s="79" t="n">
        <v>3.74</v>
      </c>
      <c r="N693" s="98">
        <f>K693-I693</f>
        <v/>
      </c>
      <c r="O693" s="79" t="n">
        <v>23.47</v>
      </c>
      <c r="P693" s="79" t="n">
        <v>4.016</v>
      </c>
      <c r="Q693" s="97">
        <f>K693-P693</f>
        <v/>
      </c>
      <c r="R693" s="79" t="n">
        <v>103.4</v>
      </c>
      <c r="S693" s="98">
        <f>(O693*T693)</f>
        <v/>
      </c>
      <c r="T693" s="79" t="n">
        <v>6.46</v>
      </c>
      <c r="U693" s="79" t="n">
        <v>22085.1</v>
      </c>
      <c r="V693" s="79" t="n">
        <v>44.88</v>
      </c>
      <c r="W693" s="98">
        <f>U693/V693</f>
        <v/>
      </c>
      <c r="X693" s="98">
        <f>(W693/U693)*100</f>
        <v/>
      </c>
      <c r="Y693" s="79" t="n">
        <v>18505.95</v>
      </c>
      <c r="Z693" s="80" t="n">
        <v>33.85</v>
      </c>
      <c r="AA693" s="98">
        <f>Y693/Z693</f>
        <v/>
      </c>
      <c r="AB693" s="98">
        <f>(AA693/Y693)*100</f>
        <v/>
      </c>
    </row>
    <row r="694">
      <c r="A694" s="92" t="n">
        <v>693</v>
      </c>
      <c r="B694" s="108" t="n">
        <v>45582</v>
      </c>
      <c r="C694" s="104" t="n">
        <v>45847349.3</v>
      </c>
      <c r="D694" s="98">
        <f>C694/E694</f>
        <v/>
      </c>
      <c r="E694" s="79" t="n">
        <v>84.035</v>
      </c>
      <c r="F694" s="98">
        <f>D694/100000</f>
        <v/>
      </c>
      <c r="G694" s="97">
        <f>(F694/DataSheet!$C$11*100)</f>
        <v/>
      </c>
      <c r="H694" s="98">
        <f>K694/I694</f>
        <v/>
      </c>
      <c r="I694" s="98">
        <f>(J694/L694)*100</f>
        <v/>
      </c>
      <c r="J694" s="97">
        <f>L694/O694</f>
        <v/>
      </c>
      <c r="K694" s="79" t="n">
        <v>6.784</v>
      </c>
      <c r="L694" s="79" t="n">
        <v>24749.85</v>
      </c>
      <c r="M694" s="79" t="n">
        <v>3.71</v>
      </c>
      <c r="N694" s="98">
        <f>K694-I694</f>
        <v/>
      </c>
      <c r="O694" s="79" t="n">
        <v>23.26</v>
      </c>
      <c r="P694" s="79" t="n">
        <v>4.096</v>
      </c>
      <c r="Q694" s="97">
        <f>K694-P694</f>
        <v/>
      </c>
      <c r="R694" s="79" t="n">
        <v>103.652</v>
      </c>
      <c r="S694" s="98">
        <f>(O694*T694)</f>
        <v/>
      </c>
      <c r="T694" s="79" t="n">
        <v>6.46</v>
      </c>
      <c r="U694" s="79" t="n">
        <v>21718.5</v>
      </c>
      <c r="V694" s="79" t="n">
        <v>44.06</v>
      </c>
      <c r="W694" s="98">
        <f>U694/V694</f>
        <v/>
      </c>
      <c r="X694" s="98">
        <f>(W694/U694)*100</f>
        <v/>
      </c>
      <c r="Y694" s="79" t="n">
        <v>18244.3</v>
      </c>
      <c r="Z694" s="80" t="n">
        <v>33.39</v>
      </c>
      <c r="AA694" s="98">
        <f>Y694/Z694</f>
        <v/>
      </c>
      <c r="AB694" s="98">
        <f>(AA694/Y694)*100</f>
        <v/>
      </c>
    </row>
    <row r="695">
      <c r="A695" s="92" t="n">
        <v>694</v>
      </c>
      <c r="B695" s="108" t="n">
        <v>45583</v>
      </c>
      <c r="C695" s="104" t="n">
        <v>45941908.24</v>
      </c>
      <c r="D695" s="98">
        <f>C695/E695</f>
        <v/>
      </c>
      <c r="E695" s="79" t="n">
        <v>84.065</v>
      </c>
      <c r="F695" s="98">
        <f>D695/100000</f>
        <v/>
      </c>
      <c r="G695" s="97">
        <f>(F695/DataSheet!$C$11*100)</f>
        <v/>
      </c>
      <c r="H695" s="98">
        <f>K695/I695</f>
        <v/>
      </c>
      <c r="I695" s="98">
        <f>(J695/L695)*100</f>
        <v/>
      </c>
      <c r="J695" s="97">
        <f>L695/O695</f>
        <v/>
      </c>
      <c r="K695" s="79" t="n">
        <v>6.809</v>
      </c>
      <c r="L695" s="79" t="n">
        <v>24854.05</v>
      </c>
      <c r="M695" s="79" t="n">
        <v>3.72</v>
      </c>
      <c r="N695" s="98">
        <f>K695-I695</f>
        <v/>
      </c>
      <c r="O695" s="79" t="n">
        <v>23.38</v>
      </c>
      <c r="P695" s="79" t="n">
        <v>4.075</v>
      </c>
      <c r="Q695" s="97">
        <f>K695-P695</f>
        <v/>
      </c>
      <c r="R695" s="79" t="n">
        <v>103.307</v>
      </c>
      <c r="S695" s="98">
        <f>(O695*T695)</f>
        <v/>
      </c>
      <c r="T695" s="79" t="n">
        <v>6.46</v>
      </c>
      <c r="U695" s="79" t="n">
        <v>21755.65</v>
      </c>
      <c r="V695" s="79" t="n">
        <v>44.13</v>
      </c>
      <c r="W695" s="98">
        <f>U695/V695</f>
        <v/>
      </c>
      <c r="X695" s="98">
        <f>(W695/U695)*100</f>
        <v/>
      </c>
      <c r="Y695" s="79" t="n">
        <v>18236.8</v>
      </c>
      <c r="Z695" s="80" t="n">
        <v>33.37</v>
      </c>
      <c r="AA695" s="98">
        <f>Y695/Z695</f>
        <v/>
      </c>
      <c r="AB695" s="98">
        <f>(AA695/Y695)*100</f>
        <v/>
      </c>
    </row>
    <row r="696">
      <c r="A696" s="92" t="n">
        <v>695</v>
      </c>
      <c r="B696" s="108" t="n">
        <v>45586</v>
      </c>
      <c r="C696" s="104" t="n">
        <v>45465368.23</v>
      </c>
      <c r="D696" s="98">
        <f>C696/E696</f>
        <v/>
      </c>
      <c r="E696" s="79" t="n">
        <v>84.06999999999999</v>
      </c>
      <c r="F696" s="98">
        <f>D696/100000</f>
        <v/>
      </c>
      <c r="G696" s="97">
        <f>(F696/DataSheet!$C$11*100)</f>
        <v/>
      </c>
      <c r="H696" s="98">
        <f>K696/I696</f>
        <v/>
      </c>
      <c r="I696" s="98">
        <f>(J696/L696)*100</f>
        <v/>
      </c>
      <c r="J696" s="97">
        <f>L696/O696</f>
        <v/>
      </c>
      <c r="K696" s="79" t="n">
        <v>6.837</v>
      </c>
      <c r="L696" s="79" t="n">
        <v>24781.1</v>
      </c>
      <c r="M696" s="79" t="n">
        <v>3.71</v>
      </c>
      <c r="N696" s="98">
        <f>K696-I696</f>
        <v/>
      </c>
      <c r="O696" s="79" t="n">
        <v>23.23</v>
      </c>
      <c r="P696" s="79" t="n">
        <v>4.182</v>
      </c>
      <c r="Q696" s="97">
        <f>K696-P696</f>
        <v/>
      </c>
      <c r="R696" s="79" t="n">
        <v>103.834</v>
      </c>
      <c r="S696" s="98">
        <f>(O696*T696)</f>
        <v/>
      </c>
      <c r="T696" s="79" t="n">
        <v>6.47</v>
      </c>
      <c r="U696" s="79" t="n">
        <v>21429.9</v>
      </c>
      <c r="V696" s="79" t="n">
        <v>43.56</v>
      </c>
      <c r="W696" s="98">
        <f>U696/V696</f>
        <v/>
      </c>
      <c r="X696" s="98">
        <f>(W696/U696)*100</f>
        <v/>
      </c>
      <c r="Y696" s="79" t="n">
        <v>17936.3</v>
      </c>
      <c r="Z696" s="80" t="n">
        <v>32.79</v>
      </c>
      <c r="AA696" s="98">
        <f>Y696/Z696</f>
        <v/>
      </c>
      <c r="AB696" s="98">
        <f>(AA696/Y696)*100</f>
        <v/>
      </c>
    </row>
    <row r="697">
      <c r="A697" s="92" t="n">
        <v>696</v>
      </c>
      <c r="B697" s="108" t="n">
        <v>45587</v>
      </c>
      <c r="C697" s="104" t="n">
        <v>44555854.43</v>
      </c>
      <c r="D697" s="98">
        <f>C697/E697</f>
        <v/>
      </c>
      <c r="E697" s="79" t="n">
        <v>84.06999999999999</v>
      </c>
      <c r="F697" s="98">
        <f>D697/100000</f>
        <v/>
      </c>
      <c r="G697" s="97">
        <f>(F697/DataSheet!$C$11*100)</f>
        <v/>
      </c>
      <c r="H697" s="98">
        <f>K697/I697</f>
        <v/>
      </c>
      <c r="I697" s="98">
        <f>(J697/L697)*100</f>
        <v/>
      </c>
      <c r="J697" s="97">
        <f>L697/O697</f>
        <v/>
      </c>
      <c r="K697" s="79" t="n">
        <v>6.832</v>
      </c>
      <c r="L697" s="79" t="n">
        <v>24472.1</v>
      </c>
      <c r="M697" s="79" t="n">
        <v>3.67</v>
      </c>
      <c r="N697" s="98">
        <f>K697-I697</f>
        <v/>
      </c>
      <c r="O697" s="79" t="n">
        <v>22.83</v>
      </c>
      <c r="P697" s="79" t="n">
        <v>4.206</v>
      </c>
      <c r="Q697" s="97">
        <f>K697-P697</f>
        <v/>
      </c>
      <c r="R697" s="79" t="n">
        <v>103.909</v>
      </c>
      <c r="S697" s="98">
        <f>(O697*T697)</f>
        <v/>
      </c>
      <c r="T697" s="79" t="n">
        <v>6.48</v>
      </c>
      <c r="U697" s="79" t="n">
        <v>20879.45</v>
      </c>
      <c r="V697" s="79" t="n">
        <v>42.5</v>
      </c>
      <c r="W697" s="98">
        <f>U697/V697</f>
        <v/>
      </c>
      <c r="X697" s="98">
        <f>(W697/U697)*100</f>
        <v/>
      </c>
      <c r="Y697" s="79" t="n">
        <v>17275.7</v>
      </c>
      <c r="Z697" s="80" t="n">
        <v>31.37</v>
      </c>
      <c r="AA697" s="98">
        <f>Y697/Z697</f>
        <v/>
      </c>
      <c r="AB697" s="98">
        <f>(AA697/Y697)*100</f>
        <v/>
      </c>
    </row>
    <row r="698">
      <c r="A698" s="92" t="n">
        <v>697</v>
      </c>
      <c r="B698" s="108" t="n">
        <v>45588</v>
      </c>
      <c r="C698" s="104" t="n">
        <v>44640430.04</v>
      </c>
      <c r="D698" s="98">
        <f>C698/E698</f>
        <v/>
      </c>
      <c r="E698" s="79" t="n">
        <v>84.056</v>
      </c>
      <c r="F698" s="98">
        <f>D698/100000</f>
        <v/>
      </c>
      <c r="G698" s="97">
        <f>(F698/DataSheet!$C$11*100)</f>
        <v/>
      </c>
      <c r="H698" s="98">
        <f>K698/I698</f>
        <v/>
      </c>
      <c r="I698" s="98">
        <f>(J698/L698)*100</f>
        <v/>
      </c>
      <c r="J698" s="97">
        <f>L698/O698</f>
        <v/>
      </c>
      <c r="K698" s="79" t="n">
        <v>6.818</v>
      </c>
      <c r="L698" s="79" t="n">
        <v>24435.5</v>
      </c>
      <c r="M698" s="79" t="n">
        <v>3.66</v>
      </c>
      <c r="N698" s="98">
        <f>K698-I698</f>
        <v/>
      </c>
      <c r="O698" s="79" t="n">
        <v>22.81</v>
      </c>
      <c r="P698" s="79" t="n">
        <v>4.242</v>
      </c>
      <c r="Q698" s="97">
        <f>K698-P698</f>
        <v/>
      </c>
      <c r="R698" s="79" t="n">
        <v>104.277</v>
      </c>
      <c r="S698" s="98">
        <f>(O698*T698)</f>
        <v/>
      </c>
      <c r="T698" s="79" t="n">
        <v>6.49</v>
      </c>
      <c r="U698" s="79" t="n">
        <v>20985.25</v>
      </c>
      <c r="V698" s="79" t="n">
        <v>42.72</v>
      </c>
      <c r="W698" s="98">
        <f>U698/V698</f>
        <v/>
      </c>
      <c r="X698" s="98">
        <f>(W698/U698)*100</f>
        <v/>
      </c>
      <c r="Y698" s="79" t="n">
        <v>17456.2</v>
      </c>
      <c r="Z698" s="80" t="n">
        <v>31.65</v>
      </c>
      <c r="AA698" s="98">
        <f>Y698/Z698</f>
        <v/>
      </c>
      <c r="AB698" s="98">
        <f>(AA698/Y698)*100</f>
        <v/>
      </c>
    </row>
    <row r="699">
      <c r="A699" s="92" t="n">
        <v>698</v>
      </c>
      <c r="B699" s="108" t="n">
        <v>45589</v>
      </c>
      <c r="C699" s="104" t="n">
        <v>44487806.63</v>
      </c>
      <c r="D699" s="98">
        <f>C699/E699</f>
        <v/>
      </c>
      <c r="E699" s="79" t="n">
        <v>84.05</v>
      </c>
      <c r="F699" s="98">
        <f>D699/100000</f>
        <v/>
      </c>
      <c r="G699" s="97">
        <f>(F699/DataSheet!$C$11*100)</f>
        <v/>
      </c>
      <c r="H699" s="98">
        <f>K699/I699</f>
        <v/>
      </c>
      <c r="I699" s="98">
        <f>(J699/L699)*100</f>
        <v/>
      </c>
      <c r="J699" s="97">
        <f>L699/O699</f>
        <v/>
      </c>
      <c r="K699" s="79" t="n">
        <v>6.822</v>
      </c>
      <c r="L699" s="79" t="n">
        <v>24399.4</v>
      </c>
      <c r="M699" s="79" t="n">
        <v>3.65</v>
      </c>
      <c r="N699" s="98">
        <f>K699-I699</f>
        <v/>
      </c>
      <c r="O699" s="79" t="n">
        <v>22.76</v>
      </c>
      <c r="P699" s="79" t="n">
        <v>4.202</v>
      </c>
      <c r="Q699" s="97">
        <f>K699-P699</f>
        <v/>
      </c>
      <c r="R699" s="79" t="n">
        <v>103.919</v>
      </c>
      <c r="S699" s="98">
        <f>(O699*T699)</f>
        <v/>
      </c>
      <c r="T699" s="79" t="n">
        <v>6.5</v>
      </c>
      <c r="U699" s="79" t="n">
        <v>20932.75</v>
      </c>
      <c r="V699" s="79" t="n">
        <v>42.03</v>
      </c>
      <c r="W699" s="98">
        <f>U699/V699</f>
        <v/>
      </c>
      <c r="X699" s="98">
        <f>(W699/U699)*100</f>
        <v/>
      </c>
      <c r="Y699" s="79" t="n">
        <v>17352.2</v>
      </c>
      <c r="Z699" s="80" t="n">
        <v>31.72</v>
      </c>
      <c r="AA699" s="98">
        <f>Y699/Z699</f>
        <v/>
      </c>
      <c r="AB699" s="98">
        <f>(AA699/Y699)*100</f>
        <v/>
      </c>
    </row>
    <row r="700">
      <c r="A700" s="92" t="n">
        <v>699</v>
      </c>
      <c r="B700" s="108" t="n">
        <v>45590</v>
      </c>
      <c r="C700" s="104" t="n">
        <v>43809112.52</v>
      </c>
      <c r="D700" s="98">
        <f>C700/E700</f>
        <v/>
      </c>
      <c r="E700" s="79" t="n">
        <v>84.095</v>
      </c>
      <c r="F700" s="98">
        <f>D700/100000</f>
        <v/>
      </c>
      <c r="G700" s="97">
        <f>(F700/DataSheet!$C$11*100)</f>
        <v/>
      </c>
      <c r="H700" s="98">
        <f>K700/I700</f>
        <v/>
      </c>
      <c r="I700" s="98">
        <f>(J700/L700)*100</f>
        <v/>
      </c>
      <c r="J700" s="97">
        <f>L700/O700</f>
        <v/>
      </c>
      <c r="K700" s="79" t="n">
        <v>6.845</v>
      </c>
      <c r="L700" s="79" t="n">
        <v>24180.8</v>
      </c>
      <c r="M700" s="79" t="n">
        <v>3.62</v>
      </c>
      <c r="N700" s="98">
        <f>K700-I700</f>
        <v/>
      </c>
      <c r="O700" s="79" t="n">
        <v>22.56</v>
      </c>
      <c r="P700" s="79" t="n">
        <v>4.232</v>
      </c>
      <c r="Q700" s="97">
        <f>K700-P700</f>
        <v/>
      </c>
      <c r="R700" s="79" t="n">
        <v>104.132</v>
      </c>
      <c r="S700" s="98">
        <f>(O700*T700)</f>
        <v/>
      </c>
      <c r="T700" s="79" t="n">
        <v>6.51</v>
      </c>
      <c r="U700" s="79" t="n">
        <v>20563.7</v>
      </c>
      <c r="V700" s="79" t="n">
        <v>41.11</v>
      </c>
      <c r="W700" s="98">
        <f>U700/V700</f>
        <v/>
      </c>
      <c r="X700" s="98">
        <f>(W700/U700)*100</f>
        <v/>
      </c>
      <c r="Y700" s="79" t="n">
        <v>16956.05</v>
      </c>
      <c r="Z700" s="80" t="n">
        <v>31.01</v>
      </c>
      <c r="AA700" s="98">
        <f>Y700/Z700</f>
        <v/>
      </c>
      <c r="AB700" s="98">
        <f>(AA700/Y700)*100</f>
        <v/>
      </c>
    </row>
    <row r="701">
      <c r="A701" s="92" t="n">
        <v>700</v>
      </c>
      <c r="B701" s="108" t="n">
        <v>45593</v>
      </c>
      <c r="C701" s="104" t="n">
        <v>44207998.7</v>
      </c>
      <c r="D701" s="98">
        <f>C701/E701</f>
        <v/>
      </c>
      <c r="E701" s="79" t="n">
        <v>84.06</v>
      </c>
      <c r="F701" s="98">
        <f>D701/100000</f>
        <v/>
      </c>
      <c r="G701" s="97">
        <f>(F701/DataSheet!$C$11*100)</f>
        <v/>
      </c>
      <c r="H701" s="98">
        <f>K701/I701</f>
        <v/>
      </c>
      <c r="I701" s="98">
        <f>(J701/L701)*100</f>
        <v/>
      </c>
      <c r="J701" s="97">
        <f>L701/O701</f>
        <v/>
      </c>
      <c r="K701" s="79" t="n">
        <v>6.861</v>
      </c>
      <c r="L701" s="79" t="n">
        <v>24339.15</v>
      </c>
      <c r="M701" s="79" t="n">
        <v>3.65</v>
      </c>
      <c r="N701" s="98">
        <f>K701-I701</f>
        <v/>
      </c>
      <c r="O701" s="79" t="n">
        <v>22.74</v>
      </c>
      <c r="P701" s="79" t="n">
        <v>4.278</v>
      </c>
      <c r="Q701" s="97">
        <f>K701-P701</f>
        <v/>
      </c>
      <c r="R701" s="79" t="n">
        <v>104.183</v>
      </c>
      <c r="S701" s="98">
        <f>(O701*T701)</f>
        <v/>
      </c>
      <c r="T701" s="79" t="n">
        <v>6.52</v>
      </c>
      <c r="U701" s="79" t="n">
        <v>20695.55</v>
      </c>
      <c r="V701" s="79" t="n">
        <v>41.23</v>
      </c>
      <c r="W701" s="98">
        <f>U701/V701</f>
        <v/>
      </c>
      <c r="X701" s="98">
        <f>(W701/U701)*100</f>
        <v/>
      </c>
      <c r="Y701" s="79" t="n">
        <v>17151.6</v>
      </c>
      <c r="Z701" s="80" t="n">
        <v>31.58</v>
      </c>
      <c r="AA701" s="98">
        <f>Y701/Z701</f>
        <v/>
      </c>
      <c r="AB701" s="98">
        <f>(AA701/Y701)*100</f>
        <v/>
      </c>
    </row>
    <row r="702">
      <c r="A702" s="92" t="n">
        <v>701</v>
      </c>
      <c r="B702" s="108" t="n">
        <v>45594</v>
      </c>
      <c r="C702" s="104" t="n">
        <v>43593789.77</v>
      </c>
      <c r="D702" s="98">
        <f>C702/E702</f>
        <v/>
      </c>
      <c r="E702" s="79" t="n">
        <v>84.05</v>
      </c>
      <c r="F702" s="98">
        <f>D702/100000</f>
        <v/>
      </c>
      <c r="G702" s="97">
        <f>(F702/DataSheet!$C$11*100)</f>
        <v/>
      </c>
      <c r="H702" s="98">
        <f>K702/I702</f>
        <v/>
      </c>
      <c r="I702" s="98">
        <f>(J702/L702)*100</f>
        <v/>
      </c>
      <c r="J702" s="97">
        <f>L702/O702</f>
        <v/>
      </c>
      <c r="K702" s="79" t="n">
        <v>6.847</v>
      </c>
      <c r="L702" s="79" t="n">
        <v>24466.85</v>
      </c>
      <c r="M702" s="79" t="n">
        <v>3.67</v>
      </c>
      <c r="N702" s="98">
        <f>K702-I702</f>
        <v/>
      </c>
      <c r="O702" s="79" t="n">
        <v>23.02</v>
      </c>
      <c r="P702" s="79" t="n">
        <v>4.274</v>
      </c>
      <c r="Q702" s="97">
        <f>K702-P702</f>
        <v/>
      </c>
      <c r="R702" s="79" t="n">
        <v>104.191</v>
      </c>
      <c r="S702" s="98">
        <f>(O702*T702)</f>
        <v/>
      </c>
      <c r="T702" s="79" t="n">
        <v>6.52</v>
      </c>
      <c r="U702" s="79" t="n">
        <v>20867.4</v>
      </c>
      <c r="V702" s="79" t="n">
        <v>43.39</v>
      </c>
      <c r="W702" s="98">
        <f>U702/V702</f>
        <v/>
      </c>
      <c r="X702" s="98">
        <f>(W702/U702)*100</f>
        <v/>
      </c>
      <c r="Y702" s="79" t="n">
        <v>17278.2</v>
      </c>
      <c r="Z702" s="80" t="n">
        <v>31.75</v>
      </c>
      <c r="AA702" s="98">
        <f>Y702/Z702</f>
        <v/>
      </c>
      <c r="AB702" s="98">
        <f>(AA702/Y702)*100</f>
        <v/>
      </c>
    </row>
    <row r="703">
      <c r="A703" s="92" t="n">
        <v>702</v>
      </c>
      <c r="B703" s="108" t="n">
        <v>45595</v>
      </c>
      <c r="C703" s="104" t="n">
        <v>43720643.55</v>
      </c>
      <c r="D703" s="98">
        <f>C703/E703</f>
        <v/>
      </c>
      <c r="E703" s="79" t="n">
        <v>84.08</v>
      </c>
      <c r="F703" s="98">
        <f>D703/100000</f>
        <v/>
      </c>
      <c r="G703" s="97">
        <f>(F703/DataSheet!$C$11*100)</f>
        <v/>
      </c>
      <c r="H703" s="98">
        <f>K703/I703</f>
        <v/>
      </c>
      <c r="I703" s="98">
        <f>(J703/L703)*100</f>
        <v/>
      </c>
      <c r="J703" s="97">
        <f>L703/O703</f>
        <v/>
      </c>
      <c r="K703" s="79" t="n">
        <v>6.827</v>
      </c>
      <c r="L703" s="79" t="n">
        <v>24340.85</v>
      </c>
      <c r="M703" s="79" t="n">
        <v>3.65</v>
      </c>
      <c r="N703" s="98">
        <f>K703-I703</f>
        <v/>
      </c>
      <c r="O703" s="79" t="n">
        <v>22.9</v>
      </c>
      <c r="P703" s="79" t="n">
        <v>4.299</v>
      </c>
      <c r="Q703" s="97">
        <f>K703-P703</f>
        <v/>
      </c>
      <c r="R703" s="79" t="n">
        <v>103.862</v>
      </c>
      <c r="S703" s="98">
        <f>(O703*T703)</f>
        <v/>
      </c>
      <c r="T703" s="79" t="n">
        <v>6.52</v>
      </c>
      <c r="U703" s="79" t="n">
        <v>20916.7</v>
      </c>
      <c r="V703" s="79" t="n">
        <v>43.5</v>
      </c>
      <c r="W703" s="98">
        <f>U703/V703</f>
        <v/>
      </c>
      <c r="X703" s="98">
        <f>(W703/U703)*100</f>
        <v/>
      </c>
      <c r="Y703" s="79" t="n">
        <v>17483.4</v>
      </c>
      <c r="Z703" s="80" t="n">
        <v>32.13</v>
      </c>
      <c r="AA703" s="98">
        <f>Y703/Z703</f>
        <v/>
      </c>
      <c r="AB703" s="98">
        <f>(AA703/Y703)*100</f>
        <v/>
      </c>
    </row>
    <row r="704">
      <c r="A704" s="92" t="n">
        <v>703</v>
      </c>
      <c r="B704" s="108" t="n">
        <v>45596</v>
      </c>
      <c r="C704" s="104" t="n">
        <v>44590580.8</v>
      </c>
      <c r="D704" s="98">
        <f>C704/E704</f>
        <v/>
      </c>
      <c r="E704" s="79" t="n">
        <v>84.06100000000001</v>
      </c>
      <c r="F704" s="98">
        <f>D704/100000</f>
        <v/>
      </c>
      <c r="G704" s="97">
        <f>(F704/DataSheet!$C$11*100)</f>
        <v/>
      </c>
      <c r="H704" s="98">
        <f>K704/I704</f>
        <v/>
      </c>
      <c r="I704" s="98">
        <f>(J704/L704)*100</f>
        <v/>
      </c>
      <c r="J704" s="97">
        <f>L704/O704</f>
        <v/>
      </c>
      <c r="K704" s="79" t="n">
        <v>6.841</v>
      </c>
      <c r="L704" s="79" t="n">
        <v>24205.35</v>
      </c>
      <c r="M704" s="79" t="n">
        <v>3.63</v>
      </c>
      <c r="N704" s="98">
        <f>K704-I704</f>
        <v/>
      </c>
      <c r="O704" s="79" t="n">
        <v>22.58</v>
      </c>
      <c r="P704" s="79" t="n">
        <v>4.281</v>
      </c>
      <c r="Q704" s="97">
        <f>K704-P704</f>
        <v/>
      </c>
      <c r="R704" s="79" t="n">
        <v>103.878</v>
      </c>
      <c r="S704" s="98">
        <f>(O704*T704)</f>
        <v/>
      </c>
      <c r="T704" s="79" t="n">
        <v>6.53</v>
      </c>
      <c r="U704" s="79" t="n">
        <v>20876.7</v>
      </c>
      <c r="V704" s="79" t="n">
        <v>42.98</v>
      </c>
      <c r="W704" s="98">
        <f>U704/V704</f>
        <v/>
      </c>
      <c r="X704" s="98">
        <f>(W704/U704)*100</f>
        <v/>
      </c>
      <c r="Y704" s="79" t="n">
        <v>17751.2</v>
      </c>
      <c r="Z704" s="80" t="n">
        <v>32.37</v>
      </c>
      <c r="AA704" s="98">
        <f>Y704/Z704</f>
        <v/>
      </c>
      <c r="AB704" s="98">
        <f>(AA704/Y704)*100</f>
        <v/>
      </c>
    </row>
    <row r="705">
      <c r="A705" s="92" t="n">
        <v>704</v>
      </c>
      <c r="B705" s="108" t="n">
        <v>45597</v>
      </c>
      <c r="C705" s="104" t="n">
        <v>44932167.74</v>
      </c>
      <c r="D705" s="98">
        <f>C705/E705</f>
        <v/>
      </c>
      <c r="E705" s="79" t="n">
        <v>84.08</v>
      </c>
      <c r="F705" s="98">
        <f>D705/100000</f>
        <v/>
      </c>
      <c r="G705" s="97">
        <f>(F705/DataSheet!$C$11*100)</f>
        <v/>
      </c>
      <c r="H705" s="98">
        <f>K705/I705</f>
        <v/>
      </c>
      <c r="I705" s="98">
        <f>(J705/L705)*100</f>
        <v/>
      </c>
      <c r="J705" s="97">
        <f>L705/O705</f>
        <v/>
      </c>
      <c r="K705" s="79" t="n">
        <v>6.841</v>
      </c>
      <c r="L705" s="79" t="n">
        <v>24304.35</v>
      </c>
      <c r="M705" s="79" t="n">
        <v>3.64</v>
      </c>
      <c r="N705" s="98">
        <f>K705-I705</f>
        <v/>
      </c>
      <c r="O705" s="79" t="n">
        <v>22.68</v>
      </c>
      <c r="P705" s="79" t="n">
        <v>4.385</v>
      </c>
      <c r="Q705" s="97">
        <f>K705-P705</f>
        <v/>
      </c>
      <c r="R705" s="79" t="n">
        <v>104.203</v>
      </c>
      <c r="S705" s="98">
        <f>(O705*T705)</f>
        <v/>
      </c>
      <c r="T705" s="79" t="n">
        <v>6.53</v>
      </c>
      <c r="U705" s="79" t="n">
        <v>21021.1</v>
      </c>
      <c r="V705" s="79" t="n">
        <v>43.28</v>
      </c>
      <c r="W705" s="98">
        <f>U705/V705</f>
        <v/>
      </c>
      <c r="X705" s="98">
        <f>(W705/U705)*100</f>
        <v/>
      </c>
      <c r="Y705" s="79" t="n">
        <v>17938.85</v>
      </c>
      <c r="Z705" s="80" t="n">
        <v>32.71</v>
      </c>
      <c r="AA705" s="98">
        <f>Y705/Z705</f>
        <v/>
      </c>
      <c r="AB705" s="98">
        <f>(AA705/Y705)*100</f>
        <v/>
      </c>
    </row>
    <row r="706">
      <c r="A706" s="92" t="n">
        <v>705</v>
      </c>
      <c r="B706" s="108" t="n">
        <v>45600</v>
      </c>
      <c r="C706" s="104" t="n">
        <v>44314053.36</v>
      </c>
      <c r="D706" s="98">
        <f>C706/E706</f>
        <v/>
      </c>
      <c r="E706" s="79" t="n">
        <v>84.13</v>
      </c>
      <c r="F706" s="98">
        <f>D706/100000</f>
        <v/>
      </c>
      <c r="G706" s="97">
        <f>(F706/DataSheet!$C$11*100)</f>
        <v/>
      </c>
      <c r="H706" s="98">
        <f>K706/I706</f>
        <v/>
      </c>
      <c r="I706" s="98">
        <f>(J706/L706)*100</f>
        <v/>
      </c>
      <c r="J706" s="97">
        <f>L706/O706</f>
        <v/>
      </c>
      <c r="K706" s="79" t="n">
        <v>6.797</v>
      </c>
      <c r="L706" s="79" t="n">
        <v>23995.35</v>
      </c>
      <c r="M706" s="79" t="n">
        <v>3.59</v>
      </c>
      <c r="N706" s="98">
        <f>K706-I706</f>
        <v/>
      </c>
      <c r="O706" s="79" t="n">
        <v>22.36</v>
      </c>
      <c r="P706" s="79" t="n">
        <v>4.286</v>
      </c>
      <c r="Q706" s="97">
        <f>K706-P706</f>
        <v/>
      </c>
      <c r="R706" s="79" t="n">
        <v>103.79</v>
      </c>
      <c r="S706" s="98">
        <f>(O706*T706)</f>
        <v/>
      </c>
      <c r="T706" s="79" t="n">
        <v>6.53</v>
      </c>
      <c r="U706" s="79" t="n">
        <v>20767.4</v>
      </c>
      <c r="V706" s="79" t="n">
        <v>42.88</v>
      </c>
      <c r="W706" s="98">
        <f>U706/V706</f>
        <v/>
      </c>
      <c r="X706" s="98">
        <f>(W706/U706)*100</f>
        <v/>
      </c>
      <c r="Y706" s="79" t="n">
        <v>17609.5</v>
      </c>
      <c r="Z706" s="80" t="n">
        <v>32.03</v>
      </c>
      <c r="AA706" s="98">
        <f>Y706/Z706</f>
        <v/>
      </c>
      <c r="AB706" s="98">
        <f>(AA706/Y706)*100</f>
        <v/>
      </c>
    </row>
    <row r="707">
      <c r="A707" s="92" t="n">
        <v>706</v>
      </c>
      <c r="B707" s="108" t="n">
        <v>45601</v>
      </c>
      <c r="C707" s="104" t="n">
        <v>44610179.63</v>
      </c>
      <c r="D707" s="98">
        <f>C707/E707</f>
        <v/>
      </c>
      <c r="E707" s="79" t="n">
        <v>84.10899999999999</v>
      </c>
      <c r="F707" s="98">
        <f>D707/100000</f>
        <v/>
      </c>
      <c r="G707" s="97">
        <f>(F707/DataSheet!$C$11*100)</f>
        <v/>
      </c>
      <c r="H707" s="98">
        <f>K707/I707</f>
        <v/>
      </c>
      <c r="I707" s="98">
        <f>(J707/L707)*100</f>
        <v/>
      </c>
      <c r="J707" s="97">
        <f>L707/O707</f>
        <v/>
      </c>
      <c r="K707" s="79" t="n">
        <v>6.799</v>
      </c>
      <c r="L707" s="79" t="n">
        <v>24213.3</v>
      </c>
      <c r="M707" s="79" t="n">
        <v>3.63</v>
      </c>
      <c r="N707" s="98">
        <f>K707-I707</f>
        <v/>
      </c>
      <c r="O707" s="79" t="n">
        <v>22.55</v>
      </c>
      <c r="P707" s="79" t="n">
        <v>4.28</v>
      </c>
      <c r="Q707" s="97">
        <f>K707-P707</f>
        <v/>
      </c>
      <c r="R707" s="79" t="n">
        <v>103.324</v>
      </c>
      <c r="S707" s="98">
        <f>(O707*T707)</f>
        <v/>
      </c>
      <c r="T707" s="79" t="n">
        <v>6.51</v>
      </c>
      <c r="U707" s="79" t="n">
        <v>20862.1</v>
      </c>
      <c r="V707" s="79" t="n">
        <v>43.06</v>
      </c>
      <c r="W707" s="98">
        <f>U707/V707</f>
        <v/>
      </c>
      <c r="X707" s="98">
        <f>(W707/U707)*100</f>
        <v/>
      </c>
      <c r="Y707" s="79" t="n">
        <v>17694.65</v>
      </c>
      <c r="Z707" s="80" t="n">
        <v>32.19</v>
      </c>
      <c r="AA707" s="98">
        <f>Y707/Z707</f>
        <v/>
      </c>
      <c r="AB707" s="98">
        <f>(AA707/Y707)*100</f>
        <v/>
      </c>
    </row>
    <row r="708">
      <c r="A708" s="92" t="n">
        <v>707</v>
      </c>
      <c r="B708" s="108" t="n">
        <v>45602</v>
      </c>
      <c r="C708" s="104" t="n">
        <v>45385699.4</v>
      </c>
      <c r="D708" s="98">
        <f>C708/E708</f>
        <v/>
      </c>
      <c r="E708" s="79" t="n">
        <v>84.31</v>
      </c>
      <c r="F708" s="98">
        <f>D708/100000</f>
        <v/>
      </c>
      <c r="G708" s="97">
        <f>(F708/DataSheet!$C$11*100)</f>
        <v/>
      </c>
      <c r="H708" s="98">
        <f>K708/I708</f>
        <v/>
      </c>
      <c r="I708" s="98">
        <f>(J708/L708)*100</f>
        <v/>
      </c>
      <c r="J708" s="97">
        <f>L708/O708</f>
        <v/>
      </c>
      <c r="K708" s="79" t="n">
        <v>6.798</v>
      </c>
      <c r="L708" s="79" t="n">
        <v>24484.05</v>
      </c>
      <c r="M708" s="79" t="n">
        <v>3.67</v>
      </c>
      <c r="N708" s="98">
        <f>K708-I708</f>
        <v/>
      </c>
      <c r="O708" s="79" t="n">
        <v>22.8</v>
      </c>
      <c r="P708" s="79" t="n">
        <v>4.431</v>
      </c>
      <c r="Q708" s="97">
        <f>K708-P708</f>
        <v/>
      </c>
      <c r="R708" s="79" t="n">
        <v>104.985</v>
      </c>
      <c r="S708" s="98">
        <f>(O708*T708)</f>
        <v/>
      </c>
      <c r="T708" s="79" t="n">
        <v>6.48</v>
      </c>
      <c r="U708" s="79" t="n">
        <v>21298.5</v>
      </c>
      <c r="V708" s="79" t="n">
        <v>44</v>
      </c>
      <c r="W708" s="98">
        <f>U708/V708</f>
        <v/>
      </c>
      <c r="X708" s="98">
        <f>(W708/U708)*100</f>
        <v/>
      </c>
      <c r="Y708" s="79" t="n">
        <v>18027.15</v>
      </c>
      <c r="Z708" s="80" t="n">
        <v>32.81</v>
      </c>
      <c r="AA708" s="98">
        <f>Y708/Z708</f>
        <v/>
      </c>
      <c r="AB708" s="98">
        <f>(AA708/Y708)*100</f>
        <v/>
      </c>
    </row>
    <row r="709">
      <c r="A709" s="92" t="n">
        <v>708</v>
      </c>
      <c r="B709" s="108" t="n">
        <v>45603</v>
      </c>
      <c r="C709" s="104" t="n">
        <v>44975873.92</v>
      </c>
      <c r="D709" s="98">
        <f>C709/E709</f>
        <v/>
      </c>
      <c r="E709" s="79" t="n">
        <v>84.29300000000001</v>
      </c>
      <c r="F709" s="98">
        <f>D709/100000</f>
        <v/>
      </c>
      <c r="G709" s="97">
        <f>(F709/DataSheet!$C$11*100)</f>
        <v/>
      </c>
      <c r="H709" s="98">
        <f>K709/I709</f>
        <v/>
      </c>
      <c r="I709" s="98">
        <f>(J709/L709)*100</f>
        <v/>
      </c>
      <c r="J709" s="97">
        <f>L709/O709</f>
        <v/>
      </c>
      <c r="K709" s="79" t="n">
        <v>6.796</v>
      </c>
      <c r="L709" s="79" t="n">
        <v>24199.35</v>
      </c>
      <c r="M709" s="79" t="n">
        <v>3.62</v>
      </c>
      <c r="N709" s="98">
        <f>K709-I709</f>
        <v/>
      </c>
      <c r="O709" s="79" t="n">
        <v>22.55</v>
      </c>
      <c r="P709" s="79" t="n">
        <v>4.325</v>
      </c>
      <c r="Q709" s="97">
        <f>K709-P709</f>
        <v/>
      </c>
      <c r="R709" s="79" t="n">
        <v>104.37</v>
      </c>
      <c r="S709" s="98">
        <f>(O709*T709)</f>
        <v/>
      </c>
      <c r="T709" s="79" t="n">
        <v>6.47</v>
      </c>
      <c r="U709" s="79" t="n">
        <v>21194.85</v>
      </c>
      <c r="V709" s="79" t="n">
        <v>43.45</v>
      </c>
      <c r="W709" s="98">
        <f>U709/V709</f>
        <v/>
      </c>
      <c r="X709" s="98">
        <f>(W709/U709)*100</f>
        <v/>
      </c>
      <c r="Y709" s="79" t="n">
        <v>17914.6</v>
      </c>
      <c r="Z709" s="80" t="n">
        <v>32.64</v>
      </c>
      <c r="AA709" s="98">
        <f>Y709/Z709</f>
        <v/>
      </c>
      <c r="AB709" s="98">
        <f>(AA709/Y709)*100</f>
        <v/>
      </c>
    </row>
    <row r="710">
      <c r="A710" s="92" t="n">
        <v>709</v>
      </c>
      <c r="B710" s="108" t="n">
        <v>45604</v>
      </c>
      <c r="C710" s="104" t="n">
        <v>44563232.7</v>
      </c>
      <c r="D710" s="98">
        <f>C710/E710</f>
        <v/>
      </c>
      <c r="E710" s="79" t="n">
        <v>84.395</v>
      </c>
      <c r="F710" s="98">
        <f>D710/100000</f>
        <v/>
      </c>
      <c r="G710" s="97">
        <f>(F710/DataSheet!$C$11*100)</f>
        <v/>
      </c>
      <c r="H710" s="98">
        <f>K710/I710</f>
        <v/>
      </c>
      <c r="I710" s="98">
        <f>(J710/L710)*100</f>
        <v/>
      </c>
      <c r="J710" s="97">
        <f>L710/O710</f>
        <v/>
      </c>
      <c r="K710" s="79" t="n">
        <v>6.774</v>
      </c>
      <c r="L710" s="79" t="n">
        <v>24148.2</v>
      </c>
      <c r="M710" s="79" t="n">
        <v>3.62</v>
      </c>
      <c r="N710" s="98">
        <f>K710-I710</f>
        <v/>
      </c>
      <c r="O710" s="79" t="n">
        <v>22.27</v>
      </c>
      <c r="P710" s="79" t="n">
        <v>4.305</v>
      </c>
      <c r="Q710" s="97">
        <f>K710-P710</f>
        <v/>
      </c>
      <c r="R710" s="79" t="n">
        <v>104.89</v>
      </c>
      <c r="S710" s="98">
        <f>(O710*T710)</f>
        <v/>
      </c>
      <c r="T710" s="79" t="n">
        <v>6.46</v>
      </c>
      <c r="U710" s="79" t="n">
        <v>20919.9</v>
      </c>
      <c r="V710" s="79" t="n">
        <v>42.87</v>
      </c>
      <c r="W710" s="98">
        <f>U710/V710</f>
        <v/>
      </c>
      <c r="X710" s="98">
        <f>(W710/U710)*100</f>
        <v/>
      </c>
      <c r="Y710" s="79" t="n">
        <v>17634.25</v>
      </c>
      <c r="Z710" s="80" t="n">
        <v>32.14</v>
      </c>
      <c r="AA710" s="98">
        <f>Y710/Z710</f>
        <v/>
      </c>
      <c r="AB710" s="98">
        <f>(AA710/Y710)*100</f>
        <v/>
      </c>
    </row>
    <row r="711">
      <c r="A711" s="92" t="n">
        <v>710</v>
      </c>
      <c r="B711" s="108" t="n">
        <v>45607</v>
      </c>
      <c r="C711" s="104" t="n">
        <v>44367021.95</v>
      </c>
      <c r="D711" s="98">
        <f>C711/E711</f>
        <v/>
      </c>
      <c r="E711" s="79" t="n">
        <v>84.379</v>
      </c>
      <c r="F711" s="98">
        <f>D711/100000</f>
        <v/>
      </c>
      <c r="G711" s="97">
        <f>(F711/DataSheet!$C$11*100)</f>
        <v/>
      </c>
      <c r="H711" s="98">
        <f>K711/I711</f>
        <v/>
      </c>
      <c r="I711" s="98">
        <f>(J711/L711)*100</f>
        <v/>
      </c>
      <c r="J711" s="97">
        <f>L711/O711</f>
        <v/>
      </c>
      <c r="K711" s="79" t="n">
        <v>6.785</v>
      </c>
      <c r="L711" s="79" t="n">
        <v>24141.3</v>
      </c>
      <c r="M711" s="79" t="n">
        <v>3.62</v>
      </c>
      <c r="N711" s="98">
        <f>K711-I711</f>
        <v/>
      </c>
      <c r="O711" s="79" t="n">
        <v>22.23</v>
      </c>
      <c r="P711" s="79" t="n">
        <v>4.305</v>
      </c>
      <c r="Q711" s="97">
        <f>K711-P711</f>
        <v/>
      </c>
      <c r="R711" s="79" t="n">
        <v>105.457</v>
      </c>
      <c r="S711" s="98">
        <f>(O711*T711)</f>
        <v/>
      </c>
      <c r="T711" s="79" t="n">
        <v>6.48</v>
      </c>
      <c r="U711" s="79" t="n">
        <v>20749.95</v>
      </c>
      <c r="V711" s="79" t="n">
        <v>42.31</v>
      </c>
      <c r="W711" s="98">
        <f>U711/V711</f>
        <v/>
      </c>
      <c r="X711" s="98">
        <f>(W711/U711)*100</f>
        <v/>
      </c>
      <c r="Y711" s="79" t="n">
        <v>17423.9</v>
      </c>
      <c r="Z711" s="80" t="n">
        <v>31.82</v>
      </c>
      <c r="AA711" s="98">
        <f>Y711/Z711</f>
        <v/>
      </c>
      <c r="AB711" s="98">
        <f>(AA711/Y711)*100</f>
        <v/>
      </c>
    </row>
    <row r="712">
      <c r="A712" s="92" t="n">
        <v>711</v>
      </c>
      <c r="B712" s="108" t="n">
        <v>45608</v>
      </c>
      <c r="C712" s="104" t="n">
        <v>43853342.86</v>
      </c>
      <c r="D712" s="98">
        <f>C712/E712</f>
        <v/>
      </c>
      <c r="E712" s="79" t="n">
        <v>84.38</v>
      </c>
      <c r="F712" s="98">
        <f>D712/100000</f>
        <v/>
      </c>
      <c r="G712" s="97">
        <f>(F712/DataSheet!$C$11*100)</f>
        <v/>
      </c>
      <c r="H712" s="98">
        <f>K712/I712</f>
        <v/>
      </c>
      <c r="I712" s="98">
        <f>(J712/L712)*100</f>
        <v/>
      </c>
      <c r="J712" s="97">
        <f>L712/O712</f>
        <v/>
      </c>
      <c r="K712" s="79" t="n">
        <v>6.795</v>
      </c>
      <c r="L712" s="79" t="n">
        <v>23883.45</v>
      </c>
      <c r="M712" s="79" t="n">
        <v>3.58</v>
      </c>
      <c r="N712" s="98">
        <f>K712-I712</f>
        <v/>
      </c>
      <c r="O712" s="79" t="n">
        <v>21.93</v>
      </c>
      <c r="P712" s="79" t="n">
        <v>4.429</v>
      </c>
      <c r="Q712" s="97">
        <f>K712-P712</f>
        <v/>
      </c>
      <c r="R712" s="79" t="n">
        <v>105.95</v>
      </c>
      <c r="S712" s="98">
        <f>(O712*T712)</f>
        <v/>
      </c>
      <c r="T712" s="79" t="n">
        <v>6.48</v>
      </c>
      <c r="U712" s="79" t="n">
        <v>20560.6</v>
      </c>
      <c r="V712" s="79" t="n">
        <v>41.9</v>
      </c>
      <c r="W712" s="98">
        <f>U712/V712</f>
        <v/>
      </c>
      <c r="X712" s="98">
        <f>(W712/U712)*100</f>
        <v/>
      </c>
      <c r="Y712" s="79" t="n">
        <v>17196.4</v>
      </c>
      <c r="Z712" s="80" t="n">
        <v>31.47</v>
      </c>
      <c r="AA712" s="98">
        <f>Y712/Z712</f>
        <v/>
      </c>
      <c r="AB712" s="98">
        <f>(AA712/Y712)*100</f>
        <v/>
      </c>
    </row>
    <row r="713">
      <c r="A713" s="92" t="n">
        <v>712</v>
      </c>
      <c r="B713" s="108" t="n">
        <v>45609</v>
      </c>
      <c r="C713" s="104" t="n">
        <v>43060255.79</v>
      </c>
      <c r="D713" s="98">
        <f>C713/E713</f>
        <v/>
      </c>
      <c r="E713" s="79" t="n">
        <v>84.416</v>
      </c>
      <c r="F713" s="98">
        <f>D713/100000</f>
        <v/>
      </c>
      <c r="G713" s="97">
        <f>(F713/DataSheet!$C$11*100)</f>
        <v/>
      </c>
      <c r="H713" s="98">
        <f>K713/I713</f>
        <v/>
      </c>
      <c r="I713" s="98">
        <f>(J713/L713)*100</f>
        <v/>
      </c>
      <c r="J713" s="97">
        <f>L713/O713</f>
        <v/>
      </c>
      <c r="K713" s="79" t="n">
        <v>6.804</v>
      </c>
      <c r="L713" s="79" t="n">
        <v>23559.05</v>
      </c>
      <c r="M713" s="79" t="n">
        <v>3.53</v>
      </c>
      <c r="N713" s="98">
        <f>K713-I713</f>
        <v/>
      </c>
      <c r="O713" s="79" t="n">
        <v>21.68</v>
      </c>
      <c r="P713" s="79" t="n">
        <v>4.45</v>
      </c>
      <c r="Q713" s="97">
        <f>K713-P713</f>
        <v/>
      </c>
      <c r="R713" s="79" t="n">
        <v>106.379</v>
      </c>
      <c r="S713" s="98">
        <f>(O713*T713)</f>
        <v/>
      </c>
      <c r="T713" s="79" t="n">
        <v>6.48</v>
      </c>
      <c r="U713" s="79" t="n">
        <v>20010.75</v>
      </c>
      <c r="V713" s="79" t="n">
        <v>40.73</v>
      </c>
      <c r="W713" s="98">
        <f>U713/V713</f>
        <v/>
      </c>
      <c r="X713" s="98">
        <f>(W713/U713)*100</f>
        <v/>
      </c>
      <c r="Y713" s="79" t="n">
        <v>16670.35</v>
      </c>
      <c r="Z713" s="80" t="n">
        <v>30.62</v>
      </c>
      <c r="AA713" s="98">
        <f>Y713/Z713</f>
        <v/>
      </c>
      <c r="AB713" s="98">
        <f>(AA713/Y713)*100</f>
        <v/>
      </c>
    </row>
    <row r="714">
      <c r="A714" s="92" t="n">
        <v>713</v>
      </c>
      <c r="B714" s="108" t="n">
        <v>45610</v>
      </c>
      <c r="C714" s="104" t="n">
        <v>43178792.93</v>
      </c>
      <c r="D714" s="98">
        <f>C714/E714</f>
        <v/>
      </c>
      <c r="E714" s="79" t="n">
        <v>84.461</v>
      </c>
      <c r="F714" s="98">
        <f>D714/100000</f>
        <v/>
      </c>
      <c r="G714" s="97">
        <f>(F714/DataSheet!$C$11*100)</f>
        <v/>
      </c>
      <c r="H714" s="98">
        <f>K714/I714</f>
        <v/>
      </c>
      <c r="I714" s="98">
        <f>(J714/L714)*100</f>
        <v/>
      </c>
      <c r="J714" s="97">
        <f>L714/O714</f>
        <v/>
      </c>
      <c r="K714" s="79" t="n">
        <v>6.827</v>
      </c>
      <c r="L714" s="79" t="n">
        <v>23532.7</v>
      </c>
      <c r="M714" s="79" t="n">
        <v>3.52</v>
      </c>
      <c r="N714" s="98">
        <f>K714-I714</f>
        <v/>
      </c>
      <c r="O714" s="79" t="n">
        <v>21.65</v>
      </c>
      <c r="P714" s="79" t="n">
        <v>4.445</v>
      </c>
      <c r="Q714" s="97">
        <f>K714-P714</f>
        <v/>
      </c>
      <c r="R714" s="79" t="n">
        <v>106.598</v>
      </c>
      <c r="S714" s="98">
        <f>(O714*T714)</f>
        <v/>
      </c>
      <c r="T714" s="79" t="n">
        <v>6.47</v>
      </c>
      <c r="U714" s="79" t="n">
        <v>20105.25</v>
      </c>
      <c r="V714" s="79" t="n">
        <v>40.9</v>
      </c>
      <c r="W714" s="98">
        <f>U714/V714</f>
        <v/>
      </c>
      <c r="X714" s="98">
        <f>(W714/U714)*100</f>
        <v/>
      </c>
      <c r="Y714" s="79" t="n">
        <v>16801.55</v>
      </c>
      <c r="Z714" s="80" t="n">
        <v>30.85</v>
      </c>
      <c r="AA714" s="98">
        <f>Y714/Z714</f>
        <v/>
      </c>
      <c r="AB714" s="98">
        <f>(AA714/Y714)*100</f>
        <v/>
      </c>
    </row>
    <row r="715">
      <c r="A715" s="92" t="n">
        <v>714</v>
      </c>
      <c r="B715" s="108" t="n">
        <v>45614</v>
      </c>
      <c r="C715" s="104" t="n">
        <v>43011609.03</v>
      </c>
      <c r="D715" s="98">
        <f>C715/E715</f>
        <v/>
      </c>
      <c r="E715" s="79" t="n">
        <v>84.398</v>
      </c>
      <c r="F715" s="98">
        <f>D715/100000</f>
        <v/>
      </c>
      <c r="G715" s="97">
        <f>(F715/DataSheet!$C$11*100)</f>
        <v/>
      </c>
      <c r="H715" s="98">
        <f>K715/I715</f>
        <v/>
      </c>
      <c r="I715" s="98">
        <f>(J715/L715)*100</f>
        <v/>
      </c>
      <c r="J715" s="97">
        <f>L715/O715</f>
        <v/>
      </c>
      <c r="K715" s="79" t="n">
        <v>6.821</v>
      </c>
      <c r="L715" s="79" t="n">
        <v>23453.8</v>
      </c>
      <c r="M715" s="79" t="n">
        <v>3.51</v>
      </c>
      <c r="N715" s="98">
        <f>K715-I715</f>
        <v/>
      </c>
      <c r="O715" s="79" t="n">
        <v>21.57</v>
      </c>
      <c r="P715" s="79" t="n">
        <v>4.413</v>
      </c>
      <c r="Q715" s="97">
        <f>K715-P715</f>
        <v/>
      </c>
      <c r="R715" s="79" t="n">
        <v>106.201</v>
      </c>
      <c r="S715" s="98">
        <f>(O715*T715)</f>
        <v/>
      </c>
      <c r="T715" s="79" t="n">
        <v>6.46</v>
      </c>
      <c r="U715" s="79" t="n">
        <v>20068.55</v>
      </c>
      <c r="V715" s="79" t="n">
        <v>40.64</v>
      </c>
      <c r="W715" s="98">
        <f>U715/V715</f>
        <v/>
      </c>
      <c r="X715" s="98">
        <f>(W715/U715)*100</f>
        <v/>
      </c>
      <c r="Y715" s="79" t="n">
        <v>16693.35</v>
      </c>
      <c r="Z715" s="80" t="n">
        <v>30.54</v>
      </c>
      <c r="AA715" s="98">
        <f>Y715/Z715</f>
        <v/>
      </c>
      <c r="AB715" s="98">
        <f>(AA715/Y715)*100</f>
        <v/>
      </c>
    </row>
    <row r="716">
      <c r="A716" s="92" t="n">
        <v>715</v>
      </c>
      <c r="B716" s="108" t="n">
        <v>45615</v>
      </c>
      <c r="C716" s="104" t="n">
        <v>43190386.73</v>
      </c>
      <c r="D716" s="98">
        <f>C716/E716</f>
        <v/>
      </c>
      <c r="E716" s="79" t="n">
        <v>84.39</v>
      </c>
      <c r="F716" s="98">
        <f>D716/100000</f>
        <v/>
      </c>
      <c r="G716" s="97">
        <f>(F716/DataSheet!$C$11*100)</f>
        <v/>
      </c>
      <c r="H716" s="98">
        <f>K716/I716</f>
        <v/>
      </c>
      <c r="I716" s="98">
        <f>(J716/L716)*100</f>
        <v/>
      </c>
      <c r="J716" s="97">
        <f>L716/O716</f>
        <v/>
      </c>
      <c r="K716" s="79" t="n">
        <v>6.811</v>
      </c>
      <c r="L716" s="79" t="n">
        <v>23518.5</v>
      </c>
      <c r="M716" s="79" t="n">
        <v>3.52</v>
      </c>
      <c r="N716" s="98">
        <f>K716-I716</f>
        <v/>
      </c>
      <c r="O716" s="79" t="n">
        <v>21.65</v>
      </c>
      <c r="P716" s="79" t="n">
        <v>4.395</v>
      </c>
      <c r="Q716" s="97">
        <f>K716-P716</f>
        <v/>
      </c>
      <c r="R716" s="79" t="n">
        <v>106.143</v>
      </c>
      <c r="S716" s="98">
        <f>(O716*T716)</f>
        <v/>
      </c>
      <c r="T716" s="79" t="n">
        <v>6.48</v>
      </c>
      <c r="U716" s="79" t="n">
        <v>20258.1</v>
      </c>
      <c r="V716" s="79" t="n">
        <v>40.69</v>
      </c>
      <c r="W716" s="98">
        <f>U716/V716</f>
        <v/>
      </c>
      <c r="X716" s="98">
        <f>(W716/U716)*100</f>
        <v/>
      </c>
      <c r="Y716" s="79" t="n">
        <v>16845.25</v>
      </c>
      <c r="Z716" s="80" t="n">
        <v>30.49</v>
      </c>
      <c r="AA716" s="98">
        <f>Y716/Z716</f>
        <v/>
      </c>
      <c r="AB716" s="98">
        <f>(AA716/Y716)*100</f>
        <v/>
      </c>
    </row>
    <row r="717">
      <c r="A717" s="92" t="n">
        <v>716</v>
      </c>
      <c r="B717" s="108" t="n">
        <v>45617</v>
      </c>
      <c r="C717" s="104" t="n">
        <v>42655205.05</v>
      </c>
      <c r="D717" s="98">
        <f>C717/E717</f>
        <v/>
      </c>
      <c r="E717" s="79" t="n">
        <v>84.495</v>
      </c>
      <c r="F717" s="98">
        <f>D717/100000</f>
        <v/>
      </c>
      <c r="G717" s="97">
        <f>(F717/DataSheet!$C$11*100)</f>
        <v/>
      </c>
      <c r="H717" s="98">
        <f>K717/I717</f>
        <v/>
      </c>
      <c r="I717" s="98">
        <f>(J717/L717)*100</f>
        <v/>
      </c>
      <c r="J717" s="97">
        <f>L717/O717</f>
        <v/>
      </c>
      <c r="K717" s="79" t="n">
        <v>6.831</v>
      </c>
      <c r="L717" s="79" t="n">
        <v>23349.9</v>
      </c>
      <c r="M717" s="79" t="n">
        <v>3.5</v>
      </c>
      <c r="N717" s="98">
        <f>K717-I717</f>
        <v/>
      </c>
      <c r="O717" s="79" t="n">
        <v>21.49</v>
      </c>
      <c r="P717" s="79" t="n">
        <v>4.419</v>
      </c>
      <c r="Q717" s="97">
        <f>K717-P717</f>
        <v/>
      </c>
      <c r="R717" s="79" t="n">
        <v>106.93</v>
      </c>
      <c r="S717" s="98">
        <f>(O717*T717)</f>
        <v/>
      </c>
      <c r="T717" s="79" t="n">
        <v>6.48</v>
      </c>
      <c r="U717" s="79" t="n">
        <v>20180.9</v>
      </c>
      <c r="V717" s="79" t="n">
        <v>40.54</v>
      </c>
      <c r="W717" s="98">
        <f>U717/V717</f>
        <v/>
      </c>
      <c r="X717" s="98">
        <f>(W717/U717)*100</f>
        <v/>
      </c>
      <c r="Y717" s="79" t="n">
        <v>16747.85</v>
      </c>
      <c r="Z717" s="80" t="n">
        <v>32.15</v>
      </c>
      <c r="AA717" s="98">
        <f>Y717/Z717</f>
        <v/>
      </c>
      <c r="AB717" s="98">
        <f>(AA717/Y717)*100</f>
        <v/>
      </c>
    </row>
    <row r="718">
      <c r="A718" s="92" t="n">
        <v>717</v>
      </c>
      <c r="B718" s="108" t="n">
        <v>45618</v>
      </c>
      <c r="C718" s="104" t="n">
        <v>43382625.69</v>
      </c>
      <c r="D718" s="98">
        <f>C718/E718</f>
        <v/>
      </c>
      <c r="E718" s="79" t="n">
        <v>84.426</v>
      </c>
      <c r="F718" s="98">
        <f>D718/100000</f>
        <v/>
      </c>
      <c r="G718" s="97">
        <f>(F718/DataSheet!$C$11*100)</f>
        <v/>
      </c>
      <c r="H718" s="98">
        <f>K718/I718</f>
        <v/>
      </c>
      <c r="I718" s="98">
        <f>(J718/L718)*100</f>
        <v/>
      </c>
      <c r="J718" s="97">
        <f>L718/O718</f>
        <v/>
      </c>
      <c r="K718" s="79" t="n">
        <v>6.85</v>
      </c>
      <c r="L718" s="79" t="n">
        <v>23907.25</v>
      </c>
      <c r="M718" s="79" t="n">
        <v>3.58</v>
      </c>
      <c r="N718" s="98">
        <f>K718-I718</f>
        <v/>
      </c>
      <c r="O718" s="79" t="n">
        <v>22.01</v>
      </c>
      <c r="P718" s="79" t="n">
        <v>4.411</v>
      </c>
      <c r="Q718" s="97">
        <f>K718-P718</f>
        <v/>
      </c>
      <c r="R718" s="79" t="n">
        <v>107.507</v>
      </c>
      <c r="S718" s="98">
        <f>(O718*T718)</f>
        <v/>
      </c>
      <c r="T718" s="79" t="n">
        <v>6.48</v>
      </c>
      <c r="U718" s="79" t="n">
        <v>20412.65</v>
      </c>
      <c r="V718" s="79" t="n">
        <v>41</v>
      </c>
      <c r="W718" s="98">
        <f>U718/V718</f>
        <v/>
      </c>
      <c r="X718" s="98">
        <f>(W718/U718)*100</f>
        <v/>
      </c>
      <c r="Y718" s="79" t="n">
        <v>16912.3</v>
      </c>
      <c r="Z718" s="80" t="n">
        <v>32.52</v>
      </c>
      <c r="AA718" s="98">
        <f>Y718/Z718</f>
        <v/>
      </c>
      <c r="AB718" s="98">
        <f>(AA718/Y718)*100</f>
        <v/>
      </c>
    </row>
    <row r="719">
      <c r="A719" s="92" t="n">
        <v>718</v>
      </c>
      <c r="B719" s="108" t="n">
        <v>45621</v>
      </c>
      <c r="C719" s="104" t="n">
        <v>44049098.94</v>
      </c>
      <c r="D719" s="98">
        <f>C719/E719</f>
        <v/>
      </c>
      <c r="E719" s="79" t="n">
        <v>84.26000000000001</v>
      </c>
      <c r="F719" s="98">
        <f>D719/100000</f>
        <v/>
      </c>
      <c r="G719" s="97">
        <f>(F719/DataSheet!$C$11*100)</f>
        <v/>
      </c>
      <c r="H719" s="98">
        <f>K719/I719</f>
        <v/>
      </c>
      <c r="I719" s="98">
        <f>(J719/L719)*100</f>
        <v/>
      </c>
      <c r="J719" s="97">
        <f>L719/O719</f>
        <v/>
      </c>
      <c r="K719" s="79" t="n">
        <v>6.822</v>
      </c>
      <c r="L719" s="79" t="n">
        <v>24221.9</v>
      </c>
      <c r="M719" s="79" t="n">
        <v>3.63</v>
      </c>
      <c r="N719" s="98">
        <f>K719-I719</f>
        <v/>
      </c>
      <c r="O719" s="79" t="n">
        <v>22.29</v>
      </c>
      <c r="P719" s="79" t="n">
        <v>4.274</v>
      </c>
      <c r="Q719" s="97">
        <f>K719-P719</f>
        <v/>
      </c>
      <c r="R719" s="79" t="n">
        <v>106.77</v>
      </c>
      <c r="S719" s="98">
        <f>(O719*T719)</f>
        <v/>
      </c>
      <c r="T719" s="79" t="n">
        <v>6.48</v>
      </c>
      <c r="U719" s="79" t="n">
        <v>20725.7</v>
      </c>
      <c r="V719" s="79" t="n">
        <v>41.63</v>
      </c>
      <c r="W719" s="98">
        <f>U719/V719</f>
        <v/>
      </c>
      <c r="X719" s="98">
        <f>(W719/U719)*100</f>
        <v/>
      </c>
      <c r="Y719" s="79" t="n">
        <v>17269.55</v>
      </c>
      <c r="Z719" s="80" t="n">
        <v>33.2</v>
      </c>
      <c r="AA719" s="98">
        <f>Y719/Z719</f>
        <v/>
      </c>
      <c r="AB719" s="98">
        <f>(AA719/Y719)*100</f>
        <v/>
      </c>
    </row>
    <row r="720">
      <c r="A720" s="92" t="n">
        <v>719</v>
      </c>
      <c r="B720" s="108" t="n">
        <v>45622</v>
      </c>
      <c r="C720" s="104" t="n">
        <v>44164026.56</v>
      </c>
      <c r="D720" s="98">
        <f>C720/E720</f>
        <v/>
      </c>
      <c r="E720" s="79" t="n">
        <v>84.319</v>
      </c>
      <c r="F720" s="98">
        <f>D720/100000</f>
        <v/>
      </c>
      <c r="G720" s="97">
        <f>(F720/DataSheet!$C$11*100)</f>
        <v/>
      </c>
      <c r="H720" s="98">
        <f>K720/I720</f>
        <v/>
      </c>
      <c r="I720" s="98">
        <f>(J720/L720)*100</f>
        <v/>
      </c>
      <c r="J720" s="97">
        <f>L720/O720</f>
        <v/>
      </c>
      <c r="K720" s="79" t="n">
        <v>6.827</v>
      </c>
      <c r="L720" s="79" t="n">
        <v>24194.5</v>
      </c>
      <c r="M720" s="79" t="n">
        <v>3.62</v>
      </c>
      <c r="N720" s="98">
        <f>K720-I720</f>
        <v/>
      </c>
      <c r="O720" s="79" t="n">
        <v>22.27</v>
      </c>
      <c r="P720" s="79" t="n">
        <v>4.294</v>
      </c>
      <c r="Q720" s="97">
        <f>K720-P720</f>
        <v/>
      </c>
      <c r="R720" s="79" t="n">
        <v>106.968</v>
      </c>
      <c r="S720" s="98">
        <f>(O720*T720)</f>
        <v/>
      </c>
      <c r="T720" s="79" t="n">
        <v>6.47</v>
      </c>
      <c r="U720" s="79" t="n">
        <v>20735.1</v>
      </c>
      <c r="V720" s="79" t="n">
        <v>41.64</v>
      </c>
      <c r="W720" s="98">
        <f>U720/V720</f>
        <v/>
      </c>
      <c r="X720" s="98">
        <f>(W720/U720)*100</f>
        <v/>
      </c>
      <c r="Y720" s="79" t="n">
        <v>17375.55</v>
      </c>
      <c r="Z720" s="80" t="n">
        <v>33.41</v>
      </c>
      <c r="AA720" s="98">
        <f>Y720/Z720</f>
        <v/>
      </c>
      <c r="AB720" s="98">
        <f>(AA720/Y720)*100</f>
        <v/>
      </c>
    </row>
    <row r="721">
      <c r="A721" s="92" t="n">
        <v>720</v>
      </c>
      <c r="B721" s="108" t="n">
        <v>45623</v>
      </c>
      <c r="C721" s="104" t="n">
        <v>44571592.78</v>
      </c>
      <c r="D721" s="98">
        <f>C721/E721</f>
        <v/>
      </c>
      <c r="E721" s="79" t="n">
        <v>84.41</v>
      </c>
      <c r="F721" s="98">
        <f>D721/100000</f>
        <v/>
      </c>
      <c r="G721" s="97">
        <f>(F721/DataSheet!$C$11*100)</f>
        <v/>
      </c>
      <c r="H721" s="98">
        <f>K721/I721</f>
        <v/>
      </c>
      <c r="I721" s="98">
        <f>(J721/L721)*100</f>
        <v/>
      </c>
      <c r="J721" s="97">
        <f>L721/O721</f>
        <v/>
      </c>
      <c r="K721" s="79" t="n">
        <v>6.812</v>
      </c>
      <c r="L721" s="79" t="n">
        <v>24274.9</v>
      </c>
      <c r="M721" s="79" t="n">
        <v>3.63</v>
      </c>
      <c r="N721" s="98">
        <f>K721-I721</f>
        <v/>
      </c>
      <c r="O721" s="79" t="n">
        <v>22.34</v>
      </c>
      <c r="P721" s="79" t="n">
        <v>4.26</v>
      </c>
      <c r="Q721" s="97">
        <f>K721-P721</f>
        <v/>
      </c>
      <c r="R721" s="79" t="n">
        <v>106.048</v>
      </c>
      <c r="S721" s="98">
        <f>(O721*T721)</f>
        <v/>
      </c>
      <c r="T721" s="79" t="n">
        <v>6.5</v>
      </c>
      <c r="U721" s="79" t="n">
        <v>20838.2</v>
      </c>
      <c r="V721" s="79" t="n">
        <v>41.84</v>
      </c>
      <c r="W721" s="98">
        <f>U721/V721</f>
        <v/>
      </c>
      <c r="X721" s="98">
        <f>(W721/U721)*100</f>
        <v/>
      </c>
      <c r="Y721" s="79" t="n">
        <v>17552.65</v>
      </c>
      <c r="Z721" s="80" t="n">
        <v>33.75</v>
      </c>
      <c r="AA721" s="98">
        <f>Y721/Z721</f>
        <v/>
      </c>
      <c r="AB721" s="98">
        <f>(AA721/Y721)*100</f>
        <v/>
      </c>
    </row>
    <row r="722">
      <c r="A722" s="92" t="n">
        <v>721</v>
      </c>
      <c r="B722" s="108" t="n">
        <v>45624</v>
      </c>
      <c r="C722" s="104" t="n">
        <v>44416203.07</v>
      </c>
      <c r="D722" s="98">
        <f>C722/E722</f>
        <v/>
      </c>
      <c r="E722" s="79" t="n">
        <v>84.44499999999999</v>
      </c>
      <c r="F722" s="98">
        <f>D722/100000</f>
        <v/>
      </c>
      <c r="G722" s="97">
        <f>(F722/DataSheet!$C$11*100)</f>
        <v/>
      </c>
      <c r="H722" s="98">
        <f>K722/I722</f>
        <v/>
      </c>
      <c r="I722" s="98">
        <f>(J722/L722)*100</f>
        <v/>
      </c>
      <c r="J722" s="97">
        <f>L722/O722</f>
        <v/>
      </c>
      <c r="K722" s="79" t="n">
        <v>6.805</v>
      </c>
      <c r="L722" s="79" t="n">
        <v>23914.15</v>
      </c>
      <c r="M722" s="79" t="n">
        <v>3.56</v>
      </c>
      <c r="N722" s="98">
        <f>K722-I722</f>
        <v/>
      </c>
      <c r="O722" s="79" t="n">
        <v>22.01</v>
      </c>
      <c r="P722" s="79" t="n">
        <v>4.26</v>
      </c>
      <c r="Q722" s="97">
        <f>K722-P722</f>
        <v/>
      </c>
      <c r="R722" s="79" t="n">
        <v>106.048</v>
      </c>
      <c r="S722" s="98">
        <f>(O722*T722)</f>
        <v/>
      </c>
      <c r="T722" s="79" t="n">
        <v>6.5</v>
      </c>
      <c r="U722" s="79" t="n">
        <v>20839.9</v>
      </c>
      <c r="V722" s="79" t="n">
        <v>41.85</v>
      </c>
      <c r="W722" s="98">
        <f>U722/V722</f>
        <v/>
      </c>
      <c r="X722" s="98">
        <f>(W722/U722)*100</f>
        <v/>
      </c>
      <c r="Y722" s="79" t="n">
        <v>17577.85</v>
      </c>
      <c r="Z722" s="80" t="n">
        <v>33.8</v>
      </c>
      <c r="AA722" s="98">
        <f>Y722/Z722</f>
        <v/>
      </c>
      <c r="AB722" s="98">
        <f>(AA722/Y722)*100</f>
        <v/>
      </c>
    </row>
    <row r="723">
      <c r="A723" s="92" t="n">
        <v>722</v>
      </c>
      <c r="B723" s="108" t="n">
        <v>45625</v>
      </c>
      <c r="C723" s="104" t="n">
        <v>44505794.73</v>
      </c>
      <c r="D723" s="98">
        <f>C723/E723</f>
        <v/>
      </c>
      <c r="E723" s="79" t="n">
        <v>84.559</v>
      </c>
      <c r="F723" s="98">
        <f>D723/100000</f>
        <v/>
      </c>
      <c r="G723" s="97">
        <f>(F723/DataSheet!$C$11*100)</f>
        <v/>
      </c>
      <c r="H723" s="98">
        <f>K723/I723</f>
        <v/>
      </c>
      <c r="I723" s="98">
        <f>(J723/L723)*100</f>
        <v/>
      </c>
      <c r="J723" s="97">
        <f>L723/O723</f>
        <v/>
      </c>
      <c r="K723" s="79" t="n">
        <v>6.751</v>
      </c>
      <c r="L723" s="79" t="n">
        <v>24131.1</v>
      </c>
      <c r="M723" s="79" t="n">
        <v>3.6</v>
      </c>
      <c r="N723" s="98">
        <f>K723-I723</f>
        <v/>
      </c>
      <c r="O723" s="79" t="n">
        <v>22.21</v>
      </c>
      <c r="P723" s="79" t="n">
        <v>4.177</v>
      </c>
      <c r="Q723" s="97">
        <f>K723-P723</f>
        <v/>
      </c>
      <c r="R723" s="79" t="n">
        <v>105.828</v>
      </c>
      <c r="S723" s="98">
        <f>(O723*T723)</f>
        <v/>
      </c>
      <c r="T723" s="79" t="n">
        <v>6.49</v>
      </c>
      <c r="U723" s="79" t="n">
        <v>20906.65</v>
      </c>
      <c r="V723" s="79" t="n">
        <v>41.98</v>
      </c>
      <c r="W723" s="98">
        <f>U723/V723</f>
        <v/>
      </c>
      <c r="X723" s="98">
        <f>(W723/U723)*100</f>
        <v/>
      </c>
      <c r="Y723" s="79" t="n">
        <v>17716.45</v>
      </c>
      <c r="Z723" s="80" t="n">
        <v>34.11</v>
      </c>
      <c r="AA723" s="98">
        <f>Y723/Z723</f>
        <v/>
      </c>
      <c r="AB723" s="98">
        <f>(AA723/Y723)*100</f>
        <v/>
      </c>
    </row>
    <row r="724">
      <c r="A724" s="92" t="n">
        <v>723</v>
      </c>
      <c r="B724" s="108" t="n">
        <v>45628</v>
      </c>
      <c r="C724" s="104" t="n">
        <v>44790919.27</v>
      </c>
      <c r="D724" s="98">
        <f>C724/E724</f>
        <v/>
      </c>
      <c r="E724" s="79" t="n">
        <v>84.73999999999999</v>
      </c>
      <c r="F724" s="98">
        <f>D724/100000</f>
        <v/>
      </c>
      <c r="G724" s="97">
        <f>(F724/DataSheet!$C$11*100)</f>
        <v/>
      </c>
      <c r="H724" s="98">
        <f>K724/I724</f>
        <v/>
      </c>
      <c r="I724" s="98">
        <f>(J724/L724)*100</f>
        <v/>
      </c>
      <c r="J724" s="97">
        <f>L724/O724</f>
        <v/>
      </c>
      <c r="K724" s="79" t="n">
        <v>6.71</v>
      </c>
      <c r="L724" s="79" t="n">
        <v>24276.05</v>
      </c>
      <c r="M724" s="79" t="n">
        <v>3.62</v>
      </c>
      <c r="N724" s="98">
        <f>K724-I724</f>
        <v/>
      </c>
      <c r="O724" s="79" t="n">
        <v>22.35</v>
      </c>
      <c r="P724" s="79" t="n">
        <v>4.195</v>
      </c>
      <c r="Q724" s="97">
        <f>K724-P724</f>
        <v/>
      </c>
      <c r="R724" s="79" t="n">
        <v>106.423</v>
      </c>
      <c r="S724" s="98">
        <f>(O724*T724)</f>
        <v/>
      </c>
      <c r="T724" s="79" t="n">
        <v>6.49</v>
      </c>
      <c r="U724" s="79" t="n">
        <v>21105.95</v>
      </c>
      <c r="V724" s="79" t="n">
        <v>42.38</v>
      </c>
      <c r="W724" s="98">
        <f>U724/V724</f>
        <v/>
      </c>
      <c r="X724" s="98">
        <f>(W724/U724)*100</f>
        <v/>
      </c>
      <c r="Y724" s="79" t="n">
        <v>17840.1</v>
      </c>
      <c r="Z724" s="80" t="n">
        <v>34.34</v>
      </c>
      <c r="AA724" s="98">
        <f>Y724/Z724</f>
        <v/>
      </c>
      <c r="AB724" s="98">
        <f>(AA724/Y724)*100</f>
        <v/>
      </c>
    </row>
    <row r="725">
      <c r="A725" s="92" t="n">
        <v>724</v>
      </c>
      <c r="B725" s="108" t="n">
        <v>45629</v>
      </c>
      <c r="C725" s="104" t="n">
        <v>45189520.89</v>
      </c>
      <c r="D725" s="98">
        <f>C725/E725</f>
        <v/>
      </c>
      <c r="E725" s="79" t="n">
        <v>84.676</v>
      </c>
      <c r="F725" s="98">
        <f>D725/100000</f>
        <v/>
      </c>
      <c r="G725" s="97">
        <f>(F725/DataSheet!$C$11*100)</f>
        <v/>
      </c>
      <c r="H725" s="98">
        <f>K725/I725</f>
        <v/>
      </c>
      <c r="I725" s="98">
        <f>(J725/L725)*100</f>
        <v/>
      </c>
      <c r="J725" s="97">
        <f>L725/O725</f>
        <v/>
      </c>
      <c r="K725" s="79" t="n">
        <v>6.714</v>
      </c>
      <c r="L725" s="79" t="n">
        <v>24457.15</v>
      </c>
      <c r="M725" s="79" t="n">
        <v>3.64</v>
      </c>
      <c r="N725" s="98">
        <f>K725-I725</f>
        <v/>
      </c>
      <c r="O725" s="79" t="n">
        <v>22.51</v>
      </c>
      <c r="P725" s="79" t="n">
        <v>4.226</v>
      </c>
      <c r="Q725" s="97">
        <f>K725-P725</f>
        <v/>
      </c>
      <c r="R725" s="79" t="n">
        <v>106.34</v>
      </c>
      <c r="S725" s="98">
        <f>(O725*T725)</f>
        <v/>
      </c>
      <c r="T725" s="79" t="n">
        <v>6.44</v>
      </c>
      <c r="U725" s="79" t="n">
        <v>21291.35</v>
      </c>
      <c r="V725" s="79" t="n">
        <v>42.75</v>
      </c>
      <c r="W725" s="98">
        <f>U725/V725</f>
        <v/>
      </c>
      <c r="X725" s="98">
        <f>(W725/U725)*100</f>
        <v/>
      </c>
      <c r="Y725" s="79" t="n">
        <v>18007.5</v>
      </c>
      <c r="Z725" s="80" t="n">
        <v>34.67</v>
      </c>
      <c r="AA725" s="98">
        <f>Y725/Z725</f>
        <v/>
      </c>
      <c r="AB725" s="98">
        <f>(AA725/Y725)*100</f>
        <v/>
      </c>
    </row>
    <row r="726">
      <c r="A726" s="92" t="n">
        <v>725</v>
      </c>
      <c r="B726" s="108" t="n">
        <v>45630</v>
      </c>
      <c r="C726" s="104" t="n">
        <v>45690716.05</v>
      </c>
      <c r="D726" s="98">
        <f>C726/E726</f>
        <v/>
      </c>
      <c r="E726" s="79" t="n">
        <v>84.693</v>
      </c>
      <c r="F726" s="98">
        <f>D726/100000</f>
        <v/>
      </c>
      <c r="G726" s="97">
        <f>(F726/DataSheet!$C$11*100)</f>
        <v/>
      </c>
      <c r="H726" s="98">
        <f>K726/I726</f>
        <v/>
      </c>
      <c r="I726" s="98">
        <f>(J726/L726)*100</f>
        <v/>
      </c>
      <c r="J726" s="97">
        <f>L726/O726</f>
        <v/>
      </c>
      <c r="K726" s="79" t="n">
        <v>6.686</v>
      </c>
      <c r="L726" s="79" t="n">
        <v>24467.45</v>
      </c>
      <c r="M726" s="79" t="n">
        <v>3.65</v>
      </c>
      <c r="N726" s="98">
        <f>K726-I726</f>
        <v/>
      </c>
      <c r="O726" s="79" t="n">
        <v>22.52</v>
      </c>
      <c r="P726" s="79" t="n">
        <v>4.183</v>
      </c>
      <c r="Q726" s="97">
        <f>K726-P726</f>
        <v/>
      </c>
      <c r="R726" s="79" t="n">
        <v>106.29</v>
      </c>
      <c r="S726" s="98">
        <f>(O726*T726)</f>
        <v/>
      </c>
      <c r="T726" s="79" t="n">
        <v>6.43</v>
      </c>
      <c r="U726" s="79" t="n">
        <v>21485.15</v>
      </c>
      <c r="V726" s="79" t="n">
        <v>43.14</v>
      </c>
      <c r="W726" s="98">
        <f>U726/V726</f>
        <v/>
      </c>
      <c r="X726" s="98">
        <f>(W726/U726)*100</f>
        <v/>
      </c>
      <c r="Y726" s="79" t="n">
        <v>18143.55</v>
      </c>
      <c r="Z726" s="80" t="n">
        <v>34.93</v>
      </c>
      <c r="AA726" s="98">
        <f>Y726/Z726</f>
        <v/>
      </c>
      <c r="AB726" s="98">
        <f>(AA726/Y726)*100</f>
        <v/>
      </c>
    </row>
    <row r="727">
      <c r="A727" s="92" t="n">
        <v>726</v>
      </c>
      <c r="B727" s="108" t="n">
        <v>45631</v>
      </c>
      <c r="C727" s="104" t="n">
        <v>45953413.05</v>
      </c>
      <c r="D727" s="98">
        <f>C727/E727</f>
        <v/>
      </c>
      <c r="E727" s="79" t="n">
        <v>84.684</v>
      </c>
      <c r="F727" s="98">
        <f>D727/100000</f>
        <v/>
      </c>
      <c r="G727" s="97">
        <f>(F727/DataSheet!$C$11*100)</f>
        <v/>
      </c>
      <c r="H727" s="98">
        <f>K727/I727</f>
        <v/>
      </c>
      <c r="I727" s="98">
        <f>(J727/L727)*100</f>
        <v/>
      </c>
      <c r="J727" s="97">
        <f>L727/O727</f>
        <v/>
      </c>
      <c r="K727" s="79" t="n">
        <v>6.68</v>
      </c>
      <c r="L727" s="79" t="n">
        <v>24708.4</v>
      </c>
      <c r="M727" s="79" t="n">
        <v>3.68</v>
      </c>
      <c r="N727" s="98">
        <f>K727-I727</f>
        <v/>
      </c>
      <c r="O727" s="79" t="n">
        <v>22.74</v>
      </c>
      <c r="P727" s="79" t="n">
        <v>4.177</v>
      </c>
      <c r="Q727" s="97">
        <f>K727-P727</f>
        <v/>
      </c>
      <c r="R727" s="79" t="n">
        <v>105.701</v>
      </c>
      <c r="S727" s="98">
        <f>(O727*T727)</f>
        <v/>
      </c>
      <c r="T727" s="79" t="n">
        <v>6.43</v>
      </c>
      <c r="U727" s="79" t="n">
        <v>21577.65</v>
      </c>
      <c r="V727" s="79" t="n">
        <v>43.33</v>
      </c>
      <c r="W727" s="98">
        <f>U727/V727</f>
        <v/>
      </c>
      <c r="X727" s="98">
        <f>(W727/U727)*100</f>
        <v/>
      </c>
      <c r="Y727" s="79" t="n">
        <v>18230.4</v>
      </c>
      <c r="Z727" s="80" t="n">
        <v>35.1</v>
      </c>
      <c r="AA727" s="98">
        <f>Y727/Z727</f>
        <v/>
      </c>
      <c r="AB727" s="98">
        <f>(AA727/Y727)*100</f>
        <v/>
      </c>
    </row>
    <row r="728">
      <c r="A728" s="92" t="n">
        <v>727</v>
      </c>
      <c r="B728" s="108" t="n">
        <v>45632</v>
      </c>
      <c r="C728" s="104" t="n">
        <v>46059456.42</v>
      </c>
      <c r="D728" s="98">
        <f>C728/E728</f>
        <v/>
      </c>
      <c r="E728" s="79" t="n">
        <v>84.66800000000001</v>
      </c>
      <c r="F728" s="98">
        <f>D728/100000</f>
        <v/>
      </c>
      <c r="G728" s="97">
        <f>(F728/DataSheet!$C$11*100)</f>
        <v/>
      </c>
      <c r="H728" s="98">
        <f>K728/I728</f>
        <v/>
      </c>
      <c r="I728" s="98">
        <f>(J728/L728)*100</f>
        <v/>
      </c>
      <c r="J728" s="97">
        <f>L728/O728</f>
        <v/>
      </c>
      <c r="K728" s="79" t="n">
        <v>6.74</v>
      </c>
      <c r="L728" s="79" t="n">
        <v>24677.8</v>
      </c>
      <c r="M728" s="79" t="n">
        <v>3.68</v>
      </c>
      <c r="N728" s="98">
        <f>K728-I728</f>
        <v/>
      </c>
      <c r="O728" s="79" t="n">
        <v>22.72</v>
      </c>
      <c r="P728" s="79" t="n">
        <v>4.148</v>
      </c>
      <c r="Q728" s="97">
        <f>K728-P728</f>
        <v/>
      </c>
      <c r="R728" s="79" t="n">
        <v>106.039</v>
      </c>
      <c r="S728" s="98">
        <f>(O728*T728)</f>
        <v/>
      </c>
      <c r="T728" s="79" t="n">
        <v>6.39</v>
      </c>
      <c r="U728" s="79" t="n">
        <v>21665.4</v>
      </c>
      <c r="V728" s="79" t="n">
        <v>43.51</v>
      </c>
      <c r="W728" s="98">
        <f>U728/V728</f>
        <v/>
      </c>
      <c r="X728" s="98">
        <f>(W728/U728)*100</f>
        <v/>
      </c>
      <c r="Y728" s="79" t="n">
        <v>18328.95</v>
      </c>
      <c r="Z728" s="80" t="n">
        <v>35.29</v>
      </c>
      <c r="AA728" s="98">
        <f>Y728/Z728</f>
        <v/>
      </c>
      <c r="AB728" s="98">
        <f>(AA728/Y728)*100</f>
        <v/>
      </c>
    </row>
    <row r="729">
      <c r="A729" s="92" t="n">
        <v>728</v>
      </c>
      <c r="B729" s="108" t="n">
        <v>45635</v>
      </c>
      <c r="C729" s="104" t="n">
        <v>46057176.98</v>
      </c>
      <c r="D729" s="98">
        <f>C729/E729</f>
        <v/>
      </c>
      <c r="E729" s="79" t="n">
        <v>84.82899999999999</v>
      </c>
      <c r="F729" s="98">
        <f>D729/100000</f>
        <v/>
      </c>
      <c r="G729" s="97">
        <f>(F729/DataSheet!$C$11*100)</f>
        <v/>
      </c>
      <c r="H729" s="98">
        <f>K729/I729</f>
        <v/>
      </c>
      <c r="I729" s="98">
        <f>(J729/L729)*100</f>
        <v/>
      </c>
      <c r="J729" s="97">
        <f>L729/O729</f>
        <v/>
      </c>
      <c r="K729" s="79" t="n">
        <v>6.717</v>
      </c>
      <c r="L729" s="79" t="n">
        <v>24619</v>
      </c>
      <c r="M729" s="79" t="n">
        <v>3.67</v>
      </c>
      <c r="N729" s="98">
        <f>K729-I729</f>
        <v/>
      </c>
      <c r="O729" s="79" t="n">
        <v>22.66</v>
      </c>
      <c r="P729" s="79" t="n">
        <v>4.2</v>
      </c>
      <c r="Q729" s="97">
        <f>K729-P729</f>
        <v/>
      </c>
      <c r="R729" s="79" t="n">
        <v>106.125</v>
      </c>
      <c r="S729" s="98">
        <f>(O729*T729)</f>
        <v/>
      </c>
      <c r="T729" s="79" t="n">
        <v>6.41</v>
      </c>
      <c r="U729" s="79" t="n">
        <v>21748.5</v>
      </c>
      <c r="V729" s="79" t="n">
        <v>43.67</v>
      </c>
      <c r="W729" s="98">
        <f>U729/V729</f>
        <v/>
      </c>
      <c r="X729" s="98">
        <f>(W729/U729)*100</f>
        <v/>
      </c>
      <c r="Y729" s="79" t="n">
        <v>18396.45</v>
      </c>
      <c r="Z729" s="80" t="n">
        <v>35.42</v>
      </c>
      <c r="AA729" s="98">
        <f>Y729/Z729</f>
        <v/>
      </c>
      <c r="AB729" s="98">
        <f>(AA729/Y729)*100</f>
        <v/>
      </c>
    </row>
    <row r="730">
      <c r="A730" s="92" t="n">
        <v>729</v>
      </c>
      <c r="B730" s="108" t="n">
        <v>45636</v>
      </c>
      <c r="C730" s="104" t="n">
        <v>46089641.55</v>
      </c>
      <c r="D730" s="98">
        <f>C730/E730</f>
        <v/>
      </c>
      <c r="E730" s="79" t="n">
        <v>84.88</v>
      </c>
      <c r="F730" s="98">
        <f>D730/100000</f>
        <v/>
      </c>
      <c r="G730" s="97">
        <f>(F730/DataSheet!$C$11*100)</f>
        <v/>
      </c>
      <c r="H730" s="98">
        <f>K730/I730</f>
        <v/>
      </c>
      <c r="I730" s="98">
        <f>(J730/L730)*100</f>
        <v/>
      </c>
      <c r="J730" s="97">
        <f>L730/O730</f>
        <v/>
      </c>
      <c r="K730" s="79" t="n">
        <v>6.705</v>
      </c>
      <c r="L730" s="79" t="n">
        <v>24610.05</v>
      </c>
      <c r="M730" s="79" t="n">
        <v>3.67</v>
      </c>
      <c r="N730" s="98">
        <f>K730-I730</f>
        <v/>
      </c>
      <c r="O730" s="79" t="n">
        <v>22.65</v>
      </c>
      <c r="P730" s="79" t="n">
        <v>4.227</v>
      </c>
      <c r="Q730" s="97">
        <f>K730-P730</f>
        <v/>
      </c>
      <c r="R730" s="79" t="n">
        <v>106.382</v>
      </c>
      <c r="S730" s="98">
        <f>(O730*T730)</f>
        <v/>
      </c>
      <c r="T730" s="79" t="n">
        <v>6.43</v>
      </c>
      <c r="U730" s="79" t="n">
        <v>21809.1</v>
      </c>
      <c r="V730" s="79" t="n">
        <v>43.79</v>
      </c>
      <c r="W730" s="98">
        <f>U730/V730</f>
        <v/>
      </c>
      <c r="X730" s="98">
        <f>(W730/U730)*100</f>
        <v/>
      </c>
      <c r="Y730" s="79" t="n">
        <v>18450.6</v>
      </c>
      <c r="Z730" s="80" t="n">
        <v>35.52</v>
      </c>
      <c r="AA730" s="98">
        <f>Y730/Z730</f>
        <v/>
      </c>
      <c r="AB730" s="98">
        <f>(AA730/Y730)*100</f>
        <v/>
      </c>
    </row>
    <row r="731">
      <c r="A731" s="92" t="n">
        <v>730</v>
      </c>
      <c r="B731" s="108" t="n">
        <v>45637</v>
      </c>
      <c r="C731" s="104" t="n">
        <v>46188674.55</v>
      </c>
      <c r="D731" s="98">
        <f>C731/E731</f>
        <v/>
      </c>
      <c r="E731" s="79" t="n">
        <v>84.795</v>
      </c>
      <c r="F731" s="98">
        <f>D731/100000</f>
        <v/>
      </c>
      <c r="G731" s="97">
        <f>(F731/DataSheet!$C$11*100)</f>
        <v/>
      </c>
      <c r="H731" s="98">
        <f>K731/I731</f>
        <v/>
      </c>
      <c r="I731" s="98">
        <f>(J731/L731)*100</f>
        <v/>
      </c>
      <c r="J731" s="97">
        <f>L731/O731</f>
        <v/>
      </c>
      <c r="K731" s="79" t="n">
        <v>6.718</v>
      </c>
      <c r="L731" s="79" t="n">
        <v>24641.8</v>
      </c>
      <c r="M731" s="79" t="n">
        <v>3.67</v>
      </c>
      <c r="N731" s="98">
        <f>K731-I731</f>
        <v/>
      </c>
      <c r="O731" s="79" t="n">
        <v>22.68</v>
      </c>
      <c r="P731" s="79" t="n">
        <v>4.274</v>
      </c>
      <c r="Q731" s="97">
        <f>K731-P731</f>
        <v/>
      </c>
      <c r="R731" s="79" t="n">
        <v>106.695</v>
      </c>
      <c r="S731" s="98">
        <f>(O731*T731)</f>
        <v/>
      </c>
      <c r="T731" s="79" t="n">
        <v>6.43</v>
      </c>
      <c r="U731" s="79" t="n">
        <v>21879.55</v>
      </c>
      <c r="V731" s="79" t="n">
        <v>43.94</v>
      </c>
      <c r="W731" s="98">
        <f>U731/V731</f>
        <v/>
      </c>
      <c r="X731" s="98">
        <f>(W731/U731)*100</f>
        <v/>
      </c>
      <c r="Y731" s="79" t="n">
        <v>18502.65</v>
      </c>
      <c r="Z731" s="80" t="n">
        <v>35.62</v>
      </c>
      <c r="AA731" s="98">
        <f>Y731/Z731</f>
        <v/>
      </c>
      <c r="AB731" s="98">
        <f>(AA731/Y731)*100</f>
        <v/>
      </c>
    </row>
    <row r="732">
      <c r="A732" s="92" t="n">
        <v>731</v>
      </c>
      <c r="B732" s="108" t="n">
        <v>45638</v>
      </c>
      <c r="C732" s="104" t="n">
        <v>45960464.37</v>
      </c>
      <c r="D732" s="98">
        <f>C732/E732</f>
        <v/>
      </c>
      <c r="E732" s="79" t="n">
        <v>84.825</v>
      </c>
      <c r="F732" s="98">
        <f>D732/100000</f>
        <v/>
      </c>
      <c r="G732" s="97">
        <f>(F732/DataSheet!$C$11*100)</f>
        <v/>
      </c>
      <c r="H732" s="98">
        <f>K732/I732</f>
        <v/>
      </c>
      <c r="I732" s="98">
        <f>(J732/L732)*100</f>
        <v/>
      </c>
      <c r="J732" s="97">
        <f>L732/O732</f>
        <v/>
      </c>
      <c r="K732" s="79" t="n">
        <v>6.736</v>
      </c>
      <c r="L732" s="79" t="n">
        <v>24548.7</v>
      </c>
      <c r="M732" s="79" t="n">
        <v>3.66</v>
      </c>
      <c r="N732" s="98">
        <f>K732-I732</f>
        <v/>
      </c>
      <c r="O732" s="79" t="n">
        <v>22.6</v>
      </c>
      <c r="P732" s="79" t="n">
        <v>4.335</v>
      </c>
      <c r="Q732" s="97">
        <f>K732-P732</f>
        <v/>
      </c>
      <c r="R732" s="79" t="n">
        <v>106.959</v>
      </c>
      <c r="S732" s="98">
        <f>(O732*T732)</f>
        <v/>
      </c>
      <c r="T732" s="79" t="n">
        <v>6.47</v>
      </c>
      <c r="U732" s="79" t="n">
        <v>21770.05</v>
      </c>
      <c r="V732" s="79" t="n">
        <v>43.72</v>
      </c>
      <c r="W732" s="98">
        <f>U732/V732</f>
        <v/>
      </c>
      <c r="X732" s="98">
        <f>(W732/U732)*100</f>
        <v/>
      </c>
      <c r="Y732" s="79" t="n">
        <v>18330.3</v>
      </c>
      <c r="Z732" s="80" t="n">
        <v>35.29</v>
      </c>
      <c r="AA732" s="98">
        <f>Y732/Z732</f>
        <v/>
      </c>
      <c r="AB732" s="98">
        <f>(AA732/Y732)*100</f>
        <v/>
      </c>
    </row>
    <row r="733">
      <c r="A733" s="92" t="n">
        <v>732</v>
      </c>
      <c r="B733" s="108" t="n">
        <v>45639</v>
      </c>
      <c r="C733" s="104" t="n">
        <v>46082964.45</v>
      </c>
      <c r="D733" s="98">
        <f>C733/E733</f>
        <v/>
      </c>
      <c r="E733" s="79" t="n">
        <v>84.782</v>
      </c>
      <c r="F733" s="98">
        <f>D733/100000</f>
        <v/>
      </c>
      <c r="G733" s="97">
        <f>(F733/DataSheet!$C$11*100)</f>
        <v/>
      </c>
      <c r="H733" s="98">
        <f>K733/I733</f>
        <v/>
      </c>
      <c r="I733" s="98">
        <f>(J733/L733)*100</f>
        <v/>
      </c>
      <c r="J733" s="97">
        <f>L733/O733</f>
        <v/>
      </c>
      <c r="K733" s="79" t="n">
        <v>6.729</v>
      </c>
      <c r="L733" s="79" t="n">
        <v>24768.3</v>
      </c>
      <c r="M733" s="79" t="n">
        <v>3.69</v>
      </c>
      <c r="N733" s="98">
        <f>K733-I733</f>
        <v/>
      </c>
      <c r="O733" s="79" t="n">
        <v>22.8</v>
      </c>
      <c r="P733" s="79" t="n">
        <v>4.394</v>
      </c>
      <c r="Q733" s="97">
        <f>K733-P733</f>
        <v/>
      </c>
      <c r="R733" s="79" t="n">
        <v>106.993</v>
      </c>
      <c r="S733" s="98">
        <f>(O733*T733)</f>
        <v/>
      </c>
      <c r="T733" s="79" t="n">
        <v>6.46</v>
      </c>
      <c r="U733" s="79" t="n">
        <v>21748.1</v>
      </c>
      <c r="V733" s="79" t="n">
        <v>43.67</v>
      </c>
      <c r="W733" s="98">
        <f>U733/V733</f>
        <v/>
      </c>
      <c r="X733" s="98">
        <f>(W733/U733)*100</f>
        <v/>
      </c>
      <c r="Y733" s="79" t="n">
        <v>18263.75</v>
      </c>
      <c r="Z733" s="80" t="n">
        <v>35.16</v>
      </c>
      <c r="AA733" s="98">
        <f>Y733/Z733</f>
        <v/>
      </c>
      <c r="AB733" s="98">
        <f>(AA733/Y733)*100</f>
        <v/>
      </c>
    </row>
    <row r="734">
      <c r="A734" s="92" t="n">
        <v>733</v>
      </c>
      <c r="B734" s="108" t="n">
        <v>45642</v>
      </c>
      <c r="C734" s="104" t="n">
        <v>46133925.81</v>
      </c>
      <c r="D734" s="98">
        <f>C734/E734</f>
        <v/>
      </c>
      <c r="E734" s="79" t="n">
        <v>84.89</v>
      </c>
      <c r="F734" s="98">
        <f>D734/100000</f>
        <v/>
      </c>
      <c r="G734" s="97">
        <f>(F734/DataSheet!$C$11*100)</f>
        <v/>
      </c>
      <c r="H734" s="98">
        <f>K734/I734</f>
        <v/>
      </c>
      <c r="I734" s="98">
        <f>(J734/L734)*100</f>
        <v/>
      </c>
      <c r="J734" s="97">
        <f>L734/O734</f>
        <v/>
      </c>
      <c r="K734" s="79" t="n">
        <v>6.741</v>
      </c>
      <c r="L734" s="79" t="n">
        <v>24668.25</v>
      </c>
      <c r="M734" s="79" t="n">
        <v>3.68</v>
      </c>
      <c r="N734" s="98">
        <f>K734-I734</f>
        <v/>
      </c>
      <c r="O734" s="79" t="n">
        <v>22.71</v>
      </c>
      <c r="P734" s="79" t="n">
        <v>4.402</v>
      </c>
      <c r="Q734" s="97">
        <f>K734-P734</f>
        <v/>
      </c>
      <c r="R734" s="79" t="n">
        <v>107.03</v>
      </c>
      <c r="S734" s="98">
        <f>(O734*T734)</f>
        <v/>
      </c>
      <c r="T734" s="79" t="n">
        <v>6.47</v>
      </c>
      <c r="U734" s="79" t="n">
        <v>21898.8</v>
      </c>
      <c r="V734" s="79" t="n">
        <v>43.97</v>
      </c>
      <c r="W734" s="98">
        <f>U734/V734</f>
        <v/>
      </c>
      <c r="X734" s="98">
        <f>(W734/U734)*100</f>
        <v/>
      </c>
      <c r="Y734" s="79" t="n">
        <v>18344</v>
      </c>
      <c r="Z734" s="80" t="n">
        <v>35.31</v>
      </c>
      <c r="AA734" s="98">
        <f>Y734/Z734</f>
        <v/>
      </c>
      <c r="AB734" s="98">
        <f>(AA734/Y734)*100</f>
        <v/>
      </c>
    </row>
    <row r="735">
      <c r="A735" s="92" t="n">
        <v>734</v>
      </c>
      <c r="B735" s="108" t="n">
        <v>45643</v>
      </c>
      <c r="C735" s="104" t="n">
        <v>45659944.38</v>
      </c>
      <c r="D735" s="98">
        <f>C735/E735</f>
        <v/>
      </c>
      <c r="E735" s="79" t="n">
        <v>84.902</v>
      </c>
      <c r="F735" s="98">
        <f>D735/100000</f>
        <v/>
      </c>
      <c r="G735" s="97">
        <f>(F735/DataSheet!$C$11*100)</f>
        <v/>
      </c>
      <c r="H735" s="98">
        <f>K735/I735</f>
        <v/>
      </c>
      <c r="I735" s="98">
        <f>(J735/L735)*100</f>
        <v/>
      </c>
      <c r="J735" s="97">
        <f>L735/O735</f>
        <v/>
      </c>
      <c r="K735" s="79" t="n">
        <v>6.759</v>
      </c>
      <c r="L735" s="79" t="n">
        <v>24336</v>
      </c>
      <c r="M735" s="79" t="n">
        <v>3.63</v>
      </c>
      <c r="N735" s="98">
        <f>K735-I735</f>
        <v/>
      </c>
      <c r="O735" s="79" t="n">
        <v>22.4</v>
      </c>
      <c r="P735" s="79" t="n">
        <v>4.394</v>
      </c>
      <c r="Q735" s="97">
        <f>K735-P735</f>
        <v/>
      </c>
      <c r="R735" s="79" t="n">
        <v>106.663</v>
      </c>
      <c r="S735" s="98">
        <f>(O735*T735)</f>
        <v/>
      </c>
      <c r="T735" s="79" t="n">
        <v>6.48</v>
      </c>
      <c r="U735" s="79" t="n">
        <v>21754.1</v>
      </c>
      <c r="V735" s="79" t="n">
        <v>43.68</v>
      </c>
      <c r="W735" s="98">
        <f>U735/V735</f>
        <v/>
      </c>
      <c r="X735" s="98">
        <f>(W735/U735)*100</f>
        <v/>
      </c>
      <c r="Y735" s="79" t="n">
        <v>18242.05</v>
      </c>
      <c r="Z735" s="80" t="n">
        <v>35.12</v>
      </c>
      <c r="AA735" s="98">
        <f>Y735/Z735</f>
        <v/>
      </c>
      <c r="AB735" s="98">
        <f>(AA735/Y735)*100</f>
        <v/>
      </c>
    </row>
    <row r="736">
      <c r="A736" s="92" t="n">
        <v>735</v>
      </c>
      <c r="B736" s="108" t="n">
        <v>45644</v>
      </c>
      <c r="C736" s="104" t="n">
        <v>45399764.79</v>
      </c>
      <c r="D736" s="98">
        <f>C736/E736</f>
        <v/>
      </c>
      <c r="E736" s="79" t="n">
        <v>84.867</v>
      </c>
      <c r="F736" s="98">
        <f>D736/100000</f>
        <v/>
      </c>
      <c r="G736" s="97">
        <f>(F736/DataSheet!$C$11*100)</f>
        <v/>
      </c>
      <c r="H736" s="98">
        <f>K736/I736</f>
        <v/>
      </c>
      <c r="I736" s="98">
        <f>(J736/L736)*100</f>
        <v/>
      </c>
      <c r="J736" s="97">
        <f>L736/O736</f>
        <v/>
      </c>
      <c r="K736" s="79" t="n">
        <v>6.751</v>
      </c>
      <c r="L736" s="79" t="n">
        <v>24198.85</v>
      </c>
      <c r="M736" s="79" t="n">
        <v>3.61</v>
      </c>
      <c r="N736" s="98">
        <f>K736-I736</f>
        <v/>
      </c>
      <c r="O736" s="79" t="n">
        <v>22.27</v>
      </c>
      <c r="P736" s="79" t="n">
        <v>4.518</v>
      </c>
      <c r="Q736" s="97">
        <f>K736-P736</f>
        <v/>
      </c>
      <c r="R736" s="79" t="n">
        <v>107.749</v>
      </c>
      <c r="S736" s="98">
        <f>(O736*T736)</f>
        <v/>
      </c>
      <c r="T736" s="79" t="n">
        <v>6.47</v>
      </c>
      <c r="U736" s="79" t="n">
        <v>21623.1</v>
      </c>
      <c r="V736" s="79" t="n">
        <v>43.42</v>
      </c>
      <c r="W736" s="98">
        <f>U736/V736</f>
        <v/>
      </c>
      <c r="X736" s="98">
        <f>(W736/U736)*100</f>
        <v/>
      </c>
      <c r="Y736" s="79" t="n">
        <v>18118.6</v>
      </c>
      <c r="Z736" s="80" t="n">
        <v>34.88</v>
      </c>
      <c r="AA736" s="98">
        <f>Y736/Z736</f>
        <v/>
      </c>
      <c r="AB736" s="98">
        <f>(AA736/Y736)*100</f>
        <v/>
      </c>
    </row>
    <row r="737">
      <c r="A737" s="92" t="n">
        <v>736</v>
      </c>
      <c r="B737" s="108" t="n">
        <v>45645</v>
      </c>
      <c r="C737" s="104" t="n">
        <v>45114609.13</v>
      </c>
      <c r="D737" s="98">
        <f>C737/E737</f>
        <v/>
      </c>
      <c r="E737" s="79" t="n">
        <v>85.08799999999999</v>
      </c>
      <c r="F737" s="98">
        <f>D737/100000</f>
        <v/>
      </c>
      <c r="G737" s="97">
        <f>(F737/DataSheet!$C$11*100)</f>
        <v/>
      </c>
      <c r="H737" s="98">
        <f>K737/I737</f>
        <v/>
      </c>
      <c r="I737" s="98">
        <f>(J737/L737)*100</f>
        <v/>
      </c>
      <c r="J737" s="97">
        <f>L737/O737</f>
        <v/>
      </c>
      <c r="K737" s="79" t="n">
        <v>6.787</v>
      </c>
      <c r="L737" s="79" t="n">
        <v>23951.7</v>
      </c>
      <c r="M737" s="79" t="n">
        <v>3.57</v>
      </c>
      <c r="N737" s="98">
        <f>K737-I737</f>
        <v/>
      </c>
      <c r="O737" s="79" t="n">
        <v>22.05</v>
      </c>
      <c r="P737" s="79" t="n">
        <v>4.565</v>
      </c>
      <c r="Q737" s="97">
        <f>K737-P737</f>
        <v/>
      </c>
      <c r="R737" s="79" t="n">
        <v>108.152</v>
      </c>
      <c r="S737" s="98">
        <f>(O737*T737)</f>
        <v/>
      </c>
      <c r="T737" s="79" t="n">
        <v>6.5</v>
      </c>
      <c r="U737" s="79" t="n">
        <v>21571.3</v>
      </c>
      <c r="V737" s="79" t="n">
        <v>43.32</v>
      </c>
      <c r="W737" s="98">
        <f>U737/V737</f>
        <v/>
      </c>
      <c r="X737" s="98">
        <f>(W737/U737)*100</f>
        <v/>
      </c>
      <c r="Y737" s="79" t="n">
        <v>18057.2</v>
      </c>
      <c r="Z737" s="80" t="n">
        <v>34.76</v>
      </c>
      <c r="AA737" s="98">
        <f>Y737/Z737</f>
        <v/>
      </c>
      <c r="AB737" s="98">
        <f>(AA737/Y737)*100</f>
        <v/>
      </c>
    </row>
    <row r="738">
      <c r="A738" s="92" t="n">
        <v>737</v>
      </c>
      <c r="B738" s="108" t="n">
        <v>45646</v>
      </c>
      <c r="C738" s="104" t="n">
        <v>44239094.65</v>
      </c>
      <c r="D738" s="98">
        <f>C738/E738</f>
        <v/>
      </c>
      <c r="E738" s="79" t="n">
        <v>84.947</v>
      </c>
      <c r="F738" s="98">
        <f>D738/100000</f>
        <v/>
      </c>
      <c r="G738" s="97">
        <f>(F738/DataSheet!$C$11*100)</f>
        <v/>
      </c>
      <c r="H738" s="98">
        <f>K738/I738</f>
        <v/>
      </c>
      <c r="I738" s="98">
        <f>(J738/L738)*100</f>
        <v/>
      </c>
      <c r="J738" s="97">
        <f>L738/O738</f>
        <v/>
      </c>
      <c r="K738" s="79" t="n">
        <v>6.791</v>
      </c>
      <c r="L738" s="79" t="n">
        <v>23587.5</v>
      </c>
      <c r="M738" s="79" t="n">
        <v>3.52</v>
      </c>
      <c r="N738" s="98">
        <f>K738-I738</f>
        <v/>
      </c>
      <c r="O738" s="79" t="n">
        <v>21.71</v>
      </c>
      <c r="P738" s="79" t="n">
        <v>4.529</v>
      </c>
      <c r="Q738" s="97">
        <f>K738-P738</f>
        <v/>
      </c>
      <c r="R738" s="79" t="n">
        <v>107.351</v>
      </c>
      <c r="S738" s="98">
        <f>(O738*T738)</f>
        <v/>
      </c>
      <c r="T738" s="79" t="n">
        <v>6.49</v>
      </c>
      <c r="U738" s="79" t="n">
        <v>21050.6</v>
      </c>
      <c r="V738" s="79" t="n">
        <v>42.27</v>
      </c>
      <c r="W738" s="98">
        <f>U738/V738</f>
        <v/>
      </c>
      <c r="X738" s="98">
        <f>(W738/U738)*100</f>
        <v/>
      </c>
      <c r="Y738" s="79" t="n">
        <v>17693.65</v>
      </c>
      <c r="Z738" s="80" t="n">
        <v>34.06</v>
      </c>
      <c r="AA738" s="98">
        <f>Y738/Z738</f>
        <v/>
      </c>
      <c r="AB738" s="98">
        <f>(AA738/Y738)*100</f>
        <v/>
      </c>
    </row>
    <row r="739">
      <c r="A739" s="92" t="n">
        <v>738</v>
      </c>
      <c r="B739" s="108" t="n">
        <v>45649</v>
      </c>
      <c r="C739" s="104" t="n">
        <v>44317850.72</v>
      </c>
      <c r="D739" s="98">
        <f>C739/E739</f>
        <v/>
      </c>
      <c r="E739" s="79" t="n">
        <v>85.095</v>
      </c>
      <c r="F739" s="98">
        <f>D739/100000</f>
        <v/>
      </c>
      <c r="G739" s="97">
        <f>(F739/DataSheet!$C$11*100)</f>
        <v/>
      </c>
      <c r="H739" s="98">
        <f>K739/I739</f>
        <v/>
      </c>
      <c r="I739" s="98">
        <f>(J739/L739)*100</f>
        <v/>
      </c>
      <c r="J739" s="97">
        <f>L739/O739</f>
        <v/>
      </c>
      <c r="K739" s="79" t="n">
        <v>6.776</v>
      </c>
      <c r="L739" s="79" t="n">
        <v>23753.45</v>
      </c>
      <c r="M739" s="79" t="n">
        <v>3.54</v>
      </c>
      <c r="N739" s="98">
        <f>K739-I739</f>
        <v/>
      </c>
      <c r="O739" s="79" t="n">
        <v>21.86</v>
      </c>
      <c r="P739" s="79" t="n">
        <v>4.588</v>
      </c>
      <c r="Q739" s="97">
        <f>K739-P739</f>
        <v/>
      </c>
      <c r="R739" s="79" t="n">
        <v>107.807</v>
      </c>
      <c r="S739" s="98">
        <f>(O739*T739)</f>
        <v/>
      </c>
      <c r="T739" s="79" t="n">
        <v>6.49</v>
      </c>
      <c r="U739" s="79" t="n">
        <v>21076.15</v>
      </c>
      <c r="V739" s="79" t="n">
        <v>42.32</v>
      </c>
      <c r="W739" s="98">
        <f>U739/V739</f>
        <v/>
      </c>
      <c r="X739" s="98">
        <f>(W739/U739)*100</f>
        <v/>
      </c>
      <c r="Y739" s="79" t="n">
        <v>17618.1</v>
      </c>
      <c r="Z739" s="80" t="n">
        <v>33.92</v>
      </c>
      <c r="AA739" s="98">
        <f>Y739/Z739</f>
        <v/>
      </c>
      <c r="AB739" s="98">
        <f>(AA739/Y739)*100</f>
        <v/>
      </c>
    </row>
    <row r="740">
      <c r="A740" s="92" t="n">
        <v>739</v>
      </c>
      <c r="B740" s="108" t="n">
        <v>45650</v>
      </c>
      <c r="C740" s="104" t="n">
        <v>44316666.4</v>
      </c>
      <c r="D740" s="98">
        <f>C740/E740</f>
        <v/>
      </c>
      <c r="E740" s="79" t="n">
        <v>85.176</v>
      </c>
      <c r="F740" s="98">
        <f>D740/100000</f>
        <v/>
      </c>
      <c r="G740" s="97">
        <f>(F740/DataSheet!$C$11*100)</f>
        <v/>
      </c>
      <c r="H740" s="98">
        <f>K740/I740</f>
        <v/>
      </c>
      <c r="I740" s="98">
        <f>(J740/L740)*100</f>
        <v/>
      </c>
      <c r="J740" s="97">
        <f>L740/O740</f>
        <v/>
      </c>
      <c r="K740" s="79" t="n">
        <v>6.776</v>
      </c>
      <c r="L740" s="79" t="n">
        <v>23727.65</v>
      </c>
      <c r="M740" s="79" t="n">
        <v>3.54</v>
      </c>
      <c r="N740" s="98">
        <f>K740-I740</f>
        <v/>
      </c>
      <c r="O740" s="79" t="n">
        <v>21.84</v>
      </c>
      <c r="P740" s="79" t="n">
        <v>4.59</v>
      </c>
      <c r="Q740" s="97">
        <f>K740-P740</f>
        <v/>
      </c>
      <c r="R740" s="79" t="n">
        <v>108.023</v>
      </c>
      <c r="S740" s="98">
        <f>(O740*T740)</f>
        <v/>
      </c>
      <c r="T740" s="79" t="n">
        <v>6.48</v>
      </c>
      <c r="U740" s="79" t="n">
        <v>21080.7</v>
      </c>
      <c r="V740" s="79" t="n">
        <v>42.33</v>
      </c>
      <c r="W740" s="98">
        <f>U740/V740</f>
        <v/>
      </c>
      <c r="X740" s="98">
        <f>(W740/U740)*100</f>
        <v/>
      </c>
      <c r="Y740" s="79" t="n">
        <v>17672.45</v>
      </c>
      <c r="Z740" s="80" t="n">
        <v>34.02</v>
      </c>
      <c r="AA740" s="98">
        <f>Y740/Z740</f>
        <v/>
      </c>
      <c r="AB740" s="98">
        <f>(AA740/Y740)*100</f>
        <v/>
      </c>
    </row>
    <row r="741">
      <c r="A741" s="92" t="n">
        <v>740</v>
      </c>
      <c r="B741" s="108" t="n">
        <v>45652</v>
      </c>
      <c r="C741" s="104" t="n">
        <v>44327429.96</v>
      </c>
      <c r="D741" s="98">
        <f>C741/E741</f>
        <v/>
      </c>
      <c r="E741" s="79" t="n">
        <v>85.254</v>
      </c>
      <c r="F741" s="98">
        <f>D741/100000</f>
        <v/>
      </c>
      <c r="G741" s="97">
        <f>(F741/DataSheet!$C$11*100)</f>
        <v/>
      </c>
      <c r="H741" s="98">
        <f>K741/I741</f>
        <v/>
      </c>
      <c r="I741" s="98">
        <f>(J741/L741)*100</f>
        <v/>
      </c>
      <c r="J741" s="97">
        <f>L741/O741</f>
        <v/>
      </c>
      <c r="K741" s="79" t="n">
        <v>6.784</v>
      </c>
      <c r="L741" s="79" t="n">
        <v>23750.2</v>
      </c>
      <c r="M741" s="79" t="n">
        <v>3.54</v>
      </c>
      <c r="N741" s="98">
        <f>K741-I741</f>
        <v/>
      </c>
      <c r="O741" s="79" t="n">
        <v>21.86</v>
      </c>
      <c r="P741" s="79" t="n">
        <v>4.584</v>
      </c>
      <c r="Q741" s="97">
        <f>K741-P741</f>
        <v/>
      </c>
      <c r="R741" s="79" t="n">
        <v>107.893</v>
      </c>
      <c r="S741" s="98">
        <f>(O741*T741)</f>
        <v/>
      </c>
      <c r="T741" s="79" t="n">
        <v>6.58</v>
      </c>
      <c r="U741" s="79" t="n">
        <v>21096.85</v>
      </c>
      <c r="V741" s="79" t="n">
        <v>42.36</v>
      </c>
      <c r="W741" s="98">
        <f>U741/V741</f>
        <v/>
      </c>
      <c r="X741" s="98">
        <f>(W741/U741)*100</f>
        <v/>
      </c>
      <c r="Y741" s="79" t="n">
        <v>17667.45</v>
      </c>
      <c r="Z741" s="80" t="n">
        <v>34.01</v>
      </c>
      <c r="AA741" s="98">
        <f>Y741/Z741</f>
        <v/>
      </c>
      <c r="AB741" s="98">
        <f>(AA741/Y741)*100</f>
        <v/>
      </c>
    </row>
    <row r="742">
      <c r="A742" s="92" t="n">
        <v>741</v>
      </c>
      <c r="B742" s="108" t="n">
        <v>45653</v>
      </c>
      <c r="C742" s="104" t="n">
        <v>44377986.94</v>
      </c>
      <c r="D742" s="98">
        <f>C742/E742</f>
        <v/>
      </c>
      <c r="E742" s="79" t="n">
        <v>85.38800000000001</v>
      </c>
      <c r="F742" s="98">
        <f>D742/100000</f>
        <v/>
      </c>
      <c r="G742" s="97">
        <f>(F742/DataSheet!$C$11*100)</f>
        <v/>
      </c>
      <c r="H742" s="98">
        <f>K742/I742</f>
        <v/>
      </c>
      <c r="I742" s="98">
        <f>(J742/L742)*100</f>
        <v/>
      </c>
      <c r="J742" s="97">
        <f>L742/O742</f>
        <v/>
      </c>
      <c r="K742" s="79" t="n">
        <v>6.787</v>
      </c>
      <c r="L742" s="79" t="n">
        <v>23813.4</v>
      </c>
      <c r="M742" s="79" t="n">
        <v>3.55</v>
      </c>
      <c r="N742" s="98">
        <f>K742-I742</f>
        <v/>
      </c>
      <c r="O742" s="79" t="n">
        <v>21.92</v>
      </c>
      <c r="P742" s="79" t="n">
        <v>4.629</v>
      </c>
      <c r="Q742" s="97">
        <f>K742-P742</f>
        <v/>
      </c>
      <c r="R742" s="79" t="n">
        <v>107.792</v>
      </c>
      <c r="S742" s="98">
        <f>(O742*T742)</f>
        <v/>
      </c>
      <c r="T742" s="79" t="n">
        <v>6.6</v>
      </c>
      <c r="U742" s="79" t="n">
        <v>21071.85</v>
      </c>
      <c r="V742" s="79" t="n">
        <v>42.31</v>
      </c>
      <c r="W742" s="98">
        <f>U742/V742</f>
        <v/>
      </c>
      <c r="X742" s="98">
        <f>(W742/U742)*100</f>
        <v/>
      </c>
      <c r="Y742" s="79" t="n">
        <v>17715.2</v>
      </c>
      <c r="Z742" s="80" t="n">
        <v>34.1</v>
      </c>
      <c r="AA742" s="98">
        <f>Y742/Z742</f>
        <v/>
      </c>
      <c r="AB742" s="98">
        <f>(AA742/Y742)*100</f>
        <v/>
      </c>
    </row>
    <row r="743">
      <c r="A743" s="92" t="n">
        <v>742</v>
      </c>
      <c r="B743" s="108" t="n">
        <v>45656</v>
      </c>
      <c r="C743" s="104" t="n">
        <v>44247478.81</v>
      </c>
      <c r="D743" s="98">
        <f>C743/E743</f>
        <v/>
      </c>
      <c r="E743" s="79" t="n">
        <v>85.474</v>
      </c>
      <c r="F743" s="98">
        <f>D743/100000</f>
        <v/>
      </c>
      <c r="G743" s="97">
        <f>(F743/DataSheet!$C$11*100)</f>
        <v/>
      </c>
      <c r="H743" s="98">
        <f>K743/I743</f>
        <v/>
      </c>
      <c r="I743" s="98">
        <f>(J743/L743)*100</f>
        <v/>
      </c>
      <c r="J743" s="97">
        <f>L743/O743</f>
        <v/>
      </c>
      <c r="K743" s="79" t="n">
        <v>6.775</v>
      </c>
      <c r="L743" s="79" t="n">
        <v>23644.9</v>
      </c>
      <c r="M743" s="79" t="n">
        <v>3.52</v>
      </c>
      <c r="N743" s="98">
        <f>K743-I743</f>
        <v/>
      </c>
      <c r="O743" s="79" t="n">
        <v>21.76</v>
      </c>
      <c r="P743" s="79" t="n">
        <v>4.532</v>
      </c>
      <c r="Q743" s="97">
        <f>K743-P743</f>
        <v/>
      </c>
      <c r="R743" s="79" t="n">
        <v>107.933</v>
      </c>
      <c r="S743" s="98">
        <f>(O743*T743)</f>
        <v/>
      </c>
      <c r="T743" s="79" t="n">
        <v>6.61</v>
      </c>
      <c r="U743" s="79" t="n">
        <v>21109.25</v>
      </c>
      <c r="V743" s="79" t="n">
        <v>42.39</v>
      </c>
      <c r="W743" s="98">
        <f>U743/V743</f>
        <v/>
      </c>
      <c r="X743" s="98">
        <f>(W743/U743)*100</f>
        <v/>
      </c>
      <c r="Y743" s="79" t="n">
        <v>17638.15</v>
      </c>
      <c r="Z743" s="80" t="n">
        <v>33.96</v>
      </c>
      <c r="AA743" s="98">
        <f>Y743/Z743</f>
        <v/>
      </c>
      <c r="AB743" s="98">
        <f>(AA743/Y743)*100</f>
        <v/>
      </c>
    </row>
    <row r="744">
      <c r="A744" s="92" t="n">
        <v>743</v>
      </c>
      <c r="B744" s="108" t="n">
        <v>45657</v>
      </c>
      <c r="C744" s="104" t="n">
        <v>44347670.86</v>
      </c>
      <c r="D744" s="98">
        <f>C744/E744</f>
        <v/>
      </c>
      <c r="E744" s="79" t="n">
        <v>85.554</v>
      </c>
      <c r="F744" s="98">
        <f>D744/100000</f>
        <v/>
      </c>
      <c r="G744" s="97">
        <f>(F744/DataSheet!$C$11*100)</f>
        <v/>
      </c>
      <c r="H744" s="98">
        <f>K744/I744</f>
        <v/>
      </c>
      <c r="I744" s="98">
        <f>(J744/L744)*100</f>
        <v/>
      </c>
      <c r="J744" s="97">
        <f>L744/O744</f>
        <v/>
      </c>
      <c r="K744" s="79" t="n">
        <v>6.759</v>
      </c>
      <c r="L744" s="79" t="n">
        <v>23644.8</v>
      </c>
      <c r="M744" s="79" t="n">
        <v>3.53</v>
      </c>
      <c r="N744" s="98">
        <f>K744-I744</f>
        <v/>
      </c>
      <c r="O744" s="79" t="n">
        <v>21.79</v>
      </c>
      <c r="P744" s="79" t="n">
        <v>4.572</v>
      </c>
      <c r="Q744" s="97">
        <f>K744-P744</f>
        <v/>
      </c>
      <c r="R744" s="79" t="n">
        <v>108.296</v>
      </c>
      <c r="S744" s="98">
        <f>(O744*T744)</f>
        <v/>
      </c>
      <c r="T744" s="79" t="n">
        <v>6.58</v>
      </c>
      <c r="U744" s="79" t="n">
        <v>21141.2</v>
      </c>
      <c r="V744" s="79" t="n">
        <v>43.3</v>
      </c>
      <c r="W744" s="98">
        <f>U744/V744</f>
        <v/>
      </c>
      <c r="X744" s="98">
        <f>(W744/U744)*100</f>
        <v/>
      </c>
      <c r="Y744" s="79" t="n">
        <v>17752.25</v>
      </c>
      <c r="Z744" s="80" t="n">
        <v>34.39</v>
      </c>
      <c r="AA744" s="98">
        <f>Y744/Z744</f>
        <v/>
      </c>
      <c r="AB744" s="98">
        <f>(AA744/Y744)*100</f>
        <v/>
      </c>
    </row>
    <row r="745" customFormat="1" s="91">
      <c r="A745" s="86" t="n">
        <v>744</v>
      </c>
      <c r="B745" s="105" t="n">
        <v>45658</v>
      </c>
      <c r="C745" s="106" t="n">
        <v>44594474</v>
      </c>
      <c r="D745" s="90">
        <f>C745/E745</f>
        <v/>
      </c>
      <c r="E745" s="89" t="n">
        <v>85.645</v>
      </c>
      <c r="F745" s="90">
        <f>D745/100000</f>
        <v/>
      </c>
      <c r="G745" s="89">
        <f>(F745/DataSheet!$C$12*100)</f>
        <v/>
      </c>
      <c r="H745" s="90">
        <f>K745/I745</f>
        <v/>
      </c>
      <c r="I745" s="90">
        <f>(J745/L745)*100</f>
        <v/>
      </c>
      <c r="J745" s="89">
        <f>L745/O745</f>
        <v/>
      </c>
      <c r="K745" s="89" t="n">
        <v>6.779</v>
      </c>
      <c r="L745" s="89" t="n">
        <v>23742.9</v>
      </c>
      <c r="M745" s="89" t="n">
        <v>3.54</v>
      </c>
      <c r="N745" s="90">
        <f>K745-I745</f>
        <v/>
      </c>
      <c r="O745" s="89" t="n">
        <v>21.88</v>
      </c>
      <c r="P745" s="89" t="n">
        <v>4.572</v>
      </c>
      <c r="Q745" s="89">
        <f>K745-P745</f>
        <v/>
      </c>
      <c r="R745" s="89" t="n">
        <v>108.296</v>
      </c>
      <c r="S745" s="90">
        <f>(O745*T745)</f>
        <v/>
      </c>
      <c r="T745" s="89" t="n">
        <v>6.58</v>
      </c>
      <c r="U745" s="89" t="n">
        <v>21246.5</v>
      </c>
      <c r="V745" s="89" t="n">
        <v>43.52</v>
      </c>
      <c r="W745" s="90">
        <f>U745/V745</f>
        <v/>
      </c>
      <c r="X745" s="90">
        <f>(W745/U745)*100</f>
        <v/>
      </c>
      <c r="Y745" s="89" t="n">
        <v>17908.8</v>
      </c>
      <c r="Z745" s="90" t="n">
        <v>34.7</v>
      </c>
      <c r="AA745" s="90">
        <f>Y745/Z745</f>
        <v/>
      </c>
      <c r="AB745" s="90">
        <f>(AA745/Y745)*100</f>
        <v/>
      </c>
    </row>
    <row r="746">
      <c r="A746" s="92" t="n">
        <v>745</v>
      </c>
      <c r="B746" s="108" t="n">
        <v>45659</v>
      </c>
      <c r="C746" s="104" t="n">
        <v>45200321.27</v>
      </c>
      <c r="D746" s="98">
        <f>C746/E746</f>
        <v/>
      </c>
      <c r="E746" s="79" t="n">
        <v>85.76000000000001</v>
      </c>
      <c r="F746" s="98">
        <f>D746/100000</f>
        <v/>
      </c>
      <c r="G746" s="97">
        <f>(F746/DataSheet!$C$12*100)</f>
        <v/>
      </c>
      <c r="H746" s="98">
        <f>K746/I746</f>
        <v/>
      </c>
      <c r="I746" s="98">
        <f>(J746/L746)*100</f>
        <v/>
      </c>
      <c r="J746" s="97">
        <f>L746/O746</f>
        <v/>
      </c>
      <c r="K746" s="79" t="n">
        <v>6.787</v>
      </c>
      <c r="L746" s="79" t="n">
        <v>24188.65</v>
      </c>
      <c r="M746" s="79" t="n">
        <v>3.61</v>
      </c>
      <c r="N746" s="98">
        <f>K746-I746</f>
        <v/>
      </c>
      <c r="O746" s="79" t="n">
        <v>22.29</v>
      </c>
      <c r="P746" s="79" t="n">
        <v>4.561</v>
      </c>
      <c r="Q746" s="97">
        <f>K746-P746</f>
        <v/>
      </c>
      <c r="R746" s="79" t="n">
        <v>109.209</v>
      </c>
      <c r="S746" s="98">
        <f>(O746*T746)</f>
        <v/>
      </c>
      <c r="T746" s="79" t="n">
        <v>6.6</v>
      </c>
      <c r="U746" s="79" t="n">
        <v>21473.15</v>
      </c>
      <c r="V746" s="79" t="n">
        <v>43.98</v>
      </c>
      <c r="W746" s="98">
        <f>U746/V746</f>
        <v/>
      </c>
      <c r="X746" s="98">
        <f>(W746/U746)*100</f>
        <v/>
      </c>
      <c r="Y746" s="79" t="n">
        <v>18007.95</v>
      </c>
      <c r="Z746" s="80" t="n">
        <v>34.89</v>
      </c>
      <c r="AA746" s="98">
        <f>Y746/Z746</f>
        <v/>
      </c>
      <c r="AB746" s="98">
        <f>(AA746/Y746)*100</f>
        <v/>
      </c>
    </row>
    <row r="747">
      <c r="A747" s="92" t="n">
        <v>746</v>
      </c>
      <c r="B747" s="108" t="n">
        <v>45660</v>
      </c>
      <c r="C747" s="104" t="n">
        <v>45133848.87</v>
      </c>
      <c r="D747" s="98">
        <f>C747/E747</f>
        <v/>
      </c>
      <c r="E747" s="79" t="n">
        <v>85.761</v>
      </c>
      <c r="F747" s="98">
        <f>D747/100000</f>
        <v/>
      </c>
      <c r="G747" s="97">
        <f>(F747/DataSheet!$C$12*100)</f>
        <v/>
      </c>
      <c r="H747" s="98">
        <f>K747/I747</f>
        <v/>
      </c>
      <c r="I747" s="98">
        <f>(J747/L747)*100</f>
        <v/>
      </c>
      <c r="J747" s="97">
        <f>L747/O747</f>
        <v/>
      </c>
      <c r="K747" s="79" t="n">
        <v>6.779</v>
      </c>
      <c r="L747" s="79" t="n">
        <v>24004.75</v>
      </c>
      <c r="M747" s="79" t="n">
        <v>3.58</v>
      </c>
      <c r="N747" s="98">
        <f>K747-I747</f>
        <v/>
      </c>
      <c r="O747" s="79" t="n">
        <v>22.12</v>
      </c>
      <c r="P747" s="79" t="n">
        <v>4.601</v>
      </c>
      <c r="Q747" s="97">
        <f>K747-P747</f>
        <v/>
      </c>
      <c r="R747" s="79" t="n">
        <v>108.798</v>
      </c>
      <c r="S747" s="98">
        <f>(O747*T747)</f>
        <v/>
      </c>
      <c r="T747" s="79" t="n">
        <v>6.61</v>
      </c>
      <c r="U747" s="79" t="n">
        <v>21419.3</v>
      </c>
      <c r="V747" s="79" t="n">
        <v>43.87</v>
      </c>
      <c r="W747" s="98">
        <f>U747/V747</f>
        <v/>
      </c>
      <c r="X747" s="98">
        <f>(W747/U747)*100</f>
        <v/>
      </c>
      <c r="Y747" s="79" t="n">
        <v>17973.05</v>
      </c>
      <c r="Z747" s="80" t="n">
        <v>34.82</v>
      </c>
      <c r="AA747" s="98">
        <f>Y747/Z747</f>
        <v/>
      </c>
      <c r="AB747" s="98">
        <f>(AA747/Y747)*100</f>
        <v/>
      </c>
    </row>
    <row r="748">
      <c r="A748" s="92" t="n">
        <v>747</v>
      </c>
      <c r="B748" s="108" t="n">
        <v>45663</v>
      </c>
      <c r="C748" s="104" t="n">
        <v>44019774.64</v>
      </c>
      <c r="D748" s="98">
        <f>C748/E748</f>
        <v/>
      </c>
      <c r="E748" s="79" t="n">
        <v>85.7</v>
      </c>
      <c r="F748" s="98">
        <f>D748/100000</f>
        <v/>
      </c>
      <c r="G748" s="97">
        <f>(F748/DataSheet!$C$12*100)</f>
        <v/>
      </c>
      <c r="H748" s="98">
        <f>K748/I748</f>
        <v/>
      </c>
      <c r="I748" s="98">
        <f>(J748/L748)*100</f>
        <v/>
      </c>
      <c r="J748" s="97">
        <f>L748/O748</f>
        <v/>
      </c>
      <c r="K748" s="79" t="n">
        <v>6.763</v>
      </c>
      <c r="L748" s="79" t="n">
        <v>23616.05</v>
      </c>
      <c r="M748" s="79" t="n">
        <v>3.52</v>
      </c>
      <c r="N748" s="98">
        <f>K748-I748</f>
        <v/>
      </c>
      <c r="O748" s="79" t="n">
        <v>21.76</v>
      </c>
      <c r="P748" s="79" t="n">
        <v>4.623</v>
      </c>
      <c r="Q748" s="97">
        <f>K748-P748</f>
        <v/>
      </c>
      <c r="R748" s="79" t="n">
        <v>108.101</v>
      </c>
      <c r="S748" s="98">
        <f>(O748*T748)</f>
        <v/>
      </c>
      <c r="T748" s="79" t="n">
        <v>6.58</v>
      </c>
      <c r="U748" s="79" t="n">
        <v>20879.65</v>
      </c>
      <c r="V748" s="79" t="n">
        <v>42.77</v>
      </c>
      <c r="W748" s="98">
        <f>U748/V748</f>
        <v/>
      </c>
      <c r="X748" s="98">
        <f>(W748/U748)*100</f>
        <v/>
      </c>
      <c r="Y748" s="79" t="n">
        <v>17455.7</v>
      </c>
      <c r="Z748" s="80" t="n">
        <v>33.82</v>
      </c>
      <c r="AA748" s="98">
        <f>Y748/Z748</f>
        <v/>
      </c>
      <c r="AB748" s="98">
        <f>(AA748/Y748)*100</f>
        <v/>
      </c>
    </row>
    <row r="749">
      <c r="A749" s="92" t="n">
        <v>748</v>
      </c>
      <c r="B749" s="108" t="n">
        <v>45664</v>
      </c>
      <c r="C749" s="104" t="n">
        <v>44326609.07</v>
      </c>
      <c r="D749" s="98">
        <f>C749/E749</f>
        <v/>
      </c>
      <c r="E749" s="79" t="n">
        <v>85.803</v>
      </c>
      <c r="F749" s="98">
        <f>D749/100000</f>
        <v/>
      </c>
      <c r="G749" s="97">
        <f>(F749/DataSheet!$C$12*100)</f>
        <v/>
      </c>
      <c r="H749" s="98">
        <f>K749/I749</f>
        <v/>
      </c>
      <c r="I749" s="98">
        <f>(J749/L749)*100</f>
        <v/>
      </c>
      <c r="J749" s="97">
        <f>L749/O749</f>
        <v/>
      </c>
      <c r="K749" s="79" t="n">
        <v>6.746</v>
      </c>
      <c r="L749" s="79" t="n">
        <v>23707.9</v>
      </c>
      <c r="M749" s="79" t="n">
        <v>3.54</v>
      </c>
      <c r="N749" s="98">
        <f>K749-I749</f>
        <v/>
      </c>
      <c r="O749" s="79" t="n">
        <v>21.84</v>
      </c>
      <c r="P749" s="79" t="n">
        <v>4.684</v>
      </c>
      <c r="Q749" s="97">
        <f>K749-P749</f>
        <v/>
      </c>
      <c r="R749" s="79" t="n">
        <v>108.378</v>
      </c>
      <c r="S749" s="98">
        <f>(O749*T749)</f>
        <v/>
      </c>
      <c r="T749" s="79" t="n">
        <v>6.6</v>
      </c>
      <c r="U749" s="79" t="n">
        <v>21060.8</v>
      </c>
      <c r="V749" s="79" t="n">
        <v>43.14</v>
      </c>
      <c r="W749" s="98">
        <f>U749/V749</f>
        <v/>
      </c>
      <c r="X749" s="98">
        <f>(W749/U749)*100</f>
        <v/>
      </c>
      <c r="Y749" s="79" t="n">
        <v>17702.55</v>
      </c>
      <c r="Z749" s="80" t="n">
        <v>34.3</v>
      </c>
      <c r="AA749" s="98">
        <f>Y749/Z749</f>
        <v/>
      </c>
      <c r="AB749" s="98">
        <f>(AA749/Y749)*100</f>
        <v/>
      </c>
    </row>
    <row r="750">
      <c r="A750" s="92" t="n">
        <v>749</v>
      </c>
      <c r="B750" s="108" t="n">
        <v>45665</v>
      </c>
      <c r="C750" s="104" t="n">
        <v>44115075.89</v>
      </c>
      <c r="D750" s="98">
        <f>C750/E750</f>
        <v/>
      </c>
      <c r="E750" s="79" t="n">
        <v>85.917</v>
      </c>
      <c r="F750" s="98">
        <f>D750/100000</f>
        <v/>
      </c>
      <c r="G750" s="97">
        <f>(F750/DataSheet!$C$12*100)</f>
        <v/>
      </c>
      <c r="H750" s="98">
        <f>K750/I750</f>
        <v/>
      </c>
      <c r="I750" s="98">
        <f>(J750/L750)*100</f>
        <v/>
      </c>
      <c r="J750" s="97">
        <f>L750/O750</f>
        <v/>
      </c>
      <c r="K750" s="79" t="n">
        <v>6.767</v>
      </c>
      <c r="L750" s="79" t="n">
        <v>23688.95</v>
      </c>
      <c r="M750" s="79" t="n">
        <v>3.53</v>
      </c>
      <c r="N750" s="98">
        <f>K750-I750</f>
        <v/>
      </c>
      <c r="O750" s="79" t="n">
        <v>21.83</v>
      </c>
      <c r="P750" s="79" t="n">
        <v>4.692</v>
      </c>
      <c r="Q750" s="97">
        <f>K750-P750</f>
        <v/>
      </c>
      <c r="R750" s="79" t="n">
        <v>108.926</v>
      </c>
      <c r="S750" s="98">
        <f>(O750*T750)</f>
        <v/>
      </c>
      <c r="T750" s="79" t="n">
        <v>6.58</v>
      </c>
      <c r="U750" s="79" t="n">
        <v>20840.3</v>
      </c>
      <c r="V750" s="79" t="n">
        <v>42.69</v>
      </c>
      <c r="W750" s="98">
        <f>U750/V750</f>
        <v/>
      </c>
      <c r="X750" s="98">
        <f>(W750/U750)*100</f>
        <v/>
      </c>
      <c r="Y750" s="79" t="n">
        <v>17457.9</v>
      </c>
      <c r="Z750" s="80" t="n">
        <v>33.82</v>
      </c>
      <c r="AA750" s="98">
        <f>Y750/Z750</f>
        <v/>
      </c>
      <c r="AB750" s="98">
        <f>(AA750/Y750)*100</f>
        <v/>
      </c>
    </row>
    <row r="751">
      <c r="A751" s="92" t="n">
        <v>750</v>
      </c>
      <c r="B751" s="108" t="n">
        <v>45666</v>
      </c>
      <c r="C751" s="104" t="n">
        <v>43700335.27</v>
      </c>
      <c r="D751" s="98">
        <f>C751/E751</f>
        <v/>
      </c>
      <c r="E751" s="79" t="n">
        <v>85.89</v>
      </c>
      <c r="F751" s="98">
        <f>D751/100000</f>
        <v/>
      </c>
      <c r="G751" s="97">
        <f>(F751/DataSheet!$C$12*100)</f>
        <v/>
      </c>
      <c r="H751" s="98">
        <f>K751/I751</f>
        <v/>
      </c>
      <c r="I751" s="98">
        <f>(J751/L751)*100</f>
        <v/>
      </c>
      <c r="J751" s="97">
        <f>L751/O751</f>
        <v/>
      </c>
      <c r="K751" s="79" t="n">
        <v>6.764</v>
      </c>
      <c r="L751" s="79" t="n">
        <v>23526.5</v>
      </c>
      <c r="M751" s="79" t="n">
        <v>3.51</v>
      </c>
      <c r="N751" s="98">
        <f>K751-I751</f>
        <v/>
      </c>
      <c r="O751" s="79" t="n">
        <v>21.68</v>
      </c>
      <c r="P751" s="79" t="n">
        <v>4.688</v>
      </c>
      <c r="Q751" s="97">
        <f>K751-P751</f>
        <v/>
      </c>
      <c r="R751" s="79" t="n">
        <v>109.004</v>
      </c>
      <c r="S751" s="98">
        <f>(O751*T751)</f>
        <v/>
      </c>
      <c r="T751" s="79" t="n">
        <v>6.61</v>
      </c>
      <c r="U751" s="79" t="n">
        <v>20674.25</v>
      </c>
      <c r="V751" s="79" t="n">
        <v>42.35</v>
      </c>
      <c r="W751" s="98">
        <f>U751/V751</f>
        <v/>
      </c>
      <c r="X751" s="98">
        <f>(W751/U751)*100</f>
        <v/>
      </c>
      <c r="Y751" s="79" t="n">
        <v>17254.35</v>
      </c>
      <c r="Z751" s="80" t="n">
        <v>33.43</v>
      </c>
      <c r="AA751" s="98">
        <f>Y751/Z751</f>
        <v/>
      </c>
      <c r="AB751" s="98">
        <f>(AA751/Y751)*100</f>
        <v/>
      </c>
    </row>
    <row r="752">
      <c r="A752" s="92" t="n">
        <v>751</v>
      </c>
      <c r="B752" s="108" t="n">
        <v>45667</v>
      </c>
      <c r="C752" s="104" t="n">
        <v>43116659.15</v>
      </c>
      <c r="D752" s="98">
        <f>C752/E752</f>
        <v/>
      </c>
      <c r="E752" s="79" t="n">
        <v>86.16500000000001</v>
      </c>
      <c r="F752" s="98">
        <f>D752/100000</f>
        <v/>
      </c>
      <c r="G752" s="97">
        <f>(F752/DataSheet!$C$12*100)</f>
        <v/>
      </c>
      <c r="H752" s="98">
        <f>K752/I752</f>
        <v/>
      </c>
      <c r="I752" s="98">
        <f>(J752/L752)*100</f>
        <v/>
      </c>
      <c r="J752" s="97">
        <f>L752/O752</f>
        <v/>
      </c>
      <c r="K752" s="79" t="n">
        <v>6.769</v>
      </c>
      <c r="L752" s="79" t="n">
        <v>23431.5</v>
      </c>
      <c r="M752" s="79" t="n">
        <v>3.49</v>
      </c>
      <c r="N752" s="98">
        <f>K752-I752</f>
        <v/>
      </c>
      <c r="O752" s="79" t="n">
        <v>21.59</v>
      </c>
      <c r="P752" s="79" t="n">
        <v>4.762</v>
      </c>
      <c r="Q752" s="97">
        <f>K752-P752</f>
        <v/>
      </c>
      <c r="R752" s="79" t="n">
        <v>109.487</v>
      </c>
      <c r="S752" s="98">
        <f>(O752*T752)</f>
        <v/>
      </c>
      <c r="T752" s="79" t="n">
        <v>6.61</v>
      </c>
      <c r="U752" s="79" t="n">
        <v>20252.95</v>
      </c>
      <c r="V752" s="79" t="n">
        <v>41.48</v>
      </c>
      <c r="W752" s="98">
        <f>U752/V752</f>
        <v/>
      </c>
      <c r="X752" s="98">
        <f>(W752/U752)*100</f>
        <v/>
      </c>
      <c r="Y752" s="79" t="n">
        <v>16833.4</v>
      </c>
      <c r="Z752" s="80" t="n">
        <v>32.61</v>
      </c>
      <c r="AA752" s="98">
        <f>Y752/Z752</f>
        <v/>
      </c>
      <c r="AB752" s="98">
        <f>(AA752/Y752)*100</f>
        <v/>
      </c>
    </row>
    <row r="753">
      <c r="A753" s="92" t="n">
        <v>752</v>
      </c>
      <c r="B753" s="108" t="n">
        <v>45670</v>
      </c>
      <c r="C753" s="104" t="n">
        <v>41829587.58</v>
      </c>
      <c r="D753" s="98">
        <f>C753/E753</f>
        <v/>
      </c>
      <c r="E753" s="79" t="n">
        <v>86.646</v>
      </c>
      <c r="F753" s="98">
        <f>D753/100000</f>
        <v/>
      </c>
      <c r="G753" s="97">
        <f>(F753/DataSheet!$C$12*100)</f>
        <v/>
      </c>
      <c r="H753" s="98">
        <f>K753/I753</f>
        <v/>
      </c>
      <c r="I753" s="98">
        <f>(J753/L753)*100</f>
        <v/>
      </c>
      <c r="J753" s="97">
        <f>L753/O753</f>
        <v/>
      </c>
      <c r="K753" s="79" t="n">
        <v>6.843</v>
      </c>
      <c r="L753" s="79" t="n">
        <v>23085.95</v>
      </c>
      <c r="M753" s="79" t="n">
        <v>3.44</v>
      </c>
      <c r="N753" s="98">
        <f>K753-I753</f>
        <v/>
      </c>
      <c r="O753" s="79" t="n">
        <v>21.25</v>
      </c>
      <c r="P753" s="79" t="n">
        <v>4.789</v>
      </c>
      <c r="Q753" s="97">
        <f>K753-P753</f>
        <v/>
      </c>
      <c r="R753" s="79" t="n">
        <v>109.812</v>
      </c>
      <c r="S753" s="98">
        <f>(O753*T753)</f>
        <v/>
      </c>
      <c r="T753" s="79" t="n">
        <v>6.61</v>
      </c>
      <c r="U753" s="79" t="n">
        <v>19458.3</v>
      </c>
      <c r="V753" s="79" t="n">
        <v>39.86</v>
      </c>
      <c r="W753" s="98">
        <f>U753/V753</f>
        <v/>
      </c>
      <c r="X753" s="98">
        <f>(W753/U753)*100</f>
        <v/>
      </c>
      <c r="Y753" s="79" t="n">
        <v>16159.9</v>
      </c>
      <c r="Z753" s="80" t="n">
        <v>31.31</v>
      </c>
      <c r="AA753" s="98">
        <f>Y753/Z753</f>
        <v/>
      </c>
      <c r="AB753" s="98">
        <f>(AA753/Y753)*100</f>
        <v/>
      </c>
    </row>
    <row r="754">
      <c r="A754" s="92" t="n">
        <v>753</v>
      </c>
      <c r="B754" s="108" t="n">
        <v>45671</v>
      </c>
      <c r="C754" s="104" t="n">
        <v>42461600.23</v>
      </c>
      <c r="D754" s="98">
        <f>C754/E754</f>
        <v/>
      </c>
      <c r="E754" s="79" t="n">
        <v>86.52500000000001</v>
      </c>
      <c r="F754" s="98">
        <f>D754/100000</f>
        <v/>
      </c>
      <c r="G754" s="97">
        <f>(F754/DataSheet!$C$12*100)</f>
        <v/>
      </c>
      <c r="H754" s="98">
        <f>K754/I754</f>
        <v/>
      </c>
      <c r="I754" s="98">
        <f>(J754/L754)*100</f>
        <v/>
      </c>
      <c r="J754" s="97">
        <f>L754/O754</f>
        <v/>
      </c>
      <c r="K754" s="79" t="n">
        <v>6.829</v>
      </c>
      <c r="L754" s="79" t="n">
        <v>23176.05</v>
      </c>
      <c r="M754" s="79" t="n">
        <v>3.46</v>
      </c>
      <c r="N754" s="98">
        <f>K754-I754</f>
        <v/>
      </c>
      <c r="O754" s="79" t="n">
        <v>21.34</v>
      </c>
      <c r="P754" s="79" t="n">
        <v>4.792</v>
      </c>
      <c r="Q754" s="97">
        <f>K754-P754</f>
        <v/>
      </c>
      <c r="R754" s="79" t="n">
        <v>109.11</v>
      </c>
      <c r="S754" s="98">
        <f>(O754*T754)</f>
        <v/>
      </c>
      <c r="T754" s="79" t="n">
        <v>6.62</v>
      </c>
      <c r="U754" s="79" t="n">
        <v>19883.35</v>
      </c>
      <c r="V754" s="79" t="n">
        <v>40.72</v>
      </c>
      <c r="W754" s="98">
        <f>U754/V754</f>
        <v/>
      </c>
      <c r="X754" s="98">
        <f>(W754/U754)*100</f>
        <v/>
      </c>
      <c r="Y754" s="79" t="n">
        <v>16422.75</v>
      </c>
      <c r="Z754" s="80" t="n">
        <v>31.84</v>
      </c>
      <c r="AA754" s="98">
        <f>Y754/Z754</f>
        <v/>
      </c>
      <c r="AB754" s="98">
        <f>(AA754/Y754)*100</f>
        <v/>
      </c>
    </row>
    <row r="755">
      <c r="A755" s="92" t="n">
        <v>754</v>
      </c>
      <c r="B755" s="108" t="n">
        <v>45672</v>
      </c>
      <c r="C755" s="104" t="n">
        <v>42573736.84</v>
      </c>
      <c r="D755" s="98">
        <f>C755/E755</f>
        <v/>
      </c>
      <c r="E755" s="79" t="n">
        <v>86.38</v>
      </c>
      <c r="F755" s="98">
        <f>D755/100000</f>
        <v/>
      </c>
      <c r="G755" s="97">
        <f>(F755/DataSheet!$C$12*100)</f>
        <v/>
      </c>
      <c r="H755" s="98">
        <f>K755/I755</f>
        <v/>
      </c>
      <c r="I755" s="98">
        <f>(J755/L755)*100</f>
        <v/>
      </c>
      <c r="J755" s="97">
        <f>L755/O755</f>
        <v/>
      </c>
      <c r="K755" s="79" t="n">
        <v>6.813</v>
      </c>
      <c r="L755" s="79" t="n">
        <v>23213.2</v>
      </c>
      <c r="M755" s="79" t="n">
        <v>3.46</v>
      </c>
      <c r="N755" s="98">
        <f>K755-I755</f>
        <v/>
      </c>
      <c r="O755" s="79" t="n">
        <v>21.37</v>
      </c>
      <c r="P755" s="79" t="n">
        <v>4.654</v>
      </c>
      <c r="Q755" s="97">
        <f>K755-P755</f>
        <v/>
      </c>
      <c r="R755" s="79" t="n">
        <v>108.916</v>
      </c>
      <c r="S755" s="98">
        <f>(O755*T755)</f>
        <v/>
      </c>
      <c r="T755" s="79" t="n">
        <v>6.6</v>
      </c>
      <c r="U755" s="79" t="n">
        <v>19955.4</v>
      </c>
      <c r="V755" s="79" t="n">
        <v>40.86</v>
      </c>
      <c r="W755" s="98">
        <f>U755/V755</f>
        <v/>
      </c>
      <c r="X755" s="98">
        <f>(W755/U755)*100</f>
        <v/>
      </c>
      <c r="Y755" s="79" t="n">
        <v>16508.9</v>
      </c>
      <c r="Z755" s="80" t="n">
        <v>31.98</v>
      </c>
      <c r="AA755" s="98">
        <f>Y755/Z755</f>
        <v/>
      </c>
      <c r="AB755" s="98">
        <f>(AA755/Y755)*100</f>
        <v/>
      </c>
    </row>
    <row r="756">
      <c r="A756" s="92" t="n">
        <v>755</v>
      </c>
      <c r="B756" s="108" t="n">
        <v>45673</v>
      </c>
      <c r="C756" s="104" t="n">
        <v>42980829.6</v>
      </c>
      <c r="D756" s="98">
        <f>C756/E756</f>
        <v/>
      </c>
      <c r="E756" s="79" t="n">
        <v>86.56999999999999</v>
      </c>
      <c r="F756" s="98">
        <f>D756/100000</f>
        <v/>
      </c>
      <c r="G756" s="97">
        <f>(F756/DataSheet!$C$12*100)</f>
        <v/>
      </c>
      <c r="H756" s="98">
        <f>K756/I756</f>
        <v/>
      </c>
      <c r="I756" s="98">
        <f>(J756/L756)*100</f>
        <v/>
      </c>
      <c r="J756" s="97">
        <f>L756/O756</f>
        <v/>
      </c>
      <c r="K756" s="79" t="n">
        <v>6.754</v>
      </c>
      <c r="L756" s="79" t="n">
        <v>23311.8</v>
      </c>
      <c r="M756" s="79" t="n">
        <v>3.48</v>
      </c>
      <c r="N756" s="98">
        <f>K756-I756</f>
        <v/>
      </c>
      <c r="O756" s="79" t="n">
        <v>21.46</v>
      </c>
      <c r="P756" s="79" t="n">
        <v>4.611</v>
      </c>
      <c r="Q756" s="97">
        <f>K756-P756</f>
        <v/>
      </c>
      <c r="R756" s="79" t="n">
        <v>108.817</v>
      </c>
      <c r="S756" s="98">
        <f>(O756*T756)</f>
        <v/>
      </c>
      <c r="T756" s="79" t="n">
        <v>6.59</v>
      </c>
      <c r="U756" s="79" t="n">
        <v>20172.65</v>
      </c>
      <c r="V756" s="79" t="n">
        <v>41.27</v>
      </c>
      <c r="W756" s="98">
        <f>U756/V756</f>
        <v/>
      </c>
      <c r="X756" s="98">
        <f>(W756/U756)*100</f>
        <v/>
      </c>
      <c r="Y756" s="79" t="n">
        <v>16707.9</v>
      </c>
      <c r="Z756" s="80" t="n">
        <v>32.68</v>
      </c>
      <c r="AA756" s="98">
        <f>Y756/Z756</f>
        <v/>
      </c>
      <c r="AB756" s="98">
        <f>(AA756/Y756)*100</f>
        <v/>
      </c>
    </row>
    <row r="757">
      <c r="A757" s="92" t="n">
        <v>756</v>
      </c>
      <c r="B757" s="108" t="n">
        <v>45674</v>
      </c>
      <c r="C757" s="104" t="n">
        <v>43014635.25</v>
      </c>
      <c r="D757" s="98">
        <f>C757/E757</f>
        <v/>
      </c>
      <c r="E757" s="79" t="n">
        <v>86.571</v>
      </c>
      <c r="F757" s="98">
        <f>D757/100000</f>
        <v/>
      </c>
      <c r="G757" s="97">
        <f>(F757/DataSheet!$C$12*100)</f>
        <v/>
      </c>
      <c r="H757" s="98">
        <f>K757/I757</f>
        <v/>
      </c>
      <c r="I757" s="98">
        <f>(J757/L757)*100</f>
        <v/>
      </c>
      <c r="J757" s="97">
        <f>L757/O757</f>
        <v/>
      </c>
      <c r="K757" s="79" t="n">
        <v>6.774</v>
      </c>
      <c r="L757" s="79" t="n">
        <v>23203.2</v>
      </c>
      <c r="M757" s="79" t="n">
        <v>3.46</v>
      </c>
      <c r="N757" s="98">
        <f>K757-I757</f>
        <v/>
      </c>
      <c r="O757" s="79" t="n">
        <v>21.36</v>
      </c>
      <c r="P757" s="79" t="n">
        <v>4.622</v>
      </c>
      <c r="Q757" s="97">
        <f>K757-P757</f>
        <v/>
      </c>
      <c r="R757" s="79" t="n">
        <v>109.203</v>
      </c>
      <c r="S757" s="98">
        <f>(O757*T757)</f>
        <v/>
      </c>
      <c r="T757" s="79" t="n">
        <v>6.61</v>
      </c>
      <c r="U757" s="79" t="n">
        <v>20195.9</v>
      </c>
      <c r="V757" s="79" t="n">
        <v>41.28</v>
      </c>
      <c r="W757" s="98">
        <f>U757/V757</f>
        <v/>
      </c>
      <c r="X757" s="98">
        <f>(W757/U757)*100</f>
        <v/>
      </c>
      <c r="Y757" s="79" t="n">
        <v>16700.5</v>
      </c>
      <c r="Z757" s="80" t="n">
        <v>32.69</v>
      </c>
      <c r="AA757" s="98">
        <f>Y757/Z757</f>
        <v/>
      </c>
      <c r="AB757" s="98">
        <f>(AA757/Y757)*100</f>
        <v/>
      </c>
    </row>
    <row r="758">
      <c r="A758" s="92" t="n">
        <v>757</v>
      </c>
      <c r="B758" s="108" t="n">
        <v>45677</v>
      </c>
      <c r="C758" s="104" t="n">
        <v>43290177.42</v>
      </c>
      <c r="D758" s="98">
        <f>C758/E758</f>
        <v/>
      </c>
      <c r="E758" s="79" t="n">
        <v>86.209</v>
      </c>
      <c r="F758" s="98">
        <f>D758/100000</f>
        <v/>
      </c>
      <c r="G758" s="97">
        <f>(F758/DataSheet!$C$12*100)</f>
        <v/>
      </c>
      <c r="H758" s="98">
        <f>K758/I758</f>
        <v/>
      </c>
      <c r="I758" s="98">
        <f>(J758/L758)*100</f>
        <v/>
      </c>
      <c r="J758" s="97">
        <f>L758/O758</f>
        <v/>
      </c>
      <c r="K758" s="79" t="n">
        <v>6.763</v>
      </c>
      <c r="L758" s="79" t="n">
        <v>23344.75</v>
      </c>
      <c r="M758" s="79" t="n">
        <v>3.48</v>
      </c>
      <c r="N758" s="98">
        <f>K758-I758</f>
        <v/>
      </c>
      <c r="O758" s="79" t="n">
        <v>21.4</v>
      </c>
      <c r="P758" s="79" t="n">
        <v>4.622</v>
      </c>
      <c r="Q758" s="97">
        <f>K758-P758</f>
        <v/>
      </c>
      <c r="R758" s="79" t="n">
        <v>109.203</v>
      </c>
      <c r="S758" s="98">
        <f>(O758*T758)</f>
        <v/>
      </c>
      <c r="T758" s="79" t="n">
        <v>6.6</v>
      </c>
      <c r="U758" s="79" t="n">
        <v>20350.9</v>
      </c>
      <c r="V758" s="79" t="n">
        <v>41.63</v>
      </c>
      <c r="W758" s="98">
        <f>U758/V758</f>
        <v/>
      </c>
      <c r="X758" s="98">
        <f>(W758/U758)*100</f>
        <v/>
      </c>
      <c r="Y758" s="79" t="n">
        <v>16841.4</v>
      </c>
      <c r="Z758" s="80" t="n">
        <v>32.94</v>
      </c>
      <c r="AA758" s="98">
        <f>Y758/Z758</f>
        <v/>
      </c>
      <c r="AB758" s="98">
        <f>(AA758/Y758)*100</f>
        <v/>
      </c>
    </row>
    <row r="759">
      <c r="A759" s="92" t="n">
        <v>758</v>
      </c>
      <c r="B759" s="108" t="n">
        <v>45678</v>
      </c>
      <c r="C759" s="104" t="n">
        <v>42550839.77</v>
      </c>
      <c r="D759" s="98">
        <f>C759/E759</f>
        <v/>
      </c>
      <c r="E759" s="79" t="n">
        <v>86.452</v>
      </c>
      <c r="F759" s="98">
        <f>D759/100000</f>
        <v/>
      </c>
      <c r="G759" s="97">
        <f>(F759/DataSheet!$C$12*100)</f>
        <v/>
      </c>
      <c r="H759" s="98">
        <f>K759/I759</f>
        <v/>
      </c>
      <c r="I759" s="98">
        <f>(J759/L759)*100</f>
        <v/>
      </c>
      <c r="J759" s="97">
        <f>L759/O759</f>
        <v/>
      </c>
      <c r="K759" s="79" t="n">
        <v>6.734</v>
      </c>
      <c r="L759" s="79" t="n">
        <v>23024.65</v>
      </c>
      <c r="M759" s="79" t="n">
        <v>3.43</v>
      </c>
      <c r="N759" s="98">
        <f>K759-I759</f>
        <v/>
      </c>
      <c r="O759" s="79" t="n">
        <v>21.07</v>
      </c>
      <c r="P759" s="79" t="n">
        <v>4.572</v>
      </c>
      <c r="Q759" s="97">
        <f>K759-P759</f>
        <v/>
      </c>
      <c r="R759" s="79" t="n">
        <v>107.861</v>
      </c>
      <c r="S759" s="98">
        <f>(O759*T759)</f>
        <v/>
      </c>
      <c r="T759" s="79" t="n">
        <v>6.6</v>
      </c>
      <c r="U759" s="79" t="n">
        <v>19946.3</v>
      </c>
      <c r="V759" s="79" t="n">
        <v>40.75</v>
      </c>
      <c r="W759" s="98">
        <f>U759/V759</f>
        <v/>
      </c>
      <c r="X759" s="98">
        <f>(W759/U759)*100</f>
        <v/>
      </c>
      <c r="Y759" s="79" t="n">
        <v>16484.1</v>
      </c>
      <c r="Z759" s="80" t="n">
        <v>32.41</v>
      </c>
      <c r="AA759" s="98">
        <f>Y759/Z759</f>
        <v/>
      </c>
      <c r="AB759" s="98">
        <f>(AA759/Y759)*100</f>
        <v/>
      </c>
    </row>
    <row r="760">
      <c r="A760" s="92" t="n">
        <v>759</v>
      </c>
      <c r="B760" s="108" t="n">
        <v>45679</v>
      </c>
      <c r="C760" s="104" t="n">
        <v>42326048.54</v>
      </c>
      <c r="D760" s="98">
        <f>C760/E760</f>
        <v/>
      </c>
      <c r="E760" s="79" t="n">
        <v>86.45</v>
      </c>
      <c r="F760" s="98">
        <f>D760/100000</f>
        <v/>
      </c>
      <c r="G760" s="97">
        <f>(F760/DataSheet!$C$12*100)</f>
        <v/>
      </c>
      <c r="H760" s="98">
        <f>K760/I760</f>
        <v/>
      </c>
      <c r="I760" s="98">
        <f>(J760/L760)*100</f>
        <v/>
      </c>
      <c r="J760" s="97">
        <f>L760/O760</f>
        <v/>
      </c>
      <c r="K760" s="79" t="n">
        <v>6.719</v>
      </c>
      <c r="L760" s="79" t="n">
        <v>23155.35</v>
      </c>
      <c r="M760" s="79" t="n">
        <v>3.45</v>
      </c>
      <c r="N760" s="98">
        <f>K760-I760</f>
        <v/>
      </c>
      <c r="O760" s="79" t="n">
        <v>21.19</v>
      </c>
      <c r="P760" s="79" t="n">
        <v>4.612</v>
      </c>
      <c r="Q760" s="97">
        <f>K760-P760</f>
        <v/>
      </c>
      <c r="R760" s="79" t="n">
        <v>107.962</v>
      </c>
      <c r="S760" s="98">
        <f>(O760*T760)</f>
        <v/>
      </c>
      <c r="T760" s="79" t="n">
        <v>6.6</v>
      </c>
      <c r="U760" s="79" t="n">
        <v>19696.9</v>
      </c>
      <c r="V760" s="79" t="n">
        <v>40.15</v>
      </c>
      <c r="W760" s="98">
        <f>U760/V760</f>
        <v/>
      </c>
      <c r="X760" s="98">
        <f>(W760/U760)*100</f>
        <v/>
      </c>
      <c r="Y760" s="79" t="n">
        <v>16220.85</v>
      </c>
      <c r="Z760" s="80" t="n">
        <v>31.8</v>
      </c>
      <c r="AA760" s="98">
        <f>Y760/Z760</f>
        <v/>
      </c>
      <c r="AB760" s="98">
        <f>(AA760/Y760)*100</f>
        <v/>
      </c>
    </row>
    <row r="761">
      <c r="A761" s="92" t="n">
        <v>760</v>
      </c>
      <c r="B761" s="108" t="n">
        <v>45680</v>
      </c>
      <c r="C761" s="104" t="n">
        <v>42599475.15</v>
      </c>
      <c r="D761" s="98">
        <f>C761/E761</f>
        <v/>
      </c>
      <c r="E761" s="79" t="n">
        <v>86.43000000000001</v>
      </c>
      <c r="F761" s="98">
        <f>D761/100000</f>
        <v/>
      </c>
      <c r="G761" s="97">
        <f>(F761/DataSheet!$C$12*100)</f>
        <v/>
      </c>
      <c r="H761" s="98">
        <f>K761/I761</f>
        <v/>
      </c>
      <c r="I761" s="98">
        <f>(J761/L761)*100</f>
        <v/>
      </c>
      <c r="J761" s="97">
        <f>L761/O761</f>
        <v/>
      </c>
      <c r="K761" s="79" t="n">
        <v>6.736</v>
      </c>
      <c r="L761" s="79" t="n">
        <v>23205.35</v>
      </c>
      <c r="M761" s="79" t="n">
        <v>3.46</v>
      </c>
      <c r="N761" s="98">
        <f>K761-I761</f>
        <v/>
      </c>
      <c r="O761" s="79" t="n">
        <v>21.24</v>
      </c>
      <c r="P761" s="79" t="n">
        <v>4.645</v>
      </c>
      <c r="Q761" s="97">
        <f>K761-P761</f>
        <v/>
      </c>
      <c r="R761" s="79" t="n">
        <v>107.863</v>
      </c>
      <c r="S761" s="98">
        <f>(O761*T761)</f>
        <v/>
      </c>
      <c r="T761" s="79" t="n">
        <v>6.62</v>
      </c>
      <c r="U761" s="79" t="n">
        <v>20047.95</v>
      </c>
      <c r="V761" s="79" t="n">
        <v>40.9</v>
      </c>
      <c r="W761" s="98">
        <f>U761/V761</f>
        <v/>
      </c>
      <c r="X761" s="98">
        <f>(W761/U761)*100</f>
        <v/>
      </c>
      <c r="Y761" s="79" t="n">
        <v>16352.8</v>
      </c>
      <c r="Z761" s="80" t="n">
        <v>31.91</v>
      </c>
      <c r="AA761" s="98">
        <f>Y761/Z761</f>
        <v/>
      </c>
      <c r="AB761" s="98">
        <f>(AA761/Y761)*100</f>
        <v/>
      </c>
    </row>
    <row r="762">
      <c r="A762" s="92" t="n">
        <v>761</v>
      </c>
      <c r="B762" s="108" t="n">
        <v>45681</v>
      </c>
      <c r="C762" s="104" t="n">
        <v>42086673.46</v>
      </c>
      <c r="D762" s="98">
        <f>C762/E762</f>
        <v/>
      </c>
      <c r="E762" s="79" t="n">
        <v>86.2</v>
      </c>
      <c r="F762" s="98">
        <f>D762/100000</f>
        <v/>
      </c>
      <c r="G762" s="97">
        <f>(F762/DataSheet!$C$12*100)</f>
        <v/>
      </c>
      <c r="H762" s="98">
        <f>K762/I762</f>
        <v/>
      </c>
      <c r="I762" s="98">
        <f>(J762/L762)*100</f>
        <v/>
      </c>
      <c r="J762" s="97">
        <f>L762/O762</f>
        <v/>
      </c>
      <c r="K762" s="79" t="n">
        <v>6.72</v>
      </c>
      <c r="L762" s="79" t="n">
        <v>23092.2</v>
      </c>
      <c r="M762" s="79" t="n">
        <v>3.44</v>
      </c>
      <c r="N762" s="98">
        <f>K762-I762</f>
        <v/>
      </c>
      <c r="O762" s="79" t="n">
        <v>21.09</v>
      </c>
      <c r="P762" s="79" t="n">
        <v>4.616</v>
      </c>
      <c r="Q762" s="97">
        <f>K762-P762</f>
        <v/>
      </c>
      <c r="R762" s="79" t="n">
        <v>107.245</v>
      </c>
      <c r="S762" s="98">
        <f>(O762*T762)</f>
        <v/>
      </c>
      <c r="T762" s="79" t="n">
        <v>6.61</v>
      </c>
      <c r="U762" s="79" t="n">
        <v>19708.95</v>
      </c>
      <c r="V762" s="79" t="n">
        <v>40.1</v>
      </c>
      <c r="W762" s="98">
        <f>U762/V762</f>
        <v/>
      </c>
      <c r="X762" s="98">
        <f>(W762/U762)*100</f>
        <v/>
      </c>
      <c r="Y762" s="79" t="n">
        <v>16001.7</v>
      </c>
      <c r="Z762" s="80" t="n">
        <v>31.23</v>
      </c>
      <c r="AA762" s="98">
        <f>Y762/Z762</f>
        <v/>
      </c>
      <c r="AB762" s="98">
        <f>(AA762/Y762)*100</f>
        <v/>
      </c>
    </row>
    <row r="763">
      <c r="A763" s="92" t="n">
        <v>762</v>
      </c>
      <c r="B763" s="108" t="n">
        <v>45684</v>
      </c>
      <c r="C763" s="104" t="n">
        <v>41137032.54</v>
      </c>
      <c r="D763" s="98">
        <f>C763/E763</f>
        <v/>
      </c>
      <c r="E763" s="79" t="n">
        <v>86.34999999999999</v>
      </c>
      <c r="F763" s="98">
        <f>D763/100000</f>
        <v/>
      </c>
      <c r="G763" s="97">
        <f>(F763/DataSheet!$C$12*100)</f>
        <v/>
      </c>
      <c r="H763" s="98">
        <f>K763/I763</f>
        <v/>
      </c>
      <c r="I763" s="98">
        <f>(J763/L763)*100</f>
        <v/>
      </c>
      <c r="J763" s="97">
        <f>L763/O763</f>
        <v/>
      </c>
      <c r="K763" s="79" t="n">
        <v>6.675</v>
      </c>
      <c r="L763" s="79" t="n">
        <v>22829.15</v>
      </c>
      <c r="M763" s="79" t="n">
        <v>3.4</v>
      </c>
      <c r="N763" s="98">
        <f>K763-I763</f>
        <v/>
      </c>
      <c r="O763" s="79" t="n">
        <v>20.85</v>
      </c>
      <c r="P763" s="79" t="n">
        <v>4.533</v>
      </c>
      <c r="Q763" s="97">
        <f>K763-P763</f>
        <v/>
      </c>
      <c r="R763" s="79" t="n">
        <v>107.16</v>
      </c>
      <c r="S763" s="98">
        <f>(O763*T763)</f>
        <v/>
      </c>
      <c r="T763" s="79" t="n">
        <v>6.61</v>
      </c>
      <c r="U763" s="79" t="n">
        <v>19152.1</v>
      </c>
      <c r="V763" s="79" t="n">
        <v>38</v>
      </c>
      <c r="W763" s="98">
        <f>U763/V763</f>
        <v/>
      </c>
      <c r="X763" s="98">
        <f>(W763/U763)*100</f>
        <v/>
      </c>
      <c r="Y763" s="79" t="n">
        <v>15416.3</v>
      </c>
      <c r="Z763" s="80" t="n">
        <v>30.05</v>
      </c>
      <c r="AA763" s="98">
        <f>Y763/Z763</f>
        <v/>
      </c>
      <c r="AB763" s="98">
        <f>(AA763/Y763)*100</f>
        <v/>
      </c>
    </row>
    <row r="764">
      <c r="A764" s="92" t="n">
        <v>763</v>
      </c>
      <c r="B764" s="108" t="n">
        <v>45685</v>
      </c>
      <c r="C764" s="104" t="n">
        <v>40991703.99</v>
      </c>
      <c r="D764" s="98">
        <f>C764/E764</f>
        <v/>
      </c>
      <c r="E764" s="79" t="n">
        <v>86.584</v>
      </c>
      <c r="F764" s="98">
        <f>D764/100000</f>
        <v/>
      </c>
      <c r="G764" s="97">
        <f>(F764/DataSheet!$C$12*100)</f>
        <v/>
      </c>
      <c r="H764" s="98">
        <f>K764/I764</f>
        <v/>
      </c>
      <c r="I764" s="98">
        <f>(J764/L764)*100</f>
        <v/>
      </c>
      <c r="J764" s="97">
        <f>L764/O764</f>
        <v/>
      </c>
      <c r="K764" s="79" t="n">
        <v>6.681</v>
      </c>
      <c r="L764" s="79" t="n">
        <v>22957.25</v>
      </c>
      <c r="M764" s="79" t="n">
        <v>3.42</v>
      </c>
      <c r="N764" s="98">
        <f>K764-I764</f>
        <v/>
      </c>
      <c r="O764" s="79" t="n">
        <v>20.85</v>
      </c>
      <c r="P764" s="79" t="n">
        <v>4.533</v>
      </c>
      <c r="Q764" s="97">
        <f>K764-P764</f>
        <v/>
      </c>
      <c r="R764" s="79" t="n">
        <v>107.683</v>
      </c>
      <c r="S764" s="98">
        <f>(O764*T764)</f>
        <v/>
      </c>
      <c r="T764" s="79" t="n">
        <v>6.58</v>
      </c>
      <c r="U764" s="79" t="n">
        <v>19019.1</v>
      </c>
      <c r="V764" s="79" t="n">
        <v>37.49</v>
      </c>
      <c r="W764" s="98">
        <f>U764/V764</f>
        <v/>
      </c>
      <c r="X764" s="98">
        <f>(W764/U764)*100</f>
        <v/>
      </c>
      <c r="Y764" s="79" t="n">
        <v>15135.1</v>
      </c>
      <c r="Z764" s="80" t="n">
        <v>29.55</v>
      </c>
      <c r="AA764" s="98">
        <f>Y764/Z764</f>
        <v/>
      </c>
      <c r="AB764" s="98">
        <f>(AA764/Y764)*100</f>
        <v/>
      </c>
    </row>
    <row r="765">
      <c r="A765" s="92" t="n">
        <v>764</v>
      </c>
      <c r="B765" s="108" t="n">
        <v>45686</v>
      </c>
      <c r="C765" s="104" t="n">
        <v>41765954</v>
      </c>
      <c r="D765" s="98">
        <f>C765/E765</f>
        <v/>
      </c>
      <c r="E765" s="79" t="n">
        <v>86.63</v>
      </c>
      <c r="F765" s="98">
        <f>D765/100000</f>
        <v/>
      </c>
      <c r="G765" s="97">
        <f>(F765/DataSheet!$C$12*100)</f>
        <v/>
      </c>
      <c r="H765" s="98">
        <f>K765/I765</f>
        <v/>
      </c>
      <c r="I765" s="98">
        <f>(J765/L765)*100</f>
        <v/>
      </c>
      <c r="J765" s="97">
        <f>L765/O765</f>
        <v/>
      </c>
      <c r="K765" s="79" t="n">
        <v>6.683</v>
      </c>
      <c r="L765" s="79" t="n">
        <v>23163.1</v>
      </c>
      <c r="M765" s="79" t="n">
        <v>3.45</v>
      </c>
      <c r="N765" s="98">
        <f>K765-I765</f>
        <v/>
      </c>
      <c r="O765" s="79" t="n">
        <v>21.06</v>
      </c>
      <c r="P765" s="79" t="n">
        <v>4.533</v>
      </c>
      <c r="Q765" s="97">
        <f>K765-P765</f>
        <v/>
      </c>
      <c r="R765" s="79" t="n">
        <v>107.809</v>
      </c>
      <c r="S765" s="98">
        <f>(O765*T765)</f>
        <v/>
      </c>
      <c r="T765" s="79" t="n">
        <v>6.59</v>
      </c>
      <c r="U765" s="79" t="n">
        <v>19481.75</v>
      </c>
      <c r="V765" s="79" t="n">
        <v>38.45</v>
      </c>
      <c r="W765" s="98">
        <f>U765/V765</f>
        <v/>
      </c>
      <c r="X765" s="98">
        <f>(W765/U765)*100</f>
        <v/>
      </c>
      <c r="Y765" s="79" t="n">
        <v>15613.35</v>
      </c>
      <c r="Z765" s="80" t="n">
        <v>29.79</v>
      </c>
      <c r="AA765" s="98">
        <f>Y765/Z765</f>
        <v/>
      </c>
      <c r="AB765" s="98">
        <f>(AA765/Y765)*100</f>
        <v/>
      </c>
    </row>
    <row r="766">
      <c r="A766" s="92" t="n">
        <v>765</v>
      </c>
      <c r="B766" s="108" t="n">
        <v>45687</v>
      </c>
      <c r="C766" s="104" t="n">
        <v>41874921.63</v>
      </c>
      <c r="D766" s="98">
        <f>C766/E766</f>
        <v/>
      </c>
      <c r="E766" s="79" t="n">
        <v>86.545</v>
      </c>
      <c r="F766" s="98">
        <f>D766/100000</f>
        <v/>
      </c>
      <c r="G766" s="97">
        <f>(F766/DataSheet!$C$12*100)</f>
        <v/>
      </c>
      <c r="H766" s="98">
        <f>K766/I766</f>
        <v/>
      </c>
      <c r="I766" s="98">
        <f>(J766/L766)*100</f>
        <v/>
      </c>
      <c r="J766" s="97">
        <f>L766/O766</f>
        <v/>
      </c>
      <c r="K766" s="79" t="n">
        <v>6.678</v>
      </c>
      <c r="L766" s="79" t="n">
        <v>23249.5</v>
      </c>
      <c r="M766" s="79" t="n">
        <v>3.47</v>
      </c>
      <c r="N766" s="98">
        <f>K766-I766</f>
        <v/>
      </c>
      <c r="O766" s="79" t="n">
        <v>21.12</v>
      </c>
      <c r="P766" s="79" t="n">
        <v>4.519</v>
      </c>
      <c r="Q766" s="97">
        <f>K766-P766</f>
        <v/>
      </c>
      <c r="R766" s="79" t="n">
        <v>107.631</v>
      </c>
      <c r="S766" s="98">
        <f>(O766*T766)</f>
        <v/>
      </c>
      <c r="T766" s="79" t="n">
        <v>6.58</v>
      </c>
      <c r="U766" s="79" t="n">
        <v>19514.25</v>
      </c>
      <c r="V766" s="79" t="n">
        <v>38.26</v>
      </c>
      <c r="W766" s="98">
        <f>U766/V766</f>
        <v/>
      </c>
      <c r="X766" s="98">
        <f>(W766/U766)*100</f>
        <v/>
      </c>
      <c r="Y766" s="79" t="n">
        <v>15585.95</v>
      </c>
      <c r="Z766" s="80" t="n">
        <v>29.79</v>
      </c>
      <c r="AA766" s="98">
        <f>Y766/Z766</f>
        <v/>
      </c>
      <c r="AB766" s="98">
        <f>(AA766/Y766)*100</f>
        <v/>
      </c>
    </row>
    <row r="767">
      <c r="A767" s="92" t="n">
        <v>766</v>
      </c>
      <c r="B767" s="108" t="n">
        <v>45688</v>
      </c>
      <c r="C767" s="104" t="n">
        <v>42499887.21</v>
      </c>
      <c r="D767" s="98">
        <f>C767/E767</f>
        <v/>
      </c>
      <c r="E767" s="79" t="n">
        <v>86.536</v>
      </c>
      <c r="F767" s="98">
        <f>D767/100000</f>
        <v/>
      </c>
      <c r="G767" s="97">
        <f>(F767/DataSheet!$C$12*100)</f>
        <v/>
      </c>
      <c r="H767" s="98">
        <f>K767/I767</f>
        <v/>
      </c>
      <c r="I767" s="98">
        <f>(J767/L767)*100</f>
        <v/>
      </c>
      <c r="J767" s="97">
        <f>L767/O767</f>
        <v/>
      </c>
      <c r="K767" s="79" t="n">
        <v>6.694</v>
      </c>
      <c r="L767" s="79" t="n">
        <v>23508.4</v>
      </c>
      <c r="M767" s="79" t="n">
        <v>3.51</v>
      </c>
      <c r="N767" s="98">
        <f>K767-I767</f>
        <v/>
      </c>
      <c r="O767" s="79" t="n">
        <v>21.33</v>
      </c>
      <c r="P767" s="79" t="n">
        <v>4.542</v>
      </c>
      <c r="Q767" s="97">
        <f>K767-P767</f>
        <v/>
      </c>
      <c r="R767" s="79" t="n">
        <v>108.217</v>
      </c>
      <c r="S767" s="98">
        <f>(O767*T767)</f>
        <v/>
      </c>
      <c r="T767" s="79" t="n">
        <v>6.57</v>
      </c>
      <c r="U767" s="79" t="n">
        <v>19850.95</v>
      </c>
      <c r="V767" s="79" t="n">
        <v>38.76</v>
      </c>
      <c r="W767" s="98">
        <f>U767/V767</f>
        <v/>
      </c>
      <c r="X767" s="98">
        <f>(W767/U767)*100</f>
        <v/>
      </c>
      <c r="Y767" s="79" t="n">
        <v>15851.05</v>
      </c>
      <c r="Z767" s="80" t="n">
        <v>30.18</v>
      </c>
      <c r="AA767" s="98">
        <f>Y767/Z767</f>
        <v/>
      </c>
      <c r="AB767" s="98">
        <f>(AA767/Y767)*100</f>
        <v/>
      </c>
    </row>
    <row r="768">
      <c r="A768" s="92" t="n">
        <v>767</v>
      </c>
      <c r="B768" s="108" t="n">
        <v>45689</v>
      </c>
      <c r="C768" s="104" t="n">
        <v>42480380.82</v>
      </c>
      <c r="D768" s="98">
        <f>C768/E768</f>
        <v/>
      </c>
      <c r="E768" s="79" t="n">
        <v>86.536</v>
      </c>
      <c r="F768" s="98">
        <f>D768/100000</f>
        <v/>
      </c>
      <c r="G768" s="97">
        <f>(F768/DataSheet!$C$12*100)</f>
        <v/>
      </c>
      <c r="H768" s="98">
        <f>K768/I768</f>
        <v/>
      </c>
      <c r="I768" s="98">
        <f>(J768/L768)*100</f>
        <v/>
      </c>
      <c r="J768" s="97">
        <f>L768/O768</f>
        <v/>
      </c>
      <c r="K768" s="79" t="n">
        <v>6.694</v>
      </c>
      <c r="L768" s="79" t="n">
        <v>23482.15</v>
      </c>
      <c r="M768" s="79" t="n">
        <v>3.5</v>
      </c>
      <c r="N768" s="98">
        <f>K768-I768</f>
        <v/>
      </c>
      <c r="O768" s="79" t="n">
        <v>21.29</v>
      </c>
      <c r="P768" s="79" t="n">
        <v>4.542</v>
      </c>
      <c r="Q768" s="97">
        <f>K768-P768</f>
        <v/>
      </c>
      <c r="R768" s="79" t="n">
        <v>108.217</v>
      </c>
      <c r="S768" s="98">
        <f>(O768*T768)</f>
        <v/>
      </c>
      <c r="T768" s="79" t="n">
        <v>6.57</v>
      </c>
      <c r="U768" s="79" t="n">
        <v>19773.4</v>
      </c>
      <c r="V768" s="79" t="n">
        <v>38.69</v>
      </c>
      <c r="W768" s="98">
        <f>U768/V768</f>
        <v/>
      </c>
      <c r="X768" s="98">
        <f>(W768/U768)*100</f>
        <v/>
      </c>
      <c r="Y768" s="79" t="n">
        <v>15955.45</v>
      </c>
      <c r="Z768" s="80" t="n">
        <v>30.39</v>
      </c>
      <c r="AA768" s="98">
        <f>Y768/Z768</f>
        <v/>
      </c>
      <c r="AB768" s="98">
        <f>(AA768/Y768)*100</f>
        <v/>
      </c>
    </row>
    <row r="769">
      <c r="A769" s="92" t="n">
        <v>768</v>
      </c>
      <c r="B769" s="108" t="n">
        <v>45691</v>
      </c>
      <c r="C769" s="104" t="n">
        <v>42031299.6</v>
      </c>
      <c r="D769" s="98">
        <f>C769/E769</f>
        <v/>
      </c>
      <c r="E769" s="79" t="n">
        <v>86.95999999999999</v>
      </c>
      <c r="F769" s="98">
        <f>D769/100000</f>
        <v/>
      </c>
      <c r="G769" s="97">
        <f>(F769/DataSheet!$C$12*100)</f>
        <v/>
      </c>
      <c r="H769" s="98">
        <f>K769/I769</f>
        <v/>
      </c>
      <c r="I769" s="98">
        <f>(J769/L769)*100</f>
        <v/>
      </c>
      <c r="J769" s="97">
        <f>L769/O769</f>
        <v/>
      </c>
      <c r="K769" s="79" t="n">
        <v>6.67</v>
      </c>
      <c r="L769" s="79" t="n">
        <v>23361.05</v>
      </c>
      <c r="M769" s="79" t="n">
        <v>3.48</v>
      </c>
      <c r="N769" s="98">
        <f>K769-I769</f>
        <v/>
      </c>
      <c r="O769" s="79" t="n">
        <v>21.22</v>
      </c>
      <c r="P769" s="79" t="n">
        <v>4.551</v>
      </c>
      <c r="Q769" s="97">
        <f>K769-P769</f>
        <v/>
      </c>
      <c r="R769" s="79" t="n">
        <v>108.877</v>
      </c>
      <c r="S769" s="98">
        <f>(O769*T769)</f>
        <v/>
      </c>
      <c r="T769" s="79" t="n">
        <v>6.57</v>
      </c>
      <c r="U769" s="79" t="n">
        <v>19579.2</v>
      </c>
      <c r="V769" s="79" t="n">
        <v>36.77</v>
      </c>
      <c r="W769" s="98">
        <f>U769/V769</f>
        <v/>
      </c>
      <c r="X769" s="98">
        <f>(W769/U769)*100</f>
        <v/>
      </c>
      <c r="Y769" s="79" t="n">
        <v>15677.65</v>
      </c>
      <c r="Z769" s="80" t="n">
        <v>29.88</v>
      </c>
      <c r="AA769" s="98">
        <f>Y769/Z769</f>
        <v/>
      </c>
      <c r="AB769" s="98">
        <f>(AA769/Y769)*100</f>
        <v/>
      </c>
    </row>
    <row r="770">
      <c r="A770" s="92" t="n">
        <v>769</v>
      </c>
      <c r="B770" s="108" t="n">
        <v>45692</v>
      </c>
      <c r="C770" s="104" t="n">
        <v>42623721.47</v>
      </c>
      <c r="D770" s="98">
        <f>C770/E770</f>
        <v/>
      </c>
      <c r="E770" s="79" t="n">
        <v>87.06999999999999</v>
      </c>
      <c r="F770" s="98">
        <f>D770/100000</f>
        <v/>
      </c>
      <c r="G770" s="97">
        <f>(F770/DataSheet!$C$12*100)</f>
        <v/>
      </c>
      <c r="H770" s="98">
        <f>K770/I770</f>
        <v/>
      </c>
      <c r="I770" s="98">
        <f>(J770/L770)*100</f>
        <v/>
      </c>
      <c r="J770" s="97">
        <f>L770/O770</f>
        <v/>
      </c>
      <c r="K770" s="79" t="n">
        <v>6.672</v>
      </c>
      <c r="L770" s="79" t="n">
        <v>23739.25</v>
      </c>
      <c r="M770" s="79" t="n">
        <v>3.54</v>
      </c>
      <c r="N770" s="98">
        <f>K770-I770</f>
        <v/>
      </c>
      <c r="O770" s="79" t="n">
        <v>21.56</v>
      </c>
      <c r="P770" s="79" t="n">
        <v>4.512</v>
      </c>
      <c r="Q770" s="97">
        <f>K770-P770</f>
        <v/>
      </c>
      <c r="R770" s="79" t="n">
        <v>107.823</v>
      </c>
      <c r="S770" s="98">
        <f>(O770*T770)</f>
        <v/>
      </c>
      <c r="T770" s="79" t="n">
        <v>6.54</v>
      </c>
      <c r="U770" s="79" t="n">
        <v>19849.15</v>
      </c>
      <c r="V770" s="79" t="n">
        <v>37.29</v>
      </c>
      <c r="W770" s="98">
        <f>U770/V770</f>
        <v/>
      </c>
      <c r="X770" s="98">
        <f>(W770/U770)*100</f>
        <v/>
      </c>
      <c r="Y770" s="79" t="n">
        <v>15855.95</v>
      </c>
      <c r="Z770" s="80" t="n">
        <v>30.24</v>
      </c>
      <c r="AA770" s="98">
        <f>Y770/Z770</f>
        <v/>
      </c>
      <c r="AB770" s="98">
        <f>(AA770/Y770)*100</f>
        <v/>
      </c>
    </row>
    <row r="771">
      <c r="A771" s="92" t="n">
        <v>770</v>
      </c>
      <c r="B771" s="108" t="n">
        <v>45693</v>
      </c>
      <c r="C771" s="104" t="n">
        <v>42803611.66</v>
      </c>
      <c r="D771" s="98">
        <f>C771/E771</f>
        <v/>
      </c>
      <c r="E771" s="79" t="n">
        <v>87.336</v>
      </c>
      <c r="F771" s="98">
        <f>D771/100000</f>
        <v/>
      </c>
      <c r="G771" s="97">
        <f>(F771/DataSheet!$C$12*100)</f>
        <v/>
      </c>
      <c r="H771" s="98">
        <f>K771/I771</f>
        <v/>
      </c>
      <c r="I771" s="98">
        <f>(J771/L771)*100</f>
        <v/>
      </c>
      <c r="J771" s="97">
        <f>L771/O771</f>
        <v/>
      </c>
      <c r="K771" s="79" t="n">
        <v>6.664</v>
      </c>
      <c r="L771" s="79" t="n">
        <v>23696.3</v>
      </c>
      <c r="M771" s="79" t="n">
        <v>3.53</v>
      </c>
      <c r="N771" s="98">
        <f>K771-I771</f>
        <v/>
      </c>
      <c r="O771" s="79" t="n">
        <v>21.52</v>
      </c>
      <c r="P771" s="79" t="n">
        <v>4.423</v>
      </c>
      <c r="Q771" s="97">
        <f>K771-P771</f>
        <v/>
      </c>
      <c r="R771" s="79" t="n">
        <v>107.442</v>
      </c>
      <c r="S771" s="98">
        <f>(O771*T771)</f>
        <v/>
      </c>
      <c r="T771" s="79" t="n">
        <v>6.48</v>
      </c>
      <c r="U771" s="79" t="n">
        <v>19995.7</v>
      </c>
      <c r="V771" s="79" t="n">
        <v>37.58</v>
      </c>
      <c r="W771" s="98">
        <f>U771/V771</f>
        <v/>
      </c>
      <c r="X771" s="98">
        <f>(W771/U771)*100</f>
        <v/>
      </c>
      <c r="Y771" s="79" t="n">
        <v>16104.4</v>
      </c>
      <c r="Z771" s="80" t="n">
        <v>30.7</v>
      </c>
      <c r="AA771" s="98">
        <f>Y771/Z771</f>
        <v/>
      </c>
      <c r="AB771" s="98">
        <f>(AA771/Y771)*100</f>
        <v/>
      </c>
    </row>
    <row r="772">
      <c r="A772" s="92" t="n">
        <v>771</v>
      </c>
      <c r="B772" s="108" t="n">
        <v>45694</v>
      </c>
      <c r="C772" s="104" t="n">
        <v>42580986.85</v>
      </c>
      <c r="D772" s="98">
        <f>C772/E772</f>
        <v/>
      </c>
      <c r="E772" s="79" t="n">
        <v>87.58</v>
      </c>
      <c r="F772" s="98">
        <f>D772/100000</f>
        <v/>
      </c>
      <c r="G772" s="97">
        <f>(F772/DataSheet!$C$12*100)</f>
        <v/>
      </c>
      <c r="H772" s="98">
        <f>K772/I772</f>
        <v/>
      </c>
      <c r="I772" s="98">
        <f>(J772/L772)*100</f>
        <v/>
      </c>
      <c r="J772" s="97">
        <f>L772/O772</f>
        <v/>
      </c>
      <c r="K772" s="79" t="n">
        <v>6.657</v>
      </c>
      <c r="L772" s="79" t="n">
        <v>23603.35</v>
      </c>
      <c r="M772" s="79" t="n">
        <v>3.52</v>
      </c>
      <c r="N772" s="98">
        <f>K772-I772</f>
        <v/>
      </c>
      <c r="O772" s="79" t="n">
        <v>21.45</v>
      </c>
      <c r="P772" s="79" t="n">
        <v>4.435</v>
      </c>
      <c r="Q772" s="97">
        <f>K772-P772</f>
        <v/>
      </c>
      <c r="R772" s="79" t="n">
        <v>107.547</v>
      </c>
      <c r="S772" s="98">
        <f>(O772*T772)</f>
        <v/>
      </c>
      <c r="T772" s="79" t="n">
        <v>6.45</v>
      </c>
      <c r="U772" s="79" t="n">
        <v>19793.75</v>
      </c>
      <c r="V772" s="79" t="n">
        <v>37.21</v>
      </c>
      <c r="W772" s="98">
        <f>U772/V772</f>
        <v/>
      </c>
      <c r="X772" s="98">
        <f>(W772/U772)*100</f>
        <v/>
      </c>
      <c r="Y772" s="79" t="n">
        <v>16098.65</v>
      </c>
      <c r="Z772" s="80" t="n">
        <v>30.81</v>
      </c>
      <c r="AA772" s="98">
        <f>Y772/Z772</f>
        <v/>
      </c>
      <c r="AB772" s="98">
        <f>(AA772/Y772)*100</f>
        <v/>
      </c>
    </row>
    <row r="773">
      <c r="A773" s="92" t="n">
        <v>772</v>
      </c>
      <c r="B773" s="108" t="n">
        <v>45695</v>
      </c>
      <c r="C773" s="104" t="n">
        <v>42478048.55</v>
      </c>
      <c r="D773" s="98">
        <f>C773/E773</f>
        <v/>
      </c>
      <c r="E773" s="79" t="n">
        <v>87.627</v>
      </c>
      <c r="F773" s="98">
        <f>D773/100000</f>
        <v/>
      </c>
      <c r="G773" s="97">
        <f>(F773/DataSheet!$C$12*100)</f>
        <v/>
      </c>
      <c r="H773" s="98">
        <f>K773/I773</f>
        <v/>
      </c>
      <c r="I773" s="98">
        <f>(J773/L773)*100</f>
        <v/>
      </c>
      <c r="J773" s="97">
        <f>L773/O773</f>
        <v/>
      </c>
      <c r="K773" s="79" t="n">
        <v>6.699</v>
      </c>
      <c r="L773" s="79" t="n">
        <v>23559.95</v>
      </c>
      <c r="M773" s="79" t="n">
        <v>3.51</v>
      </c>
      <c r="N773" s="98">
        <f>K773-I773</f>
        <v/>
      </c>
      <c r="O773" s="79" t="n">
        <v>21.41</v>
      </c>
      <c r="P773" s="79" t="n">
        <v>4.494</v>
      </c>
      <c r="Q773" s="97">
        <f>K773-P773</f>
        <v/>
      </c>
      <c r="R773" s="79" t="n">
        <v>107.928</v>
      </c>
      <c r="S773" s="98">
        <f>(O773*T773)</f>
        <v/>
      </c>
      <c r="T773" s="79" t="n">
        <v>6.42</v>
      </c>
      <c r="U773" s="79" t="n">
        <v>19819.6</v>
      </c>
      <c r="V773" s="79" t="n">
        <v>37.22</v>
      </c>
      <c r="W773" s="98">
        <f>U773/V773</f>
        <v/>
      </c>
      <c r="X773" s="98">
        <f>(W773/U773)*100</f>
        <v/>
      </c>
      <c r="Y773" s="79" t="n">
        <v>16035.75</v>
      </c>
      <c r="Z773" s="80" t="n">
        <v>30.51</v>
      </c>
      <c r="AA773" s="98">
        <f>Y773/Z773</f>
        <v/>
      </c>
      <c r="AB773" s="98">
        <f>(AA773/Y773)*100</f>
        <v/>
      </c>
    </row>
    <row r="774">
      <c r="A774" s="92" t="n">
        <v>773</v>
      </c>
      <c r="B774" s="108" t="n">
        <v>45698</v>
      </c>
      <c r="C774" s="104" t="n">
        <v>41856905.69</v>
      </c>
      <c r="D774" s="98">
        <f>C774/E774</f>
        <v/>
      </c>
      <c r="E774" s="79" t="n">
        <v>87.46899999999999</v>
      </c>
      <c r="F774" s="98">
        <f>D774/100000</f>
        <v/>
      </c>
      <c r="G774" s="97">
        <f>(F774/DataSheet!$C$12*100)</f>
        <v/>
      </c>
      <c r="H774" s="98">
        <f>K774/I774</f>
        <v/>
      </c>
      <c r="I774" s="98">
        <f>(J774/L774)*100</f>
        <v/>
      </c>
      <c r="J774" s="97">
        <f>L774/O774</f>
        <v/>
      </c>
      <c r="K774" s="79" t="n">
        <v>6.713</v>
      </c>
      <c r="L774" s="79" t="n">
        <v>23381.6</v>
      </c>
      <c r="M774" s="79" t="n">
        <v>3.48</v>
      </c>
      <c r="N774" s="98">
        <f>K774-I774</f>
        <v/>
      </c>
      <c r="O774" s="79" t="n">
        <v>20.82</v>
      </c>
      <c r="P774" s="79" t="n">
        <v>4.5</v>
      </c>
      <c r="Q774" s="97">
        <f>K774-P774</f>
        <v/>
      </c>
      <c r="R774" s="79" t="n">
        <v>108.193</v>
      </c>
      <c r="S774" s="98">
        <f>(O774*T774)</f>
        <v/>
      </c>
      <c r="T774" s="79" t="n">
        <v>6.45</v>
      </c>
      <c r="U774" s="79" t="n">
        <v>19406.95</v>
      </c>
      <c r="V774" s="79" t="n">
        <v>36.44</v>
      </c>
      <c r="W774" s="98">
        <f>U774/V774</f>
        <v/>
      </c>
      <c r="X774" s="98">
        <f>(W774/U774)*100</f>
        <v/>
      </c>
      <c r="Y774" s="79" t="n">
        <v>15693.6</v>
      </c>
      <c r="Z774" s="80" t="n">
        <v>29.8</v>
      </c>
      <c r="AA774" s="98">
        <f>Y774/Z774</f>
        <v/>
      </c>
      <c r="AB774" s="98">
        <f>(AA774/Y774)*100</f>
        <v/>
      </c>
    </row>
    <row r="775">
      <c r="A775" s="92" t="n">
        <v>774</v>
      </c>
      <c r="B775" s="108" t="n">
        <v>45699</v>
      </c>
      <c r="C775" s="104" t="n">
        <v>40926436.14</v>
      </c>
      <c r="D775" s="98">
        <f>C775/E775</f>
        <v/>
      </c>
      <c r="E775" s="79" t="n">
        <v>86.789</v>
      </c>
      <c r="F775" s="98">
        <f>D775/100000</f>
        <v/>
      </c>
      <c r="G775" s="97">
        <f>(F775/DataSheet!$C$12*100)</f>
        <v/>
      </c>
      <c r="H775" s="98">
        <f>K775/I775</f>
        <v/>
      </c>
      <c r="I775" s="98">
        <f>(J775/L775)*100</f>
        <v/>
      </c>
      <c r="J775" s="97">
        <f>L775/O775</f>
        <v/>
      </c>
      <c r="K775" s="79" t="n">
        <v>6.697</v>
      </c>
      <c r="L775" s="79" t="n">
        <v>23071.8</v>
      </c>
      <c r="M775" s="79" t="n">
        <v>3.43</v>
      </c>
      <c r="N775" s="98">
        <f>K775-I775</f>
        <v/>
      </c>
      <c r="O775" s="79" t="n">
        <v>20.53</v>
      </c>
      <c r="P775" s="79" t="n">
        <v>4.536</v>
      </c>
      <c r="Q775" s="97">
        <f>K775-P775</f>
        <v/>
      </c>
      <c r="R775" s="79" t="n">
        <v>107.833</v>
      </c>
      <c r="S775" s="98">
        <f>(O775*T775)</f>
        <v/>
      </c>
      <c r="T775" s="79" t="n">
        <v>6.45</v>
      </c>
      <c r="U775" s="79" t="n">
        <v>18837</v>
      </c>
      <c r="V775" s="79" t="n">
        <v>35.48</v>
      </c>
      <c r="W775" s="98">
        <f>U775/V775</f>
        <v/>
      </c>
      <c r="X775" s="98">
        <f>(W775/U775)*100</f>
        <v/>
      </c>
      <c r="Y775" s="79" t="n">
        <v>15156.95</v>
      </c>
      <c r="Z775" s="80" t="n">
        <v>28.78</v>
      </c>
      <c r="AA775" s="98">
        <f>Y775/Z775</f>
        <v/>
      </c>
      <c r="AB775" s="98">
        <f>(AA775/Y775)*100</f>
        <v/>
      </c>
    </row>
    <row r="776">
      <c r="A776" s="92" t="n">
        <v>775</v>
      </c>
      <c r="B776" s="108" t="n">
        <v>45700</v>
      </c>
      <c r="C776" s="104" t="n">
        <v>40823480.15</v>
      </c>
      <c r="D776" s="98">
        <f>C776/E776</f>
        <v/>
      </c>
      <c r="E776" s="79" t="n">
        <v>86.90000000000001</v>
      </c>
      <c r="F776" s="98">
        <f>D776/100000</f>
        <v/>
      </c>
      <c r="G776" s="97">
        <f>(F776/DataSheet!$C$12*100)</f>
        <v/>
      </c>
      <c r="H776" s="98">
        <f>K776/I776</f>
        <v/>
      </c>
      <c r="I776" s="98">
        <f>(J776/L776)*100</f>
        <v/>
      </c>
      <c r="J776" s="97">
        <f>L776/O776</f>
        <v/>
      </c>
      <c r="K776" s="79" t="n">
        <v>6.697</v>
      </c>
      <c r="L776" s="79" t="n">
        <v>23045.25</v>
      </c>
      <c r="M776" s="79" t="n">
        <v>3.43</v>
      </c>
      <c r="N776" s="98">
        <f>K776-I776</f>
        <v/>
      </c>
      <c r="O776" s="79" t="n">
        <v>20.52</v>
      </c>
      <c r="P776" s="79" t="n">
        <v>4.625</v>
      </c>
      <c r="Q776" s="97">
        <f>K776-P776</f>
        <v/>
      </c>
      <c r="R776" s="79" t="n">
        <v>107.823</v>
      </c>
      <c r="S776" s="98">
        <f>(O776*T776)</f>
        <v/>
      </c>
      <c r="T776" s="79" t="n">
        <v>6.45</v>
      </c>
      <c r="U776" s="79" t="n">
        <v>18766.85</v>
      </c>
      <c r="V776" s="79" t="n">
        <v>35.33</v>
      </c>
      <c r="W776" s="98">
        <f>U776/V776</f>
        <v/>
      </c>
      <c r="X776" s="98">
        <f>(W776/U776)*100</f>
        <v/>
      </c>
      <c r="Y776" s="79" t="n">
        <v>15050.6</v>
      </c>
      <c r="Z776" s="80" t="n">
        <v>28.37</v>
      </c>
      <c r="AA776" s="98">
        <f>Y776/Z776</f>
        <v/>
      </c>
      <c r="AB776" s="98">
        <f>(AA776/Y776)*100</f>
        <v/>
      </c>
    </row>
    <row r="777">
      <c r="A777" s="92" t="n">
        <v>776</v>
      </c>
      <c r="B777" s="108" t="n">
        <v>45701</v>
      </c>
      <c r="C777" s="104" t="n">
        <v>40804909.25</v>
      </c>
      <c r="D777" s="98">
        <f>C777/E777</f>
        <v/>
      </c>
      <c r="E777" s="79" t="n">
        <v>86.69</v>
      </c>
      <c r="F777" s="98">
        <f>D777/100000</f>
        <v/>
      </c>
      <c r="G777" s="97">
        <f>(F777/DataSheet!$C$12*100)</f>
        <v/>
      </c>
      <c r="H777" s="98">
        <f>K777/I777</f>
        <v/>
      </c>
      <c r="I777" s="98">
        <f>(J777/L777)*100</f>
        <v/>
      </c>
      <c r="J777" s="97">
        <f>L777/O777</f>
        <v/>
      </c>
      <c r="K777" s="79" t="n">
        <v>6.712</v>
      </c>
      <c r="L777" s="79" t="n">
        <v>23031.4</v>
      </c>
      <c r="M777" s="79" t="n">
        <v>3.43</v>
      </c>
      <c r="N777" s="98">
        <f>K777-I777</f>
        <v/>
      </c>
      <c r="O777" s="79" t="n">
        <v>20.51</v>
      </c>
      <c r="P777" s="79" t="n">
        <v>4.532</v>
      </c>
      <c r="Q777" s="97">
        <f>K777-P777</f>
        <v/>
      </c>
      <c r="R777" s="79" t="n">
        <v>107.216</v>
      </c>
      <c r="S777" s="98">
        <f>(O777*T777)</f>
        <v/>
      </c>
      <c r="T777" s="79" t="n">
        <v>6.46</v>
      </c>
      <c r="U777" s="79" t="n">
        <v>18796.8</v>
      </c>
      <c r="V777" s="79" t="n">
        <v>35.37</v>
      </c>
      <c r="W777" s="98">
        <f>U777/V777</f>
        <v/>
      </c>
      <c r="X777" s="98">
        <f>(W777/U777)*100</f>
        <v/>
      </c>
      <c r="Y777" s="79" t="n">
        <v>14997.5</v>
      </c>
      <c r="Z777" s="80" t="n">
        <v>28.23</v>
      </c>
      <c r="AA777" s="98">
        <f>Y777/Z777</f>
        <v/>
      </c>
      <c r="AB777" s="98">
        <f>(AA777/Y777)*100</f>
        <v/>
      </c>
    </row>
    <row r="778">
      <c r="A778" s="92" t="n">
        <v>777</v>
      </c>
      <c r="B778" s="108" t="n">
        <v>45702</v>
      </c>
      <c r="C778" s="104" t="n">
        <v>40099281.11</v>
      </c>
      <c r="D778" s="98">
        <f>C778/E778</f>
        <v/>
      </c>
      <c r="E778" s="79" t="n">
        <v>86.62</v>
      </c>
      <c r="F778" s="98">
        <f>D778/100000</f>
        <v/>
      </c>
      <c r="G778" s="97">
        <f>(F778/DataSheet!$C$12*100)</f>
        <v/>
      </c>
      <c r="H778" s="98">
        <f>K778/I778</f>
        <v/>
      </c>
      <c r="I778" s="98">
        <f>(J778/L778)*100</f>
        <v/>
      </c>
      <c r="J778" s="97">
        <f>L778/O778</f>
        <v/>
      </c>
      <c r="K778" s="79" t="n">
        <v>6.705</v>
      </c>
      <c r="L778" s="79" t="n">
        <v>22929.25</v>
      </c>
      <c r="M778" s="79" t="n">
        <v>3.41</v>
      </c>
      <c r="N778" s="98">
        <f>K778-I778</f>
        <v/>
      </c>
      <c r="O778" s="79" t="n">
        <v>20.42</v>
      </c>
      <c r="P778" s="79" t="n">
        <v>4.477</v>
      </c>
      <c r="Q778" s="97">
        <f>K778-P778</f>
        <v/>
      </c>
      <c r="R778" s="79" t="n">
        <v>106.575</v>
      </c>
      <c r="S778" s="98">
        <f>(O778*T778)</f>
        <v/>
      </c>
      <c r="T778" s="79" t="n">
        <v>6.45</v>
      </c>
      <c r="U778" s="79" t="n">
        <v>18346.8</v>
      </c>
      <c r="V778" s="79" t="n">
        <v>34.41</v>
      </c>
      <c r="W778" s="98">
        <f>U778/V778</f>
        <v/>
      </c>
      <c r="X778" s="98">
        <f>(W778/U778)*100</f>
        <v/>
      </c>
      <c r="Y778" s="79" t="n">
        <v>14501.65</v>
      </c>
      <c r="Z778" s="80" t="n">
        <v>27.52</v>
      </c>
      <c r="AA778" s="98">
        <f>Y778/Z778</f>
        <v/>
      </c>
      <c r="AB778" s="98">
        <f>(AA778/Y778)*100</f>
        <v/>
      </c>
    </row>
    <row r="779">
      <c r="A779" s="92" t="n">
        <v>778</v>
      </c>
      <c r="B779" s="108" t="n">
        <v>45705</v>
      </c>
      <c r="C779" s="104" t="n">
        <v>40084756.53</v>
      </c>
      <c r="D779" s="98">
        <f>C779/E779</f>
        <v/>
      </c>
      <c r="E779" s="79" t="n">
        <v>86.809</v>
      </c>
      <c r="F779" s="98">
        <f>D779/100000</f>
        <v/>
      </c>
      <c r="G779" s="97">
        <f>(F779/DataSheet!$C$12*100)</f>
        <v/>
      </c>
      <c r="H779" s="98">
        <f>K779/I779</f>
        <v/>
      </c>
      <c r="I779" s="98">
        <f>(J779/L779)*100</f>
        <v/>
      </c>
      <c r="J779" s="97">
        <f>L779/O779</f>
        <v/>
      </c>
      <c r="K779" s="79" t="n">
        <v>6.692</v>
      </c>
      <c r="L779" s="79" t="n">
        <v>22959.5</v>
      </c>
      <c r="M779" s="79" t="n">
        <v>3.42</v>
      </c>
      <c r="N779" s="98">
        <f>K779-I779</f>
        <v/>
      </c>
      <c r="O779" s="79" t="n">
        <v>20.44</v>
      </c>
      <c r="P779" s="79" t="n">
        <v>4.477</v>
      </c>
      <c r="Q779" s="97">
        <f>K779-P779</f>
        <v/>
      </c>
      <c r="R779" s="79" t="n">
        <v>106.575</v>
      </c>
      <c r="S779" s="98">
        <f>(O779*T779)</f>
        <v/>
      </c>
      <c r="T779" s="79" t="n">
        <v>6.48</v>
      </c>
      <c r="U779" s="79" t="n">
        <v>18408.45</v>
      </c>
      <c r="V779" s="79" t="n">
        <v>34.52</v>
      </c>
      <c r="W779" s="98">
        <f>U779/V779</f>
        <v/>
      </c>
      <c r="X779" s="98">
        <f>(W779/U779)*100</f>
        <v/>
      </c>
      <c r="Y779" s="79" t="n">
        <v>14468.25</v>
      </c>
      <c r="Z779" s="80" t="n">
        <v>27.52</v>
      </c>
      <c r="AA779" s="98">
        <f>Y779/Z779</f>
        <v/>
      </c>
      <c r="AB779" s="98">
        <f>(AA779/Y779)*100</f>
        <v/>
      </c>
    </row>
    <row r="780">
      <c r="A780" s="92" t="n">
        <v>779</v>
      </c>
      <c r="B780" s="108" t="n">
        <v>45706</v>
      </c>
      <c r="C780" s="104" t="n">
        <v>39900574.92</v>
      </c>
      <c r="D780" s="98">
        <f>C780/E780</f>
        <v/>
      </c>
      <c r="E780" s="79" t="n">
        <v>86.867</v>
      </c>
      <c r="F780" s="98">
        <f>D780/100000</f>
        <v/>
      </c>
      <c r="G780" s="97">
        <f>(F780/DataSheet!$C$12*100)</f>
        <v/>
      </c>
      <c r="H780" s="98">
        <f>K780/I780</f>
        <v/>
      </c>
      <c r="I780" s="98">
        <f>(J780/L780)*100</f>
        <v/>
      </c>
      <c r="J780" s="97">
        <f>L780/O780</f>
        <v/>
      </c>
      <c r="K780" s="79" t="n">
        <v>6.682</v>
      </c>
      <c r="L780" s="79" t="n">
        <v>22945.3</v>
      </c>
      <c r="M780" s="79" t="n">
        <v>3.42</v>
      </c>
      <c r="N780" s="98">
        <f>K780-I780</f>
        <v/>
      </c>
      <c r="O780" s="79" t="n">
        <v>20.4</v>
      </c>
      <c r="P780" s="79" t="n">
        <v>4.551</v>
      </c>
      <c r="Q780" s="97">
        <f>K780-P780</f>
        <v/>
      </c>
      <c r="R780" s="79" t="n">
        <v>106.955</v>
      </c>
      <c r="S780" s="98">
        <f>(O780*T780)</f>
        <v/>
      </c>
      <c r="T780" s="79" t="n">
        <v>6.48</v>
      </c>
      <c r="U780" s="79" t="n">
        <v>18375.85</v>
      </c>
      <c r="V780" s="79" t="n">
        <v>34.48</v>
      </c>
      <c r="W780" s="98">
        <f>U780/V780</f>
        <v/>
      </c>
      <c r="X780" s="98">
        <f>(W780/U780)*100</f>
        <v/>
      </c>
      <c r="Y780" s="79" t="n">
        <v>14267.95</v>
      </c>
      <c r="Z780" s="80" t="n">
        <v>26.86</v>
      </c>
      <c r="AA780" s="98">
        <f>Y780/Z780</f>
        <v/>
      </c>
      <c r="AB780" s="98">
        <f>(AA780/Y780)*100</f>
        <v/>
      </c>
    </row>
    <row r="781">
      <c r="A781" s="92" t="n">
        <v>780</v>
      </c>
      <c r="B781" s="108" t="n">
        <v>45707</v>
      </c>
      <c r="C781" s="104" t="n">
        <v>40251018.95</v>
      </c>
      <c r="D781" s="98">
        <f>C781/E781</f>
        <v/>
      </c>
      <c r="E781" s="79" t="n">
        <v>86.89</v>
      </c>
      <c r="F781" s="98">
        <f>D781/100000</f>
        <v/>
      </c>
      <c r="G781" s="97">
        <f>(F781/DataSheet!$C$12*100)</f>
        <v/>
      </c>
      <c r="H781" s="98">
        <f>K781/I781</f>
        <v/>
      </c>
      <c r="I781" s="98">
        <f>(J781/L781)*100</f>
        <v/>
      </c>
      <c r="J781" s="97">
        <f>L781/O781</f>
        <v/>
      </c>
      <c r="K781" s="79" t="n">
        <v>6.682</v>
      </c>
      <c r="L781" s="79" t="n">
        <v>22932.9</v>
      </c>
      <c r="M781" s="79" t="n">
        <v>3.41</v>
      </c>
      <c r="N781" s="98">
        <f>K781-I781</f>
        <v/>
      </c>
      <c r="O781" s="79" t="n">
        <v>20.38</v>
      </c>
      <c r="P781" s="79" t="n">
        <v>4.534</v>
      </c>
      <c r="Q781" s="97">
        <f>K781-P781</f>
        <v/>
      </c>
      <c r="R781" s="79" t="n">
        <v>107.063</v>
      </c>
      <c r="S781" s="98">
        <f>(O781*T781)</f>
        <v/>
      </c>
      <c r="T781" s="79" t="n">
        <v>6.48</v>
      </c>
      <c r="U781" s="79" t="n">
        <v>18644.9</v>
      </c>
      <c r="V781" s="79" t="n">
        <v>35.12</v>
      </c>
      <c r="W781" s="98">
        <f>U781/V781</f>
        <v/>
      </c>
      <c r="X781" s="98">
        <f>(W781/U781)*100</f>
        <v/>
      </c>
      <c r="Y781" s="79" t="n">
        <v>14588.65</v>
      </c>
      <c r="Z781" s="80" t="n">
        <v>27.46</v>
      </c>
      <c r="AA781" s="98">
        <f>Y781/Z781</f>
        <v/>
      </c>
      <c r="AB781" s="98">
        <f>(AA781/Y781)*100</f>
        <v/>
      </c>
    </row>
    <row r="782">
      <c r="A782" s="92" t="n">
        <v>781</v>
      </c>
      <c r="B782" s="108" t="n">
        <v>45708</v>
      </c>
      <c r="C782" s="104" t="n">
        <v>40556203.22</v>
      </c>
      <c r="D782" s="98">
        <f>C782/E782</f>
        <v/>
      </c>
      <c r="E782" s="79" t="n">
        <v>86.56100000000001</v>
      </c>
      <c r="F782" s="98">
        <f>D782/100000</f>
        <v/>
      </c>
      <c r="G782" s="97">
        <f>(F782/DataSheet!$C$12*100)</f>
        <v/>
      </c>
      <c r="H782" s="98">
        <f>K782/I782</f>
        <v/>
      </c>
      <c r="I782" s="98">
        <f>(J782/L782)*100</f>
        <v/>
      </c>
      <c r="J782" s="97">
        <f>L782/O782</f>
        <v/>
      </c>
      <c r="K782" s="79" t="n">
        <v>6.703</v>
      </c>
      <c r="L782" s="79" t="n">
        <v>22913.15</v>
      </c>
      <c r="M782" s="79" t="n">
        <v>3.41</v>
      </c>
      <c r="N782" s="98">
        <f>K782-I782</f>
        <v/>
      </c>
      <c r="O782" s="79" t="n">
        <v>20.37</v>
      </c>
      <c r="P782" s="79" t="n">
        <v>4.506</v>
      </c>
      <c r="Q782" s="97">
        <f>K782-P782</f>
        <v/>
      </c>
      <c r="R782" s="79" t="n">
        <v>106.269</v>
      </c>
      <c r="S782" s="98">
        <f>(O782*T782)</f>
        <v/>
      </c>
      <c r="T782" s="79" t="n">
        <v>6.44</v>
      </c>
      <c r="U782" s="79" t="n">
        <v>18888.8</v>
      </c>
      <c r="V782" s="79" t="n">
        <v>35.58</v>
      </c>
      <c r="W782" s="98">
        <f>U782/V782</f>
        <v/>
      </c>
      <c r="X782" s="98">
        <f>(W782/U782)*100</f>
        <v/>
      </c>
      <c r="Y782" s="79" t="n">
        <v>14767.3</v>
      </c>
      <c r="Z782" s="80" t="n">
        <v>27.8</v>
      </c>
      <c r="AA782" s="98">
        <f>Y782/Z782</f>
        <v/>
      </c>
      <c r="AB782" s="98">
        <f>(AA782/Y782)*100</f>
        <v/>
      </c>
    </row>
    <row r="783">
      <c r="A783" s="92" t="n">
        <v>782</v>
      </c>
      <c r="B783" s="108" t="n">
        <v>45709</v>
      </c>
      <c r="C783" s="104" t="n">
        <v>40295043.35</v>
      </c>
      <c r="D783" s="98">
        <f>C783/E783</f>
        <v/>
      </c>
      <c r="E783" s="79" t="n">
        <v>86.572</v>
      </c>
      <c r="F783" s="98">
        <f>D783/100000</f>
        <v/>
      </c>
      <c r="G783" s="97">
        <f>(F783/DataSheet!$C$12*100)</f>
        <v/>
      </c>
      <c r="H783" s="98">
        <f>K783/I783</f>
        <v/>
      </c>
      <c r="I783" s="98">
        <f>(J783/L783)*100</f>
        <v/>
      </c>
      <c r="J783" s="97">
        <f>L783/O783</f>
        <v/>
      </c>
      <c r="K783" s="79" t="n">
        <v>6.708</v>
      </c>
      <c r="L783" s="79" t="n">
        <v>22795.9</v>
      </c>
      <c r="M783" s="79" t="n">
        <v>3.39</v>
      </c>
      <c r="N783" s="98">
        <f>K783-I783</f>
        <v/>
      </c>
      <c r="O783" s="79" t="n">
        <v>20.26</v>
      </c>
      <c r="P783" s="79" t="n">
        <v>4.43</v>
      </c>
      <c r="Q783" s="97">
        <f>K783-P783</f>
        <v/>
      </c>
      <c r="R783" s="79" t="n">
        <v>106.519</v>
      </c>
      <c r="S783" s="98">
        <f>(O783*T783)</f>
        <v/>
      </c>
      <c r="T783" s="79" t="n">
        <v>6.46</v>
      </c>
      <c r="U783" s="79" t="n">
        <v>18681.35</v>
      </c>
      <c r="V783" s="79" t="n">
        <v>35.19</v>
      </c>
      <c r="W783" s="98">
        <f>U783/V783</f>
        <v/>
      </c>
      <c r="X783" s="98">
        <f>(W783/U783)*100</f>
        <v/>
      </c>
      <c r="Y783" s="79" t="n">
        <v>14683.4</v>
      </c>
      <c r="Z783" s="80" t="n">
        <v>27.64</v>
      </c>
      <c r="AA783" s="98">
        <f>Y783/Z783</f>
        <v/>
      </c>
      <c r="AB783" s="98">
        <f>(AA783/Y783)*100</f>
        <v/>
      </c>
    </row>
    <row r="784">
      <c r="A784" s="92" t="n">
        <v>783</v>
      </c>
      <c r="B784" s="108" t="n">
        <v>45712</v>
      </c>
      <c r="C784" s="104" t="n">
        <v>39853380.65</v>
      </c>
      <c r="D784" s="98">
        <f>C784/E784</f>
        <v/>
      </c>
      <c r="E784" s="79" t="n">
        <v>86.66</v>
      </c>
      <c r="F784" s="98">
        <f>D784/100000</f>
        <v/>
      </c>
      <c r="G784" s="97">
        <f>(F784/DataSheet!$C$12*100)</f>
        <v/>
      </c>
      <c r="H784" s="98">
        <f>K784/I784</f>
        <v/>
      </c>
      <c r="I784" s="98">
        <f>(J784/L784)*100</f>
        <v/>
      </c>
      <c r="J784" s="97">
        <f>L784/O784</f>
        <v/>
      </c>
      <c r="K784" s="79" t="n">
        <v>6.7</v>
      </c>
      <c r="L784" s="79" t="n">
        <v>22553.35</v>
      </c>
      <c r="M784" s="79" t="n">
        <v>3.36</v>
      </c>
      <c r="N784" s="98">
        <f>K784-I784</f>
        <v/>
      </c>
      <c r="O784" s="79" t="n">
        <v>20.05</v>
      </c>
      <c r="P784" s="79" t="n">
        <v>4.399</v>
      </c>
      <c r="Q784" s="97">
        <f>K784-P784</f>
        <v/>
      </c>
      <c r="R784" s="79" t="n">
        <v>106.509</v>
      </c>
      <c r="S784" s="98">
        <f>(O784*T784)</f>
        <v/>
      </c>
      <c r="T784" s="79" t="n">
        <v>6.42</v>
      </c>
      <c r="U784" s="79" t="n">
        <v>18503.9</v>
      </c>
      <c r="V784" s="79" t="n">
        <v>34.85</v>
      </c>
      <c r="W784" s="98">
        <f>U784/V784</f>
        <v/>
      </c>
      <c r="X784" s="98">
        <f>(W784/U784)*100</f>
        <v/>
      </c>
      <c r="Y784" s="79" t="n">
        <v>14506.45</v>
      </c>
      <c r="Z784" s="80" t="n">
        <v>27.31</v>
      </c>
      <c r="AA784" s="98">
        <f>Y784/Z784</f>
        <v/>
      </c>
      <c r="AB784" s="98">
        <f>(AA784/Y784)*100</f>
        <v/>
      </c>
    </row>
    <row r="785">
      <c r="A785" s="92" t="n">
        <v>784</v>
      </c>
      <c r="B785" s="108" t="n">
        <v>45713</v>
      </c>
      <c r="C785" s="104" t="n">
        <v>39721225.36</v>
      </c>
      <c r="D785" s="98">
        <f>C785/E785</f>
        <v/>
      </c>
      <c r="E785" s="79" t="n">
        <v>87.13</v>
      </c>
      <c r="F785" s="98">
        <f>D785/100000</f>
        <v/>
      </c>
      <c r="G785" s="97">
        <f>(F785/DataSheet!$C$12*100)</f>
        <v/>
      </c>
      <c r="H785" s="98">
        <f>K785/I785</f>
        <v/>
      </c>
      <c r="I785" s="98">
        <f>(J785/L785)*100</f>
        <v/>
      </c>
      <c r="J785" s="97">
        <f>L785/O785</f>
        <v/>
      </c>
      <c r="K785" s="79" t="n">
        <v>6.706</v>
      </c>
      <c r="L785" s="79" t="n">
        <v>22547.55</v>
      </c>
      <c r="M785" s="79" t="n">
        <v>3.36</v>
      </c>
      <c r="N785" s="98">
        <f>K785-I785</f>
        <v/>
      </c>
      <c r="O785" s="79" t="n">
        <v>20.04</v>
      </c>
      <c r="P785" s="79" t="n">
        <v>4.297</v>
      </c>
      <c r="Q785" s="97">
        <f>K785-P785</f>
        <v/>
      </c>
      <c r="R785" s="79" t="n">
        <v>106.228</v>
      </c>
      <c r="S785" s="98">
        <f>(O785*T785)</f>
        <v/>
      </c>
      <c r="T785" s="79" t="n">
        <v>6.43</v>
      </c>
      <c r="U785" s="79" t="n">
        <v>18408.75</v>
      </c>
      <c r="V785" s="79" t="n">
        <v>34.67</v>
      </c>
      <c r="W785" s="98">
        <f>U785/V785</f>
        <v/>
      </c>
      <c r="X785" s="98">
        <f>(W785/U785)*100</f>
        <v/>
      </c>
      <c r="Y785" s="79" t="n">
        <v>14441.7</v>
      </c>
      <c r="Z785" s="80" t="n">
        <v>27.18</v>
      </c>
      <c r="AA785" s="98">
        <f>Y785/Z785</f>
        <v/>
      </c>
      <c r="AB785" s="98">
        <f>(AA785/Y785)*100</f>
        <v/>
      </c>
    </row>
    <row r="786">
      <c r="A786" s="92" t="n">
        <v>785</v>
      </c>
      <c r="B786" s="108" t="n">
        <v>45715</v>
      </c>
      <c r="C786" s="104" t="n">
        <v>39379355.46</v>
      </c>
      <c r="D786" s="98">
        <f>C786/E786</f>
        <v/>
      </c>
      <c r="E786" s="79" t="n">
        <v>87.33</v>
      </c>
      <c r="F786" s="98">
        <f>D786/100000</f>
        <v/>
      </c>
      <c r="G786" s="97">
        <f>(F786/DataSheet!$C$12*100)</f>
        <v/>
      </c>
      <c r="H786" s="98">
        <f>K786/I786</f>
        <v/>
      </c>
      <c r="I786" s="98">
        <f>(J786/L786)*100</f>
        <v/>
      </c>
      <c r="J786" s="97">
        <f>L786/O786</f>
        <v/>
      </c>
      <c r="K786" s="79" t="n">
        <v>6.71</v>
      </c>
      <c r="L786" s="79" t="n">
        <v>22545.05</v>
      </c>
      <c r="M786" s="79" t="n">
        <v>3.36</v>
      </c>
      <c r="N786" s="98">
        <f>K786-I786</f>
        <v/>
      </c>
      <c r="O786" s="79" t="n">
        <v>20.04</v>
      </c>
      <c r="P786" s="79" t="n">
        <v>4.265</v>
      </c>
      <c r="Q786" s="97">
        <f>K786-P786</f>
        <v/>
      </c>
      <c r="R786" s="79" t="n">
        <v>107.176</v>
      </c>
      <c r="S786" s="98">
        <f>(O786*T786)</f>
        <v/>
      </c>
      <c r="T786" s="79" t="n">
        <v>6.42</v>
      </c>
      <c r="U786" s="79" t="n">
        <v>18176.85</v>
      </c>
      <c r="V786" s="79" t="n">
        <v>34.24</v>
      </c>
      <c r="W786" s="98">
        <f>U786/V786</f>
        <v/>
      </c>
      <c r="X786" s="98">
        <f>(W786/U786)*100</f>
        <v/>
      </c>
      <c r="Y786" s="79" t="n">
        <v>14200.2</v>
      </c>
      <c r="Z786" s="80" t="n">
        <v>26.73</v>
      </c>
      <c r="AA786" s="98">
        <f>Y786/Z786</f>
        <v/>
      </c>
      <c r="AB786" s="98">
        <f>(AA786/Y786)*100</f>
        <v/>
      </c>
    </row>
    <row r="787">
      <c r="A787" s="92" t="n">
        <v>786</v>
      </c>
      <c r="B787" s="108" t="n">
        <v>45716</v>
      </c>
      <c r="C787" s="104" t="n">
        <v>38460048.27</v>
      </c>
      <c r="D787" s="98">
        <f>C787/E787</f>
        <v/>
      </c>
      <c r="E787" s="79" t="n">
        <v>87.46599999999999</v>
      </c>
      <c r="F787" s="98">
        <f>D787/100000</f>
        <v/>
      </c>
      <c r="G787" s="97">
        <f>(F787/DataSheet!$C$12*100)</f>
        <v/>
      </c>
      <c r="H787" s="98">
        <f>K787/I787</f>
        <v/>
      </c>
      <c r="I787" s="98">
        <f>(J787/L787)*100</f>
        <v/>
      </c>
      <c r="J787" s="97">
        <f>L787/O787</f>
        <v/>
      </c>
      <c r="K787" s="79" t="n">
        <v>6.72</v>
      </c>
      <c r="L787" s="79" t="n">
        <v>22124.7</v>
      </c>
      <c r="M787" s="79" t="n">
        <v>3.29</v>
      </c>
      <c r="N787" s="98">
        <f>K787-I787</f>
        <v/>
      </c>
      <c r="O787" s="79" t="n">
        <v>19.67</v>
      </c>
      <c r="P787" s="79" t="n">
        <v>4.202</v>
      </c>
      <c r="Q787" s="97">
        <f>K787-P787</f>
        <v/>
      </c>
      <c r="R787" s="79" t="n">
        <v>107.558</v>
      </c>
      <c r="S787" s="98">
        <f>(O787*T787)</f>
        <v/>
      </c>
      <c r="T787" s="79" t="n">
        <v>6.43</v>
      </c>
      <c r="U787" s="79" t="n">
        <v>17750.55</v>
      </c>
      <c r="V787" s="79" t="n">
        <v>33.44</v>
      </c>
      <c r="W787" s="98">
        <f>U787/V787</f>
        <v/>
      </c>
      <c r="X787" s="98">
        <f>(W787/U787)*100</f>
        <v/>
      </c>
      <c r="Y787" s="79" t="n">
        <v>13844.55</v>
      </c>
      <c r="Z787" s="80" t="n">
        <v>26.09</v>
      </c>
      <c r="AA787" s="98">
        <f>Y787/Z787</f>
        <v/>
      </c>
      <c r="AB787" s="98">
        <f>(AA787/Y787)*100</f>
        <v/>
      </c>
    </row>
    <row r="788">
      <c r="A788" s="92" t="n">
        <v>787</v>
      </c>
      <c r="B788" s="109" t="n">
        <v>45719</v>
      </c>
      <c r="C788" s="110" t="n">
        <v>38444417.77</v>
      </c>
      <c r="D788" s="96">
        <f>C788/E788</f>
        <v/>
      </c>
      <c r="E788" s="111" t="n">
        <v>87.26000000000001</v>
      </c>
      <c r="F788" s="96">
        <f>D788/100000</f>
        <v/>
      </c>
      <c r="G788" s="97">
        <f>(F788/DataSheet!$C$12*100)</f>
        <v/>
      </c>
      <c r="H788" s="96">
        <f>K788/I788</f>
        <v/>
      </c>
      <c r="I788" s="96">
        <f>(J788/L788)*100</f>
        <v/>
      </c>
      <c r="J788" s="97">
        <f>L788/O788</f>
        <v/>
      </c>
      <c r="K788" s="111" t="n">
        <v>6.73</v>
      </c>
      <c r="L788" s="111" t="n">
        <v>22119.3</v>
      </c>
      <c r="M788" s="111" t="n">
        <v>3.29</v>
      </c>
      <c r="N788" s="96">
        <f>K788-I788</f>
        <v/>
      </c>
      <c r="O788" s="111" t="n">
        <v>19.66</v>
      </c>
      <c r="P788" s="111" t="n">
        <v>4.158</v>
      </c>
      <c r="Q788" s="95">
        <f>K788-P788</f>
        <v/>
      </c>
      <c r="R788" s="111" t="n">
        <v>106.669</v>
      </c>
      <c r="S788" s="98">
        <f>(O788*T788)</f>
        <v/>
      </c>
      <c r="T788" s="79" t="n">
        <v>6.44</v>
      </c>
      <c r="U788" s="79" t="n">
        <v>17778.55</v>
      </c>
      <c r="V788" s="79" t="n">
        <v>33.49</v>
      </c>
      <c r="W788" s="98">
        <f>U788/V788</f>
        <v/>
      </c>
      <c r="X788" s="98">
        <f>(W788/U788)*100</f>
        <v/>
      </c>
      <c r="Y788" s="79" t="n">
        <v>13755.9</v>
      </c>
      <c r="Z788" s="80" t="n">
        <v>25.92</v>
      </c>
      <c r="AA788" s="98">
        <f>Y788/Z788</f>
        <v/>
      </c>
      <c r="AB788" s="98">
        <f>(AA788/Y788)*100</f>
        <v/>
      </c>
    </row>
    <row r="789">
      <c r="A789" s="92" t="n">
        <v>788</v>
      </c>
      <c r="B789" s="108" t="n">
        <v>45720</v>
      </c>
      <c r="C789" s="104" t="n">
        <v>38559355</v>
      </c>
      <c r="D789" s="98">
        <f>C789/E789</f>
        <v/>
      </c>
      <c r="E789" s="79" t="n">
        <v>87.255</v>
      </c>
      <c r="F789" s="98">
        <f>D789/100000</f>
        <v/>
      </c>
      <c r="G789" s="97">
        <f>(F789/DataSheet!$C$12*100)</f>
        <v/>
      </c>
      <c r="H789" s="98">
        <f>K789/I789</f>
        <v/>
      </c>
      <c r="I789" s="98">
        <f>(J789/L789)*100</f>
        <v/>
      </c>
      <c r="J789" s="97">
        <f>L789/O789</f>
        <v/>
      </c>
      <c r="K789" s="79" t="n">
        <v>6.74</v>
      </c>
      <c r="L789" s="79" t="n">
        <v>22082.65</v>
      </c>
      <c r="M789" s="79" t="n">
        <v>3.29</v>
      </c>
      <c r="N789" s="98">
        <f>K789-I789</f>
        <v/>
      </c>
      <c r="O789" s="79" t="n">
        <v>19.63</v>
      </c>
      <c r="P789" s="79" t="n">
        <v>4.241</v>
      </c>
      <c r="Q789" s="97">
        <f>K789-P789</f>
        <v/>
      </c>
      <c r="R789" s="79" t="n">
        <v>105.687</v>
      </c>
      <c r="S789" s="98">
        <f>(O789*T789)</f>
        <v/>
      </c>
      <c r="T789" s="79" t="n">
        <v>6.44</v>
      </c>
      <c r="U789" s="79" t="n">
        <v>17807.3</v>
      </c>
      <c r="V789" s="79" t="n">
        <v>33.55</v>
      </c>
      <c r="W789" s="98">
        <f>U789/V789</f>
        <v/>
      </c>
      <c r="X789" s="98">
        <f>(W789/U789)*100</f>
        <v/>
      </c>
      <c r="Y789" s="79" t="n">
        <v>13914.1</v>
      </c>
      <c r="Z789" s="80" t="n">
        <v>26.23</v>
      </c>
      <c r="AA789" s="98">
        <f>Y789/Z789</f>
        <v/>
      </c>
      <c r="AB789" s="98">
        <f>(AA789/Y789)*100</f>
        <v/>
      </c>
    </row>
    <row r="790">
      <c r="A790" s="92" t="n">
        <v>789</v>
      </c>
      <c r="B790" s="108" t="n">
        <v>45721</v>
      </c>
      <c r="C790" s="104" t="n">
        <v>39362308.05</v>
      </c>
      <c r="D790" s="98">
        <f>C790/E790</f>
        <v/>
      </c>
      <c r="E790" s="79" t="n">
        <v>86.88</v>
      </c>
      <c r="F790" s="98">
        <f>D790/100000</f>
        <v/>
      </c>
      <c r="G790" s="97">
        <f>(F790/DataSheet!$C$12*100)</f>
        <v/>
      </c>
      <c r="H790" s="98">
        <f>K790/I790</f>
        <v/>
      </c>
      <c r="I790" s="98">
        <f>(J790/L790)*100</f>
        <v/>
      </c>
      <c r="J790" s="97">
        <f>L790/O790</f>
        <v/>
      </c>
      <c r="K790" s="79" t="n">
        <v>6.71</v>
      </c>
      <c r="L790" s="79" t="n">
        <v>22337.3</v>
      </c>
      <c r="M790" s="79" t="n">
        <v>3.33</v>
      </c>
      <c r="N790" s="98">
        <f>K790-I790</f>
        <v/>
      </c>
      <c r="O790" s="79" t="n">
        <v>19.86</v>
      </c>
      <c r="P790" s="79" t="n">
        <v>4.279</v>
      </c>
      <c r="Q790" s="97">
        <f>K790-P790</f>
        <v/>
      </c>
      <c r="R790" s="79" t="n">
        <v>104.252</v>
      </c>
      <c r="S790" s="98">
        <f>(O790*T790)</f>
        <v/>
      </c>
      <c r="T790" s="79" t="n">
        <v>6.45</v>
      </c>
      <c r="U790" s="79" t="n">
        <v>18240.15</v>
      </c>
      <c r="V790" s="79" t="n">
        <v>34.36</v>
      </c>
      <c r="W790" s="98">
        <f>U790/V790</f>
        <v/>
      </c>
      <c r="X790" s="98">
        <f>(W790/U790)*100</f>
        <v/>
      </c>
      <c r="Y790" s="79" t="n">
        <v>14291.05</v>
      </c>
      <c r="Z790" s="80" t="n">
        <v>26.94</v>
      </c>
      <c r="AA790" s="98">
        <f>Y790/Z790</f>
        <v/>
      </c>
      <c r="AB790" s="98">
        <f>(AA790/Y790)*100</f>
        <v/>
      </c>
    </row>
    <row r="791">
      <c r="A791" s="92" t="n">
        <v>790</v>
      </c>
      <c r="B791" s="108" t="n">
        <v>45722</v>
      </c>
      <c r="C791" s="104" t="n">
        <v>39827293.98</v>
      </c>
      <c r="D791" s="98">
        <f>C791/E791</f>
        <v/>
      </c>
      <c r="E791" s="79" t="n">
        <v>87.011</v>
      </c>
      <c r="F791" s="98">
        <f>D791/100000</f>
        <v/>
      </c>
      <c r="G791" s="97">
        <f>(F791/DataSheet!$C$12*100)</f>
        <v/>
      </c>
      <c r="H791" s="98">
        <f>K791/I791</f>
        <v/>
      </c>
      <c r="I791" s="98">
        <f>(J791/L791)*100</f>
        <v/>
      </c>
      <c r="J791" s="97">
        <f>L791/O791</f>
        <v/>
      </c>
      <c r="K791" s="79" t="n">
        <v>6.68</v>
      </c>
      <c r="L791" s="79" t="n">
        <v>22544.7</v>
      </c>
      <c r="M791" s="79" t="n">
        <v>3.36</v>
      </c>
      <c r="N791" s="98">
        <f>K791-I791</f>
        <v/>
      </c>
      <c r="O791" s="79" t="n">
        <v>20.04</v>
      </c>
      <c r="P791" s="79" t="n">
        <v>4.279</v>
      </c>
      <c r="Q791" s="97">
        <f>K791-P791</f>
        <v/>
      </c>
      <c r="R791" s="79" t="n">
        <v>104.028</v>
      </c>
      <c r="S791" s="98">
        <f>(O791*T791)</f>
        <v/>
      </c>
      <c r="T791" s="79" t="n">
        <v>6.47</v>
      </c>
      <c r="U791" s="79" t="n">
        <v>18341</v>
      </c>
      <c r="V791" s="79" t="n">
        <v>34.55</v>
      </c>
      <c r="W791" s="98">
        <f>U791/V791</f>
        <v/>
      </c>
      <c r="X791" s="98">
        <f>(W791/U791)*100</f>
        <v/>
      </c>
      <c r="Y791" s="79" t="n">
        <v>14503.3</v>
      </c>
      <c r="Z791" s="80" t="n">
        <v>27.34</v>
      </c>
      <c r="AA791" s="98">
        <f>Y791/Z791</f>
        <v/>
      </c>
      <c r="AB791" s="98">
        <f>(AA791/Y791)*100</f>
        <v/>
      </c>
    </row>
    <row r="792">
      <c r="A792" s="92" t="n">
        <v>791</v>
      </c>
      <c r="B792" s="108" t="n">
        <v>45723</v>
      </c>
      <c r="C792" s="104" t="n">
        <v>39899021</v>
      </c>
      <c r="D792" s="98">
        <f>C792/E792</f>
        <v/>
      </c>
      <c r="E792" s="79" t="n">
        <v>87.09999999999999</v>
      </c>
      <c r="F792" s="98">
        <f>D792/100000</f>
        <v/>
      </c>
      <c r="G792" s="97">
        <f>(F792/DataSheet!$C$12*100)</f>
        <v/>
      </c>
      <c r="H792" s="98">
        <f>K792/I792</f>
        <v/>
      </c>
      <c r="I792" s="98">
        <f>(J792/L792)*100</f>
        <v/>
      </c>
      <c r="J792" s="97">
        <f>L792/O792</f>
        <v/>
      </c>
      <c r="K792" s="79" t="n">
        <v>6.68</v>
      </c>
      <c r="L792" s="79" t="n">
        <v>22552.5</v>
      </c>
      <c r="M792" s="79" t="n">
        <v>3.36</v>
      </c>
      <c r="N792" s="98">
        <f>K792-I792</f>
        <v/>
      </c>
      <c r="O792" s="79" t="n">
        <v>20.05</v>
      </c>
      <c r="P792" s="79" t="n">
        <v>4.304</v>
      </c>
      <c r="Q792" s="97">
        <f>K792-P792</f>
        <v/>
      </c>
      <c r="R792" s="79" t="n">
        <v>103.812</v>
      </c>
      <c r="S792" s="98">
        <f>(O792*T792)</f>
        <v/>
      </c>
      <c r="T792" s="79" t="n">
        <v>6.47</v>
      </c>
      <c r="U792" s="79" t="n">
        <v>18290.6</v>
      </c>
      <c r="V792" s="79" t="n">
        <v>34.46</v>
      </c>
      <c r="W792" s="98">
        <f>U792/V792</f>
        <v/>
      </c>
      <c r="X792" s="98">
        <f>(W792/U792)*100</f>
        <v/>
      </c>
      <c r="Y792" s="79" t="n">
        <v>14602.95</v>
      </c>
      <c r="Z792" s="80" t="n">
        <v>27.53</v>
      </c>
      <c r="AA792" s="98">
        <f>Y792/Z792</f>
        <v/>
      </c>
      <c r="AB792" s="98">
        <f>(AA792/Y792)*100</f>
        <v/>
      </c>
    </row>
    <row r="793">
      <c r="A793" s="92" t="n">
        <v>792</v>
      </c>
      <c r="B793" s="108" t="n">
        <v>45726</v>
      </c>
      <c r="C793" s="104" t="n">
        <v>39441215.07</v>
      </c>
      <c r="D793" s="98">
        <f>C793/E793</f>
        <v/>
      </c>
      <c r="E793" s="79" t="n">
        <v>87.29000000000001</v>
      </c>
      <c r="F793" s="98">
        <f>D793/100000</f>
        <v/>
      </c>
      <c r="G793" s="97">
        <f>(F793/DataSheet!$C$12*100)</f>
        <v/>
      </c>
      <c r="H793" s="98">
        <f>K793/I793</f>
        <v/>
      </c>
      <c r="I793" s="98">
        <f>(J793/L793)*100</f>
        <v/>
      </c>
      <c r="J793" s="97">
        <f>L793/O793</f>
        <v/>
      </c>
      <c r="K793" s="79" t="n">
        <v>6.7</v>
      </c>
      <c r="L793" s="79" t="n">
        <v>22460.3</v>
      </c>
      <c r="M793" s="79" t="n">
        <v>3.34</v>
      </c>
      <c r="N793" s="98">
        <f>K793-I793</f>
        <v/>
      </c>
      <c r="O793" s="79" t="n">
        <v>19.96</v>
      </c>
      <c r="P793" s="79" t="n">
        <v>4.218</v>
      </c>
      <c r="Q793" s="97">
        <f>K793-P793</f>
        <v/>
      </c>
      <c r="R793" s="79" t="n">
        <v>103.62</v>
      </c>
      <c r="S793" s="98">
        <f>(O793*T793)</f>
        <v/>
      </c>
      <c r="T793" s="79" t="n">
        <v>6.47</v>
      </c>
      <c r="U793" s="79" t="n">
        <v>18031.1</v>
      </c>
      <c r="V793" s="79" t="n">
        <v>33.97</v>
      </c>
      <c r="W793" s="98">
        <f>U793/V793</f>
        <v/>
      </c>
      <c r="X793" s="98">
        <f>(W793/U793)*100</f>
        <v/>
      </c>
      <c r="Y793" s="79" t="n">
        <v>14325.15</v>
      </c>
      <c r="Z793" s="80" t="n">
        <v>27</v>
      </c>
      <c r="AA793" s="98">
        <f>Y793/Z793</f>
        <v/>
      </c>
      <c r="AB793" s="98">
        <f>(AA793/Y793)*100</f>
        <v/>
      </c>
    </row>
    <row r="794">
      <c r="A794" s="92" t="n">
        <v>793</v>
      </c>
      <c r="B794" s="108" t="n">
        <v>45727</v>
      </c>
      <c r="C794" s="104" t="n">
        <v>39484060.52</v>
      </c>
      <c r="D794" s="98">
        <f>C794/E794</f>
        <v/>
      </c>
      <c r="E794" s="79" t="n">
        <v>87.176</v>
      </c>
      <c r="F794" s="98">
        <f>D794/100000</f>
        <v/>
      </c>
      <c r="G794" s="97">
        <f>(F794/DataSheet!$C$12*100)</f>
        <v/>
      </c>
      <c r="H794" s="98">
        <f>K794/I794</f>
        <v/>
      </c>
      <c r="I794" s="98">
        <f>(J794/L794)*100</f>
        <v/>
      </c>
      <c r="J794" s="97">
        <f>L794/O794</f>
        <v/>
      </c>
      <c r="K794" s="79" t="n">
        <v>6.69</v>
      </c>
      <c r="L794" s="79" t="n">
        <v>22497.9</v>
      </c>
      <c r="M794" s="79" t="n">
        <v>3.35</v>
      </c>
      <c r="N794" s="98">
        <f>K794-I794</f>
        <v/>
      </c>
      <c r="O794" s="79" t="n">
        <v>20</v>
      </c>
      <c r="P794" s="79" t="n">
        <v>4.281</v>
      </c>
      <c r="Q794" s="97">
        <f>K794-P794</f>
        <v/>
      </c>
      <c r="R794" s="79" t="n">
        <v>102.931</v>
      </c>
      <c r="S794" s="98">
        <f>(O794*T794)</f>
        <v/>
      </c>
      <c r="T794" s="79" t="n">
        <v>6.47</v>
      </c>
      <c r="U794" s="79" t="n">
        <v>18106.9</v>
      </c>
      <c r="V794" s="79" t="n">
        <v>34.11</v>
      </c>
      <c r="W794" s="98">
        <f>U794/V794</f>
        <v/>
      </c>
      <c r="X794" s="98">
        <f>(W794/U794)*100</f>
        <v/>
      </c>
      <c r="Y794" s="79" t="n">
        <v>14232</v>
      </c>
      <c r="Z794" s="80" t="n">
        <v>26.83</v>
      </c>
      <c r="AA794" s="98">
        <f>Y794/Z794</f>
        <v/>
      </c>
      <c r="AB794" s="98">
        <f>(AA794/Y794)*100</f>
        <v/>
      </c>
    </row>
    <row r="795">
      <c r="A795" s="92" t="n">
        <v>794</v>
      </c>
      <c r="B795" s="108" t="n">
        <v>45728</v>
      </c>
      <c r="C795" s="104" t="n">
        <v>39343551.41</v>
      </c>
      <c r="D795" s="98">
        <f>C795/E795</f>
        <v/>
      </c>
      <c r="E795" s="79" t="n">
        <v>87.15000000000001</v>
      </c>
      <c r="F795" s="98">
        <f>D795/100000</f>
        <v/>
      </c>
      <c r="G795" s="97">
        <f>(F795/DataSheet!$C$12*100)</f>
        <v/>
      </c>
      <c r="H795" s="98">
        <f>K795/I795</f>
        <v/>
      </c>
      <c r="I795" s="98">
        <f>(J795/L795)*100</f>
        <v/>
      </c>
      <c r="J795" s="97">
        <f>L795/O795</f>
        <v/>
      </c>
      <c r="K795" s="79" t="n">
        <v>6.68</v>
      </c>
      <c r="L795" s="79" t="n">
        <v>22470.5</v>
      </c>
      <c r="M795" s="79" t="n">
        <v>3.34</v>
      </c>
      <c r="N795" s="98">
        <f>K795-I795</f>
        <v/>
      </c>
      <c r="O795" s="79" t="n">
        <v>19.97</v>
      </c>
      <c r="P795" s="79" t="n">
        <v>4.315</v>
      </c>
      <c r="Q795" s="97">
        <f>K795-P795</f>
        <v/>
      </c>
      <c r="R795" s="79" t="n">
        <v>103.587</v>
      </c>
      <c r="S795" s="98">
        <f>(O795*T795)</f>
        <v/>
      </c>
      <c r="T795" s="79" t="n">
        <v>6.47</v>
      </c>
      <c r="U795" s="79" t="n">
        <v>18014.25</v>
      </c>
      <c r="V795" s="79" t="n">
        <v>33.93</v>
      </c>
      <c r="W795" s="98">
        <f>U795/V795</f>
        <v/>
      </c>
      <c r="X795" s="98">
        <f>(W795/U795)*100</f>
        <v/>
      </c>
      <c r="Y795" s="79" t="n">
        <v>14193.65</v>
      </c>
      <c r="Z795" s="80" t="n">
        <v>26.76</v>
      </c>
      <c r="AA795" s="98">
        <f>Y795/Z795</f>
        <v/>
      </c>
      <c r="AB795" s="98">
        <f>(AA795/Y795)*100</f>
        <v/>
      </c>
    </row>
    <row r="796">
      <c r="A796" s="92" t="n">
        <v>795</v>
      </c>
      <c r="B796" s="108" t="n">
        <v>45729</v>
      </c>
      <c r="C796" s="104" t="n">
        <v>39177434.82</v>
      </c>
      <c r="D796" s="98">
        <f>C796/E796</f>
        <v/>
      </c>
      <c r="E796" s="79" t="n">
        <v>86.89700000000001</v>
      </c>
      <c r="F796" s="98">
        <f>D796/100000</f>
        <v/>
      </c>
      <c r="G796" s="97">
        <f>(F796/DataSheet!$C$12*100)</f>
        <v/>
      </c>
      <c r="H796" s="98">
        <f>K796/I796</f>
        <v/>
      </c>
      <c r="I796" s="98">
        <f>(J796/L796)*100</f>
        <v/>
      </c>
      <c r="J796" s="97">
        <f>L796/O796</f>
        <v/>
      </c>
      <c r="K796" s="79" t="n">
        <v>6.69</v>
      </c>
      <c r="L796" s="79" t="n">
        <v>22397.2</v>
      </c>
      <c r="M796" s="79" t="n">
        <v>3.33</v>
      </c>
      <c r="N796" s="98">
        <f>K796-I796</f>
        <v/>
      </c>
      <c r="O796" s="79" t="n">
        <v>19.91</v>
      </c>
      <c r="P796" s="79" t="n">
        <v>4.269</v>
      </c>
      <c r="Q796" s="97">
        <f>K796-P796</f>
        <v/>
      </c>
      <c r="R796" s="79" t="n">
        <v>103.83</v>
      </c>
      <c r="S796" s="98">
        <f>(O796*T796)</f>
        <v/>
      </c>
      <c r="T796" s="79" t="n">
        <v>6.48</v>
      </c>
      <c r="U796" s="79" t="n">
        <v>17902</v>
      </c>
      <c r="V796" s="79" t="n">
        <v>33.72</v>
      </c>
      <c r="W796" s="98">
        <f>U796/V796</f>
        <v/>
      </c>
      <c r="X796" s="98">
        <f>(W796/U796)*100</f>
        <v/>
      </c>
      <c r="Y796" s="79" t="n">
        <v>14095.6</v>
      </c>
      <c r="Z796" s="80" t="n">
        <v>26.57</v>
      </c>
      <c r="AA796" s="98">
        <f>Y796/Z796</f>
        <v/>
      </c>
      <c r="AB796" s="98">
        <f>(AA796/Y796)*100</f>
        <v/>
      </c>
    </row>
    <row r="797">
      <c r="A797" s="92" t="n">
        <v>796</v>
      </c>
      <c r="B797" s="108" t="n">
        <v>45733</v>
      </c>
      <c r="C797" s="104" t="n">
        <v>39317232.22</v>
      </c>
      <c r="D797" s="98">
        <f>C797/E797</f>
        <v/>
      </c>
      <c r="E797" s="79" t="n">
        <v>86.69</v>
      </c>
      <c r="F797" s="98">
        <f>D797/100000</f>
        <v/>
      </c>
      <c r="G797" s="97">
        <f>(F797/DataSheet!$C$12*100)</f>
        <v/>
      </c>
      <c r="H797" s="98">
        <f>K797/I797</f>
        <v/>
      </c>
      <c r="I797" s="98">
        <f>(J797/L797)*100</f>
        <v/>
      </c>
      <c r="J797" s="97">
        <f>L797/O797</f>
        <v/>
      </c>
      <c r="K797" s="79" t="n">
        <v>6.69</v>
      </c>
      <c r="L797" s="79" t="n">
        <v>22508.75</v>
      </c>
      <c r="M797" s="79" t="n">
        <v>3.35</v>
      </c>
      <c r="N797" s="98">
        <f>K797-I797</f>
        <v/>
      </c>
      <c r="O797" s="79" t="n">
        <v>20.01</v>
      </c>
      <c r="P797" s="79" t="n">
        <v>4.298</v>
      </c>
      <c r="Q797" s="97">
        <f>K797-P797</f>
        <v/>
      </c>
      <c r="R797" s="79" t="n">
        <v>103.47</v>
      </c>
      <c r="S797" s="98">
        <f>(O797*T797)</f>
        <v/>
      </c>
      <c r="T797" s="79" t="n">
        <v>6.45</v>
      </c>
      <c r="U797" s="79" t="n">
        <v>18037.25</v>
      </c>
      <c r="V797" s="79" t="n">
        <v>33.98</v>
      </c>
      <c r="W797" s="98">
        <f>U797/V797</f>
        <v/>
      </c>
      <c r="X797" s="98">
        <f>(W797/U797)*100</f>
        <v/>
      </c>
      <c r="Y797" s="79" t="n">
        <v>14141.7</v>
      </c>
      <c r="Z797" s="80" t="n">
        <v>26.66</v>
      </c>
      <c r="AA797" s="98">
        <f>Y797/Z797</f>
        <v/>
      </c>
      <c r="AB797" s="98">
        <f>(AA797/Y797)*100</f>
        <v/>
      </c>
    </row>
    <row r="798">
      <c r="A798" s="92" t="n">
        <v>797</v>
      </c>
      <c r="B798" s="108" t="n">
        <v>45734</v>
      </c>
      <c r="C798" s="104" t="n">
        <v>40033591.94</v>
      </c>
      <c r="D798" s="98">
        <f>C798/E798</f>
        <v/>
      </c>
      <c r="E798" s="79" t="n">
        <v>86.51000000000001</v>
      </c>
      <c r="F798" s="98">
        <f>D798/100000</f>
        <v/>
      </c>
      <c r="G798" s="97">
        <f>(F798/DataSheet!$C$12*100)</f>
        <v/>
      </c>
      <c r="H798" s="98">
        <f>K798/I798</f>
        <v/>
      </c>
      <c r="I798" s="98">
        <f>(J798/L798)*100</f>
        <v/>
      </c>
      <c r="J798" s="97">
        <f>L798/O798</f>
        <v/>
      </c>
      <c r="K798" s="79" t="n">
        <v>6.67</v>
      </c>
      <c r="L798" s="79" t="n">
        <v>22834.3</v>
      </c>
      <c r="M798" s="79" t="n">
        <v>3.4</v>
      </c>
      <c r="N798" s="98">
        <f>K798-I798</f>
        <v/>
      </c>
      <c r="O798" s="79" t="n">
        <v>20.3</v>
      </c>
      <c r="P798" s="79" t="n">
        <v>4.283</v>
      </c>
      <c r="Q798" s="97">
        <f>K798-P798</f>
        <v/>
      </c>
      <c r="R798" s="79" t="n">
        <v>102.892</v>
      </c>
      <c r="S798" s="98">
        <f>(O798*T798)</f>
        <v/>
      </c>
      <c r="T798" s="79" t="n">
        <v>6.45</v>
      </c>
      <c r="U798" s="79" t="n">
        <v>18408.4</v>
      </c>
      <c r="V798" s="79" t="n">
        <v>34.68</v>
      </c>
      <c r="W798" s="98">
        <f>U798/V798</f>
        <v/>
      </c>
      <c r="X798" s="98">
        <f>(W798/U798)*100</f>
        <v/>
      </c>
      <c r="Y798" s="79" t="n">
        <v>14517.6</v>
      </c>
      <c r="Z798" s="80" t="n">
        <v>27.36</v>
      </c>
      <c r="AA798" s="98">
        <f>Y798/Z798</f>
        <v/>
      </c>
      <c r="AB798" s="98">
        <f>(AA798/Y798)*100</f>
        <v/>
      </c>
    </row>
    <row r="799">
      <c r="A799" s="92" t="n">
        <v>798</v>
      </c>
      <c r="B799" s="108" t="n">
        <v>45735</v>
      </c>
      <c r="C799" s="104" t="n">
        <v>40557822.05</v>
      </c>
      <c r="D799" s="98">
        <f>C799/E799</f>
        <v/>
      </c>
      <c r="E799" s="79" t="n">
        <v>86.31</v>
      </c>
      <c r="F799" s="98">
        <f>D799/100000</f>
        <v/>
      </c>
      <c r="G799" s="97">
        <f>(F799/DataSheet!$C$12*100)</f>
        <v/>
      </c>
      <c r="H799" s="98">
        <f>K799/I799</f>
        <v/>
      </c>
      <c r="I799" s="98">
        <f>(J799/L799)*100</f>
        <v/>
      </c>
      <c r="J799" s="97">
        <f>L799/O799</f>
        <v/>
      </c>
      <c r="K799" s="79" t="n">
        <v>6.66</v>
      </c>
      <c r="L799" s="79" t="n">
        <v>22907.6</v>
      </c>
      <c r="M799" s="79" t="n">
        <v>3.41</v>
      </c>
      <c r="N799" s="98">
        <f>K799-I799</f>
        <v/>
      </c>
      <c r="O799" s="79" t="n">
        <v>20.36</v>
      </c>
      <c r="P799" s="79" t="n">
        <v>4.246</v>
      </c>
      <c r="Q799" s="97">
        <f>K799-P799</f>
        <v/>
      </c>
      <c r="R799" s="79" t="n">
        <v>103.093</v>
      </c>
      <c r="S799" s="98">
        <f>(O799*T799)</f>
        <v/>
      </c>
      <c r="T799" s="79" t="n">
        <v>6.45</v>
      </c>
      <c r="U799" s="79" t="n">
        <v>18844.4</v>
      </c>
      <c r="V799" s="79" t="n">
        <v>35.5</v>
      </c>
      <c r="W799" s="98">
        <f>U799/V799</f>
        <v/>
      </c>
      <c r="X799" s="98">
        <f>(W799/U799)*100</f>
        <v/>
      </c>
      <c r="Y799" s="79" t="n">
        <v>14807</v>
      </c>
      <c r="Z799" s="80" t="n">
        <v>27.9</v>
      </c>
      <c r="AA799" s="98">
        <f>Y799/Z799</f>
        <v/>
      </c>
      <c r="AB799" s="98">
        <f>(AA799/Y799)*100</f>
        <v/>
      </c>
    </row>
    <row r="800">
      <c r="A800" s="92" t="n">
        <v>799</v>
      </c>
      <c r="B800" s="108" t="n">
        <v>45736</v>
      </c>
      <c r="C800" s="104" t="n">
        <v>40924873</v>
      </c>
      <c r="D800" s="98">
        <f>C800/E800</f>
        <v/>
      </c>
      <c r="E800" s="79" t="n">
        <v>86.31999999999999</v>
      </c>
      <c r="F800" s="98">
        <f>D800/100000</f>
        <v/>
      </c>
      <c r="G800" s="97">
        <f>(F800/DataSheet!$C$12*100)</f>
        <v/>
      </c>
      <c r="H800" s="98">
        <f>K800/I800</f>
        <v/>
      </c>
      <c r="I800" s="98">
        <f>(J800/L800)*100</f>
        <v/>
      </c>
      <c r="J800" s="97">
        <f>L800/O800</f>
        <v/>
      </c>
      <c r="K800" s="79" t="n">
        <v>6.64</v>
      </c>
      <c r="L800" s="79" t="n">
        <v>23190.65</v>
      </c>
      <c r="M800" s="79" t="n">
        <v>3.45</v>
      </c>
      <c r="N800" s="98">
        <f>K800-I800</f>
        <v/>
      </c>
      <c r="O800" s="79" t="n">
        <v>20.61</v>
      </c>
      <c r="P800" s="79" t="n">
        <v>4.24</v>
      </c>
      <c r="Q800" s="97">
        <f>K800-P800</f>
        <v/>
      </c>
      <c r="R800" s="79" t="n">
        <v>103.497</v>
      </c>
      <c r="S800" s="98">
        <f>(O800*T800)</f>
        <v/>
      </c>
      <c r="T800" s="79" t="n">
        <v>6.46</v>
      </c>
      <c r="U800" s="79" t="n">
        <v>18948.45</v>
      </c>
      <c r="V800" s="79" t="n">
        <v>35.69</v>
      </c>
      <c r="W800" s="98">
        <f>U800/V800</f>
        <v/>
      </c>
      <c r="X800" s="98">
        <f>(W800/U800)*100</f>
        <v/>
      </c>
      <c r="Y800" s="79" t="n">
        <v>14922.35</v>
      </c>
      <c r="Z800" s="80" t="n">
        <v>28.12</v>
      </c>
      <c r="AA800" s="98">
        <f>Y800/Z800</f>
        <v/>
      </c>
      <c r="AB800" s="98">
        <f>(AA800/Y800)*100</f>
        <v/>
      </c>
    </row>
    <row r="801">
      <c r="A801" s="92" t="n">
        <v>800</v>
      </c>
      <c r="B801" s="108" t="n">
        <v>45737</v>
      </c>
      <c r="C801" s="104" t="n">
        <v>41392614.03</v>
      </c>
      <c r="D801" s="98">
        <f>C801/E801</f>
        <v/>
      </c>
      <c r="E801" s="79" t="n">
        <v>85.98999999999999</v>
      </c>
      <c r="F801" s="98">
        <f>D801/100000</f>
        <v/>
      </c>
      <c r="G801" s="97">
        <f>(F801/DataSheet!$C$12*100)</f>
        <v/>
      </c>
      <c r="H801" s="98">
        <f>K801/I801</f>
        <v/>
      </c>
      <c r="I801" s="98">
        <f>(J801/L801)*100</f>
        <v/>
      </c>
      <c r="J801" s="97">
        <f>L801/O801</f>
        <v/>
      </c>
      <c r="K801" s="79" t="n">
        <v>6.62</v>
      </c>
      <c r="L801" s="79" t="n">
        <v>23350.4</v>
      </c>
      <c r="M801" s="79" t="n">
        <v>3.48</v>
      </c>
      <c r="N801" s="98">
        <f>K801-I801</f>
        <v/>
      </c>
      <c r="O801" s="79" t="n">
        <v>20.76</v>
      </c>
      <c r="P801" s="79" t="n">
        <v>4.249</v>
      </c>
      <c r="Q801" s="97">
        <f>K801-P801</f>
        <v/>
      </c>
      <c r="R801" s="79" t="n">
        <v>103.744</v>
      </c>
      <c r="S801" s="98">
        <f>(O801*T801)</f>
        <v/>
      </c>
      <c r="T801" s="79" t="n">
        <v>6.46</v>
      </c>
      <c r="U801" s="79" t="n">
        <v>19203.3</v>
      </c>
      <c r="V801" s="79" t="n">
        <v>36.17</v>
      </c>
      <c r="W801" s="98">
        <f>U801/V801</f>
        <v/>
      </c>
      <c r="X801" s="98">
        <f>(W801/U801)*100</f>
        <v/>
      </c>
      <c r="Y801" s="79" t="n">
        <v>15242.3</v>
      </c>
      <c r="Z801" s="80" t="n">
        <v>28.89</v>
      </c>
      <c r="AA801" s="98">
        <f>Y801/Z801</f>
        <v/>
      </c>
      <c r="AB801" s="98">
        <f>(AA801/Y801)*100</f>
        <v/>
      </c>
    </row>
    <row r="802">
      <c r="A802" s="92" t="n">
        <v>801</v>
      </c>
      <c r="B802" s="108" t="n">
        <v>45740</v>
      </c>
      <c r="C802" s="104" t="n">
        <v>41913920.14</v>
      </c>
      <c r="D802" s="98">
        <f>C802/E802</f>
        <v/>
      </c>
      <c r="E802" s="79" t="n">
        <v>85.56</v>
      </c>
      <c r="F802" s="98">
        <f>D802/100000</f>
        <v/>
      </c>
      <c r="G802" s="97">
        <f>(F802/DataSheet!$C$12*100)</f>
        <v/>
      </c>
      <c r="H802" s="98">
        <f>K802/I802</f>
        <v/>
      </c>
      <c r="I802" s="98">
        <f>(J802/L802)*100</f>
        <v/>
      </c>
      <c r="J802" s="97">
        <f>L802/O802</f>
        <v/>
      </c>
      <c r="K802" s="79" t="n">
        <v>6.62</v>
      </c>
      <c r="L802" s="79" t="n">
        <v>23658.35</v>
      </c>
      <c r="M802" s="79" t="n">
        <v>3.52</v>
      </c>
      <c r="N802" s="98">
        <f>K802-I802</f>
        <v/>
      </c>
      <c r="O802" s="79" t="n">
        <v>21.03</v>
      </c>
      <c r="P802" s="79" t="n">
        <v>4.338</v>
      </c>
      <c r="Q802" s="97">
        <f>K802-P802</f>
        <v/>
      </c>
      <c r="R802" s="79" t="n">
        <v>103.936</v>
      </c>
      <c r="S802" s="98">
        <f>(O802*T802)</f>
        <v/>
      </c>
      <c r="T802" s="79" t="n">
        <v>6.45</v>
      </c>
      <c r="U802" s="79" t="n">
        <v>19418.3</v>
      </c>
      <c r="V802" s="79" t="n">
        <v>36.57</v>
      </c>
      <c r="W802" s="98">
        <f>U802/V802</f>
        <v/>
      </c>
      <c r="X802" s="98">
        <f>(W802/U802)*100</f>
        <v/>
      </c>
      <c r="Y802" s="79" t="n">
        <v>15392.4</v>
      </c>
      <c r="Z802" s="80" t="n">
        <v>29.17</v>
      </c>
      <c r="AA802" s="98">
        <f>Y802/Z802</f>
        <v/>
      </c>
      <c r="AB802" s="98">
        <f>(AA802/Y802)*100</f>
        <v/>
      </c>
    </row>
    <row r="803">
      <c r="A803" s="92" t="n">
        <v>802</v>
      </c>
      <c r="B803" s="108" t="n">
        <v>45741</v>
      </c>
      <c r="C803" s="104" t="n">
        <v>41584517.86</v>
      </c>
      <c r="D803" s="98">
        <f>C803/E803</f>
        <v/>
      </c>
      <c r="E803" s="79" t="n">
        <v>85.583</v>
      </c>
      <c r="F803" s="98">
        <f>D803/100000</f>
        <v/>
      </c>
      <c r="G803" s="97">
        <f>(F803/DataSheet!$C$12*100)</f>
        <v/>
      </c>
      <c r="H803" s="98">
        <f>K803/I803</f>
        <v/>
      </c>
      <c r="I803" s="98">
        <f>(J803/L803)*100</f>
        <v/>
      </c>
      <c r="J803" s="97">
        <f>L803/O803</f>
        <v/>
      </c>
      <c r="K803" s="79" t="n">
        <v>6.63</v>
      </c>
      <c r="L803" s="79" t="n">
        <v>23668.65</v>
      </c>
      <c r="M803" s="79" t="n">
        <v>3.52</v>
      </c>
      <c r="N803" s="98">
        <f>K803-I803</f>
        <v/>
      </c>
      <c r="O803" s="79" t="n">
        <v>21.04</v>
      </c>
      <c r="P803" s="79" t="n">
        <v>4.316</v>
      </c>
      <c r="Q803" s="97">
        <f>K803-P803</f>
        <v/>
      </c>
      <c r="R803" s="79" t="n">
        <v>103.831</v>
      </c>
      <c r="S803" s="98">
        <f>(O803*T803)</f>
        <v/>
      </c>
      <c r="T803" s="79" t="n">
        <v>6.45</v>
      </c>
      <c r="U803" s="79" t="n">
        <v>19228.35</v>
      </c>
      <c r="V803" s="79" t="n">
        <v>36.21</v>
      </c>
      <c r="W803" s="98">
        <f>U803/V803</f>
        <v/>
      </c>
      <c r="X803" s="98">
        <f>(W803/U803)*100</f>
        <v/>
      </c>
      <c r="Y803" s="79" t="n">
        <v>15184.45</v>
      </c>
      <c r="Z803" s="80" t="n">
        <v>28.78</v>
      </c>
      <c r="AA803" s="98">
        <f>Y803/Z803</f>
        <v/>
      </c>
      <c r="AB803" s="98">
        <f>(AA803/Y803)*100</f>
        <v/>
      </c>
    </row>
    <row r="804">
      <c r="A804" s="92" t="n">
        <v>803</v>
      </c>
      <c r="B804" s="108" t="n">
        <v>45742</v>
      </c>
      <c r="C804" s="104" t="n">
        <v>41248623.07</v>
      </c>
      <c r="D804" s="98">
        <f>C804/E804</f>
        <v/>
      </c>
      <c r="E804" s="79" t="n">
        <v>85.625</v>
      </c>
      <c r="F804" s="98">
        <f>D804/100000</f>
        <v/>
      </c>
      <c r="G804" s="97">
        <f>(F804/DataSheet!$C$12*100)</f>
        <v/>
      </c>
      <c r="H804" s="98">
        <f>K804/I804</f>
        <v/>
      </c>
      <c r="I804" s="98">
        <f>(J804/L804)*100</f>
        <v/>
      </c>
      <c r="J804" s="97">
        <f>L804/O804</f>
        <v/>
      </c>
      <c r="K804" s="79" t="n">
        <v>6.6</v>
      </c>
      <c r="L804" s="79" t="n">
        <v>23486.85</v>
      </c>
      <c r="M804" s="79" t="n">
        <v>3.5</v>
      </c>
      <c r="N804" s="98">
        <f>K804-I804</f>
        <v/>
      </c>
      <c r="O804" s="79" t="n">
        <v>20.88</v>
      </c>
      <c r="P804" s="79" t="n">
        <v>4.353</v>
      </c>
      <c r="Q804" s="97">
        <f>K804-P804</f>
        <v/>
      </c>
      <c r="R804" s="79" t="n">
        <v>104.207</v>
      </c>
      <c r="S804" s="98">
        <f>(O804*T804)</f>
        <v/>
      </c>
      <c r="T804" s="79" t="n">
        <v>6.45</v>
      </c>
      <c r="U804" s="79" t="n">
        <v>19106.65</v>
      </c>
      <c r="V804" s="79" t="n">
        <v>35.98</v>
      </c>
      <c r="W804" s="98">
        <f>U804/V804</f>
        <v/>
      </c>
      <c r="X804" s="98">
        <f>(W804/U804)*100</f>
        <v/>
      </c>
      <c r="Y804" s="79" t="n">
        <v>14970</v>
      </c>
      <c r="Z804" s="80" t="n">
        <v>28.37</v>
      </c>
      <c r="AA804" s="98">
        <f>Y804/Z804</f>
        <v/>
      </c>
      <c r="AB804" s="98">
        <f>(AA804/Y804)*100</f>
        <v/>
      </c>
    </row>
    <row r="805">
      <c r="A805" s="92" t="n">
        <v>804</v>
      </c>
      <c r="B805" s="108" t="n">
        <v>45743</v>
      </c>
      <c r="C805" s="104" t="n">
        <v>41555437.41</v>
      </c>
      <c r="D805" s="98">
        <f>C805/E805</f>
        <v/>
      </c>
      <c r="E805" s="79" t="n">
        <v>85.64</v>
      </c>
      <c r="F805" s="98">
        <f>D805/100000</f>
        <v/>
      </c>
      <c r="G805" s="97">
        <f>(F805/DataSheet!$C$12*100)</f>
        <v/>
      </c>
      <c r="H805" s="98">
        <f>K805/I805</f>
        <v/>
      </c>
      <c r="I805" s="98">
        <f>(J805/L805)*100</f>
        <v/>
      </c>
      <c r="J805" s="97">
        <f>L805/O805</f>
        <v/>
      </c>
      <c r="K805" s="79" t="n">
        <v>6.59</v>
      </c>
      <c r="L805" s="79" t="n">
        <v>23591.95</v>
      </c>
      <c r="M805" s="79" t="n">
        <v>3.51</v>
      </c>
      <c r="N805" s="98">
        <f>K805-I805</f>
        <v/>
      </c>
      <c r="O805" s="79" t="n">
        <v>20.97</v>
      </c>
      <c r="P805" s="79" t="n">
        <v>4.36</v>
      </c>
      <c r="Q805" s="97">
        <f>K805-P805</f>
        <v/>
      </c>
      <c r="R805" s="79" t="n">
        <v>103.992</v>
      </c>
      <c r="S805" s="98">
        <f>(O805*T805)</f>
        <v/>
      </c>
      <c r="T805" s="79" t="n">
        <v>6.48</v>
      </c>
      <c r="U805" s="79" t="n">
        <v>19175.4</v>
      </c>
      <c r="V805" s="79" t="n">
        <v>36.11</v>
      </c>
      <c r="W805" s="98">
        <f>U805/V805</f>
        <v/>
      </c>
      <c r="X805" s="98">
        <f>(W805/U805)*100</f>
        <v/>
      </c>
      <c r="Y805" s="79" t="n">
        <v>15111.65</v>
      </c>
      <c r="Z805" s="80" t="n">
        <v>28.64</v>
      </c>
      <c r="AA805" s="98">
        <f>Y805/Z805</f>
        <v/>
      </c>
      <c r="AB805" s="98">
        <f>(AA805/Y805)*100</f>
        <v/>
      </c>
    </row>
    <row r="806">
      <c r="A806" s="92" t="n">
        <v>805</v>
      </c>
      <c r="B806" s="108" t="n">
        <v>45744</v>
      </c>
      <c r="C806" s="104" t="n">
        <v>41375586.2</v>
      </c>
      <c r="D806" s="98">
        <f>C806/E806</f>
        <v/>
      </c>
      <c r="E806" s="79" t="n">
        <v>85.53400000000001</v>
      </c>
      <c r="F806" s="98">
        <f>D806/100000</f>
        <v/>
      </c>
      <c r="G806" s="97">
        <f>(F806/DataSheet!$C$12*100)</f>
        <v/>
      </c>
      <c r="H806" s="98">
        <f>K806/I806</f>
        <v/>
      </c>
      <c r="I806" s="98">
        <f>(J806/L806)*100</f>
        <v/>
      </c>
      <c r="J806" s="97">
        <f>L806/O806</f>
        <v/>
      </c>
      <c r="K806" s="79" t="n">
        <v>6.58</v>
      </c>
      <c r="L806" s="79" t="n">
        <v>23519.35</v>
      </c>
      <c r="M806" s="79" t="n">
        <v>3.48</v>
      </c>
      <c r="N806" s="98">
        <f>K806-I806</f>
        <v/>
      </c>
      <c r="O806" s="79" t="n">
        <v>21.37</v>
      </c>
      <c r="P806" s="79" t="n">
        <v>4.251</v>
      </c>
      <c r="Q806" s="97">
        <f>K806-P806</f>
        <v/>
      </c>
      <c r="R806" s="79" t="n">
        <v>103.709</v>
      </c>
      <c r="S806" s="98">
        <f>(O806*T806)</f>
        <v/>
      </c>
      <c r="T806" s="79" t="n">
        <v>6.35</v>
      </c>
      <c r="U806" s="79" t="n">
        <v>19120.35</v>
      </c>
      <c r="V806" s="79" t="n">
        <v>33.71</v>
      </c>
      <c r="W806" s="98">
        <f>U806/V806</f>
        <v/>
      </c>
      <c r="X806" s="98">
        <f>(W806/U806)*100</f>
        <v/>
      </c>
      <c r="Y806" s="79" t="n">
        <v>15104.05</v>
      </c>
      <c r="Z806" s="80" t="n">
        <v>29.42</v>
      </c>
      <c r="AA806" s="98">
        <f>Y806/Z806</f>
        <v/>
      </c>
      <c r="AB806" s="98">
        <f>(AA806/Y806)*100</f>
        <v/>
      </c>
    </row>
    <row r="807">
      <c r="A807" s="92" t="n">
        <v>806</v>
      </c>
      <c r="B807" s="108" t="n">
        <v>45748</v>
      </c>
      <c r="C807" s="94" t="n">
        <v>41016692.21</v>
      </c>
      <c r="D807" s="98">
        <f>C807/E807</f>
        <v/>
      </c>
      <c r="E807" s="80" t="n">
        <v>85.56999999999999</v>
      </c>
      <c r="F807" s="98">
        <f>D807/100000</f>
        <v/>
      </c>
      <c r="G807" s="97">
        <f>(F807/DataSheet!$C$12*100)</f>
        <v/>
      </c>
      <c r="H807" s="98">
        <f>K807/I807</f>
        <v/>
      </c>
      <c r="I807" s="98">
        <f>(J807/L807)*100</f>
        <v/>
      </c>
      <c r="J807" s="97">
        <f>L807/O807</f>
        <v/>
      </c>
      <c r="K807" s="92" t="n">
        <v>6.58</v>
      </c>
      <c r="L807" s="80" t="n">
        <v>23165.7</v>
      </c>
      <c r="M807" s="79" t="n">
        <v>3.43</v>
      </c>
      <c r="N807" s="98">
        <f>K807-I807</f>
        <v/>
      </c>
      <c r="O807" s="79" t="n">
        <v>21.05</v>
      </c>
      <c r="P807" s="80" t="n">
        <v>4.16</v>
      </c>
      <c r="Q807" s="97">
        <f>K807-P807</f>
        <v/>
      </c>
      <c r="R807" s="79" t="n">
        <v>103.949</v>
      </c>
      <c r="S807" s="98">
        <f>(O807*T807)</f>
        <v/>
      </c>
      <c r="T807" s="80" t="n">
        <v>6.35</v>
      </c>
      <c r="U807" s="79" t="n">
        <v>18931.4</v>
      </c>
      <c r="V807" s="80" t="n">
        <v>33.38</v>
      </c>
      <c r="W807" s="98">
        <f>U807/V807</f>
        <v/>
      </c>
      <c r="X807" s="98">
        <f>(W807/U807)*100</f>
        <v/>
      </c>
      <c r="Y807" s="79" t="n">
        <v>15030.1</v>
      </c>
      <c r="Z807" s="79" t="n">
        <v>29.28</v>
      </c>
      <c r="AA807" s="98">
        <f>Y807/Z807</f>
        <v/>
      </c>
      <c r="AB807" s="98">
        <f>(AA807/Y807)*100</f>
        <v/>
      </c>
    </row>
    <row r="808">
      <c r="A808" s="92" t="n">
        <v>807</v>
      </c>
      <c r="B808" s="108" t="n">
        <v>45749</v>
      </c>
      <c r="C808" s="94" t="n">
        <v>41377863.39</v>
      </c>
      <c r="D808" s="98">
        <f>C808/E808</f>
        <v/>
      </c>
      <c r="E808" s="80" t="n">
        <v>85.45</v>
      </c>
      <c r="F808" s="98">
        <f>D808/100000</f>
        <v/>
      </c>
      <c r="G808" s="97">
        <f>(F808/DataSheet!$C$12*100)</f>
        <v/>
      </c>
      <c r="H808" s="98">
        <f>K808/I808</f>
        <v/>
      </c>
      <c r="I808" s="98">
        <f>(J808/L808)*100</f>
        <v/>
      </c>
      <c r="J808" s="97">
        <f>L808/O808</f>
        <v/>
      </c>
      <c r="K808" s="80" t="n">
        <v>6.48</v>
      </c>
      <c r="L808" s="80" t="n">
        <v>23332.35</v>
      </c>
      <c r="M808" s="79" t="n">
        <v>3.45</v>
      </c>
      <c r="N808" s="98">
        <f>K808-I808</f>
        <v/>
      </c>
      <c r="O808" s="79" t="n">
        <v>21.2</v>
      </c>
      <c r="P808" s="80" t="n">
        <v>4.125</v>
      </c>
      <c r="Q808" s="97">
        <f>K808-P808</f>
        <v/>
      </c>
      <c r="R808" s="79" t="n">
        <v>103.491</v>
      </c>
      <c r="S808" s="98">
        <f>(O808*T808)</f>
        <v/>
      </c>
      <c r="T808" s="80" t="n">
        <v>6.28</v>
      </c>
      <c r="U808" s="79" t="n">
        <v>19200.75</v>
      </c>
      <c r="V808" s="80" t="n">
        <v>33.86</v>
      </c>
      <c r="W808" s="98">
        <f>U808/V808</f>
        <v/>
      </c>
      <c r="X808" s="98">
        <f>(W808/U808)*100</f>
        <v/>
      </c>
      <c r="Y808" s="79" t="n">
        <v>15179.75</v>
      </c>
      <c r="Z808" s="79" t="n">
        <v>29.57</v>
      </c>
      <c r="AA808" s="98">
        <f>Y808/Z808</f>
        <v/>
      </c>
      <c r="AB808" s="98">
        <f>(AA808/Y808)*100</f>
        <v/>
      </c>
    </row>
    <row r="809">
      <c r="A809" s="92" t="n">
        <v>808</v>
      </c>
      <c r="B809" s="108" t="n">
        <v>45750</v>
      </c>
      <c r="C809" s="94" t="n">
        <v>41416218.49</v>
      </c>
      <c r="D809" s="98">
        <f>C809/E809</f>
        <v/>
      </c>
      <c r="E809" s="80" t="n">
        <v>85.247</v>
      </c>
      <c r="F809" s="98">
        <f>D809/100000</f>
        <v/>
      </c>
      <c r="G809" s="97">
        <f>(F809/DataSheet!$C$12*100)</f>
        <v/>
      </c>
      <c r="H809" s="98">
        <f>K809/I809</f>
        <v/>
      </c>
      <c r="I809" s="98">
        <f>(J809/L809)*100</f>
        <v/>
      </c>
      <c r="J809" s="97">
        <f>L809/O809</f>
        <v/>
      </c>
      <c r="K809" s="80" t="n">
        <v>6.5</v>
      </c>
      <c r="L809" s="80" t="n">
        <v>23250.1</v>
      </c>
      <c r="M809" s="79" t="n">
        <v>3.44</v>
      </c>
      <c r="N809" s="98">
        <f>K809-I809</f>
        <v/>
      </c>
      <c r="O809" s="79" t="n">
        <v>21.13</v>
      </c>
      <c r="P809" s="80" t="n">
        <v>4.036</v>
      </c>
      <c r="Q809" s="97">
        <f>K809-P809</f>
        <v/>
      </c>
      <c r="R809" s="79" t="n">
        <v>101.795</v>
      </c>
      <c r="S809" s="98">
        <f>(O809*T809)</f>
        <v/>
      </c>
      <c r="T809" s="80" t="n">
        <v>6.15</v>
      </c>
      <c r="U809" s="79" t="n">
        <v>19238.4</v>
      </c>
      <c r="V809" s="80" t="n">
        <v>33.92</v>
      </c>
      <c r="W809" s="98">
        <f>U809/V809</f>
        <v/>
      </c>
      <c r="X809" s="98">
        <f>(W809/U809)*100</f>
        <v/>
      </c>
      <c r="Y809" s="79" t="n">
        <v>15285.45</v>
      </c>
      <c r="Z809" s="79" t="n">
        <v>29.77</v>
      </c>
      <c r="AA809" s="98">
        <f>Y809/Z809</f>
        <v/>
      </c>
      <c r="AB809" s="98">
        <f>(AA809/Y809)*100</f>
        <v/>
      </c>
    </row>
    <row r="810">
      <c r="A810" s="92" t="n">
        <v>809</v>
      </c>
      <c r="B810" s="108" t="n">
        <v>45751</v>
      </c>
      <c r="C810" s="94" t="n">
        <v>40409600.62</v>
      </c>
      <c r="D810" s="98">
        <f>C810/E810</f>
        <v/>
      </c>
      <c r="E810" s="80" t="n">
        <v>85.502</v>
      </c>
      <c r="F810" s="98">
        <f>D810/100000</f>
        <v/>
      </c>
      <c r="G810" s="97">
        <f>(F810/DataSheet!$C$12*100)</f>
        <v/>
      </c>
      <c r="H810" s="98">
        <f>K810/I810</f>
        <v/>
      </c>
      <c r="I810" s="98">
        <f>(J810/L810)*100</f>
        <v/>
      </c>
      <c r="J810" s="97">
        <f>L810/O810</f>
        <v/>
      </c>
      <c r="K810" s="80" t="n">
        <v>6.46</v>
      </c>
      <c r="L810" s="80" t="n">
        <v>22904.45</v>
      </c>
      <c r="M810" s="79" t="n">
        <v>3.39</v>
      </c>
      <c r="N810" s="98">
        <f>K810-I810</f>
        <v/>
      </c>
      <c r="O810" s="79" t="n">
        <v>20.82</v>
      </c>
      <c r="P810" s="80" t="n">
        <v>3.999</v>
      </c>
      <c r="Q810" s="97">
        <f>K810-P810</f>
        <v/>
      </c>
      <c r="R810" s="79" t="n">
        <v>102.768</v>
      </c>
      <c r="S810" s="98">
        <f>(O810*T810)</f>
        <v/>
      </c>
      <c r="T810" s="80" t="n">
        <v>6.08</v>
      </c>
      <c r="U810" s="79" t="n">
        <v>18675.3</v>
      </c>
      <c r="V810" s="80" t="n">
        <v>32.93</v>
      </c>
      <c r="W810" s="98">
        <f>U810/V810</f>
        <v/>
      </c>
      <c r="X810" s="98">
        <f>(W810/U810)*100</f>
        <v/>
      </c>
      <c r="Y810" s="79" t="n">
        <v>14780.5</v>
      </c>
      <c r="Z810" s="79" t="n">
        <v>28.79</v>
      </c>
      <c r="AA810" s="98">
        <f>Y810/Z810</f>
        <v/>
      </c>
      <c r="AB810" s="98">
        <f>(AA810/Y810)*100</f>
        <v/>
      </c>
    </row>
    <row r="811">
      <c r="A811" s="92" t="n">
        <v>810</v>
      </c>
      <c r="B811" s="108" t="n">
        <v>45754</v>
      </c>
      <c r="C811" s="94" t="n">
        <v>38983100.81</v>
      </c>
      <c r="D811" s="98">
        <f>C811/E811</f>
        <v/>
      </c>
      <c r="E811" s="80" t="n">
        <v>85.854</v>
      </c>
      <c r="F811" s="98">
        <f>D811/100000</f>
        <v/>
      </c>
      <c r="G811" s="97">
        <f>(F811/DataSheet!$C$12*100)</f>
        <v/>
      </c>
      <c r="H811" s="98">
        <f>K811/I811</f>
        <v/>
      </c>
      <c r="I811" s="98">
        <f>(J811/L811)*100</f>
        <v/>
      </c>
      <c r="J811" s="97">
        <f>L811/O811</f>
        <v/>
      </c>
      <c r="K811" s="80" t="n">
        <v>6.48</v>
      </c>
      <c r="L811" s="80" t="n">
        <v>22161.6</v>
      </c>
      <c r="M811" s="79" t="n">
        <v>3.28</v>
      </c>
      <c r="N811" s="98">
        <f>K811-I811</f>
        <v/>
      </c>
      <c r="O811" s="79" t="n">
        <v>20.14</v>
      </c>
      <c r="P811" s="80" t="n">
        <v>4.201</v>
      </c>
      <c r="Q811" s="97">
        <f>K811-P811</f>
        <v/>
      </c>
      <c r="R811" s="79" t="n">
        <v>102.972</v>
      </c>
      <c r="S811" s="98">
        <f>(O811*T811)</f>
        <v/>
      </c>
      <c r="T811" s="80" t="n">
        <v>6.1</v>
      </c>
      <c r="U811" s="79" t="n">
        <v>18005.1</v>
      </c>
      <c r="V811" s="80" t="n">
        <v>31.75</v>
      </c>
      <c r="W811" s="98">
        <f>U811/V811</f>
        <v/>
      </c>
      <c r="X811" s="98">
        <f>(W811/U811)*100</f>
        <v/>
      </c>
      <c r="Y811" s="79" t="n">
        <v>14190.2</v>
      </c>
      <c r="Z811" s="79" t="n">
        <v>27.64</v>
      </c>
      <c r="AA811" s="98">
        <f>Y811/Z811</f>
        <v/>
      </c>
      <c r="AB811" s="98">
        <f>(AA811/Y811)*100</f>
        <v/>
      </c>
    </row>
    <row r="812">
      <c r="A812" s="92" t="n">
        <v>811</v>
      </c>
      <c r="B812" s="108" t="n">
        <v>45755</v>
      </c>
      <c r="C812" s="94" t="n">
        <v>39734358.65</v>
      </c>
      <c r="D812" s="98">
        <f>C812/E812</f>
        <v/>
      </c>
      <c r="E812" s="80" t="n">
        <v>86.23999999999999</v>
      </c>
      <c r="F812" s="98">
        <f>D812/100000</f>
        <v/>
      </c>
      <c r="G812" s="97">
        <f>(F812/DataSheet!$C$12*100)</f>
        <v/>
      </c>
      <c r="H812" s="98">
        <f>K812/I812</f>
        <v/>
      </c>
      <c r="I812" s="98">
        <f>(J812/L812)*100</f>
        <v/>
      </c>
      <c r="J812" s="97">
        <f>L812/O812</f>
        <v/>
      </c>
      <c r="K812" s="80" t="n">
        <v>6.47</v>
      </c>
      <c r="L812" s="80" t="n">
        <v>22535.85</v>
      </c>
      <c r="M812" s="79" t="n">
        <v>3.33</v>
      </c>
      <c r="N812" s="98">
        <f>K812-I812</f>
        <v/>
      </c>
      <c r="O812" s="79" t="n">
        <v>20.48</v>
      </c>
      <c r="P812" s="80" t="n">
        <v>4.289</v>
      </c>
      <c r="Q812" s="97">
        <f>K812-P812</f>
        <v/>
      </c>
      <c r="R812" s="79" t="n">
        <v>102.701</v>
      </c>
      <c r="S812" s="98">
        <f>(O812*T812)</f>
        <v/>
      </c>
      <c r="T812" s="80" t="n">
        <v>6.05</v>
      </c>
      <c r="U812" s="79" t="n">
        <v>18387.05</v>
      </c>
      <c r="V812" s="80" t="n">
        <v>32.42</v>
      </c>
      <c r="W812" s="98">
        <f>U812/V812</f>
        <v/>
      </c>
      <c r="X812" s="98">
        <f>(W812/U812)*100</f>
        <v/>
      </c>
      <c r="Y812" s="79" t="n">
        <v>14498.4</v>
      </c>
      <c r="Z812" s="79" t="n">
        <v>28.24</v>
      </c>
      <c r="AA812" s="98">
        <f>Y812/Z812</f>
        <v/>
      </c>
      <c r="AB812" s="98">
        <f>(AA812/Y812)*100</f>
        <v/>
      </c>
    </row>
    <row r="813">
      <c r="A813" s="92" t="n">
        <v>812</v>
      </c>
      <c r="B813" s="108" t="n">
        <v>45756</v>
      </c>
      <c r="C813" s="94" t="n">
        <v>39458658.37</v>
      </c>
      <c r="D813" s="98">
        <f>C813/E813</f>
        <v/>
      </c>
      <c r="E813" s="80" t="n">
        <v>86.65000000000001</v>
      </c>
      <c r="F813" s="98">
        <f>D813/100000</f>
        <v/>
      </c>
      <c r="G813" s="97">
        <f>(F813/DataSheet!$C$12*100)</f>
        <v/>
      </c>
      <c r="H813" s="98">
        <f>K813/I813</f>
        <v/>
      </c>
      <c r="I813" s="98">
        <f>(J813/L813)*100</f>
        <v/>
      </c>
      <c r="J813" s="97">
        <f>L813/O813</f>
        <v/>
      </c>
      <c r="K813" s="80" t="n">
        <v>6.44</v>
      </c>
      <c r="L813" s="80" t="n">
        <v>22399.15</v>
      </c>
      <c r="M813" s="79" t="n">
        <v>3.31</v>
      </c>
      <c r="N813" s="98">
        <f>K813-I813</f>
        <v/>
      </c>
      <c r="O813" s="79" t="n">
        <v>20.36</v>
      </c>
      <c r="P813" s="80" t="n">
        <v>4.325</v>
      </c>
      <c r="Q813" s="97">
        <f>K813-P813</f>
        <v/>
      </c>
      <c r="R813" s="79" t="n">
        <v>102.623</v>
      </c>
      <c r="S813" s="98">
        <f>(O813*T813)</f>
        <v/>
      </c>
      <c r="T813" s="80" t="n">
        <v>5.95</v>
      </c>
      <c r="U813" s="79" t="n">
        <v>18272.75</v>
      </c>
      <c r="V813" s="80" t="n">
        <v>32.22</v>
      </c>
      <c r="W813" s="98">
        <f>U813/V813</f>
        <v/>
      </c>
      <c r="X813" s="98">
        <f>(W813/U813)*100</f>
        <v/>
      </c>
      <c r="Y813" s="79" t="n">
        <v>14345.7</v>
      </c>
      <c r="Z813" s="79" t="n">
        <v>27.94</v>
      </c>
      <c r="AA813" s="98">
        <f>Y813/Z813</f>
        <v/>
      </c>
      <c r="AB813" s="98">
        <f>(AA813/Y813)*100</f>
        <v/>
      </c>
    </row>
    <row r="814">
      <c r="A814" s="92" t="n">
        <v>813</v>
      </c>
      <c r="B814" s="108" t="n">
        <v>45758</v>
      </c>
      <c r="C814" s="94" t="n">
        <v>40234966.43</v>
      </c>
      <c r="D814" s="98">
        <f>C814/E814</f>
        <v/>
      </c>
      <c r="E814" s="80" t="n">
        <v>86.19</v>
      </c>
      <c r="F814" s="98">
        <f>D814/100000</f>
        <v/>
      </c>
      <c r="G814" s="97">
        <f>(F814/DataSheet!$C$12*100)</f>
        <v/>
      </c>
      <c r="H814" s="98">
        <f>K814/I814</f>
        <v/>
      </c>
      <c r="I814" s="98">
        <f>(J814/L814)*100</f>
        <v/>
      </c>
      <c r="J814" s="97">
        <f>L814/O814</f>
        <v/>
      </c>
      <c r="K814" s="80" t="n">
        <v>6.44</v>
      </c>
      <c r="L814" s="80" t="n">
        <v>22828.55</v>
      </c>
      <c r="M814" s="79" t="n">
        <v>3.38</v>
      </c>
      <c r="N814" s="98">
        <f>K814-I814</f>
        <v/>
      </c>
      <c r="O814" s="79" t="n">
        <v>20.75</v>
      </c>
      <c r="P814" s="80" t="n">
        <v>4.495</v>
      </c>
      <c r="Q814" s="97">
        <f>K814-P814</f>
        <v/>
      </c>
      <c r="R814" s="79" t="n">
        <v>99.892</v>
      </c>
      <c r="S814" s="98">
        <f>(O814*T814)</f>
        <v/>
      </c>
      <c r="T814" s="80" t="n">
        <v>5.95</v>
      </c>
      <c r="U814" s="79" t="n">
        <v>18614.15</v>
      </c>
      <c r="V814" s="80" t="n">
        <v>32.82</v>
      </c>
      <c r="W814" s="98">
        <f>U814/V814</f>
        <v/>
      </c>
      <c r="X814" s="98">
        <f>(W814/U814)*100</f>
        <v/>
      </c>
      <c r="Y814" s="79" t="n">
        <v>14786.3</v>
      </c>
      <c r="Z814" s="79" t="n">
        <v>28.84</v>
      </c>
      <c r="AA814" s="98">
        <f>Y814/Z814</f>
        <v/>
      </c>
      <c r="AB814" s="98">
        <f>(AA814/Y814)*100</f>
        <v/>
      </c>
    </row>
    <row r="815">
      <c r="A815" s="92" t="n">
        <v>814</v>
      </c>
      <c r="B815" s="108" t="n">
        <v>45762</v>
      </c>
      <c r="C815" s="94" t="n">
        <v>41286851.55</v>
      </c>
      <c r="D815" s="98">
        <f>C815/E815</f>
        <v/>
      </c>
      <c r="E815" s="80" t="n">
        <v>85.681</v>
      </c>
      <c r="F815" s="98">
        <f>D815/100000</f>
        <v/>
      </c>
      <c r="G815" s="97">
        <f>(F815/DataSheet!$C$12*100)</f>
        <v/>
      </c>
      <c r="H815" s="98">
        <f>K815/I815</f>
        <v/>
      </c>
      <c r="I815" s="98">
        <f>(J815/L815)*100</f>
        <v/>
      </c>
      <c r="J815" s="97">
        <f>L815/O815</f>
        <v/>
      </c>
      <c r="K815" s="80" t="n">
        <v>6.41</v>
      </c>
      <c r="L815" s="80" t="n">
        <v>23328.55</v>
      </c>
      <c r="M815" s="79" t="n">
        <v>3.45</v>
      </c>
      <c r="N815" s="98">
        <f>K815-I815</f>
        <v/>
      </c>
      <c r="O815" s="79" t="n">
        <v>21.2</v>
      </c>
      <c r="P815" s="80" t="n">
        <v>4.339</v>
      </c>
      <c r="Q815" s="97">
        <f>K815-P815</f>
        <v/>
      </c>
      <c r="R815" s="79" t="n">
        <v>99.962</v>
      </c>
      <c r="S815" s="98">
        <f>(O815*T815)</f>
        <v/>
      </c>
      <c r="T815" s="80" t="n">
        <v>5.95</v>
      </c>
      <c r="U815" s="79" t="n">
        <v>19178.5</v>
      </c>
      <c r="V815" s="80" t="n">
        <v>33.82</v>
      </c>
      <c r="W815" s="98">
        <f>U815/V815</f>
        <v/>
      </c>
      <c r="X815" s="98">
        <f>(W815/U815)*100</f>
        <v/>
      </c>
      <c r="Y815" s="79" t="n">
        <v>15238.45</v>
      </c>
      <c r="Z815" s="79" t="n">
        <v>29.72</v>
      </c>
      <c r="AA815" s="98">
        <f>Y815/Z815</f>
        <v/>
      </c>
      <c r="AB815" s="98">
        <f>(AA815/Y815)*100</f>
        <v/>
      </c>
    </row>
    <row r="816">
      <c r="A816" s="92" t="n">
        <v>815</v>
      </c>
      <c r="B816" s="108" t="n">
        <v>45763</v>
      </c>
      <c r="C816" s="94" t="n">
        <v>41571814.44</v>
      </c>
      <c r="D816" s="98">
        <f>C816/E816</f>
        <v/>
      </c>
      <c r="E816" s="80" t="n">
        <v>85.587</v>
      </c>
      <c r="F816" s="98">
        <f>D816/100000</f>
        <v/>
      </c>
      <c r="G816" s="97">
        <f>(F816/DataSheet!$C$12*100)</f>
        <v/>
      </c>
      <c r="H816" s="98">
        <f>K816/I816</f>
        <v/>
      </c>
      <c r="I816" s="98">
        <f>(J816/L816)*100</f>
        <v/>
      </c>
      <c r="J816" s="97">
        <f>L816/O816</f>
        <v/>
      </c>
      <c r="K816" s="80" t="n">
        <v>6.39</v>
      </c>
      <c r="L816" s="80" t="n">
        <v>23437.2</v>
      </c>
      <c r="M816" s="79" t="n">
        <v>3.47</v>
      </c>
      <c r="N816" s="98">
        <f>K816-I816</f>
        <v/>
      </c>
      <c r="O816" s="79" t="n">
        <v>21.3</v>
      </c>
      <c r="P816" s="80" t="n">
        <v>4.28</v>
      </c>
      <c r="Q816" s="97">
        <f>K816-P816</f>
        <v/>
      </c>
      <c r="R816" s="79" t="n">
        <v>99.143</v>
      </c>
      <c r="S816" s="98">
        <f>(O816*T816)</f>
        <v/>
      </c>
      <c r="T816" s="80" t="n">
        <v>5.93</v>
      </c>
      <c r="U816" s="79" t="n">
        <v>19320.6</v>
      </c>
      <c r="V816" s="80" t="n">
        <v>34.07</v>
      </c>
      <c r="W816" s="98">
        <f>U816/V816</f>
        <v/>
      </c>
      <c r="X816" s="98">
        <f>(W816/U816)*100</f>
        <v/>
      </c>
      <c r="Y816" s="79" t="n">
        <v>15382.45</v>
      </c>
      <c r="Z816" s="79" t="n">
        <v>30</v>
      </c>
      <c r="AA816" s="98">
        <f>Y816/Z816</f>
        <v/>
      </c>
      <c r="AB816" s="98">
        <f>(AA816/Y816)*100</f>
        <v/>
      </c>
    </row>
    <row r="817">
      <c r="A817" s="92" t="n">
        <v>816</v>
      </c>
      <c r="B817" s="108" t="n">
        <v>45764</v>
      </c>
      <c r="C817" s="94" t="n">
        <v>42034029.12</v>
      </c>
      <c r="D817" s="98">
        <f>C817/E817</f>
        <v/>
      </c>
      <c r="E817" s="80" t="n">
        <v>85.38</v>
      </c>
      <c r="F817" s="98">
        <f>D817/100000</f>
        <v/>
      </c>
      <c r="G817" s="97">
        <f>(F817/DataSheet!$C$12*100)</f>
        <v/>
      </c>
      <c r="H817" s="98">
        <f>K817/I817</f>
        <v/>
      </c>
      <c r="I817" s="98">
        <f>(J817/L817)*100</f>
        <v/>
      </c>
      <c r="J817" s="97">
        <f>L817/O817</f>
        <v/>
      </c>
      <c r="K817" s="80" t="n">
        <v>6.37</v>
      </c>
      <c r="L817" s="80" t="n">
        <v>23851.65</v>
      </c>
      <c r="M817" s="79" t="n">
        <v>3.53</v>
      </c>
      <c r="N817" s="98">
        <f>K817-I817</f>
        <v/>
      </c>
      <c r="O817" s="79" t="n">
        <v>21.68</v>
      </c>
      <c r="P817" s="80" t="n">
        <v>4.332</v>
      </c>
      <c r="Q817" s="97">
        <f>K817-P817</f>
        <v/>
      </c>
      <c r="R817" s="79" t="n">
        <v>99.129</v>
      </c>
      <c r="S817" s="98">
        <f>(O817*T817)</f>
        <v/>
      </c>
      <c r="T817" s="80" t="n">
        <v>5.93</v>
      </c>
      <c r="U817" s="79" t="n">
        <v>19433.45</v>
      </c>
      <c r="V817" s="80" t="n">
        <v>34.27</v>
      </c>
      <c r="W817" s="98">
        <f>U817/V817</f>
        <v/>
      </c>
      <c r="X817" s="98">
        <f>(W817/U817)*100</f>
        <v/>
      </c>
      <c r="Y817" s="79" t="n">
        <v>15452.1</v>
      </c>
      <c r="Z817" s="79" t="n">
        <v>30.14</v>
      </c>
      <c r="AA817" s="98">
        <f>Y817/Z817</f>
        <v/>
      </c>
      <c r="AB817" s="98">
        <f>(AA817/Y817)*100</f>
        <v/>
      </c>
    </row>
    <row r="818">
      <c r="A818" s="92" t="n">
        <v>817</v>
      </c>
      <c r="B818" s="108" t="n">
        <v>45768</v>
      </c>
      <c r="C818" s="94" t="n">
        <v>42651251.55</v>
      </c>
      <c r="D818" s="98">
        <f>C818/E818</f>
        <v/>
      </c>
      <c r="E818" s="80" t="n">
        <v>85.17</v>
      </c>
      <c r="F818" s="98">
        <f>D818/100000</f>
        <v/>
      </c>
      <c r="G818" s="97">
        <f>(F818/DataSheet!$C$12*100)</f>
        <v/>
      </c>
      <c r="H818" s="98">
        <f>K818/I818</f>
        <v/>
      </c>
      <c r="I818" s="98">
        <f>(J818/L818)*100</f>
        <v/>
      </c>
      <c r="J818" s="97">
        <f>L818/O818</f>
        <v/>
      </c>
      <c r="K818" s="80" t="n">
        <v>6.32</v>
      </c>
      <c r="L818" s="80" t="n">
        <v>24125.55</v>
      </c>
      <c r="M818" s="79" t="n">
        <v>3.57</v>
      </c>
      <c r="N818" s="98">
        <f>K818-I818</f>
        <v/>
      </c>
      <c r="O818" s="79" t="n">
        <v>21.93</v>
      </c>
      <c r="P818" s="80" t="n">
        <v>4.416</v>
      </c>
      <c r="Q818" s="97">
        <f>K818-P818</f>
        <v/>
      </c>
      <c r="R818" s="79" t="n">
        <v>98.044</v>
      </c>
      <c r="S818" s="98">
        <f>(O818*T818)</f>
        <v/>
      </c>
      <c r="T818" s="80" t="n">
        <v>5.9</v>
      </c>
      <c r="U818" s="79" t="n">
        <v>19863.65</v>
      </c>
      <c r="V818" s="80" t="n">
        <v>35.02</v>
      </c>
      <c r="W818" s="98">
        <f>U818/V818</f>
        <v/>
      </c>
      <c r="X818" s="98">
        <f>(W818/U818)*100</f>
        <v/>
      </c>
      <c r="Y818" s="79" t="n">
        <v>15751.85</v>
      </c>
      <c r="Z818" s="79" t="n">
        <v>30.72</v>
      </c>
      <c r="AA818" s="98">
        <f>Y818/Z818</f>
        <v/>
      </c>
      <c r="AB818" s="98">
        <f>(AA818/Y818)*100</f>
        <v/>
      </c>
    </row>
    <row r="819">
      <c r="A819" s="92" t="n">
        <v>818</v>
      </c>
      <c r="B819" s="108" t="n">
        <v>45769</v>
      </c>
      <c r="C819" s="94" t="n">
        <v>42815583.53</v>
      </c>
      <c r="D819" s="98">
        <f>C819/E819</f>
        <v/>
      </c>
      <c r="E819" s="80" t="n">
        <v>85.18000000000001</v>
      </c>
      <c r="F819" s="98">
        <f>D819/100000</f>
        <v/>
      </c>
      <c r="G819" s="97">
        <f>(F819/DataSheet!$C$12*100)</f>
        <v/>
      </c>
      <c r="H819" s="98">
        <f>K819/I819</f>
        <v/>
      </c>
      <c r="I819" s="98">
        <f>(J819/L819)*100</f>
        <v/>
      </c>
      <c r="J819" s="97">
        <f>L819/O819</f>
        <v/>
      </c>
      <c r="K819" s="80" t="n">
        <v>6.32</v>
      </c>
      <c r="L819" s="80" t="n">
        <v>24167.25</v>
      </c>
      <c r="M819" s="79" t="n">
        <v>3.57</v>
      </c>
      <c r="N819" s="98">
        <f>K819-I819</f>
        <v/>
      </c>
      <c r="O819" s="79" t="n">
        <v>21.97</v>
      </c>
      <c r="P819" s="80" t="n">
        <v>4.4</v>
      </c>
      <c r="Q819" s="97">
        <f>K819-P819</f>
        <v/>
      </c>
      <c r="R819" s="79" t="n">
        <v>98.69</v>
      </c>
      <c r="S819" s="98">
        <f>(O819*T819)</f>
        <v/>
      </c>
      <c r="T819" s="80" t="n">
        <v>5.9</v>
      </c>
      <c r="U819" s="79" t="n">
        <v>20032.3</v>
      </c>
      <c r="V819" s="80" t="n">
        <v>35.32</v>
      </c>
      <c r="W819" s="98">
        <f>U819/V819</f>
        <v/>
      </c>
      <c r="X819" s="98">
        <f>(W819/U819)*100</f>
        <v/>
      </c>
      <c r="Y819" s="79" t="n">
        <v>15878.05</v>
      </c>
      <c r="Z819" s="79" t="n">
        <v>30.97</v>
      </c>
      <c r="AA819" s="98">
        <f>Y819/Z819</f>
        <v/>
      </c>
      <c r="AB819" s="98">
        <f>(AA819/Y819)*100</f>
        <v/>
      </c>
    </row>
    <row r="820">
      <c r="A820" s="92" t="n">
        <v>819</v>
      </c>
      <c r="B820" s="108" t="n">
        <v>45770</v>
      </c>
      <c r="C820" s="94" t="n">
        <v>43127774.14</v>
      </c>
      <c r="D820" s="98">
        <f>C820/E820</f>
        <v/>
      </c>
      <c r="E820" s="80" t="n">
        <v>85.34999999999999</v>
      </c>
      <c r="F820" s="98">
        <f>D820/100000</f>
        <v/>
      </c>
      <c r="G820" s="97">
        <f>(F820/DataSheet!$C$12*100)</f>
        <v/>
      </c>
      <c r="H820" s="98">
        <f>K820/I820</f>
        <v/>
      </c>
      <c r="I820" s="98">
        <f>(J820/L820)*100</f>
        <v/>
      </c>
      <c r="J820" s="97">
        <f>L820/O820</f>
        <v/>
      </c>
      <c r="K820" s="80" t="n">
        <v>6.33</v>
      </c>
      <c r="L820" s="80" t="n">
        <v>24328.95</v>
      </c>
      <c r="M820" s="79" t="n">
        <v>3.6</v>
      </c>
      <c r="N820" s="98">
        <f>K820-I820</f>
        <v/>
      </c>
      <c r="O820" s="79" t="n">
        <v>21.99</v>
      </c>
      <c r="P820" s="80" t="n">
        <v>4.384</v>
      </c>
      <c r="Q820" s="97">
        <f>K820-P820</f>
        <v/>
      </c>
      <c r="R820" s="79" t="n">
        <v>99.636</v>
      </c>
      <c r="S820" s="98">
        <f>(O820*T820)</f>
        <v/>
      </c>
      <c r="T820" s="80" t="n">
        <v>5.9</v>
      </c>
      <c r="U820" s="79" t="n">
        <v>20229.05</v>
      </c>
      <c r="V820" s="80" t="n">
        <v>35.59</v>
      </c>
      <c r="W820" s="98">
        <f>U820/V820</f>
        <v/>
      </c>
      <c r="X820" s="98">
        <f>(W820/U820)*100</f>
        <v/>
      </c>
      <c r="Y820" s="79" t="n">
        <v>15923.2</v>
      </c>
      <c r="Z820" s="79" t="n">
        <v>31.04</v>
      </c>
      <c r="AA820" s="98">
        <f>Y820/Z820</f>
        <v/>
      </c>
      <c r="AB820" s="98">
        <f>(AA820/Y820)*100</f>
        <v/>
      </c>
    </row>
    <row r="821">
      <c r="A821" s="92" t="n">
        <v>820</v>
      </c>
      <c r="B821" s="108" t="n">
        <v>45771</v>
      </c>
      <c r="C821" s="94" t="n">
        <v>43042123.19</v>
      </c>
      <c r="D821" s="98">
        <f>C821/E821</f>
        <v/>
      </c>
      <c r="E821" s="80" t="n">
        <v>85.32599999999999</v>
      </c>
      <c r="F821" s="98">
        <f>D821/100000</f>
        <v/>
      </c>
      <c r="G821" s="97">
        <f>(F821/DataSheet!$C$12*100)</f>
        <v/>
      </c>
      <c r="H821" s="98">
        <f>K821/I821</f>
        <v/>
      </c>
      <c r="I821" s="98">
        <f>(J821/L821)*100</f>
        <v/>
      </c>
      <c r="J821" s="97">
        <f>L821/O821</f>
        <v/>
      </c>
      <c r="K821" s="80" t="n">
        <v>6.32</v>
      </c>
      <c r="L821" s="80" t="n">
        <v>24246.7</v>
      </c>
      <c r="M821" s="79" t="n">
        <v>3.59</v>
      </c>
      <c r="N821" s="98">
        <f>K821-I821</f>
        <v/>
      </c>
      <c r="O821" s="79" t="n">
        <v>21.91</v>
      </c>
      <c r="P821" s="80" t="n">
        <v>4.314</v>
      </c>
      <c r="Q821" s="97">
        <f>K821-P821</f>
        <v/>
      </c>
      <c r="R821" s="79" t="n">
        <v>99.16800000000001</v>
      </c>
      <c r="S821" s="98">
        <f>(O821*T821)</f>
        <v/>
      </c>
      <c r="T821" s="80" t="n">
        <v>5.88</v>
      </c>
      <c r="U821" s="79" t="n">
        <v>20194.4</v>
      </c>
      <c r="V821" s="80" t="n">
        <v>35.54</v>
      </c>
      <c r="W821" s="98">
        <f>U821/V821</f>
        <v/>
      </c>
      <c r="X821" s="98">
        <f>(W821/U821)*100</f>
        <v/>
      </c>
      <c r="Y821" s="79" t="n">
        <v>15915.25</v>
      </c>
      <c r="Z821" s="79" t="n">
        <v>31.02</v>
      </c>
      <c r="AA821" s="98">
        <f>Y821/Z821</f>
        <v/>
      </c>
      <c r="AB821" s="98">
        <f>(AA821/Y821)*100</f>
        <v/>
      </c>
    </row>
    <row r="822">
      <c r="A822" s="92" t="n">
        <v>821</v>
      </c>
      <c r="B822" s="108" t="n">
        <v>45772</v>
      </c>
      <c r="C822" s="94" t="n">
        <v>42247389.77</v>
      </c>
      <c r="D822" s="98">
        <f>C822/E822</f>
        <v/>
      </c>
      <c r="E822" s="80" t="n">
        <v>85.38500000000001</v>
      </c>
      <c r="F822" s="98">
        <f>D822/100000</f>
        <v/>
      </c>
      <c r="G822" s="97">
        <f>(F822/DataSheet!$C$12*100)</f>
        <v/>
      </c>
      <c r="H822" s="98">
        <f>K822/I822</f>
        <v/>
      </c>
      <c r="I822" s="98">
        <f>(J822/L822)*100</f>
        <v/>
      </c>
      <c r="J822" s="97">
        <f>L822/O822</f>
        <v/>
      </c>
      <c r="K822" s="80" t="n">
        <v>6.36</v>
      </c>
      <c r="L822" s="80" t="n">
        <v>24039.35</v>
      </c>
      <c r="M822" s="79" t="n">
        <v>3.56</v>
      </c>
      <c r="N822" s="98">
        <f>K822-I822</f>
        <v/>
      </c>
      <c r="O822" s="79" t="n">
        <v>21.72</v>
      </c>
      <c r="P822" s="80" t="n">
        <v>4.254</v>
      </c>
      <c r="Q822" s="97">
        <f>K822-P822</f>
        <v/>
      </c>
      <c r="R822" s="79" t="n">
        <v>99.254</v>
      </c>
      <c r="S822" s="98">
        <f>(O822*T822)</f>
        <v/>
      </c>
      <c r="T822" s="80" t="n">
        <v>5.9</v>
      </c>
      <c r="U822" s="79" t="n">
        <v>19694.85</v>
      </c>
      <c r="V822" s="80" t="n">
        <v>34.58</v>
      </c>
      <c r="W822" s="98">
        <f>U822/V822</f>
        <v/>
      </c>
      <c r="X822" s="98">
        <f>(W822/U822)*100</f>
        <v/>
      </c>
      <c r="Y822" s="79" t="n">
        <v>15524.15</v>
      </c>
      <c r="Z822" s="79" t="n">
        <v>30.26</v>
      </c>
      <c r="AA822" s="98">
        <f>Y822/Z822</f>
        <v/>
      </c>
      <c r="AB822" s="98">
        <f>(AA822/Y822)*100</f>
        <v/>
      </c>
    </row>
    <row r="823">
      <c r="A823" s="92" t="n">
        <v>822</v>
      </c>
      <c r="B823" s="108" t="n">
        <v>45775</v>
      </c>
      <c r="C823" s="94" t="n">
        <v>42680933.22</v>
      </c>
      <c r="D823" s="98">
        <f>C823/E823</f>
        <v/>
      </c>
      <c r="E823" s="80" t="n">
        <v>85.163</v>
      </c>
      <c r="F823" s="98">
        <f>D823/100000</f>
        <v/>
      </c>
      <c r="G823" s="97">
        <f>(F823/DataSheet!$C$12*100)</f>
        <v/>
      </c>
      <c r="H823" s="98">
        <f>K823/I823</f>
        <v/>
      </c>
      <c r="I823" s="98">
        <f>(J823/L823)*100</f>
        <v/>
      </c>
      <c r="J823" s="97">
        <f>L823/O823</f>
        <v/>
      </c>
      <c r="K823" s="80" t="n">
        <v>6.39</v>
      </c>
      <c r="L823" s="80" t="n">
        <v>24328.5</v>
      </c>
      <c r="M823" s="79" t="n">
        <v>3.6</v>
      </c>
      <c r="N823" s="98">
        <f>K823-I823</f>
        <v/>
      </c>
      <c r="O823" s="79" t="n">
        <v>21.97</v>
      </c>
      <c r="P823" s="80" t="n">
        <v>4.205</v>
      </c>
      <c r="Q823" s="97">
        <f>K823-P823</f>
        <v/>
      </c>
      <c r="R823" s="79" t="n">
        <v>98.789</v>
      </c>
      <c r="S823" s="98">
        <f>(O823*T823)</f>
        <v/>
      </c>
      <c r="T823" s="80" t="n">
        <v>5.88</v>
      </c>
      <c r="U823" s="79" t="n">
        <v>19966.7</v>
      </c>
      <c r="V823" s="80" t="n">
        <v>35.08</v>
      </c>
      <c r="W823" s="98">
        <f>U823/V823</f>
        <v/>
      </c>
      <c r="X823" s="98">
        <f>(W823/U823)*100</f>
        <v/>
      </c>
      <c r="Y823" s="79" t="n">
        <v>15607.15</v>
      </c>
      <c r="Z823" s="79" t="n">
        <v>30.32</v>
      </c>
      <c r="AA823" s="98">
        <f>Y823/Z823</f>
        <v/>
      </c>
      <c r="AB823" s="98">
        <f>(AA823/Y823)*100</f>
        <v/>
      </c>
    </row>
    <row r="824">
      <c r="A824" s="92" t="n">
        <v>823</v>
      </c>
      <c r="B824" s="108" t="n">
        <v>45776</v>
      </c>
      <c r="C824" s="94" t="n">
        <v>42694248.69</v>
      </c>
      <c r="D824" s="98">
        <f>C824/E824</f>
        <v/>
      </c>
      <c r="E824" s="80" t="n">
        <v>85.155</v>
      </c>
      <c r="F824" s="98">
        <f>D824/100000</f>
        <v/>
      </c>
      <c r="G824" s="97">
        <f>(F824/DataSheet!$C$12*100)</f>
        <v/>
      </c>
      <c r="H824" s="98">
        <f>K824/I824</f>
        <v/>
      </c>
      <c r="I824" s="98">
        <f>(J824/L824)*100</f>
        <v/>
      </c>
      <c r="J824" s="97">
        <f>L824/O824</f>
        <v/>
      </c>
      <c r="K824" s="80" t="n">
        <v>6.34</v>
      </c>
      <c r="L824" s="80" t="n">
        <v>24335.95</v>
      </c>
      <c r="M824" s="79" t="n">
        <v>3.6</v>
      </c>
      <c r="N824" s="98">
        <f>K824-I824</f>
        <v/>
      </c>
      <c r="O824" s="79" t="n">
        <v>21.94</v>
      </c>
      <c r="P824" s="80" t="n">
        <v>4.171</v>
      </c>
      <c r="Q824" s="97">
        <f>K824-P824</f>
        <v/>
      </c>
      <c r="R824" s="79" t="n">
        <v>99.018</v>
      </c>
      <c r="S824" s="98">
        <f>(O824*T824)</f>
        <v/>
      </c>
      <c r="T824" s="80" t="n">
        <v>5.88</v>
      </c>
      <c r="U824" s="79" t="n">
        <v>20009.05</v>
      </c>
      <c r="V824" s="80" t="n">
        <v>35.33</v>
      </c>
      <c r="W824" s="98">
        <f>U824/V824</f>
        <v/>
      </c>
      <c r="X824" s="98">
        <f>(W824/U824)*100</f>
        <v/>
      </c>
      <c r="Y824" s="79" t="n">
        <v>15639.7</v>
      </c>
      <c r="Z824" s="79" t="n">
        <v>30.43</v>
      </c>
      <c r="AA824" s="98">
        <f>Y824/Z824</f>
        <v/>
      </c>
      <c r="AB824" s="98">
        <f>(AA824/Y824)*100</f>
        <v/>
      </c>
    </row>
    <row r="825">
      <c r="A825" s="92" t="n">
        <v>824</v>
      </c>
      <c r="B825" s="108" t="n">
        <v>45777</v>
      </c>
      <c r="C825" s="94" t="n">
        <v>42413092.6</v>
      </c>
      <c r="D825" s="98">
        <f>C825/E825</f>
        <v/>
      </c>
      <c r="E825" s="80" t="n">
        <v>84.599</v>
      </c>
      <c r="F825" s="98">
        <f>D825/100000</f>
        <v/>
      </c>
      <c r="G825" s="97">
        <f>(F825/DataSheet!$C$12*100)</f>
        <v/>
      </c>
      <c r="H825" s="98">
        <f>K825/I825</f>
        <v/>
      </c>
      <c r="I825" s="98">
        <f>(J825/L825)*100</f>
        <v/>
      </c>
      <c r="J825" s="97">
        <f>L825/O825</f>
        <v/>
      </c>
      <c r="K825" s="80" t="n">
        <v>6.35</v>
      </c>
      <c r="L825" s="80" t="n">
        <v>24334.2</v>
      </c>
      <c r="M825" s="79" t="n">
        <v>3.6</v>
      </c>
      <c r="N825" s="98">
        <f>K825-I825</f>
        <v/>
      </c>
      <c r="O825" s="79" t="n">
        <v>21.94</v>
      </c>
      <c r="P825" s="80" t="n">
        <v>4.167</v>
      </c>
      <c r="Q825" s="97">
        <f>K825-P825</f>
        <v/>
      </c>
      <c r="R825" s="79" t="n">
        <v>99.27</v>
      </c>
      <c r="S825" s="98">
        <f>(O825*T825)</f>
        <v/>
      </c>
      <c r="T825" s="80" t="n">
        <v>5.9</v>
      </c>
      <c r="U825" s="79" t="n">
        <v>19873.15</v>
      </c>
      <c r="V825" s="80" t="n">
        <v>34.01</v>
      </c>
      <c r="W825" s="98">
        <f>U825/V825</f>
        <v/>
      </c>
      <c r="X825" s="98">
        <f>(W825/U825)*100</f>
        <v/>
      </c>
      <c r="Y825" s="79" t="n">
        <v>15359.45</v>
      </c>
      <c r="Z825" s="79" t="n">
        <v>30.04</v>
      </c>
      <c r="AA825" s="98">
        <f>Y825/Z825</f>
        <v/>
      </c>
      <c r="AB825" s="98">
        <f>(AA825/Y825)*100</f>
        <v/>
      </c>
    </row>
    <row r="826">
      <c r="A826" s="92" t="n">
        <v>825</v>
      </c>
      <c r="B826" s="108" t="n">
        <v>45779</v>
      </c>
      <c r="C826" s="94" t="n">
        <v>42357227.19</v>
      </c>
      <c r="D826" s="98">
        <f>C826/E826</f>
        <v/>
      </c>
      <c r="E826" s="80" t="n">
        <v>84.527</v>
      </c>
      <c r="F826" s="98">
        <f>D826/100000</f>
        <v/>
      </c>
      <c r="G826" s="97">
        <f>(F826/DataSheet!$C$12*100)</f>
        <v/>
      </c>
      <c r="H826" s="98">
        <f>K826/I826</f>
        <v/>
      </c>
      <c r="I826" s="98">
        <f>(J826/L826)*100</f>
        <v/>
      </c>
      <c r="J826" s="97">
        <f>L826/O826</f>
        <v/>
      </c>
      <c r="K826" s="80" t="n">
        <v>6.35</v>
      </c>
      <c r="L826" s="80" t="n">
        <v>24346.7</v>
      </c>
      <c r="M826" s="79" t="n">
        <v>3.6</v>
      </c>
      <c r="N826" s="98">
        <f>K826-I826</f>
        <v/>
      </c>
      <c r="O826" s="79" t="n">
        <v>21.95</v>
      </c>
      <c r="P826" s="80" t="n">
        <v>4.307</v>
      </c>
      <c r="Q826" s="97">
        <f>K826-P826</f>
        <v/>
      </c>
      <c r="R826" s="79" t="n">
        <v>99.84</v>
      </c>
      <c r="S826" s="98">
        <f>(O826*T826)</f>
        <v/>
      </c>
      <c r="T826" s="80" t="n">
        <v>5.89</v>
      </c>
      <c r="U826" s="79" t="n">
        <v>19738.1</v>
      </c>
      <c r="V826" s="80" t="n">
        <v>33.78</v>
      </c>
      <c r="W826" s="98">
        <f>U826/V826</f>
        <v/>
      </c>
      <c r="X826" s="98">
        <f>(W826/U826)*100</f>
        <v/>
      </c>
      <c r="Y826" s="79" t="n">
        <v>15354.35</v>
      </c>
      <c r="Z826" s="79" t="n">
        <v>30.03</v>
      </c>
      <c r="AA826" s="98">
        <f>Y826/Z826</f>
        <v/>
      </c>
      <c r="AB826" s="98">
        <f>(AA826/Y826)*100</f>
        <v/>
      </c>
    </row>
    <row r="827">
      <c r="A827" s="92" t="n">
        <v>826</v>
      </c>
      <c r="B827" s="108" t="n">
        <v>45782</v>
      </c>
      <c r="C827" s="94" t="n">
        <v>42814518.22</v>
      </c>
      <c r="D827" s="98">
        <f>C827/E827</f>
        <v/>
      </c>
      <c r="E827" s="80" t="n">
        <v>84.295</v>
      </c>
      <c r="F827" s="98">
        <f>D827/100000</f>
        <v/>
      </c>
      <c r="G827" s="97">
        <f>(F827/DataSheet!$C$12*100)</f>
        <v/>
      </c>
      <c r="H827" s="98">
        <f>K827/I827</f>
        <v/>
      </c>
      <c r="I827" s="98">
        <f>(J827/L827)*100</f>
        <v/>
      </c>
      <c r="J827" s="97">
        <f>L827/O827</f>
        <v/>
      </c>
      <c r="K827" s="80" t="n">
        <v>6.419</v>
      </c>
      <c r="L827" s="80" t="n">
        <v>24461.15</v>
      </c>
      <c r="M827" s="79" t="n">
        <v>3.62</v>
      </c>
      <c r="N827" s="98">
        <f>K827-I827</f>
        <v/>
      </c>
      <c r="O827" s="79" t="n">
        <v>21.99</v>
      </c>
      <c r="P827" s="80" t="n">
        <v>4.348</v>
      </c>
      <c r="Q827" s="97">
        <f>K827-P827</f>
        <v/>
      </c>
      <c r="R827" s="79" t="n">
        <v>99.64</v>
      </c>
      <c r="S827" s="98">
        <f>(O827*T827)</f>
        <v/>
      </c>
      <c r="T827" s="80" t="n">
        <v>5.89</v>
      </c>
      <c r="U827" s="79" t="n">
        <v>20049.15</v>
      </c>
      <c r="V827" s="80" t="n">
        <v>34.21</v>
      </c>
      <c r="W827" s="98">
        <f>U827/V827</f>
        <v/>
      </c>
      <c r="X827" s="98">
        <f>(W827/U827)*100</f>
        <v/>
      </c>
      <c r="Y827" s="79" t="n">
        <v>15528.3</v>
      </c>
      <c r="Z827" s="79" t="n">
        <v>30.54</v>
      </c>
      <c r="AA827" s="98">
        <f>Y827/Z827</f>
        <v/>
      </c>
      <c r="AB827" s="98">
        <f>(AA827/Y827)*100</f>
        <v/>
      </c>
    </row>
    <row r="828">
      <c r="A828" s="92" t="n">
        <v>827</v>
      </c>
      <c r="B828" s="93" t="n">
        <v>45783</v>
      </c>
      <c r="C828" s="104" t="n">
        <v>42205723.8</v>
      </c>
      <c r="D828" s="98">
        <f>C828/E828</f>
        <v/>
      </c>
      <c r="E828" s="79" t="n">
        <v>84.30500000000001</v>
      </c>
      <c r="F828" s="98">
        <f>D828/100000</f>
        <v/>
      </c>
      <c r="G828" s="97">
        <f>(F828/DataSheet!$C$12*100)</f>
        <v/>
      </c>
      <c r="H828" s="98">
        <f>K828/I828</f>
        <v/>
      </c>
      <c r="I828" s="98">
        <f>(J828/L828)*100</f>
        <v/>
      </c>
      <c r="J828" s="97">
        <f>L828/O828</f>
        <v/>
      </c>
      <c r="K828" s="80" t="n">
        <v>6.337</v>
      </c>
      <c r="L828" s="79" t="n">
        <v>24379.6</v>
      </c>
      <c r="M828" s="80" t="n">
        <v>3.61</v>
      </c>
      <c r="N828" s="98">
        <f>K828-I828</f>
        <v/>
      </c>
      <c r="O828" s="80" t="n">
        <v>21.95</v>
      </c>
      <c r="P828" s="80" t="n">
        <v>4.298</v>
      </c>
      <c r="Q828" s="97">
        <f>K828-P828</f>
        <v/>
      </c>
      <c r="R828" s="79" t="n">
        <v>99.047</v>
      </c>
      <c r="S828" s="98">
        <f>(O828*T828)</f>
        <v/>
      </c>
      <c r="U828" s="80" t="n">
        <v>19646.2</v>
      </c>
      <c r="V828" s="79" t="n">
        <v>33.47</v>
      </c>
      <c r="W828" s="98">
        <f>U828/V828</f>
        <v/>
      </c>
      <c r="X828" s="98">
        <f>(W828/U828)*100</f>
        <v/>
      </c>
      <c r="Y828" s="80" t="n">
        <v>15181.45</v>
      </c>
      <c r="Z828" s="79" t="n">
        <v>29.89</v>
      </c>
      <c r="AA828" s="98">
        <f>Y828/Z828</f>
        <v/>
      </c>
      <c r="AB828" s="98">
        <f>(AA828/Y828)*100</f>
        <v/>
      </c>
    </row>
    <row r="829">
      <c r="A829" s="92" t="n">
        <v>828</v>
      </c>
      <c r="B829" s="93" t="n">
        <v>45784</v>
      </c>
      <c r="C829" s="104" t="n">
        <v>42420124.81</v>
      </c>
      <c r="D829" s="98">
        <f>C829/E829</f>
        <v/>
      </c>
      <c r="E829" s="79" t="n">
        <v>84.721</v>
      </c>
      <c r="F829" s="98">
        <f>D829/100000</f>
        <v/>
      </c>
      <c r="G829" s="97">
        <f>(F829/DataSheet!$C$12*100)</f>
        <v/>
      </c>
      <c r="H829" s="98">
        <f>K829/I829</f>
        <v/>
      </c>
      <c r="I829" s="98">
        <f>(J829/L829)*100</f>
        <v/>
      </c>
      <c r="J829" s="97">
        <f>L829/O829</f>
        <v/>
      </c>
      <c r="K829" s="80" t="n">
        <v>6.395</v>
      </c>
      <c r="L829" s="79" t="n">
        <v>24414.4</v>
      </c>
      <c r="M829" s="80" t="n">
        <v>3.61</v>
      </c>
      <c r="N829" s="98">
        <f>K829-I829</f>
        <v/>
      </c>
      <c r="O829" s="80" t="n">
        <v>21.99</v>
      </c>
      <c r="P829" s="80" t="n">
        <v>4.268</v>
      </c>
      <c r="Q829" s="97">
        <f>K829-P829</f>
        <v/>
      </c>
      <c r="R829" s="79" t="n">
        <v>99.435</v>
      </c>
      <c r="S829" s="98">
        <f>(O829*T829)</f>
        <v/>
      </c>
      <c r="U829" s="80" t="n">
        <v>19943.65</v>
      </c>
      <c r="V829" s="79" t="n">
        <v>33.95</v>
      </c>
      <c r="W829" s="98">
        <f>U829/V829</f>
        <v/>
      </c>
      <c r="X829" s="98">
        <f>(W829/U829)*100</f>
        <v/>
      </c>
      <c r="Y829" s="80" t="n">
        <v>15362.7</v>
      </c>
      <c r="Z829" s="79" t="n">
        <v>30.23</v>
      </c>
      <c r="AA829" s="98">
        <f>Y829/Z829</f>
        <v/>
      </c>
      <c r="AB829" s="98">
        <f>(AA829/Y829)*100</f>
        <v/>
      </c>
    </row>
    <row r="830">
      <c r="A830" s="92" t="n">
        <v>829</v>
      </c>
      <c r="B830" s="93" t="n">
        <v>45785</v>
      </c>
      <c r="C830" s="104" t="n">
        <v>41934056.71</v>
      </c>
      <c r="D830" s="98">
        <f>C830/E830</f>
        <v/>
      </c>
      <c r="E830" s="79" t="n">
        <v>85.536</v>
      </c>
      <c r="F830" s="98">
        <f>D830/100000</f>
        <v/>
      </c>
      <c r="G830" s="97">
        <f>(F830/DataSheet!$C$12*100)</f>
        <v/>
      </c>
      <c r="H830" s="98">
        <f>K830/I830</f>
        <v/>
      </c>
      <c r="I830" s="98">
        <f>(J830/L830)*100</f>
        <v/>
      </c>
      <c r="J830" s="97">
        <f>L830/O830</f>
        <v/>
      </c>
      <c r="K830" s="80" t="n">
        <v>6.377</v>
      </c>
      <c r="L830" s="79" t="n">
        <v>24273.8</v>
      </c>
      <c r="M830" s="80" t="n">
        <v>3.59</v>
      </c>
      <c r="N830" s="98">
        <f>K830-I830</f>
        <v/>
      </c>
      <c r="O830" s="80" t="n">
        <v>21.86</v>
      </c>
      <c r="P830" s="80" t="n">
        <v>4.379</v>
      </c>
      <c r="Q830" s="97">
        <f>K830-P830</f>
        <v/>
      </c>
      <c r="R830" s="79" t="n">
        <v>100.49</v>
      </c>
      <c r="S830" s="98">
        <f>(O830*T830)</f>
        <v/>
      </c>
      <c r="U830" s="80" t="n">
        <v>19591.8</v>
      </c>
      <c r="V830" s="79" t="n">
        <v>33.2</v>
      </c>
      <c r="W830" s="98">
        <f>U830/V830</f>
        <v/>
      </c>
      <c r="X830" s="98">
        <f>(W830/U830)*100</f>
        <v/>
      </c>
      <c r="Y830" s="80" t="n">
        <v>15180.45</v>
      </c>
      <c r="Z830" s="79" t="n">
        <v>29.87</v>
      </c>
      <c r="AA830" s="98">
        <f>Y830/Z830</f>
        <v/>
      </c>
      <c r="AB830" s="98">
        <f>(AA830/Y830)*100</f>
        <v/>
      </c>
    </row>
    <row r="831">
      <c r="A831" s="92" t="n">
        <v>830</v>
      </c>
      <c r="B831" s="93" t="n">
        <v>45786</v>
      </c>
      <c r="C831" s="104" t="n">
        <v>41701115.92</v>
      </c>
      <c r="D831" s="98">
        <f>C831/E831</f>
        <v/>
      </c>
      <c r="E831" s="79" t="n">
        <v>85.40900000000001</v>
      </c>
      <c r="F831" s="98">
        <f>D831/100000</f>
        <v/>
      </c>
      <c r="G831" s="97">
        <f>(F831/DataSheet!$C$12*100)</f>
        <v/>
      </c>
      <c r="H831" s="98">
        <f>K831/I831</f>
        <v/>
      </c>
      <c r="I831" s="98">
        <f>(J831/L831)*100</f>
        <v/>
      </c>
      <c r="J831" s="97">
        <f>L831/O831</f>
        <v/>
      </c>
      <c r="K831" s="80" t="n">
        <v>6.377</v>
      </c>
      <c r="L831" s="79" t="n">
        <v>24008</v>
      </c>
      <c r="M831" s="80" t="n">
        <v>3.55</v>
      </c>
      <c r="N831" s="98">
        <f>K831-I831</f>
        <v/>
      </c>
      <c r="O831" s="80" t="n">
        <v>21.62</v>
      </c>
      <c r="P831" s="80" t="n">
        <v>4.381</v>
      </c>
      <c r="Q831" s="97">
        <f>K831-P831</f>
        <v/>
      </c>
      <c r="R831" s="79" t="n">
        <v>100.168</v>
      </c>
      <c r="S831" s="98">
        <f>(O831*T831)</f>
        <v/>
      </c>
      <c r="U831" s="80" t="n">
        <v>19596.25</v>
      </c>
      <c r="V831" s="79" t="n">
        <v>33.16</v>
      </c>
      <c r="W831" s="98">
        <f>U831/V831</f>
        <v/>
      </c>
      <c r="X831" s="98">
        <f>(W831/U831)*100</f>
        <v/>
      </c>
      <c r="Y831" s="80" t="n">
        <v>15080.45</v>
      </c>
      <c r="Z831" s="79" t="n">
        <v>29.42</v>
      </c>
      <c r="AA831" s="98">
        <f>Y831/Z831</f>
        <v/>
      </c>
      <c r="AB831" s="98">
        <f>(AA831/Y831)*100</f>
        <v/>
      </c>
    </row>
    <row r="832">
      <c r="A832" s="92" t="n">
        <v>831</v>
      </c>
      <c r="B832" s="93" t="n">
        <v>45789</v>
      </c>
      <c r="C832" s="104" t="n">
        <v>43313429.28</v>
      </c>
      <c r="D832" s="98">
        <f>C832/E832</f>
        <v/>
      </c>
      <c r="E832" s="79" t="n">
        <v>84.88500000000001</v>
      </c>
      <c r="F832" s="98">
        <f>D832/100000</f>
        <v/>
      </c>
      <c r="G832" s="97">
        <f>(F832/DataSheet!$C$12*100)</f>
        <v/>
      </c>
      <c r="H832" s="98">
        <f>K832/I832</f>
        <v/>
      </c>
      <c r="I832" s="98">
        <f>(J832/L832)*100</f>
        <v/>
      </c>
      <c r="J832" s="97">
        <f>L832/O832</f>
        <v/>
      </c>
      <c r="K832" s="80" t="n">
        <v>6.285</v>
      </c>
      <c r="L832" s="79" t="n">
        <v>24924.7</v>
      </c>
      <c r="M832" s="80" t="n">
        <v>3.69</v>
      </c>
      <c r="N832" s="98">
        <f>K832-I832</f>
        <v/>
      </c>
      <c r="O832" s="80" t="n">
        <v>22.43</v>
      </c>
      <c r="P832" s="80" t="n">
        <v>4.472</v>
      </c>
      <c r="Q832" s="97">
        <f>K832-P832</f>
        <v/>
      </c>
      <c r="R832" s="79" t="n">
        <v>101.599</v>
      </c>
      <c r="S832" s="98">
        <f>(O832*T832)</f>
        <v/>
      </c>
      <c r="U832" s="80" t="n">
        <v>20331.5</v>
      </c>
      <c r="V832" s="79" t="n">
        <v>34.4</v>
      </c>
      <c r="W832" s="98">
        <f>U832/V832</f>
        <v/>
      </c>
      <c r="X832" s="98">
        <f>(W832/U832)*100</f>
        <v/>
      </c>
      <c r="Y832" s="80" t="n">
        <v>15684.2</v>
      </c>
      <c r="Z832" s="79" t="n">
        <v>30.61</v>
      </c>
      <c r="AA832" s="98">
        <f>Y832/Z832</f>
        <v/>
      </c>
      <c r="AB832" s="98">
        <f>(AA832/Y832)*100</f>
        <v/>
      </c>
    </row>
    <row r="833">
      <c r="A833" s="92" t="n">
        <v>832</v>
      </c>
      <c r="B833" s="93" t="n">
        <v>45790</v>
      </c>
      <c r="C833" s="104" t="n">
        <v>43184842.46</v>
      </c>
      <c r="D833" s="98">
        <f>C833/E833</f>
        <v/>
      </c>
      <c r="E833" s="79" t="n">
        <v>85.27500000000001</v>
      </c>
      <c r="F833" s="98">
        <f>D833/100000</f>
        <v/>
      </c>
      <c r="G833" s="97">
        <f>(F833/DataSheet!$C$12*100)</f>
        <v/>
      </c>
      <c r="H833" s="98">
        <f>K833/I833</f>
        <v/>
      </c>
      <c r="I833" s="98">
        <f>(J833/L833)*100</f>
        <v/>
      </c>
      <c r="J833" s="97">
        <f>L833/O833</f>
        <v/>
      </c>
      <c r="K833" s="80" t="n">
        <v>6.242</v>
      </c>
      <c r="L833" s="79" t="n">
        <v>24578.35</v>
      </c>
      <c r="M833" s="80" t="n">
        <v>3.64</v>
      </c>
      <c r="N833" s="98">
        <f>K833-I833</f>
        <v/>
      </c>
      <c r="O833" s="80" t="n">
        <v>22.08</v>
      </c>
      <c r="P833" s="80" t="n">
        <v>4.47</v>
      </c>
      <c r="Q833" s="97">
        <f>K833-P833</f>
        <v/>
      </c>
      <c r="R833" s="79" t="n">
        <v>100.826</v>
      </c>
      <c r="S833" s="98">
        <f>(O833*T833)</f>
        <v/>
      </c>
      <c r="U833" s="80" t="n">
        <v>20379.3</v>
      </c>
      <c r="V833" s="79" t="n">
        <v>34.18</v>
      </c>
      <c r="W833" s="98">
        <f>U833/V833</f>
        <v/>
      </c>
      <c r="X833" s="98">
        <f>(W833/U833)*100</f>
        <v/>
      </c>
      <c r="Y833" s="80" t="n">
        <v>15815.45</v>
      </c>
      <c r="Z833" s="79" t="n">
        <v>31.03</v>
      </c>
      <c r="AA833" s="98">
        <f>Y833/Z833</f>
        <v/>
      </c>
      <c r="AB833" s="98">
        <f>(AA833/Y833)*100</f>
        <v/>
      </c>
    </row>
    <row r="834">
      <c r="A834" s="92" t="n">
        <v>833</v>
      </c>
      <c r="B834" s="93" t="n">
        <v>45791</v>
      </c>
      <c r="C834" s="104" t="n">
        <v>43564124.12</v>
      </c>
      <c r="D834" s="98">
        <f>C834/E834</f>
        <v/>
      </c>
      <c r="E834" s="79" t="n">
        <v>85.395</v>
      </c>
      <c r="F834" s="98">
        <f>D834/100000</f>
        <v/>
      </c>
      <c r="G834" s="97">
        <f>(F834/DataSheet!$C$12*100)</f>
        <v/>
      </c>
      <c r="H834" s="98">
        <f>K834/I834</f>
        <v/>
      </c>
      <c r="I834" s="98">
        <f>(J834/L834)*100</f>
        <v/>
      </c>
      <c r="J834" s="97">
        <f>L834/O834</f>
        <v/>
      </c>
      <c r="K834" s="80" t="n">
        <v>6.231</v>
      </c>
      <c r="L834" s="79" t="n">
        <v>24666.9</v>
      </c>
      <c r="M834" s="80" t="n">
        <v>3.65</v>
      </c>
      <c r="N834" s="98">
        <f>K834-I834</f>
        <v/>
      </c>
      <c r="O834" s="80" t="n">
        <v>22.14</v>
      </c>
      <c r="P834" s="80" t="n">
        <v>4.541</v>
      </c>
      <c r="Q834" s="97">
        <f>K834-P834</f>
        <v/>
      </c>
      <c r="R834" s="79" t="n">
        <v>100.873</v>
      </c>
      <c r="S834" s="98">
        <f>(O834*T834)</f>
        <v/>
      </c>
      <c r="U834" s="80" t="n">
        <v>20637.9</v>
      </c>
      <c r="V834" s="79" t="n">
        <v>34.34</v>
      </c>
      <c r="W834" s="98">
        <f>U834/V834</f>
        <v/>
      </c>
      <c r="X834" s="98">
        <f>(W834/U834)*100</f>
        <v/>
      </c>
      <c r="Y834" s="80" t="n">
        <v>16038.3</v>
      </c>
      <c r="Z834" s="79" t="n">
        <v>31.47</v>
      </c>
      <c r="AA834" s="98">
        <f>Y834/Z834</f>
        <v/>
      </c>
      <c r="AB834" s="98">
        <f>(AA834/Y834)*100</f>
        <v/>
      </c>
    </row>
    <row r="835">
      <c r="A835" s="92" t="n">
        <v>834</v>
      </c>
      <c r="B835" s="93" t="n">
        <v>45792</v>
      </c>
      <c r="C835" s="104" t="n">
        <v>44097971.97</v>
      </c>
      <c r="D835" s="98">
        <f>C835/E835</f>
        <v/>
      </c>
      <c r="E835" s="79" t="n">
        <v>85.54600000000001</v>
      </c>
      <c r="F835" s="98">
        <f>D835/100000</f>
        <v/>
      </c>
      <c r="G835" s="97">
        <f>(F835/DataSheet!$C$12*100)</f>
        <v/>
      </c>
      <c r="H835" s="98">
        <f>K835/I835</f>
        <v/>
      </c>
      <c r="I835" s="98">
        <f>(J835/L835)*100</f>
        <v/>
      </c>
      <c r="J835" s="97">
        <f>L835/O835</f>
        <v/>
      </c>
      <c r="K835" s="80" t="n">
        <v>6.22</v>
      </c>
      <c r="L835" s="79" t="n">
        <v>25062.1</v>
      </c>
      <c r="M835" s="80" t="n">
        <v>3.71</v>
      </c>
      <c r="N835" s="98">
        <f>K835-I835</f>
        <v/>
      </c>
      <c r="O835" s="80" t="n">
        <v>22.43</v>
      </c>
      <c r="P835" s="80" t="n">
        <v>4.431</v>
      </c>
      <c r="Q835" s="97">
        <f>K835-P835</f>
        <v/>
      </c>
      <c r="R835" s="79" t="n">
        <v>100.729</v>
      </c>
      <c r="S835" s="98">
        <f>(O835*T835)</f>
        <v/>
      </c>
      <c r="U835" s="80" t="n">
        <v>20781.15</v>
      </c>
      <c r="V835" s="79" t="n">
        <v>34.59</v>
      </c>
      <c r="W835" s="98">
        <f>U835/V835</f>
        <v/>
      </c>
      <c r="X835" s="98">
        <f>(W835/U835)*100</f>
        <v/>
      </c>
      <c r="Y835" s="80" t="n">
        <v>16159.25</v>
      </c>
      <c r="Z835" s="79" t="n">
        <v>31.52</v>
      </c>
      <c r="AA835" s="98">
        <f>Y835/Z835</f>
        <v/>
      </c>
      <c r="AB835" s="98">
        <f>(AA835/Y835)*100</f>
        <v/>
      </c>
    </row>
    <row r="836">
      <c r="A836" s="92" t="n">
        <v>835</v>
      </c>
      <c r="B836" s="93" t="n">
        <v>45793</v>
      </c>
      <c r="C836" s="104" t="n">
        <v>44366354.59</v>
      </c>
      <c r="D836" s="98">
        <f>C836/E836</f>
        <v/>
      </c>
      <c r="E836" s="79" t="n">
        <v>85.5</v>
      </c>
      <c r="F836" s="98">
        <f>D836/100000</f>
        <v/>
      </c>
      <c r="G836" s="97">
        <f>(F836/DataSheet!$C$12*100)</f>
        <v/>
      </c>
      <c r="H836" s="98">
        <f>K836/I836</f>
        <v/>
      </c>
      <c r="I836" s="98">
        <f>(J836/L836)*100</f>
        <v/>
      </c>
      <c r="J836" s="97">
        <f>L836/O836</f>
        <v/>
      </c>
      <c r="K836" s="80" t="n">
        <v>6.22</v>
      </c>
      <c r="L836" s="79" t="n">
        <v>25019.8</v>
      </c>
      <c r="M836" s="80" t="n">
        <v>3.7</v>
      </c>
      <c r="N836" s="98">
        <f>K836-I836</f>
        <v/>
      </c>
      <c r="O836" s="80" t="n">
        <v>22.39</v>
      </c>
      <c r="P836" s="80" t="n">
        <v>4.443</v>
      </c>
      <c r="Q836" s="97">
        <f>K836-P836</f>
        <v/>
      </c>
      <c r="R836" s="79" t="n">
        <v>100.946</v>
      </c>
      <c r="S836" s="98">
        <f>(O836*T836)</f>
        <v/>
      </c>
      <c r="U836" s="80" t="n">
        <v>20960.15</v>
      </c>
      <c r="V836" s="79" t="n">
        <v>34.87</v>
      </c>
      <c r="W836" s="98">
        <f>U836/V836</f>
        <v/>
      </c>
      <c r="X836" s="98">
        <f>(W836/U836)*100</f>
        <v/>
      </c>
      <c r="Y836" s="80" t="n">
        <v>16405.7</v>
      </c>
      <c r="Z836" s="79" t="n">
        <v>31.98</v>
      </c>
      <c r="AA836" s="98">
        <f>Y836/Z836</f>
        <v/>
      </c>
      <c r="AB836" s="98">
        <f>(AA836/Y836)*100</f>
        <v/>
      </c>
    </row>
    <row r="837">
      <c r="A837" s="92" t="n">
        <v>836</v>
      </c>
      <c r="B837" s="93" t="n">
        <v>45796</v>
      </c>
      <c r="C837" s="104" t="n">
        <v>44435080.26</v>
      </c>
      <c r="D837" s="98">
        <f>C837/E837</f>
        <v/>
      </c>
      <c r="E837" s="79" t="n">
        <v>85.39</v>
      </c>
      <c r="F837" s="98">
        <f>D837/100000</f>
        <v/>
      </c>
      <c r="G837" s="97">
        <f>(F837/DataSheet!$C$12*100)</f>
        <v/>
      </c>
      <c r="H837" s="98">
        <f>K837/I837</f>
        <v/>
      </c>
      <c r="I837" s="98">
        <f>(J837/L837)*100</f>
        <v/>
      </c>
      <c r="J837" s="97">
        <f>L837/O837</f>
        <v/>
      </c>
      <c r="K837" s="80" t="n">
        <v>6.23</v>
      </c>
      <c r="L837" s="79" t="n">
        <v>24945.45</v>
      </c>
      <c r="M837" s="80" t="n">
        <v>3.69</v>
      </c>
      <c r="N837" s="98">
        <f>K837-I837</f>
        <v/>
      </c>
      <c r="O837" s="80" t="n">
        <v>22.33</v>
      </c>
      <c r="P837" s="80" t="n">
        <v>4.447</v>
      </c>
      <c r="Q837" s="97">
        <f>K837-P837</f>
        <v/>
      </c>
      <c r="R837" s="79" t="n">
        <v>100.288</v>
      </c>
      <c r="S837" s="98">
        <f>(O837*T837)</f>
        <v/>
      </c>
      <c r="U837" s="80" t="n">
        <v>20992.8</v>
      </c>
      <c r="V837" s="79" t="n">
        <v>34.92</v>
      </c>
      <c r="W837" s="98">
        <f>U837/V837</f>
        <v/>
      </c>
      <c r="X837" s="98">
        <f>(W837/U837)*100</f>
        <v/>
      </c>
      <c r="Y837" s="80" t="n">
        <v>16516.8</v>
      </c>
      <c r="Z837" s="79" t="n">
        <v>32.2</v>
      </c>
      <c r="AA837" s="98">
        <f>Y837/Z837</f>
        <v/>
      </c>
      <c r="AB837" s="98">
        <f>(AA837/Y837)*100</f>
        <v/>
      </c>
    </row>
    <row r="838">
      <c r="A838" s="92" t="n">
        <v>837</v>
      </c>
      <c r="B838" s="93" t="n">
        <v>45797</v>
      </c>
      <c r="C838" s="104" t="n">
        <v>43882812.9</v>
      </c>
      <c r="D838" s="98">
        <f>C838/E838</f>
        <v/>
      </c>
      <c r="E838" s="79" t="n">
        <v>85.54000000000001</v>
      </c>
      <c r="F838" s="98">
        <f>D838/100000</f>
        <v/>
      </c>
      <c r="G838" s="97">
        <f>(F838/DataSheet!$C$12*100)</f>
        <v/>
      </c>
      <c r="H838" s="98">
        <f>K838/I838</f>
        <v/>
      </c>
      <c r="I838" s="98">
        <f>(J838/L838)*100</f>
        <v/>
      </c>
      <c r="J838" s="97">
        <f>L838/O838</f>
        <v/>
      </c>
      <c r="K838" s="80" t="n">
        <v>6.22</v>
      </c>
      <c r="L838" s="79" t="n">
        <v>24683.9</v>
      </c>
      <c r="M838" s="80" t="n">
        <v>3.65</v>
      </c>
      <c r="N838" s="98">
        <f>K838-I838</f>
        <v/>
      </c>
      <c r="O838" s="80" t="n">
        <v>22.08</v>
      </c>
      <c r="P838" s="80" t="n">
        <v>4.483</v>
      </c>
      <c r="Q838" s="97">
        <f>K838-P838</f>
        <v/>
      </c>
      <c r="R838" s="79" t="n">
        <v>99.977</v>
      </c>
      <c r="S838" s="98">
        <f>(O838*T838)</f>
        <v/>
      </c>
      <c r="U838" s="80" t="n">
        <v>20665.25</v>
      </c>
      <c r="V838" s="79" t="n">
        <v>34.13</v>
      </c>
      <c r="W838" s="98">
        <f>U838/V838</f>
        <v/>
      </c>
      <c r="X838" s="98">
        <f>(W838/U838)*100</f>
        <v/>
      </c>
      <c r="Y838" s="80" t="n">
        <v>16368.65</v>
      </c>
      <c r="Z838" s="79" t="n">
        <v>31.61</v>
      </c>
      <c r="AA838" s="98">
        <f>Y838/Z838</f>
        <v/>
      </c>
      <c r="AB838" s="98">
        <f>(AA838/Y838)*100</f>
        <v/>
      </c>
    </row>
    <row r="839">
      <c r="A839" s="92" t="n">
        <v>838</v>
      </c>
      <c r="B839" s="93" t="n">
        <v>45798</v>
      </c>
      <c r="C839" s="104" t="n">
        <v>44197320.86</v>
      </c>
      <c r="D839" s="98">
        <f>C839/E839</f>
        <v/>
      </c>
      <c r="E839" s="79" t="n">
        <v>85.59999999999999</v>
      </c>
      <c r="F839" s="98">
        <f>D839/100000</f>
        <v/>
      </c>
      <c r="G839" s="97">
        <f>(F839/DataSheet!$C$12*100)</f>
        <v/>
      </c>
      <c r="H839" s="98">
        <f>K839/I839</f>
        <v/>
      </c>
      <c r="I839" s="98">
        <f>(J839/L839)*100</f>
        <v/>
      </c>
      <c r="J839" s="97">
        <f>L839/O839</f>
        <v/>
      </c>
      <c r="K839" s="80" t="n">
        <v>6.19</v>
      </c>
      <c r="L839" s="79" t="n">
        <v>24813.45</v>
      </c>
      <c r="M839" s="80" t="n">
        <v>3.67</v>
      </c>
      <c r="N839" s="98">
        <f>K839-I839</f>
        <v/>
      </c>
      <c r="O839" s="80" t="n">
        <v>22.19</v>
      </c>
      <c r="P839" s="80" t="n">
        <v>4.595</v>
      </c>
      <c r="Q839" s="97">
        <f>K839-P839</f>
        <v/>
      </c>
      <c r="R839" s="79" t="n">
        <v>99.435</v>
      </c>
      <c r="S839" s="98">
        <f>(O839*T839)</f>
        <v/>
      </c>
      <c r="U839" s="80" t="n">
        <v>20828.75</v>
      </c>
      <c r="V839" s="79" t="n">
        <v>34.32</v>
      </c>
      <c r="W839" s="98">
        <f>U839/V839</f>
        <v/>
      </c>
      <c r="X839" s="98">
        <f>(W839/U839)*100</f>
        <v/>
      </c>
      <c r="Y839" s="80" t="n">
        <v>16437.1</v>
      </c>
      <c r="Z839" s="79" t="n">
        <v>31.75</v>
      </c>
      <c r="AA839" s="98">
        <f>Y839/Z839</f>
        <v/>
      </c>
      <c r="AB839" s="98">
        <f>(AA839/Y839)*100</f>
        <v/>
      </c>
    </row>
    <row r="840">
      <c r="A840" s="92" t="n">
        <v>839</v>
      </c>
      <c r="B840" s="93" t="n">
        <v>45799</v>
      </c>
      <c r="C840" s="104" t="n">
        <v>43972553.13</v>
      </c>
      <c r="D840" s="98">
        <f>C840/E840</f>
        <v/>
      </c>
      <c r="E840" s="79" t="n">
        <v>85.995</v>
      </c>
      <c r="F840" s="98">
        <f>D840/100000</f>
        <v/>
      </c>
      <c r="G840" s="97">
        <f>(F840/DataSheet!$C$12*100)</f>
        <v/>
      </c>
      <c r="H840" s="98">
        <f>K840/I840</f>
        <v/>
      </c>
      <c r="I840" s="98">
        <f>(J840/L840)*100</f>
        <v/>
      </c>
      <c r="J840" s="97">
        <f>L840/O840</f>
        <v/>
      </c>
      <c r="K840" s="80" t="n">
        <v>6.21</v>
      </c>
      <c r="L840" s="79" t="n">
        <v>24609.7</v>
      </c>
      <c r="M840" s="80" t="n">
        <v>3.64</v>
      </c>
      <c r="N840" s="98">
        <f>K840-I840</f>
        <v/>
      </c>
      <c r="O840" s="80" t="n">
        <v>22.01</v>
      </c>
      <c r="P840" s="80" t="n">
        <v>4.528</v>
      </c>
      <c r="Q840" s="97">
        <f>K840-P840</f>
        <v/>
      </c>
      <c r="R840" s="79" t="n">
        <v>99.849</v>
      </c>
      <c r="S840" s="98">
        <f>(O840*T840)</f>
        <v/>
      </c>
      <c r="U840" s="80" t="n">
        <v>20752.7</v>
      </c>
      <c r="V840" s="79" t="n">
        <v>34.11</v>
      </c>
      <c r="W840" s="98">
        <f>U840/V840</f>
        <v/>
      </c>
      <c r="X840" s="98">
        <f>(W840/U840)*100</f>
        <v/>
      </c>
      <c r="Y840" s="80" t="n">
        <v>16436.45</v>
      </c>
      <c r="Z840" s="79" t="n">
        <v>31.49</v>
      </c>
      <c r="AA840" s="98">
        <f>Y840/Z840</f>
        <v/>
      </c>
      <c r="AB840" s="98">
        <f>(AA840/Y840)*100</f>
        <v/>
      </c>
    </row>
    <row r="841">
      <c r="A841" s="92" t="n">
        <v>840</v>
      </c>
      <c r="B841" s="93" t="n">
        <v>45800</v>
      </c>
      <c r="C841" s="104" t="n">
        <v>44279044.17</v>
      </c>
      <c r="D841" s="98">
        <f>C841/E841</f>
        <v/>
      </c>
      <c r="E841" s="79" t="n">
        <v>85.2</v>
      </c>
      <c r="F841" s="98">
        <f>D841/100000</f>
        <v/>
      </c>
      <c r="G841" s="97">
        <f>(F841/DataSheet!$C$12*100)</f>
        <v/>
      </c>
      <c r="H841" s="98">
        <f>K841/I841</f>
        <v/>
      </c>
      <c r="I841" s="98">
        <f>(J841/L841)*100</f>
        <v/>
      </c>
      <c r="J841" s="97">
        <f>L841/O841</f>
        <v/>
      </c>
      <c r="K841" s="80" t="n">
        <v>6.21</v>
      </c>
      <c r="L841" s="79" t="n">
        <v>24853.15</v>
      </c>
      <c r="M841" s="80" t="n">
        <v>3.68</v>
      </c>
      <c r="N841" s="98">
        <f>K841-I841</f>
        <v/>
      </c>
      <c r="O841" s="80" t="n">
        <v>22.4</v>
      </c>
      <c r="P841" s="80" t="n">
        <v>4.507</v>
      </c>
      <c r="Q841" s="97">
        <f>K841-P841</f>
        <v/>
      </c>
      <c r="R841" s="79" t="n">
        <v>99.01000000000001</v>
      </c>
      <c r="S841" s="98">
        <f>(O841*T841)</f>
        <v/>
      </c>
      <c r="T841" s="80" t="n">
        <v>5.57</v>
      </c>
      <c r="U841" s="80" t="n">
        <v>20874.4</v>
      </c>
      <c r="V841" s="79" t="n">
        <v>34.08</v>
      </c>
      <c r="W841" s="98">
        <f>U841/V841</f>
        <v/>
      </c>
      <c r="X841" s="98">
        <f>(W841/U841)*100</f>
        <v/>
      </c>
      <c r="Y841" s="80" t="n">
        <v>16532.95</v>
      </c>
      <c r="Z841" s="79" t="n">
        <v>31.66</v>
      </c>
      <c r="AA841" s="98">
        <f>Y841/Z841</f>
        <v/>
      </c>
      <c r="AB841" s="98">
        <f>(AA841/Y841)*100</f>
        <v/>
      </c>
    </row>
    <row r="842">
      <c r="A842" s="92" t="n">
        <v>841</v>
      </c>
      <c r="B842" s="93" t="n">
        <v>45803</v>
      </c>
      <c r="C842" s="104" t="n">
        <v>44547996.33</v>
      </c>
      <c r="D842" s="98">
        <f>C842/E842</f>
        <v/>
      </c>
      <c r="E842" s="79" t="n">
        <v>85.08799999999999</v>
      </c>
      <c r="F842" s="98">
        <f>D842/100000</f>
        <v/>
      </c>
      <c r="G842" s="97">
        <f>(F842/DataSheet!$C$12*100)</f>
        <v/>
      </c>
      <c r="H842" s="98">
        <f>K842/I842</f>
        <v/>
      </c>
      <c r="I842" s="98">
        <f>(J842/L842)*100</f>
        <v/>
      </c>
      <c r="J842" s="97">
        <f>L842/O842</f>
        <v/>
      </c>
      <c r="K842" s="80" t="n">
        <v>6.2</v>
      </c>
      <c r="L842" s="79" t="n">
        <v>25001.15</v>
      </c>
      <c r="M842" s="80" t="n">
        <v>3.7</v>
      </c>
      <c r="N842" s="98">
        <f>K842-I842</f>
        <v/>
      </c>
      <c r="O842" s="80" t="n">
        <v>22.58</v>
      </c>
      <c r="P842" s="80" t="n">
        <v>4.511</v>
      </c>
      <c r="Q842" s="97">
        <f>K842-P842</f>
        <v/>
      </c>
      <c r="R842" s="79" t="n">
        <v>99.01000000000001</v>
      </c>
      <c r="S842" s="98">
        <f>(O842*T842)</f>
        <v/>
      </c>
      <c r="T842" s="80" t="n">
        <v>5.56</v>
      </c>
      <c r="U842" s="80" t="n">
        <v>20991</v>
      </c>
      <c r="V842" s="79" t="n">
        <v>34.38</v>
      </c>
      <c r="W842" s="98">
        <f>U842/V842</f>
        <v/>
      </c>
      <c r="X842" s="98">
        <f>(W842/U842)*100</f>
        <v/>
      </c>
      <c r="Y842" s="80" t="n">
        <v>16619.1</v>
      </c>
      <c r="Z842" s="79" t="n">
        <v>32</v>
      </c>
      <c r="AA842" s="98">
        <f>Y842/Z842</f>
        <v/>
      </c>
      <c r="AB842" s="98">
        <f>(AA842/Y842)*100</f>
        <v/>
      </c>
    </row>
    <row r="843">
      <c r="A843" s="92" t="n">
        <v>842</v>
      </c>
      <c r="B843" s="93" t="n">
        <v>45804</v>
      </c>
      <c r="C843" s="104" t="n">
        <v>44447038.07</v>
      </c>
      <c r="D843" s="98">
        <f>C843/E843</f>
        <v/>
      </c>
      <c r="E843" s="79" t="n">
        <v>85.33</v>
      </c>
      <c r="F843" s="98">
        <f>D843/100000</f>
        <v/>
      </c>
      <c r="G843" s="97">
        <f>(F843/DataSheet!$C$12*100)</f>
        <v/>
      </c>
      <c r="H843" s="98">
        <f>K843/I843</f>
        <v/>
      </c>
      <c r="I843" s="98">
        <f>(J843/L843)*100</f>
        <v/>
      </c>
      <c r="J843" s="97">
        <f>L843/O843</f>
        <v/>
      </c>
      <c r="K843" s="80" t="n">
        <v>6.2</v>
      </c>
      <c r="L843" s="79" t="n">
        <v>24826.2</v>
      </c>
      <c r="M843" s="80" t="n">
        <v>3.67</v>
      </c>
      <c r="N843" s="98">
        <f>K843-I843</f>
        <v/>
      </c>
      <c r="O843" s="80" t="n">
        <v>22.38</v>
      </c>
      <c r="P843" s="80" t="n">
        <v>4.445</v>
      </c>
      <c r="Q843" s="97">
        <f>K843-P843</f>
        <v/>
      </c>
      <c r="R843" s="79" t="n">
        <v>99.425</v>
      </c>
      <c r="S843" s="98">
        <f>(O843*T843)</f>
        <v/>
      </c>
      <c r="T843" s="80" t="n">
        <v>5.51</v>
      </c>
      <c r="U843" s="80" t="n">
        <v>21034.45</v>
      </c>
      <c r="V843" s="79" t="n">
        <v>34.39</v>
      </c>
      <c r="W843" s="98">
        <f>U843/V843</f>
        <v/>
      </c>
      <c r="X843" s="98">
        <f>(W843/U843)*100</f>
        <v/>
      </c>
      <c r="Y843" s="80" t="n">
        <v>16637.85</v>
      </c>
      <c r="Z843" s="79" t="n">
        <v>32</v>
      </c>
      <c r="AA843" s="98">
        <f>Y843/Z843</f>
        <v/>
      </c>
      <c r="AB843" s="98">
        <f>(AA843/Y843)*100</f>
        <v/>
      </c>
    </row>
    <row r="844">
      <c r="A844" s="92" t="n">
        <v>843</v>
      </c>
      <c r="B844" s="93" t="n">
        <v>45805</v>
      </c>
      <c r="C844" s="104" t="n">
        <v>44462998.68</v>
      </c>
      <c r="D844" s="98">
        <f>C844/E844</f>
        <v/>
      </c>
      <c r="E844" s="79" t="n">
        <v>85.414</v>
      </c>
      <c r="F844" s="98">
        <f>D844/100000</f>
        <v/>
      </c>
      <c r="G844" s="97">
        <f>(F844/DataSheet!$C$12*100)</f>
        <v/>
      </c>
      <c r="H844" s="98">
        <f>K844/I844</f>
        <v/>
      </c>
      <c r="I844" s="98">
        <f>(J844/L844)*100</f>
        <v/>
      </c>
      <c r="J844" s="97">
        <f>L844/O844</f>
        <v/>
      </c>
      <c r="K844" s="80" t="n">
        <v>6.16</v>
      </c>
      <c r="L844" s="79" t="n">
        <v>24752.45</v>
      </c>
      <c r="M844" s="80" t="n">
        <v>3.66</v>
      </c>
      <c r="N844" s="98">
        <f>K844-I844</f>
        <v/>
      </c>
      <c r="O844" s="80" t="n">
        <v>22.32</v>
      </c>
      <c r="P844" s="80" t="n">
        <v>4.474</v>
      </c>
      <c r="Q844" s="97">
        <f>K844-P844</f>
        <v/>
      </c>
      <c r="R844" s="79" t="n">
        <v>99.785</v>
      </c>
      <c r="S844" s="98">
        <f>(O844*T844)</f>
        <v/>
      </c>
      <c r="T844" s="80" t="n">
        <v>5.53</v>
      </c>
      <c r="U844" s="80" t="n">
        <v>21044.4</v>
      </c>
      <c r="V844" s="79" t="n">
        <v>34.14</v>
      </c>
      <c r="W844" s="98">
        <f>U844/V844</f>
        <v/>
      </c>
      <c r="X844" s="98">
        <f>(W844/U844)*100</f>
        <v/>
      </c>
      <c r="Y844" s="80" t="n">
        <v>16706.35</v>
      </c>
      <c r="Z844" s="79" t="n">
        <v>32.12</v>
      </c>
      <c r="AA844" s="98">
        <f>Y844/Z844</f>
        <v/>
      </c>
      <c r="AB844" s="98">
        <f>(AA844/Y844)*100</f>
        <v/>
      </c>
    </row>
    <row r="845">
      <c r="A845" s="92" t="n">
        <v>844</v>
      </c>
      <c r="B845" s="93" t="n">
        <v>45806</v>
      </c>
      <c r="C845" s="104" t="n">
        <v>44628305.46</v>
      </c>
      <c r="D845" s="98">
        <f>C845/E845</f>
        <v/>
      </c>
      <c r="E845" s="79" t="n">
        <v>85.419</v>
      </c>
      <c r="F845" s="98">
        <f>D845/100000</f>
        <v/>
      </c>
      <c r="G845" s="97">
        <f>(F845/DataSheet!$C$12*100)</f>
        <v/>
      </c>
      <c r="H845" s="98">
        <f>K845/I845</f>
        <v/>
      </c>
      <c r="I845" s="98">
        <f>(J845/L845)*100</f>
        <v/>
      </c>
      <c r="J845" s="97">
        <f>L845/O845</f>
        <v/>
      </c>
      <c r="K845" s="80" t="n">
        <v>6.18</v>
      </c>
      <c r="L845" s="79" t="n">
        <v>24833.6</v>
      </c>
      <c r="M845" s="80" t="n">
        <v>3.63</v>
      </c>
      <c r="N845" s="98">
        <f>K845-I845</f>
        <v/>
      </c>
      <c r="O845" s="80" t="n">
        <v>22.39</v>
      </c>
      <c r="P845" s="80" t="n">
        <v>4.425</v>
      </c>
      <c r="Q845" s="97">
        <f>K845-P845</f>
        <v/>
      </c>
      <c r="R845" s="79" t="n">
        <v>99.209</v>
      </c>
      <c r="S845" s="98">
        <f>(O845*T845)</f>
        <v/>
      </c>
      <c r="T845" s="80" t="n">
        <v>5.53</v>
      </c>
      <c r="U845" s="80" t="n">
        <v>21163.15</v>
      </c>
      <c r="V845" s="79" t="n">
        <v>34.32</v>
      </c>
      <c r="W845" s="98">
        <f>U845/V845</f>
        <v/>
      </c>
      <c r="X845" s="98">
        <f>(W845/U845)*100</f>
        <v/>
      </c>
      <c r="Y845" s="80" t="n">
        <v>16779.55</v>
      </c>
      <c r="Z845" s="79" t="n">
        <v>32.17</v>
      </c>
      <c r="AA845" s="98">
        <f>Y845/Z845</f>
        <v/>
      </c>
      <c r="AB845" s="98">
        <f>(AA845/Y845)*100</f>
        <v/>
      </c>
    </row>
    <row r="846">
      <c r="A846" s="92" t="n">
        <v>845</v>
      </c>
      <c r="B846" s="93" t="n">
        <v>45807</v>
      </c>
      <c r="C846" s="104" t="n">
        <v>44508662.95</v>
      </c>
      <c r="D846" s="98">
        <f>C846/E846</f>
        <v/>
      </c>
      <c r="E846" s="79" t="n">
        <v>85.52500000000001</v>
      </c>
      <c r="F846" s="98">
        <f>D846/100000</f>
        <v/>
      </c>
      <c r="G846" s="97">
        <f>(F846/DataSheet!$C$12*100)</f>
        <v/>
      </c>
      <c r="H846" s="98">
        <f>K846/I846</f>
        <v/>
      </c>
      <c r="I846" s="98">
        <f>(J846/L846)*100</f>
        <v/>
      </c>
      <c r="J846" s="97">
        <f>L846/O846</f>
        <v/>
      </c>
      <c r="K846" s="80" t="n">
        <v>6.2</v>
      </c>
      <c r="L846" s="79" t="n">
        <v>24750.7</v>
      </c>
      <c r="M846" s="80" t="n">
        <v>3.62</v>
      </c>
      <c r="N846" s="98">
        <f>K846-I846</f>
        <v/>
      </c>
      <c r="O846" s="80" t="n">
        <v>22.32</v>
      </c>
      <c r="P846" s="80" t="n">
        <v>4.397</v>
      </c>
      <c r="Q846" s="97">
        <f>K846-P846</f>
        <v/>
      </c>
      <c r="R846" s="79" t="n">
        <v>99.259</v>
      </c>
      <c r="S846" s="98">
        <f>(O846*T846)</f>
        <v/>
      </c>
      <c r="T846" s="80" t="n">
        <v>5.51</v>
      </c>
      <c r="U846" s="80" t="n">
        <v>21125.55</v>
      </c>
      <c r="V846" s="79" t="n">
        <v>34.26</v>
      </c>
      <c r="W846" s="98">
        <f>U846/V846</f>
        <v/>
      </c>
      <c r="X846" s="98">
        <f>(W846/U846)*100</f>
        <v/>
      </c>
      <c r="Y846" s="80" t="n">
        <v>16833.05</v>
      </c>
      <c r="Z846" s="79" t="n">
        <v>32.19</v>
      </c>
      <c r="AA846" s="98">
        <f>Y846/Z846</f>
        <v/>
      </c>
      <c r="AB846" s="98">
        <f>(AA846/Y846)*100</f>
        <v/>
      </c>
    </row>
    <row r="847">
      <c r="A847" s="92" t="n">
        <v>846</v>
      </c>
      <c r="B847" s="93" t="n">
        <v>45810</v>
      </c>
      <c r="C847" s="104" t="n">
        <v>44622419.54</v>
      </c>
      <c r="D847" s="98">
        <f>C847/E847</f>
        <v/>
      </c>
      <c r="E847" s="79" t="n">
        <v>85.354</v>
      </c>
      <c r="F847" s="98">
        <f>D847/100000</f>
        <v/>
      </c>
      <c r="G847" s="97">
        <f>(F847/DataSheet!$C$12*100)</f>
        <v/>
      </c>
      <c r="H847" s="98">
        <f>K847/I847</f>
        <v/>
      </c>
      <c r="I847" s="98">
        <f>(J847/L847)*100</f>
        <v/>
      </c>
      <c r="J847" s="97">
        <f>L847/O847</f>
        <v/>
      </c>
      <c r="K847" s="80" t="n">
        <v>6.22</v>
      </c>
      <c r="L847" s="79" t="n">
        <v>24716.6</v>
      </c>
      <c r="M847" s="80" t="n">
        <v>3.62</v>
      </c>
      <c r="N847" s="98">
        <f>K847-I847</f>
        <v/>
      </c>
      <c r="O847" s="80" t="n">
        <v>22.29</v>
      </c>
      <c r="P847" s="80" t="n">
        <v>4.441</v>
      </c>
      <c r="Q847" s="97">
        <f>K847-P847</f>
        <v/>
      </c>
      <c r="R847" s="79" t="n">
        <v>98.63500000000001</v>
      </c>
      <c r="S847" s="98">
        <f>(O847*T847)</f>
        <v/>
      </c>
      <c r="T847" s="80" t="n">
        <v>5.52</v>
      </c>
      <c r="U847" s="80" t="n">
        <v>21240.8</v>
      </c>
      <c r="V847" s="79" t="n">
        <v>34.45</v>
      </c>
      <c r="W847" s="98">
        <f>U847/V847</f>
        <v/>
      </c>
      <c r="X847" s="98">
        <f>(W847/U847)*100</f>
        <v/>
      </c>
      <c r="Y847" s="80" t="n">
        <v>16953.75</v>
      </c>
      <c r="Z847" s="79" t="n">
        <v>32.24</v>
      </c>
      <c r="AA847" s="98">
        <f>Y847/Z847</f>
        <v/>
      </c>
      <c r="AB847" s="98">
        <f>(AA847/Y847)*100</f>
        <v/>
      </c>
    </row>
    <row r="848">
      <c r="A848" s="92" t="n">
        <v>847</v>
      </c>
      <c r="B848" s="93" t="n">
        <v>45811</v>
      </c>
      <c r="C848" s="104" t="n">
        <v>44403871.77</v>
      </c>
      <c r="D848" s="98">
        <f>C848/E848</f>
        <v/>
      </c>
      <c r="E848" s="79" t="n">
        <v>85.709</v>
      </c>
      <c r="F848" s="98">
        <f>D848/100000</f>
        <v/>
      </c>
      <c r="G848" s="97">
        <f>(F848/DataSheet!$C$12*100)</f>
        <v/>
      </c>
      <c r="H848" s="98">
        <f>K848/I848</f>
        <v/>
      </c>
      <c r="I848" s="98">
        <f>(J848/L848)*100</f>
        <v/>
      </c>
      <c r="J848" s="97">
        <f>L848/O848</f>
        <v/>
      </c>
      <c r="K848" s="80" t="n">
        <v>6.2</v>
      </c>
      <c r="L848" s="79" t="n">
        <v>24542.5</v>
      </c>
      <c r="M848" s="80" t="n">
        <v>3.59</v>
      </c>
      <c r="N848" s="98">
        <f>K848-I848</f>
        <v/>
      </c>
      <c r="O848" s="80" t="n">
        <v>22.07</v>
      </c>
      <c r="P848" s="80" t="n">
        <v>4.457</v>
      </c>
      <c r="Q848" s="97">
        <f>K848-P848</f>
        <v/>
      </c>
      <c r="R848" s="79" t="n">
        <v>99.15900000000001</v>
      </c>
      <c r="S848" s="98">
        <f>(O848*T848)</f>
        <v/>
      </c>
      <c r="T848" s="80" t="n">
        <v>5.5</v>
      </c>
      <c r="U848" s="80" t="n">
        <v>21164.75</v>
      </c>
      <c r="V848" s="79" t="n">
        <v>33.85</v>
      </c>
      <c r="W848" s="98">
        <f>U848/V848</f>
        <v/>
      </c>
      <c r="X848" s="98">
        <f>(W848/U848)*100</f>
        <v/>
      </c>
      <c r="Y848" s="80" t="n">
        <v>16971.25</v>
      </c>
      <c r="Z848" s="79" t="n">
        <v>32.38</v>
      </c>
      <c r="AA848" s="98">
        <f>Y848/Z848</f>
        <v/>
      </c>
      <c r="AB848" s="98">
        <f>(AA848/Y848)*100</f>
        <v/>
      </c>
    </row>
    <row r="849">
      <c r="A849" s="92" t="n">
        <v>848</v>
      </c>
      <c r="B849" s="93" t="n">
        <v>45812</v>
      </c>
      <c r="C849" s="104" t="n">
        <v>44607489.96</v>
      </c>
      <c r="D849" s="98">
        <f>C849/E849</f>
        <v/>
      </c>
      <c r="E849" s="79" t="n">
        <v>85.875</v>
      </c>
      <c r="F849" s="98">
        <f>D849/100000</f>
        <v/>
      </c>
      <c r="G849" s="97">
        <f>(F849/DataSheet!$C$12*100)</f>
        <v/>
      </c>
      <c r="H849" s="98">
        <f>K849/I849</f>
        <v/>
      </c>
      <c r="I849" s="98">
        <f>(J849/L849)*100</f>
        <v/>
      </c>
      <c r="J849" s="97">
        <f>L849/O849</f>
        <v/>
      </c>
      <c r="K849" s="80" t="n">
        <v>6.21</v>
      </c>
      <c r="L849" s="79" t="n">
        <v>24620.2</v>
      </c>
      <c r="M849" s="80" t="n">
        <v>3.6</v>
      </c>
      <c r="N849" s="98">
        <f>K849-I849</f>
        <v/>
      </c>
      <c r="O849" s="80" t="n">
        <v>22.14</v>
      </c>
      <c r="P849" s="80" t="n">
        <v>4.356</v>
      </c>
      <c r="Q849" s="97">
        <f>K849-P849</f>
        <v/>
      </c>
      <c r="R849" s="79" t="n">
        <v>98.73</v>
      </c>
      <c r="S849" s="98">
        <f>(O849*T849)</f>
        <v/>
      </c>
      <c r="T849" s="80" t="n">
        <v>5.49</v>
      </c>
      <c r="U849" s="80" t="n">
        <v>21334.6</v>
      </c>
      <c r="V849" s="79" t="n">
        <v>34.14</v>
      </c>
      <c r="W849" s="98">
        <f>U849/V849</f>
        <v/>
      </c>
      <c r="X849" s="98">
        <f>(W849/U849)*100</f>
        <v/>
      </c>
      <c r="Y849" s="80" t="n">
        <v>17060.8</v>
      </c>
      <c r="Z849" s="79" t="n">
        <v>32.51</v>
      </c>
      <c r="AA849" s="98">
        <f>Y849/Z849</f>
        <v/>
      </c>
      <c r="AB849" s="98">
        <f>(AA849/Y849)*100</f>
        <v/>
      </c>
    </row>
    <row r="850">
      <c r="A850" s="92" t="n">
        <v>849</v>
      </c>
      <c r="B850" s="93" t="n">
        <v>45813</v>
      </c>
      <c r="C850" s="104" t="n">
        <v>44838576.68</v>
      </c>
      <c r="D850" s="98">
        <f>C850/E850</f>
        <v/>
      </c>
      <c r="E850" s="79" t="n">
        <v>85.83499999999999</v>
      </c>
      <c r="F850" s="98">
        <f>D850/100000</f>
        <v/>
      </c>
      <c r="G850" s="97">
        <f>(F850/DataSheet!$C$12*100)</f>
        <v/>
      </c>
      <c r="H850" s="98">
        <f>K850/I850</f>
        <v/>
      </c>
      <c r="I850" s="98">
        <f>(J850/L850)*100</f>
        <v/>
      </c>
      <c r="J850" s="97">
        <f>L850/O850</f>
        <v/>
      </c>
      <c r="K850" s="80" t="n">
        <v>6.18</v>
      </c>
      <c r="L850" s="79" t="n">
        <v>24750.9</v>
      </c>
      <c r="M850" s="80" t="n">
        <v>3.62</v>
      </c>
      <c r="N850" s="98">
        <f>K850-I850</f>
        <v/>
      </c>
      <c r="O850" s="80" t="n">
        <v>22.25</v>
      </c>
      <c r="P850" s="80" t="n">
        <v>4.389</v>
      </c>
      <c r="Q850" s="97">
        <f>K850-P850</f>
        <v/>
      </c>
      <c r="R850" s="79" t="n">
        <v>98.70399999999999</v>
      </c>
      <c r="S850" s="98">
        <f>(O850*T850)</f>
        <v/>
      </c>
      <c r="T850" s="80" t="n">
        <v>5.48</v>
      </c>
      <c r="U850" s="80" t="n">
        <v>21476.45</v>
      </c>
      <c r="V850" s="79" t="n">
        <v>34.37</v>
      </c>
      <c r="W850" s="98">
        <f>U850/V850</f>
        <v/>
      </c>
      <c r="X850" s="98">
        <f>(W850/U850)*100</f>
        <v/>
      </c>
      <c r="Y850" s="80" t="n">
        <v>17173.45</v>
      </c>
      <c r="Z850" s="79" t="n">
        <v>32.68</v>
      </c>
      <c r="AA850" s="98">
        <f>Y850/Z850</f>
        <v/>
      </c>
      <c r="AB850" s="98">
        <f>(AA850/Y850)*100</f>
        <v/>
      </c>
    </row>
    <row r="851">
      <c r="A851" s="92" t="n">
        <v>850</v>
      </c>
      <c r="B851" s="93" t="n">
        <v>45814</v>
      </c>
      <c r="C851" s="104" t="n">
        <v>45201565.26</v>
      </c>
      <c r="D851" s="98">
        <f>C851/E851</f>
        <v/>
      </c>
      <c r="E851" s="79" t="n">
        <v>85.786</v>
      </c>
      <c r="F851" s="98">
        <f>D851/100000</f>
        <v/>
      </c>
      <c r="G851" s="97">
        <f>(F851/DataSheet!$C$12*100)</f>
        <v/>
      </c>
      <c r="H851" s="98">
        <f>K851/I851</f>
        <v/>
      </c>
      <c r="I851" s="98">
        <f>(J851/L851)*100</f>
        <v/>
      </c>
      <c r="J851" s="97">
        <f>L851/O851</f>
        <v/>
      </c>
      <c r="K851" s="80" t="n">
        <v>6.23</v>
      </c>
      <c r="L851" s="79" t="n">
        <v>25003.05</v>
      </c>
      <c r="M851" s="80" t="n">
        <v>3.65</v>
      </c>
      <c r="N851" s="98">
        <f>K851-I851</f>
        <v/>
      </c>
      <c r="O851" s="80" t="n">
        <v>22.47</v>
      </c>
      <c r="P851" s="80" t="n">
        <v>4.505</v>
      </c>
      <c r="Q851" s="97">
        <f>K851-P851</f>
        <v/>
      </c>
      <c r="R851" s="79" t="n">
        <v>99.142</v>
      </c>
      <c r="S851" s="98">
        <f>(O851*T851)</f>
        <v/>
      </c>
      <c r="T851" s="80" t="n">
        <v>5.21</v>
      </c>
      <c r="U851" s="80" t="n">
        <v>21688.6</v>
      </c>
      <c r="V851" s="79" t="n">
        <v>34.7</v>
      </c>
      <c r="W851" s="98">
        <f>U851/V851</f>
        <v/>
      </c>
      <c r="X851" s="98">
        <f>(W851/U851)*100</f>
        <v/>
      </c>
      <c r="Y851" s="80" t="n">
        <v>17285.75</v>
      </c>
      <c r="Z851" s="79" t="n">
        <v>32.89</v>
      </c>
      <c r="AA851" s="98">
        <f>Y851/Z851</f>
        <v/>
      </c>
      <c r="AB851" s="98">
        <f>(AA851/Y851)*100</f>
        <v/>
      </c>
    </row>
    <row r="852">
      <c r="A852" s="92" t="n">
        <v>851</v>
      </c>
      <c r="B852" s="93" t="n">
        <v>45817</v>
      </c>
      <c r="C852" s="104" t="n">
        <v>45587212.24</v>
      </c>
      <c r="D852" s="98">
        <f>C852/E852</f>
        <v/>
      </c>
      <c r="E852" s="79" t="n">
        <v>85.67</v>
      </c>
      <c r="F852" s="98">
        <f>D852/100000</f>
        <v/>
      </c>
      <c r="G852" s="97">
        <f>(F852/DataSheet!$C$12*100)</f>
        <v/>
      </c>
      <c r="H852" s="98">
        <f>K852/I852</f>
        <v/>
      </c>
      <c r="I852" s="98">
        <f>(J852/L852)*100</f>
        <v/>
      </c>
      <c r="J852" s="97">
        <f>L852/O852</f>
        <v/>
      </c>
      <c r="K852" s="80" t="n">
        <v>6.27</v>
      </c>
      <c r="L852" s="79" t="n">
        <v>25103.2</v>
      </c>
      <c r="M852" s="80" t="n">
        <v>3.66</v>
      </c>
      <c r="N852" s="98">
        <f>K852-I852</f>
        <v/>
      </c>
      <c r="O852" s="80" t="n">
        <v>22.56</v>
      </c>
      <c r="P852" s="80" t="n">
        <v>4.475</v>
      </c>
      <c r="Q852" s="97">
        <f>K852-P852</f>
        <v/>
      </c>
      <c r="R852" s="79" t="n">
        <v>98.44199999999999</v>
      </c>
      <c r="S852" s="98">
        <f>(O852*T852)</f>
        <v/>
      </c>
      <c r="T852" s="80" t="n">
        <v>5.21</v>
      </c>
      <c r="U852" s="80" t="n">
        <v>21908.35</v>
      </c>
      <c r="V852" s="79" t="n">
        <v>35.05</v>
      </c>
      <c r="W852" s="98">
        <f>U852/V852</f>
        <v/>
      </c>
      <c r="X852" s="98">
        <f>(W852/U852)*100</f>
        <v/>
      </c>
      <c r="Y852" s="80" t="n">
        <v>17515.15</v>
      </c>
      <c r="Z852" s="79" t="n">
        <v>33.33</v>
      </c>
      <c r="AA852" s="98">
        <f>Y852/Z852</f>
        <v/>
      </c>
      <c r="AB852" s="98">
        <f>(AA852/Y852)*100</f>
        <v/>
      </c>
    </row>
    <row r="853">
      <c r="A853" s="92" t="n">
        <v>852</v>
      </c>
      <c r="B853" s="93" t="n">
        <v>45818</v>
      </c>
      <c r="C853" s="104" t="n">
        <v>45633871.92</v>
      </c>
      <c r="D853" s="98">
        <f>C853/E853</f>
        <v/>
      </c>
      <c r="E853" s="79" t="n">
        <v>85.596</v>
      </c>
      <c r="F853" s="98">
        <f>D853/100000</f>
        <v/>
      </c>
      <c r="G853" s="97">
        <f>(F853/DataSheet!$C$12*100)</f>
        <v/>
      </c>
      <c r="H853" s="98">
        <f>K853/I853</f>
        <v/>
      </c>
      <c r="I853" s="98">
        <f>(J853/L853)*100</f>
        <v/>
      </c>
      <c r="J853" s="97">
        <f>L853/O853</f>
        <v/>
      </c>
      <c r="K853" s="80" t="n">
        <v>6.28</v>
      </c>
      <c r="L853" s="79" t="n">
        <v>25104.25</v>
      </c>
      <c r="M853" s="80" t="n">
        <v>3.66</v>
      </c>
      <c r="N853" s="98">
        <f>K853-I853</f>
        <v/>
      </c>
      <c r="O853" s="80" t="n">
        <v>22.57</v>
      </c>
      <c r="P853" s="80" t="n">
        <v>4.473</v>
      </c>
      <c r="Q853" s="97">
        <f>K853-P853</f>
        <v/>
      </c>
      <c r="R853" s="79" t="n">
        <v>99.06999999999999</v>
      </c>
      <c r="S853" s="98">
        <f>(O853*T853)</f>
        <v/>
      </c>
      <c r="T853" s="80" t="n">
        <v>5.21</v>
      </c>
      <c r="U853" s="80" t="n">
        <v>21915.9</v>
      </c>
      <c r="V853" s="79" t="n">
        <v>35.05</v>
      </c>
      <c r="W853" s="98">
        <f>U853/V853</f>
        <v/>
      </c>
      <c r="X853" s="98">
        <f>(W853/U853)*100</f>
        <v/>
      </c>
      <c r="Y853" s="80" t="n">
        <v>17544.3</v>
      </c>
      <c r="Z853" s="79" t="n">
        <v>33.38</v>
      </c>
      <c r="AA853" s="98">
        <f>Y853/Z853</f>
        <v/>
      </c>
      <c r="AB853" s="98">
        <f>(AA853/Y853)*100</f>
        <v/>
      </c>
    </row>
    <row r="854">
      <c r="A854" s="92" t="n">
        <v>853</v>
      </c>
      <c r="B854" s="93" t="n">
        <v>45819</v>
      </c>
      <c r="C854" s="104" t="n">
        <v>45653428.96</v>
      </c>
      <c r="D854" s="98">
        <f>C854/E854</f>
        <v/>
      </c>
      <c r="E854" s="79" t="n">
        <v>85.468</v>
      </c>
      <c r="F854" s="98">
        <f>D854/100000</f>
        <v/>
      </c>
      <c r="G854" s="97">
        <f>(F854/DataSheet!$C$12*100)</f>
        <v/>
      </c>
      <c r="H854" s="98">
        <f>K854/I854</f>
        <v/>
      </c>
      <c r="I854" s="98">
        <f>(J854/L854)*100</f>
        <v/>
      </c>
      <c r="J854" s="97">
        <f>L854/O854</f>
        <v/>
      </c>
      <c r="K854" s="80" t="n">
        <v>6.29</v>
      </c>
      <c r="L854" s="79" t="n">
        <v>25141.4</v>
      </c>
      <c r="M854" s="80" t="n">
        <v>3.66</v>
      </c>
      <c r="N854" s="98">
        <f>K854-I854</f>
        <v/>
      </c>
      <c r="O854" s="80" t="n">
        <v>22.6</v>
      </c>
      <c r="P854" s="80" t="n">
        <v>4.419</v>
      </c>
      <c r="Q854" s="97">
        <f>K854-P854</f>
        <v/>
      </c>
      <c r="R854" s="79" t="n">
        <v>98.604</v>
      </c>
      <c r="S854" s="98">
        <f>(O854*T854)</f>
        <v/>
      </c>
      <c r="T854" s="80" t="n">
        <v>5.27</v>
      </c>
      <c r="U854" s="80" t="n">
        <v>21846.05</v>
      </c>
      <c r="V854" s="79" t="n">
        <v>34.94</v>
      </c>
      <c r="W854" s="98">
        <f>U854/V854</f>
        <v/>
      </c>
      <c r="X854" s="98">
        <f>(W854/U854)*100</f>
        <v/>
      </c>
      <c r="Y854" s="80" t="n">
        <v>17528.95</v>
      </c>
      <c r="Z854" s="79" t="n">
        <v>33.35</v>
      </c>
      <c r="AA854" s="98">
        <f>Y854/Z854</f>
        <v/>
      </c>
      <c r="AB854" s="98">
        <f>(AA854/Y854)*100</f>
        <v/>
      </c>
    </row>
    <row r="855">
      <c r="A855" s="92" t="n">
        <v>854</v>
      </c>
      <c r="B855" s="93" t="n">
        <v>45820</v>
      </c>
      <c r="C855" s="104" t="n">
        <v>45052928.25</v>
      </c>
      <c r="D855" s="98">
        <f>C855/E855</f>
        <v/>
      </c>
      <c r="E855" s="79" t="n">
        <v>85.581</v>
      </c>
      <c r="F855" s="98">
        <f>D855/100000</f>
        <v/>
      </c>
      <c r="G855" s="97">
        <f>(F855/DataSheet!$C$12*100)</f>
        <v/>
      </c>
      <c r="H855" s="98">
        <f>K855/I855</f>
        <v/>
      </c>
      <c r="I855" s="98">
        <f>(J855/L855)*100</f>
        <v/>
      </c>
      <c r="J855" s="97">
        <f>L855/O855</f>
        <v/>
      </c>
      <c r="K855" s="80" t="n">
        <v>6.28</v>
      </c>
      <c r="L855" s="79" t="n">
        <v>24888.2</v>
      </c>
      <c r="M855" s="80" t="n">
        <v>3.62</v>
      </c>
      <c r="N855" s="98">
        <f>K855-I855</f>
        <v/>
      </c>
      <c r="O855" s="80" t="n">
        <v>22.37</v>
      </c>
      <c r="P855" s="80" t="n">
        <v>4.364</v>
      </c>
      <c r="Q855" s="97">
        <f>K855-P855</f>
        <v/>
      </c>
      <c r="R855" s="79" t="n">
        <v>97.901</v>
      </c>
      <c r="S855" s="98">
        <f>(O855*T855)</f>
        <v/>
      </c>
      <c r="T855" s="80" t="n">
        <v>5.29</v>
      </c>
      <c r="U855" s="80" t="n">
        <v>21509.65</v>
      </c>
      <c r="V855" s="79" t="n">
        <v>34.4</v>
      </c>
      <c r="W855" s="98">
        <f>U855/V855</f>
        <v/>
      </c>
      <c r="X855" s="98">
        <f>(W855/U855)*100</f>
        <v/>
      </c>
      <c r="Y855" s="80" t="n">
        <v>17276.9</v>
      </c>
      <c r="Z855" s="79" t="n">
        <v>32.87</v>
      </c>
      <c r="AA855" s="98">
        <f>Y855/Z855</f>
        <v/>
      </c>
      <c r="AB855" s="98">
        <f>(AA855/Y855)*100</f>
        <v/>
      </c>
    </row>
    <row r="856">
      <c r="A856" s="92" t="n">
        <v>855</v>
      </c>
      <c r="B856" s="93" t="n">
        <v>45821</v>
      </c>
      <c r="C856" s="104" t="n">
        <v>44809183.06</v>
      </c>
      <c r="D856" s="98">
        <f>C856/E856</f>
        <v/>
      </c>
      <c r="E856" s="79" t="n">
        <v>86.108</v>
      </c>
      <c r="F856" s="98">
        <f>D856/100000</f>
        <v/>
      </c>
      <c r="G856" s="97">
        <f>(F856/DataSheet!$C$12*100)</f>
        <v/>
      </c>
      <c r="H856" s="98">
        <f>K856/I856</f>
        <v/>
      </c>
      <c r="I856" s="98">
        <f>(J856/L856)*100</f>
        <v/>
      </c>
      <c r="J856" s="97">
        <f>L856/O856</f>
        <v/>
      </c>
      <c r="K856" s="80" t="n">
        <v>6.29</v>
      </c>
      <c r="L856" s="79" t="n">
        <v>24718.6</v>
      </c>
      <c r="M856" s="80" t="n">
        <v>3.6</v>
      </c>
      <c r="N856" s="98">
        <f>K856-I856</f>
        <v/>
      </c>
      <c r="O856" s="80" t="n">
        <v>22.22</v>
      </c>
      <c r="P856" s="80" t="n">
        <v>4.406</v>
      </c>
      <c r="Q856" s="97">
        <f>K856-P856</f>
        <v/>
      </c>
      <c r="R856" s="79" t="n">
        <v>98.176</v>
      </c>
      <c r="S856" s="98">
        <f>(O856*T856)</f>
        <v/>
      </c>
      <c r="T856" s="80" t="n">
        <v>5.29</v>
      </c>
      <c r="U856" s="80" t="n">
        <v>21433.05</v>
      </c>
      <c r="V856" s="79" t="n">
        <v>34.28</v>
      </c>
      <c r="W856" s="98">
        <f>U856/V856</f>
        <v/>
      </c>
      <c r="X856" s="98">
        <f>(W856/U856)*100</f>
        <v/>
      </c>
      <c r="Y856" s="80" t="n">
        <v>17210.4</v>
      </c>
      <c r="Z856" s="79" t="n">
        <v>32.74</v>
      </c>
      <c r="AA856" s="98">
        <f>Y856/Z856</f>
        <v/>
      </c>
      <c r="AB856" s="98">
        <f>(AA856/Y856)*100</f>
        <v/>
      </c>
    </row>
    <row r="857">
      <c r="A857" s="92" t="n">
        <v>856</v>
      </c>
      <c r="B857" s="93" t="n">
        <v>45824</v>
      </c>
      <c r="C857" s="104" t="n">
        <v>45129220.92</v>
      </c>
      <c r="D857" s="98">
        <f>C857/E857</f>
        <v/>
      </c>
      <c r="E857" s="79" t="n">
        <v>85.846</v>
      </c>
      <c r="F857" s="98">
        <f>D857/100000</f>
        <v/>
      </c>
      <c r="G857" s="97">
        <f>(F857/DataSheet!$C$12*100)</f>
        <v/>
      </c>
      <c r="H857" s="98">
        <f>K857/I857</f>
        <v/>
      </c>
      <c r="I857" s="98">
        <f>(J857/L857)*100</f>
        <v/>
      </c>
      <c r="J857" s="97">
        <f>L857/O857</f>
        <v/>
      </c>
      <c r="K857" s="80" t="n">
        <v>6.26</v>
      </c>
      <c r="L857" s="79" t="n">
        <v>24946.5</v>
      </c>
      <c r="M857" s="80" t="n">
        <v>3.63</v>
      </c>
      <c r="N857" s="98">
        <f>K857-I857</f>
        <v/>
      </c>
      <c r="O857" s="80" t="n">
        <v>22.42</v>
      </c>
      <c r="P857" s="80" t="n">
        <v>4.448</v>
      </c>
      <c r="Q857" s="97">
        <f>K857-P857</f>
        <v/>
      </c>
      <c r="R857" s="79" t="n">
        <v>97.702</v>
      </c>
      <c r="S857" s="98">
        <f>(O857*T857)</f>
        <v/>
      </c>
      <c r="T857" s="80" t="n">
        <v>5.29</v>
      </c>
      <c r="U857" s="80" t="n">
        <v>21594.45</v>
      </c>
      <c r="V857" s="79" t="n">
        <v>34.54</v>
      </c>
      <c r="W857" s="98">
        <f>U857/V857</f>
        <v/>
      </c>
      <c r="X857" s="98">
        <f>(W857/U857)*100</f>
        <v/>
      </c>
      <c r="Y857" s="80" t="n">
        <v>17296.3</v>
      </c>
      <c r="Z857" s="79" t="n">
        <v>32.91</v>
      </c>
      <c r="AA857" s="98">
        <f>Y857/Z857</f>
        <v/>
      </c>
      <c r="AB857" s="98">
        <f>(AA857/Y857)*100</f>
        <v/>
      </c>
    </row>
    <row r="858">
      <c r="A858" s="92" t="n">
        <v>857</v>
      </c>
      <c r="B858" s="93" t="n">
        <v>45825</v>
      </c>
      <c r="C858" s="104" t="n">
        <v>44887121.51</v>
      </c>
      <c r="D858" s="98">
        <f>C858/E858</f>
        <v/>
      </c>
      <c r="E858" s="79" t="n">
        <v>86.318</v>
      </c>
      <c r="F858" s="98">
        <f>D858/100000</f>
        <v/>
      </c>
      <c r="G858" s="97">
        <f>(F858/DataSheet!$C$12*100)</f>
        <v/>
      </c>
      <c r="H858" s="98">
        <f>K858/I858</f>
        <v/>
      </c>
      <c r="I858" s="98">
        <f>(J858/L858)*100</f>
        <v/>
      </c>
      <c r="J858" s="97">
        <f>L858/O858</f>
        <v/>
      </c>
      <c r="K858" s="80" t="n">
        <v>6.25</v>
      </c>
      <c r="L858" s="79" t="n">
        <v>24853.4</v>
      </c>
      <c r="M858" s="80" t="n">
        <v>3.62</v>
      </c>
      <c r="N858" s="98">
        <f>K858-I858</f>
        <v/>
      </c>
      <c r="O858" s="80" t="n">
        <v>22.34</v>
      </c>
      <c r="P858" s="80" t="n">
        <v>4.386</v>
      </c>
      <c r="Q858" s="97">
        <f>K858-P858</f>
        <v/>
      </c>
      <c r="R858" s="79" t="n">
        <v>98.39400000000001</v>
      </c>
      <c r="S858" s="98">
        <f>(O858*T858)</f>
        <v/>
      </c>
      <c r="T858" s="80" t="n">
        <v>5.27</v>
      </c>
      <c r="U858" s="80" t="n">
        <v>21460.95</v>
      </c>
      <c r="V858" s="79" t="n">
        <v>34.33</v>
      </c>
      <c r="W858" s="98">
        <f>U858/V858</f>
        <v/>
      </c>
      <c r="X858" s="98">
        <f>(W858/U858)*100</f>
        <v/>
      </c>
      <c r="Y858" s="80" t="n">
        <v>17177.3</v>
      </c>
      <c r="Z858" s="79" t="n">
        <v>32.67</v>
      </c>
      <c r="AA858" s="98">
        <f>Y858/Z858</f>
        <v/>
      </c>
      <c r="AB858" s="98">
        <f>(AA858/Y858)*100</f>
        <v/>
      </c>
    </row>
    <row r="859">
      <c r="A859" s="92" t="n">
        <v>858</v>
      </c>
      <c r="B859" s="93" t="n">
        <v>45826</v>
      </c>
      <c r="C859" s="104" t="n">
        <v>44719545.41</v>
      </c>
      <c r="D859" s="98">
        <f>C859/E859</f>
        <v/>
      </c>
      <c r="E859" s="79" t="n">
        <v>86.43000000000001</v>
      </c>
      <c r="F859" s="98">
        <f>D859/100000</f>
        <v/>
      </c>
      <c r="G859" s="97">
        <f>(F859/DataSheet!$C$12*100)</f>
        <v/>
      </c>
      <c r="H859" s="98">
        <f>K859/I859</f>
        <v/>
      </c>
      <c r="I859" s="98">
        <f>(J859/L859)*100</f>
        <v/>
      </c>
      <c r="J859" s="97">
        <f>L859/O859</f>
        <v/>
      </c>
      <c r="K859" s="80" t="n">
        <v>6.25</v>
      </c>
      <c r="L859" s="79" t="n">
        <v>24812.05</v>
      </c>
      <c r="M859" s="80" t="n">
        <v>3.61</v>
      </c>
      <c r="N859" s="98">
        <f>K859-I859</f>
        <v/>
      </c>
      <c r="O859" s="80" t="n">
        <v>22.3</v>
      </c>
      <c r="P859" s="80" t="n">
        <v>4.39</v>
      </c>
      <c r="Q859" s="97">
        <f>K859-P859</f>
        <v/>
      </c>
      <c r="R859" s="79" t="n">
        <v>98.468</v>
      </c>
      <c r="S859" s="98">
        <f>(O859*T859)</f>
        <v/>
      </c>
      <c r="T859" s="80" t="n">
        <v>5.25</v>
      </c>
      <c r="U859" s="80" t="n">
        <v>21358.5</v>
      </c>
      <c r="V859" s="79" t="n">
        <v>34.16</v>
      </c>
      <c r="W859" s="98">
        <f>U859/V859</f>
        <v/>
      </c>
      <c r="X859" s="98">
        <f>(W859/U859)*100</f>
        <v/>
      </c>
      <c r="Y859" s="80" t="n">
        <v>17143.6</v>
      </c>
      <c r="Z859" s="79" t="n">
        <v>32.61</v>
      </c>
      <c r="AA859" s="98">
        <f>Y859/Z859</f>
        <v/>
      </c>
      <c r="AB859" s="98">
        <f>(AA859/Y859)*100</f>
        <v/>
      </c>
    </row>
    <row r="860">
      <c r="A860" s="92" t="n">
        <v>859</v>
      </c>
      <c r="B860" s="93" t="n">
        <v>45827</v>
      </c>
      <c r="C860" s="104" t="n">
        <v>44370983.66</v>
      </c>
      <c r="D860" s="98">
        <f>C860/E860</f>
        <v/>
      </c>
      <c r="E860" s="79" t="n">
        <v>86.84</v>
      </c>
      <c r="F860" s="98">
        <f>D860/100000</f>
        <v/>
      </c>
      <c r="G860" s="97">
        <f>(F860/DataSheet!$C$12*100)</f>
        <v/>
      </c>
      <c r="H860" s="98">
        <f>K860/I860</f>
        <v/>
      </c>
      <c r="I860" s="98">
        <f>(J860/L860)*100</f>
        <v/>
      </c>
      <c r="J860" s="97">
        <f>L860/O860</f>
        <v/>
      </c>
      <c r="K860" s="80" t="n">
        <v>6.3</v>
      </c>
      <c r="L860" s="79" t="n">
        <v>24793.25</v>
      </c>
      <c r="M860" s="80" t="n">
        <v>3.61</v>
      </c>
      <c r="N860" s="98">
        <f>K860-I860</f>
        <v/>
      </c>
      <c r="O860" s="80" t="n">
        <v>22.29</v>
      </c>
      <c r="P860" s="80" t="n">
        <v>4.385</v>
      </c>
      <c r="Q860" s="97">
        <f>K860-P860</f>
        <v/>
      </c>
      <c r="R860" s="79" t="n">
        <v>98.468</v>
      </c>
      <c r="S860" s="98">
        <f>(O860*T860)</f>
        <v/>
      </c>
      <c r="T860" s="80" t="n">
        <v>5.25</v>
      </c>
      <c r="U860" s="80" t="n">
        <v>21022.95</v>
      </c>
      <c r="V860" s="79" t="n">
        <v>33.63</v>
      </c>
      <c r="W860" s="98">
        <f>U860/V860</f>
        <v/>
      </c>
      <c r="X860" s="98">
        <f>(W860/U860)*100</f>
        <v/>
      </c>
      <c r="Y860" s="80" t="n">
        <v>16813.05</v>
      </c>
      <c r="Z860" s="79" t="n">
        <v>31.98</v>
      </c>
      <c r="AA860" s="98">
        <f>Y860/Z860</f>
        <v/>
      </c>
      <c r="AB860" s="98">
        <f>(AA860/Y860)*100</f>
        <v/>
      </c>
    </row>
    <row r="861">
      <c r="A861" s="92" t="n">
        <v>860</v>
      </c>
      <c r="B861" s="93" t="n">
        <v>45828</v>
      </c>
      <c r="C861" s="104" t="n">
        <v>44875555.39</v>
      </c>
      <c r="D861" s="98">
        <f>C861/E861</f>
        <v/>
      </c>
      <c r="E861" s="79" t="n">
        <v>86.58</v>
      </c>
      <c r="F861" s="98">
        <f>D861/100000</f>
        <v/>
      </c>
      <c r="G861" s="97">
        <f>(F861/DataSheet!$C$12*100)</f>
        <v/>
      </c>
      <c r="H861" s="98">
        <f>K861/I861</f>
        <v/>
      </c>
      <c r="I861" s="98">
        <f>(J861/L861)*100</f>
        <v/>
      </c>
      <c r="J861" s="97">
        <f>L861/O861</f>
        <v/>
      </c>
      <c r="K861" s="80" t="n">
        <v>6.31</v>
      </c>
      <c r="L861" s="79" t="n">
        <v>25112.4</v>
      </c>
      <c r="M861" s="80" t="n">
        <v>3.65</v>
      </c>
      <c r="N861" s="98">
        <f>K861-I861</f>
        <v/>
      </c>
      <c r="O861" s="80" t="n">
        <v>22.57</v>
      </c>
      <c r="P861" s="80" t="n">
        <v>4.376</v>
      </c>
      <c r="Q861" s="97">
        <f>K861-P861</f>
        <v/>
      </c>
      <c r="R861" s="79" t="n">
        <v>98.282</v>
      </c>
      <c r="S861" s="98">
        <f>(O861*T861)</f>
        <v/>
      </c>
      <c r="T861" s="80" t="n">
        <v>5.21</v>
      </c>
      <c r="U861" s="80" t="n">
        <v>21285.45</v>
      </c>
      <c r="V861" s="79" t="n">
        <v>34.04</v>
      </c>
      <c r="W861" s="98">
        <f>U861/V861</f>
        <v/>
      </c>
      <c r="X861" s="98">
        <f>(W861/U861)*100</f>
        <v/>
      </c>
      <c r="Y861" s="80" t="n">
        <v>16916.95</v>
      </c>
      <c r="Z861" s="79" t="n">
        <v>32.18</v>
      </c>
      <c r="AA861" s="98">
        <f>Y861/Z861</f>
        <v/>
      </c>
      <c r="AB861" s="98">
        <f>(AA861/Y861)*100</f>
        <v/>
      </c>
    </row>
    <row r="862">
      <c r="A862" s="29" t="n">
        <v>861</v>
      </c>
      <c r="B862" s="175" t="n">
        <v>45831</v>
      </c>
      <c r="C862" s="176" t="n">
        <v>44873819.03</v>
      </c>
      <c r="D862" s="177">
        <f>C862/E862</f>
        <v/>
      </c>
      <c r="E862" s="178" t="n">
        <v>86.58</v>
      </c>
      <c r="F862" s="177">
        <f>D862/100000</f>
        <v/>
      </c>
      <c r="G862" s="177">
        <f>(F862/[1]DataSheet!$C$12*100)</f>
        <v/>
      </c>
      <c r="H862" s="177">
        <f>K862/I862</f>
        <v/>
      </c>
      <c r="I862" s="177">
        <f>(J862/L862)*100</f>
        <v/>
      </c>
      <c r="J862" s="177">
        <f>L862/O862</f>
        <v/>
      </c>
      <c r="K862" s="178" t="n">
        <v>6.3</v>
      </c>
      <c r="L862" s="178" t="n">
        <v>24971.9</v>
      </c>
      <c r="M862" s="178" t="n">
        <v>3.63</v>
      </c>
      <c r="N862" s="177">
        <f>K862-I862</f>
        <v/>
      </c>
      <c r="O862" s="178" t="n">
        <v>22.44</v>
      </c>
      <c r="P862" s="178" t="n">
        <v>4.341</v>
      </c>
      <c r="Q862" s="177">
        <f>K862-P862</f>
        <v/>
      </c>
      <c r="R862" s="178" t="n">
        <v>98.01000000000001</v>
      </c>
      <c r="S862" s="177">
        <f>(O862*T862)</f>
        <v/>
      </c>
      <c r="T862" s="178" t="n">
        <v>5.27</v>
      </c>
      <c r="U862" s="178" t="n">
        <v>21371.3</v>
      </c>
      <c r="V862" s="178" t="n">
        <v>34.18</v>
      </c>
      <c r="W862" s="177">
        <f>U862/V862</f>
        <v/>
      </c>
      <c r="X862" s="177">
        <f>(W862/U862)*100</f>
        <v/>
      </c>
      <c r="Y862" s="178" t="n">
        <v>17048</v>
      </c>
      <c r="Z862" s="178" t="n">
        <v>32.43</v>
      </c>
      <c r="AA862" s="177">
        <f>Y862/Z862</f>
        <v/>
      </c>
      <c r="AB862" s="177">
        <f>(AA862/Y862)*100</f>
        <v/>
      </c>
    </row>
    <row r="863">
      <c r="A863" s="29" t="n">
        <v>862</v>
      </c>
      <c r="B863" s="175" t="n">
        <v>45832</v>
      </c>
      <c r="C863" s="176" t="n">
        <v>45115724.63</v>
      </c>
      <c r="D863" s="177">
        <f>C863/E863</f>
        <v/>
      </c>
      <c r="E863" s="178" t="n">
        <v>85.944</v>
      </c>
      <c r="F863" s="177">
        <f>D863/100000</f>
        <v/>
      </c>
      <c r="G863" s="177">
        <f>(F863/[1]DataSheet!$C$12*100)</f>
        <v/>
      </c>
      <c r="H863" s="177">
        <f>K863/I863</f>
        <v/>
      </c>
      <c r="I863" s="177">
        <f>(J863/L863)*100</f>
        <v/>
      </c>
      <c r="J863" s="177">
        <f>L863/O863</f>
        <v/>
      </c>
      <c r="K863" s="178" t="n">
        <v>6.24</v>
      </c>
      <c r="L863" s="178" t="n">
        <v>25044.35</v>
      </c>
      <c r="M863" s="178" t="n">
        <v>3.64</v>
      </c>
      <c r="N863" s="177">
        <f>K863-I863</f>
        <v/>
      </c>
      <c r="O863" s="178" t="n">
        <v>22.51</v>
      </c>
      <c r="P863" s="178" t="n">
        <v>4.294</v>
      </c>
      <c r="Q863" s="177">
        <f>K863-P863</f>
        <v/>
      </c>
      <c r="R863" s="178" t="n">
        <v>97.45</v>
      </c>
      <c r="S863" s="177">
        <f>(O863*T863)</f>
        <v/>
      </c>
      <c r="T863" s="178" t="n">
        <v>5.23</v>
      </c>
      <c r="U863" s="178" t="n">
        <v>21523.05</v>
      </c>
      <c r="V863" s="178" t="n">
        <v>34.42</v>
      </c>
      <c r="W863" s="177">
        <f>U863/V863</f>
        <v/>
      </c>
      <c r="X863" s="177">
        <f>(W863/U863)*100</f>
        <v/>
      </c>
      <c r="Y863" s="178" t="n">
        <v>17180.3</v>
      </c>
      <c r="Z863" s="178" t="n">
        <v>32.66</v>
      </c>
      <c r="AA863" s="177">
        <f>Y863/Z863</f>
        <v/>
      </c>
      <c r="AB863" s="177">
        <f>(AA863/Y863)*100</f>
        <v/>
      </c>
    </row>
    <row r="864">
      <c r="A864" s="29" t="n">
        <v>863</v>
      </c>
      <c r="B864" s="175" t="n">
        <v>45833</v>
      </c>
      <c r="C864" s="176" t="n">
        <v>45510345.57</v>
      </c>
      <c r="D864" s="177">
        <f>C864/E864</f>
        <v/>
      </c>
      <c r="E864" s="178" t="n">
        <v>86.04000000000001</v>
      </c>
      <c r="F864" s="177">
        <f>D864/100000</f>
        <v/>
      </c>
      <c r="G864" s="177">
        <f>(F864/[1]DataSheet!$C$12*100)</f>
        <v/>
      </c>
      <c r="H864" s="177">
        <f>K864/I864</f>
        <v/>
      </c>
      <c r="I864" s="177">
        <f>(J864/L864)*100</f>
        <v/>
      </c>
      <c r="J864" s="177">
        <f>L864/O864</f>
        <v/>
      </c>
      <c r="K864" s="178" t="n">
        <v>6.28</v>
      </c>
      <c r="L864" s="178" t="n">
        <v>25244.75</v>
      </c>
      <c r="M864" s="178" t="n">
        <v>3.67</v>
      </c>
      <c r="N864" s="177">
        <f>K864-I864</f>
        <v/>
      </c>
      <c r="O864" s="178" t="n">
        <v>22.69</v>
      </c>
      <c r="P864" s="178" t="n">
        <v>4.29</v>
      </c>
      <c r="Q864" s="177">
        <f>K864-P864</f>
        <v/>
      </c>
      <c r="R864" s="178" t="n">
        <v>97.273</v>
      </c>
      <c r="S864" s="177">
        <f>(O864*T864)</f>
        <v/>
      </c>
      <c r="T864" s="178" t="n">
        <v>5.26</v>
      </c>
      <c r="U864" s="178" t="n">
        <v>21640.65</v>
      </c>
      <c r="V864" s="178" t="n">
        <v>34.61</v>
      </c>
      <c r="W864" s="177">
        <f>U864/V864</f>
        <v/>
      </c>
      <c r="X864" s="177">
        <f>(W864/U864)*100</f>
        <v/>
      </c>
      <c r="Y864" s="178" t="n">
        <v>17455.6</v>
      </c>
      <c r="Z864" s="178" t="n">
        <v>33.19</v>
      </c>
      <c r="AA864" s="177">
        <f>Y864/Z864</f>
        <v/>
      </c>
      <c r="AB864" s="177">
        <f>(AA864/Y864)*100</f>
        <v/>
      </c>
    </row>
    <row r="865">
      <c r="A865" s="29" t="n">
        <v>864</v>
      </c>
      <c r="B865" s="175" t="n">
        <v>45834</v>
      </c>
      <c r="C865" s="176" t="n">
        <v>45858292.07</v>
      </c>
      <c r="D865" s="177">
        <f>C865/E865</f>
        <v/>
      </c>
      <c r="E865" s="178" t="n">
        <v>85.64</v>
      </c>
      <c r="F865" s="177">
        <f>D865/100000</f>
        <v/>
      </c>
      <c r="G865" s="177">
        <f>(F865/[1]DataSheet!$C$12*100)</f>
        <v/>
      </c>
      <c r="H865" s="177">
        <f>K865/I865</f>
        <v/>
      </c>
      <c r="I865" s="177">
        <f>(J865/L865)*100</f>
        <v/>
      </c>
      <c r="J865" s="177">
        <f>L865/O865</f>
        <v/>
      </c>
      <c r="K865" s="178" t="n">
        <v>6.27</v>
      </c>
      <c r="L865" s="178" t="n">
        <v>25549</v>
      </c>
      <c r="M865" s="178" t="n">
        <v>3.72</v>
      </c>
      <c r="N865" s="177">
        <f>K865-I865</f>
        <v/>
      </c>
      <c r="O865" s="178" t="n">
        <v>22.96</v>
      </c>
      <c r="P865" s="178" t="n">
        <v>4.245</v>
      </c>
      <c r="Q865" s="177">
        <f>K865-P865</f>
        <v/>
      </c>
      <c r="R865" s="178" t="n">
        <v>96.762</v>
      </c>
      <c r="S865" s="177">
        <f>(O865*T865)</f>
        <v/>
      </c>
      <c r="T865" s="178" t="n">
        <v>5.32</v>
      </c>
      <c r="U865" s="178" t="n">
        <v>21753.15</v>
      </c>
      <c r="V865" s="178" t="n">
        <v>34.79</v>
      </c>
      <c r="W865" s="177">
        <f>U865/V865</f>
        <v/>
      </c>
      <c r="X865" s="177">
        <f>(W865/U865)*100</f>
        <v/>
      </c>
      <c r="Y865" s="178" t="n">
        <v>17500.5</v>
      </c>
      <c r="Z865" s="178" t="n">
        <v>33.27</v>
      </c>
      <c r="AA865" s="177">
        <f>Y865/Z865</f>
        <v/>
      </c>
      <c r="AB865" s="177">
        <f>(AA865/Y865)*100</f>
        <v/>
      </c>
    </row>
    <row r="866">
      <c r="A866" s="29" t="n">
        <v>865</v>
      </c>
      <c r="B866" s="175" t="n">
        <v>45835</v>
      </c>
      <c r="C866" s="176" t="n">
        <v>46113059.36</v>
      </c>
      <c r="D866" s="177">
        <f>C866/E866</f>
        <v/>
      </c>
      <c r="E866" s="178" t="n">
        <v>85.455</v>
      </c>
      <c r="F866" s="177">
        <f>D866/100000</f>
        <v/>
      </c>
      <c r="G866" s="177">
        <f>(F866/[1]DataSheet!$C$12*100)</f>
        <v/>
      </c>
      <c r="H866" s="177">
        <f>K866/I866</f>
        <v/>
      </c>
      <c r="I866" s="177">
        <f>(J866/L866)*100</f>
        <v/>
      </c>
      <c r="J866" s="177">
        <f>L866/O866</f>
        <v/>
      </c>
      <c r="K866" s="178" t="n">
        <v>6.31</v>
      </c>
      <c r="L866" s="178" t="n">
        <v>25637.8</v>
      </c>
      <c r="M866" s="178" t="n">
        <v>3.73</v>
      </c>
      <c r="N866" s="177">
        <f>K866-I866</f>
        <v/>
      </c>
      <c r="O866" s="178" t="n">
        <v>23.04</v>
      </c>
      <c r="P866" s="178" t="n">
        <v>4.274</v>
      </c>
      <c r="Q866" s="177">
        <f>K866-P866</f>
        <v/>
      </c>
      <c r="R866" s="178" t="n">
        <v>97.03100000000001</v>
      </c>
      <c r="S866" s="177">
        <f>(O866*T866)</f>
        <v/>
      </c>
      <c r="T866" s="178" t="n">
        <v>5.31</v>
      </c>
      <c r="U866" s="178" t="n">
        <v>21840.2</v>
      </c>
      <c r="V866" s="178" t="n">
        <v>34.86</v>
      </c>
      <c r="W866" s="177">
        <f>U866/V866</f>
        <v/>
      </c>
      <c r="X866" s="177">
        <f>(W866/U866)*100</f>
        <v/>
      </c>
      <c r="Y866" s="178" t="n">
        <v>17642.3</v>
      </c>
      <c r="Z866" s="178" t="n">
        <v>33.54</v>
      </c>
      <c r="AA866" s="177">
        <f>Y866/Z866</f>
        <v/>
      </c>
      <c r="AB866" s="177">
        <f>(AA866/Y866)*100</f>
        <v/>
      </c>
    </row>
    <row r="867">
      <c r="A867" s="29" t="n">
        <v>866</v>
      </c>
      <c r="B867" s="175" t="n">
        <v>45838</v>
      </c>
      <c r="C867" s="176" t="n">
        <v>46219612.74</v>
      </c>
      <c r="D867" s="177">
        <f>C867/E867</f>
        <v/>
      </c>
      <c r="E867" s="178" t="n">
        <v>85.7</v>
      </c>
      <c r="F867" s="177">
        <f>D867/100000</f>
        <v/>
      </c>
      <c r="G867" s="177">
        <f>(F867/[1]DataSheet!$C$12*100)</f>
        <v/>
      </c>
      <c r="H867" s="177">
        <f>K867/I867</f>
        <v/>
      </c>
      <c r="I867" s="177">
        <f>(J867/L867)*100</f>
        <v/>
      </c>
      <c r="J867" s="177">
        <f>L867/O867</f>
        <v/>
      </c>
      <c r="K867" s="178" t="n">
        <v>6.31</v>
      </c>
      <c r="L867" s="178" t="n">
        <v>25517.05</v>
      </c>
      <c r="M867" s="178" t="n">
        <v>3.7</v>
      </c>
      <c r="N867" s="177">
        <f>K867-I867</f>
        <v/>
      </c>
      <c r="O867" s="178" t="n">
        <v>22.97</v>
      </c>
      <c r="P867" s="178" t="n">
        <v>4.231</v>
      </c>
      <c r="Q867" s="177">
        <f>K867-P867</f>
        <v/>
      </c>
      <c r="R867" s="178" t="n">
        <v>96.49299999999999</v>
      </c>
      <c r="S867" s="177">
        <f>(O867*T867)</f>
        <v/>
      </c>
      <c r="T867" s="178" t="n">
        <v>5.28</v>
      </c>
      <c r="U867" s="178" t="n">
        <v>21988.65</v>
      </c>
      <c r="V867" s="178" t="n">
        <v>35.27</v>
      </c>
      <c r="W867" s="177">
        <f>U867/V867</f>
        <v/>
      </c>
      <c r="X867" s="177">
        <f>(W867/U867)*100</f>
        <v/>
      </c>
      <c r="Y867" s="178" t="n">
        <v>17797.8</v>
      </c>
      <c r="Z867" s="178" t="n">
        <v>33.87</v>
      </c>
      <c r="AA867" s="177">
        <f>Y867/Z867</f>
        <v/>
      </c>
      <c r="AB867" s="177">
        <f>(AA867/Y867)*100</f>
        <v/>
      </c>
    </row>
    <row r="868">
      <c r="A868" s="29" t="n">
        <v>867</v>
      </c>
      <c r="B868" s="175" t="n">
        <v>45839</v>
      </c>
      <c r="C868" s="176" t="n">
        <v>46235985.57</v>
      </c>
      <c r="D868" s="177">
        <f>C868/E868</f>
        <v/>
      </c>
      <c r="E868" s="178" t="n">
        <v>85.63</v>
      </c>
      <c r="F868" s="177">
        <f>D868/100000</f>
        <v/>
      </c>
      <c r="G868" s="177">
        <f>(F868/[1]DataSheet!$C$12*100)</f>
        <v/>
      </c>
      <c r="H868" s="177">
        <f>K868/I868</f>
        <v/>
      </c>
      <c r="I868" s="177">
        <f>(J868/L868)*100</f>
        <v/>
      </c>
      <c r="J868" s="177">
        <f>L868/O868</f>
        <v/>
      </c>
      <c r="K868" s="178" t="n">
        <v>6.29</v>
      </c>
      <c r="L868" s="178" t="n">
        <v>25541.8</v>
      </c>
      <c r="M868" s="178" t="n">
        <v>3.7</v>
      </c>
      <c r="N868" s="177">
        <f>K868-I868</f>
        <v/>
      </c>
      <c r="O868" s="178" t="n">
        <v>22.99</v>
      </c>
      <c r="P868" s="178" t="n">
        <v>4.241</v>
      </c>
      <c r="Q868" s="177">
        <f>K868-P868</f>
        <v/>
      </c>
      <c r="R868" s="178" t="n">
        <v>96.467</v>
      </c>
      <c r="S868" s="177">
        <f>(O868*T868)</f>
        <v/>
      </c>
      <c r="T868" s="178" t="n">
        <v>5.3</v>
      </c>
      <c r="U868" s="178" t="n">
        <v>21951.05</v>
      </c>
      <c r="V868" s="178" t="n">
        <v>35.21</v>
      </c>
      <c r="W868" s="177">
        <f>U868/V868</f>
        <v/>
      </c>
      <c r="X868" s="177">
        <f>(W868/U868)*100</f>
        <v/>
      </c>
      <c r="Y868" s="178" t="n">
        <v>17762</v>
      </c>
      <c r="Z868" s="178" t="n">
        <v>33.8</v>
      </c>
      <c r="AA868" s="177">
        <f>Y868/Z868</f>
        <v/>
      </c>
      <c r="AB868" s="177">
        <f>(AA868/Y868)*100</f>
        <v/>
      </c>
    </row>
    <row r="869">
      <c r="A869" s="29" t="n">
        <v>868</v>
      </c>
      <c r="B869" s="175" t="n">
        <v>45840</v>
      </c>
      <c r="C869" s="176" t="n">
        <v>46190275.45</v>
      </c>
      <c r="D869" s="177">
        <f>C869/E869</f>
        <v/>
      </c>
      <c r="E869" s="178" t="n">
        <v>85.625</v>
      </c>
      <c r="F869" s="177">
        <f>D869/100000</f>
        <v/>
      </c>
      <c r="G869" s="177">
        <f>(F869/[1]DataSheet!$C$12*100)</f>
        <v/>
      </c>
      <c r="H869" s="177">
        <f>K869/I869</f>
        <v/>
      </c>
      <c r="I869" s="177">
        <f>(J869/L869)*100</f>
        <v/>
      </c>
      <c r="J869" s="177">
        <f>L869/O869</f>
        <v/>
      </c>
      <c r="K869" s="178" t="n">
        <v>6.28</v>
      </c>
      <c r="L869" s="178" t="n">
        <v>25453.4</v>
      </c>
      <c r="M869" s="178" t="n">
        <v>3.69</v>
      </c>
      <c r="N869" s="177">
        <f>K869-I869</f>
        <v/>
      </c>
      <c r="O869" s="178" t="n">
        <v>22.91</v>
      </c>
      <c r="P869" s="178" t="n">
        <v>4.282</v>
      </c>
      <c r="Q869" s="177">
        <f>K869-P869</f>
        <v/>
      </c>
      <c r="R869" s="178" t="n">
        <v>96.429</v>
      </c>
      <c r="S869" s="177">
        <f>(O869*T869)</f>
        <v/>
      </c>
      <c r="T869" s="178" t="n">
        <v>5.26</v>
      </c>
      <c r="U869" s="178" t="n">
        <v>21940.15</v>
      </c>
      <c r="V869" s="178" t="n">
        <v>35.19</v>
      </c>
      <c r="W869" s="177">
        <f>U869/V869</f>
        <v/>
      </c>
      <c r="X869" s="177">
        <f>(W869/U869)*100</f>
        <v/>
      </c>
      <c r="Y869" s="178" t="n">
        <v>17693.1</v>
      </c>
      <c r="Z869" s="178" t="n">
        <v>33.67</v>
      </c>
      <c r="AA869" s="177">
        <f>Y869/Z869</f>
        <v/>
      </c>
      <c r="AB869" s="177">
        <f>(AA869/Y869)*100</f>
        <v/>
      </c>
    </row>
    <row r="870">
      <c r="A870" s="29" t="n">
        <v>869</v>
      </c>
      <c r="B870" s="175" t="n">
        <v>45841</v>
      </c>
      <c r="C870" s="176" t="n">
        <v>46140294.53</v>
      </c>
      <c r="D870" s="177">
        <f>C870/E870</f>
        <v/>
      </c>
      <c r="E870" s="178" t="n">
        <v>85.43300000000001</v>
      </c>
      <c r="F870" s="177">
        <f>D870/100000</f>
        <v/>
      </c>
      <c r="G870" s="177">
        <f>(F870/[1]DataSheet!$C$12*100)</f>
        <v/>
      </c>
      <c r="H870" s="177">
        <f>K870/I870</f>
        <v/>
      </c>
      <c r="I870" s="177">
        <f>(J870/L870)*100</f>
        <v/>
      </c>
      <c r="J870" s="177">
        <f>L870/O870</f>
        <v/>
      </c>
      <c r="K870" s="178" t="n">
        <v>6.28</v>
      </c>
      <c r="L870" s="178" t="n">
        <v>25405.3</v>
      </c>
      <c r="M870" s="178" t="n">
        <v>3.68</v>
      </c>
      <c r="N870" s="177">
        <f>K870-I870</f>
        <v/>
      </c>
      <c r="O870" s="178" t="n">
        <v>22.87</v>
      </c>
      <c r="P870" s="178" t="n">
        <v>4.346</v>
      </c>
      <c r="Q870" s="177">
        <f>K870-P870</f>
        <v/>
      </c>
      <c r="R870" s="178" t="n">
        <v>96.822</v>
      </c>
      <c r="S870" s="177">
        <f>(O870*T870)</f>
        <v/>
      </c>
      <c r="T870" s="178" t="n">
        <v>5.23</v>
      </c>
      <c r="U870" s="178" t="n">
        <v>21977.25</v>
      </c>
      <c r="V870" s="178" t="n">
        <v>35.25</v>
      </c>
      <c r="W870" s="177">
        <f>U870/V870</f>
        <v/>
      </c>
      <c r="X870" s="177">
        <f>(W870/U870)*100</f>
        <v/>
      </c>
      <c r="Y870" s="178" t="n">
        <v>17758.05</v>
      </c>
      <c r="Z870" s="178" t="n">
        <v>33.79</v>
      </c>
      <c r="AA870" s="177">
        <f>Y870/Z870</f>
        <v/>
      </c>
      <c r="AB870" s="177">
        <f>(AA870/Y870)*100</f>
        <v/>
      </c>
    </row>
    <row r="871">
      <c r="A871" s="29" t="n">
        <v>870</v>
      </c>
      <c r="B871" s="175" t="n">
        <v>45842</v>
      </c>
      <c r="C871" s="176" t="n">
        <v>46235858.95</v>
      </c>
      <c r="D871" s="177">
        <f>C871/E871</f>
        <v/>
      </c>
      <c r="E871" s="178" t="n">
        <v>85.497</v>
      </c>
      <c r="F871" s="177">
        <f>D871/100000</f>
        <v/>
      </c>
      <c r="G871" s="177">
        <f>(F871/[1]DataSheet!$C$12*100)</f>
        <v/>
      </c>
      <c r="H871" s="177">
        <f>K871/I871</f>
        <v/>
      </c>
      <c r="I871" s="177">
        <f>(J871/L871)*100</f>
        <v/>
      </c>
      <c r="J871" s="177">
        <f>L871/O871</f>
        <v/>
      </c>
      <c r="K871" s="178" t="n">
        <v>6.29</v>
      </c>
      <c r="L871" s="178" t="n">
        <v>25461</v>
      </c>
      <c r="M871" s="178" t="n">
        <v>3.69</v>
      </c>
      <c r="N871" s="177">
        <f>K871-I871</f>
        <v/>
      </c>
      <c r="O871" s="178" t="n">
        <v>22.92</v>
      </c>
      <c r="P871" s="178" t="n">
        <v>4.328</v>
      </c>
      <c r="Q871" s="177">
        <f>K871-P871</f>
        <v/>
      </c>
      <c r="R871" s="178" t="n">
        <v>96.822</v>
      </c>
      <c r="S871" s="177">
        <f>(O871*T871)</f>
        <v/>
      </c>
      <c r="T871" s="178" t="n">
        <v>5.22</v>
      </c>
      <c r="U871" s="178" t="n">
        <v>21973.15</v>
      </c>
      <c r="V871" s="178" t="n">
        <v>35.24</v>
      </c>
      <c r="W871" s="177">
        <f>U871/V871</f>
        <v/>
      </c>
      <c r="X871" s="177">
        <f>(W871/U871)*100</f>
        <v/>
      </c>
      <c r="Y871" s="178" t="n">
        <v>17762.2</v>
      </c>
      <c r="Z871" s="178" t="n">
        <v>33.79</v>
      </c>
      <c r="AA871" s="177">
        <f>Y871/Z871</f>
        <v/>
      </c>
      <c r="AB871" s="177">
        <f>(AA871/Y871)*100</f>
        <v/>
      </c>
    </row>
    <row r="872">
      <c r="A872" s="29" t="n">
        <v>871</v>
      </c>
      <c r="B872" s="175" t="n">
        <v>45845</v>
      </c>
      <c r="C872" s="176" t="n">
        <v>46217826.36</v>
      </c>
      <c r="D872" s="177">
        <f>C872/E872</f>
        <v/>
      </c>
      <c r="E872" s="178" t="n">
        <v>85.76000000000001</v>
      </c>
      <c r="F872" s="177">
        <f>D872/100000</f>
        <v/>
      </c>
      <c r="G872" s="177">
        <f>(F872/[1]DataSheet!$C$12*100)</f>
        <v/>
      </c>
      <c r="H872" s="177">
        <f>K872/I872</f>
        <v/>
      </c>
      <c r="I872" s="177">
        <f>(J872/L872)*100</f>
        <v/>
      </c>
      <c r="J872" s="177">
        <f>L872/O872</f>
        <v/>
      </c>
      <c r="K872" s="178" t="n">
        <v>6.294</v>
      </c>
      <c r="L872" s="178" t="n">
        <v>25461.3</v>
      </c>
      <c r="M872" s="178" t="n">
        <v>3.65</v>
      </c>
      <c r="N872" s="177">
        <f>K872-I872</f>
        <v/>
      </c>
      <c r="O872" s="178" t="n">
        <v>22.92</v>
      </c>
      <c r="P872" s="178" t="n">
        <v>4.382</v>
      </c>
      <c r="Q872" s="177">
        <f>K872-P872</f>
        <v/>
      </c>
      <c r="R872" s="178" t="n">
        <v>97.14100000000001</v>
      </c>
      <c r="S872" s="177">
        <f>(O872*T872)</f>
        <v/>
      </c>
      <c r="T872" s="178" t="n">
        <v>5.3</v>
      </c>
      <c r="U872" s="178" t="n">
        <v>21916.3</v>
      </c>
      <c r="V872" s="178" t="n">
        <v>35.15</v>
      </c>
      <c r="W872" s="177">
        <f>U872/V872</f>
        <v/>
      </c>
      <c r="X872" s="177">
        <f>(W872/U872)*100</f>
        <v/>
      </c>
      <c r="Y872" s="178" t="n">
        <v>17726.35</v>
      </c>
      <c r="Z872" s="178" t="n">
        <v>33.72</v>
      </c>
      <c r="AA872" s="177">
        <f>Y872/Z872</f>
        <v/>
      </c>
      <c r="AB872" s="177">
        <f>(AA872/Y872)*100</f>
        <v/>
      </c>
    </row>
    <row r="873">
      <c r="A873" s="29" t="n">
        <v>872</v>
      </c>
      <c r="B873" s="175" t="n">
        <v>45846</v>
      </c>
      <c r="C873" s="176" t="n">
        <v>46248540.79</v>
      </c>
      <c r="D873" s="177">
        <f>C873/E873</f>
        <v/>
      </c>
      <c r="E873" s="178" t="n">
        <v>85.76000000000001</v>
      </c>
      <c r="F873" s="177">
        <f>D873/100000</f>
        <v/>
      </c>
      <c r="G873" s="177">
        <f>(F873/[1]DataSheet!$C$12*100)</f>
        <v/>
      </c>
      <c r="H873" s="177">
        <f>K873/I873</f>
        <v/>
      </c>
      <c r="I873" s="177">
        <f>(J873/L873)*100</f>
        <v/>
      </c>
      <c r="J873" s="177">
        <f>L873/O873</f>
        <v/>
      </c>
      <c r="K873" s="178" t="n">
        <v>6.306</v>
      </c>
      <c r="L873" s="178" t="n">
        <v>25522.5</v>
      </c>
      <c r="M873" s="178" t="n">
        <v>3.66</v>
      </c>
      <c r="N873" s="177">
        <f>K873-I873</f>
        <v/>
      </c>
      <c r="O873" s="178" t="n">
        <v>22.97</v>
      </c>
      <c r="P873" s="178" t="n">
        <v>4.417</v>
      </c>
      <c r="Q873" s="177">
        <f>K873-P873</f>
        <v/>
      </c>
      <c r="R873" s="178" t="n">
        <v>97.172</v>
      </c>
      <c r="S873" s="177">
        <f>(O873*T873)</f>
        <v/>
      </c>
      <c r="T873" s="178" t="n">
        <v>5.33</v>
      </c>
      <c r="U873" s="178" t="n">
        <v>21886.15</v>
      </c>
      <c r="V873" s="178" t="n">
        <v>35.1</v>
      </c>
      <c r="W873" s="177">
        <f>U873/V873</f>
        <v/>
      </c>
      <c r="X873" s="177">
        <f>(W873/U873)*100</f>
        <v/>
      </c>
      <c r="Y873" s="178" t="n">
        <v>17684.8</v>
      </c>
      <c r="Z873" s="178" t="n">
        <v>33.64</v>
      </c>
      <c r="AA873" s="177">
        <f>Y873/Z873</f>
        <v/>
      </c>
      <c r="AB873" s="177">
        <f>(AA873/Y873)*100</f>
        <v/>
      </c>
    </row>
    <row r="874">
      <c r="A874" s="29" t="n">
        <v>873</v>
      </c>
      <c r="B874" s="175" t="n">
        <v>45847</v>
      </c>
      <c r="C874" s="176" t="n">
        <v>46249933.18</v>
      </c>
      <c r="D874" s="177">
        <f>C874/E874</f>
        <v/>
      </c>
      <c r="E874" s="178" t="n">
        <v>85.68000000000001</v>
      </c>
      <c r="F874" s="177">
        <f>D874/100000</f>
        <v/>
      </c>
      <c r="G874" s="177">
        <f>(F874/[1]DataSheet!$C$12*100)</f>
        <v/>
      </c>
      <c r="H874" s="177">
        <f>K874/I874</f>
        <v/>
      </c>
      <c r="I874" s="177">
        <f>(J874/L874)*100</f>
        <v/>
      </c>
      <c r="J874" s="177">
        <f>L874/O874</f>
        <v/>
      </c>
      <c r="K874" s="178" t="n">
        <v>6.314</v>
      </c>
      <c r="L874" s="178" t="n">
        <v>25476.1</v>
      </c>
      <c r="M874" s="178" t="n">
        <v>3.66</v>
      </c>
      <c r="N874" s="177">
        <f>K874-I874</f>
        <v/>
      </c>
      <c r="O874" s="178" t="n">
        <v>22.93</v>
      </c>
      <c r="P874" s="178" t="n">
        <v>4.342</v>
      </c>
      <c r="Q874" s="177">
        <f>K874-P874</f>
        <v/>
      </c>
      <c r="R874" s="178" t="n">
        <v>97.199</v>
      </c>
      <c r="S874" s="177">
        <f>(O874*T874)</f>
        <v/>
      </c>
      <c r="T874" s="178" t="n">
        <v>5.33</v>
      </c>
      <c r="U874" s="178" t="n">
        <v>21878.65</v>
      </c>
      <c r="V874" s="178" t="n">
        <v>35.08</v>
      </c>
      <c r="W874" s="177">
        <f>U874/V874</f>
        <v/>
      </c>
      <c r="X874" s="177">
        <f>(W874/U874)*100</f>
        <v/>
      </c>
      <c r="Y874" s="178" t="n">
        <v>17782.45</v>
      </c>
      <c r="Z874" s="178" t="n">
        <v>33.83</v>
      </c>
      <c r="AA874" s="177">
        <f>Y874/Z874</f>
        <v/>
      </c>
      <c r="AB874" s="177">
        <f>(AA874/Y874)*100</f>
        <v/>
      </c>
    </row>
    <row r="875">
      <c r="A875" s="29" t="n">
        <v>874</v>
      </c>
      <c r="B875" s="175" t="n">
        <v>45848</v>
      </c>
      <c r="C875" s="176" t="n">
        <v>46139041.69</v>
      </c>
      <c r="D875" s="177">
        <f>C875/E875</f>
        <v/>
      </c>
      <c r="E875" s="178" t="n">
        <v>85.749</v>
      </c>
      <c r="F875" s="177">
        <f>D875/100000</f>
        <v/>
      </c>
      <c r="G875" s="177">
        <f>(F875/[1]DataSheet!$C$12*100)</f>
        <v/>
      </c>
      <c r="H875" s="177">
        <f>K875/I875</f>
        <v/>
      </c>
      <c r="I875" s="177">
        <f>(J875/L875)*100</f>
        <v/>
      </c>
      <c r="J875" s="177">
        <f>L875/O875</f>
        <v/>
      </c>
      <c r="K875" s="178" t="n">
        <v>6.318</v>
      </c>
      <c r="L875" s="178" t="n">
        <v>25355.25</v>
      </c>
      <c r="M875" s="178" t="n">
        <v>3.61</v>
      </c>
      <c r="N875" s="177">
        <f>K875-I875</f>
        <v/>
      </c>
      <c r="O875" s="178" t="n">
        <v>22.82</v>
      </c>
      <c r="P875" s="178" t="n">
        <v>4.346</v>
      </c>
      <c r="Q875" s="177">
        <f>K875-P875</f>
        <v/>
      </c>
      <c r="R875" s="178" t="n">
        <v>97.322</v>
      </c>
      <c r="S875" s="177">
        <f>(O875*T875)</f>
        <v/>
      </c>
      <c r="T875" s="178" t="n">
        <v>5.35</v>
      </c>
      <c r="U875" s="178" t="n">
        <v>21818.35</v>
      </c>
      <c r="V875" s="178" t="n">
        <v>34.99</v>
      </c>
      <c r="W875" s="177">
        <f>U875/V875</f>
        <v/>
      </c>
      <c r="X875" s="177">
        <f>(W875/U875)*100</f>
        <v/>
      </c>
      <c r="Y875" s="178" t="n">
        <v>17770.65</v>
      </c>
      <c r="Z875" s="178" t="n">
        <v>33.75</v>
      </c>
      <c r="AA875" s="177">
        <f>Y875/Z875</f>
        <v/>
      </c>
      <c r="AB875" s="177">
        <f>(AA875/Y875)*100</f>
        <v/>
      </c>
    </row>
    <row r="876">
      <c r="A876" s="29" t="n">
        <v>875</v>
      </c>
      <c r="B876" s="175" t="n">
        <v>45849</v>
      </c>
      <c r="C876" s="176" t="n">
        <v>45782388.26</v>
      </c>
      <c r="D876" s="177">
        <f>C876/E876</f>
        <v/>
      </c>
      <c r="E876" s="178" t="n">
        <v>85.825</v>
      </c>
      <c r="F876" s="177">
        <f>D876/100000</f>
        <v/>
      </c>
      <c r="G876" s="177">
        <f>(F876/[1]DataSheet!$C$12*100)</f>
        <v/>
      </c>
      <c r="H876" s="177">
        <f>K876/I876</f>
        <v/>
      </c>
      <c r="I876" s="177">
        <f>(J876/L876)*100</f>
        <v/>
      </c>
      <c r="J876" s="177">
        <f>L876/O876</f>
        <v/>
      </c>
      <c r="K876" s="178" t="n">
        <v>6.304</v>
      </c>
      <c r="L876" s="178" t="n">
        <v>25149.85</v>
      </c>
      <c r="M876" s="178" t="n">
        <v>3.58</v>
      </c>
      <c r="N876" s="177">
        <f>K876-I876</f>
        <v/>
      </c>
      <c r="O876" s="178" t="n">
        <v>22.64</v>
      </c>
      <c r="P876" s="178" t="n">
        <v>4.423</v>
      </c>
      <c r="Q876" s="177">
        <f>K876-P876</f>
        <v/>
      </c>
      <c r="R876" s="178" t="n">
        <v>97.529</v>
      </c>
      <c r="S876" s="177">
        <f>(O876*T876)</f>
        <v/>
      </c>
      <c r="T876" s="178" t="n">
        <v>5.35</v>
      </c>
      <c r="U876" s="178" t="n">
        <v>21636.4</v>
      </c>
      <c r="V876" s="178" t="n">
        <v>34.69</v>
      </c>
      <c r="W876" s="177">
        <f>U876/V876</f>
        <v/>
      </c>
      <c r="X876" s="177">
        <f>(W876/U876)*100</f>
        <v/>
      </c>
      <c r="Y876" s="178" t="n">
        <v>17645.45</v>
      </c>
      <c r="Z876" s="178" t="n">
        <v>33.52</v>
      </c>
      <c r="AA876" s="177">
        <f>Y876/Z876</f>
        <v/>
      </c>
      <c r="AB876" s="177">
        <f>(AA876/Y876)*100</f>
        <v/>
      </c>
    </row>
    <row r="877">
      <c r="A877" s="29" t="n">
        <v>876</v>
      </c>
      <c r="B877" s="175" t="n">
        <v>45852</v>
      </c>
      <c r="C877" s="176" t="n">
        <v>45860143.22</v>
      </c>
      <c r="D877" s="177">
        <f>C877/E877</f>
        <v/>
      </c>
      <c r="E877" s="178" t="n">
        <v>86.017</v>
      </c>
      <c r="F877" s="177">
        <f>D877/100000</f>
        <v/>
      </c>
      <c r="G877" s="177">
        <f>(F877/[1]DataSheet!$C$12*100)</f>
        <v/>
      </c>
      <c r="H877" s="177">
        <f>K877/I877</f>
        <v/>
      </c>
      <c r="I877" s="177">
        <f>(J877/L877)*100</f>
        <v/>
      </c>
      <c r="J877" s="177">
        <f>L877/O877</f>
        <v/>
      </c>
      <c r="K877" s="178" t="n">
        <v>6.311</v>
      </c>
      <c r="L877" s="178" t="n">
        <v>25082.3</v>
      </c>
      <c r="M877" s="178" t="n">
        <v>3.57</v>
      </c>
      <c r="N877" s="177">
        <f>K877-I877</f>
        <v/>
      </c>
      <c r="O877" s="178" t="n">
        <v>22.57</v>
      </c>
      <c r="P877" s="178" t="n">
        <v>4.427</v>
      </c>
      <c r="Q877" s="177">
        <f>K877-P877</f>
        <v/>
      </c>
      <c r="R877" s="178" t="n">
        <v>97.76300000000001</v>
      </c>
      <c r="S877" s="177">
        <f>(O877*T877)</f>
        <v/>
      </c>
      <c r="T877" s="178" t="n">
        <v>5.34</v>
      </c>
      <c r="U877" s="178" t="n">
        <v>21773.9</v>
      </c>
      <c r="V877" s="178" t="n">
        <v>34.92</v>
      </c>
      <c r="W877" s="177">
        <f>U877/V877</f>
        <v/>
      </c>
      <c r="X877" s="177">
        <f>(W877/U877)*100</f>
        <v/>
      </c>
      <c r="Y877" s="178" t="n">
        <v>17808.65</v>
      </c>
      <c r="Z877" s="178" t="n">
        <v>33.82</v>
      </c>
      <c r="AA877" s="177">
        <f>Y877/Z877</f>
        <v/>
      </c>
      <c r="AB877" s="177">
        <f>(AA877/Y877)*100</f>
        <v/>
      </c>
    </row>
    <row r="878">
      <c r="A878" s="29" t="n">
        <v>877</v>
      </c>
      <c r="B878" s="175" t="n">
        <v>45853</v>
      </c>
      <c r="C878" s="176" t="n">
        <v>46146668.89</v>
      </c>
      <c r="D878" s="177">
        <f>C878/E878</f>
        <v/>
      </c>
      <c r="E878" s="178" t="n">
        <v>85.991</v>
      </c>
      <c r="F878" s="177">
        <f>D878/100000</f>
        <v/>
      </c>
      <c r="G878" s="177">
        <f>(F878/[1]DataSheet!$C$12*100)</f>
        <v/>
      </c>
      <c r="H878" s="177">
        <f>K878/I878</f>
        <v/>
      </c>
      <c r="I878" s="177">
        <f>(J878/L878)*100</f>
        <v/>
      </c>
      <c r="J878" s="177">
        <f>L878/O878</f>
        <v/>
      </c>
      <c r="K878" s="178" t="n">
        <v>6.313</v>
      </c>
      <c r="L878" s="178" t="n">
        <v>25195.8</v>
      </c>
      <c r="M878" s="178" t="n">
        <v>3.58</v>
      </c>
      <c r="N878" s="177">
        <f>K878-I878</f>
        <v/>
      </c>
      <c r="O878" s="178" t="n">
        <v>22.67</v>
      </c>
      <c r="P878" s="178" t="n">
        <v>4.489</v>
      </c>
      <c r="Q878" s="177">
        <f>K878-P878</f>
        <v/>
      </c>
      <c r="R878" s="178" t="n">
        <v>98.31</v>
      </c>
      <c r="S878" s="177">
        <f>(O878*T878)</f>
        <v/>
      </c>
      <c r="T878" s="178" t="n">
        <v>5.36</v>
      </c>
      <c r="U878" s="178" t="n">
        <v>21974.9</v>
      </c>
      <c r="V878" s="178" t="n">
        <v>35.25</v>
      </c>
      <c r="W878" s="177">
        <f>U878/V878</f>
        <v/>
      </c>
      <c r="X878" s="177">
        <f>(W878/U878)*100</f>
        <v/>
      </c>
      <c r="Y878" s="178" t="n">
        <v>17952.15</v>
      </c>
      <c r="Z878" s="178" t="n">
        <v>34.07</v>
      </c>
      <c r="AA878" s="177">
        <f>Y878/Z878</f>
        <v/>
      </c>
      <c r="AB878" s="177">
        <f>(AA878/Y878)*100</f>
        <v/>
      </c>
    </row>
    <row r="879">
      <c r="A879" s="29" t="n">
        <v>878</v>
      </c>
      <c r="B879" s="175" t="n">
        <v>45854</v>
      </c>
      <c r="C879" s="176" t="n">
        <v>46231061.6</v>
      </c>
      <c r="D879" s="177">
        <f>C879/E879</f>
        <v/>
      </c>
      <c r="E879" s="178" t="n">
        <v>85.88500000000001</v>
      </c>
      <c r="F879" s="177">
        <f>D879/100000</f>
        <v/>
      </c>
      <c r="G879" s="177">
        <f>(F879/[1]DataSheet!$C$12*100)</f>
        <v/>
      </c>
      <c r="H879" s="177">
        <f>K879/I879</f>
        <v/>
      </c>
      <c r="I879" s="177">
        <f>(J879/L879)*100</f>
        <v/>
      </c>
      <c r="J879" s="177">
        <f>L879/O879</f>
        <v/>
      </c>
      <c r="K879" s="178" t="n">
        <v>6.313</v>
      </c>
      <c r="L879" s="178" t="n">
        <v>25212.05</v>
      </c>
      <c r="M879" s="178" t="n">
        <v>3.59</v>
      </c>
      <c r="N879" s="177">
        <f>K879-I879</f>
        <v/>
      </c>
      <c r="O879" s="178" t="n">
        <v>22.68</v>
      </c>
      <c r="P879" s="178" t="n">
        <v>4.455</v>
      </c>
      <c r="Q879" s="177">
        <f>K879-P879</f>
        <v/>
      </c>
      <c r="R879" s="178" t="n">
        <v>98.075</v>
      </c>
      <c r="S879" s="177">
        <f>(O879*T879)</f>
        <v/>
      </c>
      <c r="T879" s="178" t="n">
        <v>5.35</v>
      </c>
      <c r="U879" s="178" t="n">
        <v>21996.3</v>
      </c>
      <c r="V879" s="178" t="n">
        <v>35.29</v>
      </c>
      <c r="W879" s="177">
        <f>U879/V879</f>
        <v/>
      </c>
      <c r="X879" s="177">
        <f>(W879/U879)*100</f>
        <v/>
      </c>
      <c r="Y879" s="178" t="n">
        <v>17983.5</v>
      </c>
      <c r="Z879" s="178" t="n">
        <v>34.2</v>
      </c>
      <c r="AA879" s="177">
        <f>Y879/Z879</f>
        <v/>
      </c>
      <c r="AB879" s="177">
        <f>(AA879/Y879)*100</f>
        <v/>
      </c>
    </row>
    <row r="880">
      <c r="A880" s="29" t="n">
        <v>879</v>
      </c>
      <c r="B880" s="175" t="n">
        <v>45855</v>
      </c>
      <c r="C880" s="176" t="n">
        <v>46198456.6</v>
      </c>
      <c r="D880" s="177">
        <f>C880/E880</f>
        <v/>
      </c>
      <c r="E880" s="178" t="n">
        <v>86.035</v>
      </c>
      <c r="F880" s="177">
        <f>D880/100000</f>
        <v/>
      </c>
      <c r="G880" s="177">
        <f>(F880/[1]DataSheet!$C$12*100)</f>
        <v/>
      </c>
      <c r="H880" s="177">
        <f>K880/I880</f>
        <v/>
      </c>
      <c r="I880" s="177">
        <f>(J880/L880)*100</f>
        <v/>
      </c>
      <c r="J880" s="177">
        <f>L880/O880</f>
        <v/>
      </c>
      <c r="K880" s="178" t="n">
        <v>6.302</v>
      </c>
      <c r="L880" s="178" t="n">
        <v>25111.45</v>
      </c>
      <c r="M880" s="178" t="n">
        <v>3.57</v>
      </c>
      <c r="N880" s="177">
        <f>K880-I880</f>
        <v/>
      </c>
      <c r="O880" s="178" t="n">
        <v>22.59</v>
      </c>
      <c r="P880" s="178" t="n">
        <v>4.463</v>
      </c>
      <c r="Q880" s="177">
        <f>K880-P880</f>
        <v/>
      </c>
      <c r="R880" s="178" t="n">
        <v>98.446</v>
      </c>
      <c r="S880" s="177">
        <f>(O880*T880)</f>
        <v/>
      </c>
      <c r="T880" s="178" t="n">
        <v>5.36</v>
      </c>
      <c r="U880" s="178" t="n">
        <v>22006.25</v>
      </c>
      <c r="V880" s="178" t="n">
        <v>35.3</v>
      </c>
      <c r="W880" s="177">
        <f>U880/V880</f>
        <v/>
      </c>
      <c r="X880" s="177">
        <f>(W880/U880)*100</f>
        <v/>
      </c>
      <c r="Y880" s="178" t="n">
        <v>18032.3</v>
      </c>
      <c r="Z880" s="178" t="n">
        <v>34.19</v>
      </c>
      <c r="AA880" s="177">
        <f>Y880/Z880</f>
        <v/>
      </c>
      <c r="AB880" s="177">
        <f>(AA880/Y880)*100</f>
        <v/>
      </c>
    </row>
    <row r="881">
      <c r="A881" s="29" t="n">
        <v>880</v>
      </c>
      <c r="B881" s="175" t="n">
        <v>45856</v>
      </c>
      <c r="C881" s="176" t="n">
        <v>45945864.16</v>
      </c>
      <c r="D881" s="177">
        <f>C881/E881</f>
        <v/>
      </c>
      <c r="E881" s="178" t="n">
        <v>86.15000000000001</v>
      </c>
      <c r="F881" s="177">
        <f>D881/100000</f>
        <v/>
      </c>
      <c r="G881" s="177">
        <f>(F881/[1]DataSheet!$C$12*100)</f>
        <v/>
      </c>
      <c r="H881" s="177">
        <f>K881/I881</f>
        <v/>
      </c>
      <c r="I881" s="177">
        <f>(J881/L881)*100</f>
        <v/>
      </c>
      <c r="J881" s="177">
        <f>L881/O881</f>
        <v/>
      </c>
      <c r="K881" s="178" t="n">
        <v>6.305</v>
      </c>
      <c r="L881" s="178" t="n">
        <v>24968.4</v>
      </c>
      <c r="M881" s="178" t="n">
        <v>3.48</v>
      </c>
      <c r="N881" s="177">
        <f>K881-I881</f>
        <v/>
      </c>
      <c r="O881" s="178" t="n">
        <v>22.46</v>
      </c>
      <c r="P881" s="178" t="n">
        <v>4.431</v>
      </c>
      <c r="Q881" s="177">
        <f>K881-P881</f>
        <v/>
      </c>
      <c r="R881" s="178" t="n">
        <v>98.19799999999999</v>
      </c>
      <c r="S881" s="177">
        <f>(O881*T881)</f>
        <v/>
      </c>
      <c r="T881" s="178" t="n">
        <v>5.36</v>
      </c>
      <c r="U881" s="178" t="n">
        <v>21858.85</v>
      </c>
      <c r="V881" s="178" t="n">
        <v>35.06</v>
      </c>
      <c r="W881" s="177">
        <f>U881/V881</f>
        <v/>
      </c>
      <c r="X881" s="177">
        <f>(W881/U881)*100</f>
        <v/>
      </c>
      <c r="Y881" s="178" t="n">
        <v>17909.25</v>
      </c>
      <c r="Z881" s="178" t="n">
        <v>33.96</v>
      </c>
      <c r="AA881" s="177">
        <f>Y881/Z881</f>
        <v/>
      </c>
      <c r="AB881" s="177">
        <f>(AA881/Y881)*100</f>
        <v/>
      </c>
    </row>
    <row r="882">
      <c r="A882" s="29" t="n">
        <v>881</v>
      </c>
      <c r="B882" s="175" t="n">
        <v>45859</v>
      </c>
      <c r="C882" s="176" t="n">
        <v>46087172.55</v>
      </c>
      <c r="D882" s="177">
        <f>C882/E882</f>
        <v/>
      </c>
      <c r="E882" s="178" t="n">
        <v>86.19499999999999</v>
      </c>
      <c r="F882" s="177">
        <f>D882/100000</f>
        <v/>
      </c>
      <c r="G882" s="177">
        <f>(F882/[1]DataSheet!$C$12*100)</f>
        <v/>
      </c>
      <c r="H882" s="177">
        <f>K882/I882</f>
        <v/>
      </c>
      <c r="I882" s="177">
        <f>(J882/L882)*100</f>
        <v/>
      </c>
      <c r="J882" s="177">
        <f>L882/O882</f>
        <v/>
      </c>
      <c r="K882" s="178" t="n">
        <v>6.299</v>
      </c>
      <c r="L882" s="178" t="n">
        <v>25090.7</v>
      </c>
      <c r="M882" s="178" t="n">
        <v>3.47</v>
      </c>
      <c r="N882" s="177">
        <f>K882-I882</f>
        <v/>
      </c>
      <c r="O882" s="178" t="n">
        <v>22.58</v>
      </c>
      <c r="P882" s="178" t="n">
        <v>4.37</v>
      </c>
      <c r="Q882" s="177">
        <f>K882-P882</f>
        <v/>
      </c>
      <c r="R882" s="178" t="n">
        <v>97.56999999999999</v>
      </c>
      <c r="S882" s="177">
        <f>(O882*T882)</f>
        <v/>
      </c>
      <c r="T882" s="178" t="n">
        <v>5.35</v>
      </c>
      <c r="U882" s="178" t="n">
        <v>21997</v>
      </c>
      <c r="V882" s="178" t="n">
        <v>35.24</v>
      </c>
      <c r="W882" s="177">
        <f>U882/V882</f>
        <v/>
      </c>
      <c r="X882" s="177">
        <f>(W882/U882)*100</f>
        <v/>
      </c>
      <c r="Y882" s="178" t="n">
        <v>17890.2</v>
      </c>
      <c r="Z882" s="178" t="n">
        <v>33.95</v>
      </c>
      <c r="AA882" s="177">
        <f>Y882/Z882</f>
        <v/>
      </c>
      <c r="AB882" s="177">
        <f>(AA882/Y882)*100</f>
        <v/>
      </c>
    </row>
    <row r="883">
      <c r="A883" s="29" t="n">
        <v>882</v>
      </c>
      <c r="B883" s="175" t="n">
        <v>45860</v>
      </c>
      <c r="C883" s="176" t="n">
        <v>45954938.98</v>
      </c>
      <c r="D883" s="177">
        <f>C883/E883</f>
        <v/>
      </c>
      <c r="E883" s="178" t="n">
        <v>86.322</v>
      </c>
      <c r="F883" s="177">
        <f>D883/100000</f>
        <v/>
      </c>
      <c r="G883" s="177">
        <f>(F883/[1]DataSheet!$C$12*100)</f>
        <v/>
      </c>
      <c r="H883" s="177">
        <f>K883/I883</f>
        <v/>
      </c>
      <c r="I883" s="177">
        <f>(J883/L883)*100</f>
        <v/>
      </c>
      <c r="J883" s="177">
        <f>L883/O883</f>
        <v/>
      </c>
      <c r="K883" s="178" t="n">
        <v>6.308</v>
      </c>
      <c r="L883" s="178" t="n">
        <v>25060.9</v>
      </c>
      <c r="M883" s="178" t="n">
        <v>3.47</v>
      </c>
      <c r="N883" s="177">
        <f>K883-I883</f>
        <v/>
      </c>
      <c r="O883" s="178" t="n">
        <v>22.15</v>
      </c>
      <c r="P883" s="178" t="n">
        <v>4.336</v>
      </c>
      <c r="Q883" s="177">
        <f>K883-P883</f>
        <v/>
      </c>
      <c r="R883" s="178" t="n">
        <v>97.117</v>
      </c>
      <c r="S883" s="177">
        <f>(O883*T883)</f>
        <v/>
      </c>
      <c r="T883" s="178" t="n">
        <v>5.35</v>
      </c>
      <c r="U883" s="178" t="n">
        <v>21884.05</v>
      </c>
      <c r="V883" s="178" t="n">
        <v>35.09</v>
      </c>
      <c r="W883" s="177">
        <f>U883/V883</f>
        <v/>
      </c>
      <c r="X883" s="177">
        <f>(W883/U883)*100</f>
        <v/>
      </c>
      <c r="Y883" s="178" t="n">
        <v>17829.25</v>
      </c>
      <c r="Z883" s="178" t="n">
        <v>33.81</v>
      </c>
      <c r="AA883" s="177">
        <f>Y883/Z883</f>
        <v/>
      </c>
      <c r="AB883" s="177">
        <f>(AA883/Y883)*100</f>
        <v/>
      </c>
    </row>
    <row r="884">
      <c r="A884" s="29" t="n">
        <v>883</v>
      </c>
      <c r="B884" s="175" t="n">
        <v>45861</v>
      </c>
      <c r="C884" s="176" t="n">
        <v>46143356.93</v>
      </c>
      <c r="D884" s="177">
        <f>C884/E884</f>
        <v/>
      </c>
      <c r="E884" s="178" t="n">
        <v>86.38</v>
      </c>
      <c r="F884" s="177">
        <f>D884/100000</f>
        <v/>
      </c>
      <c r="G884" s="177">
        <f>(F884/[1]DataSheet!$C$12*100)</f>
        <v/>
      </c>
      <c r="H884" s="177">
        <f>K884/I884</f>
        <v/>
      </c>
      <c r="I884" s="177">
        <f>(J884/L884)*100</f>
        <v/>
      </c>
      <c r="J884" s="177">
        <f>L884/O884</f>
        <v/>
      </c>
      <c r="K884" s="178" t="n">
        <v>6.312</v>
      </c>
      <c r="L884" s="178" t="n">
        <v>25219.9</v>
      </c>
      <c r="M884" s="178" t="n">
        <v>3.48</v>
      </c>
      <c r="N884" s="177">
        <f>K884-I884</f>
        <v/>
      </c>
      <c r="O884" s="178" t="n">
        <v>22.29</v>
      </c>
      <c r="P884" s="178" t="n">
        <v>4.388</v>
      </c>
      <c r="Q884" s="177">
        <f>K884-P884</f>
        <v/>
      </c>
      <c r="R884" s="178" t="n">
        <v>96.943</v>
      </c>
      <c r="S884" s="177">
        <f>(O884*T884)</f>
        <v/>
      </c>
      <c r="T884" s="178" t="n">
        <v>5.36</v>
      </c>
      <c r="U884" s="178" t="n">
        <v>21949.25</v>
      </c>
      <c r="V884" s="178" t="n">
        <v>35.21</v>
      </c>
      <c r="W884" s="177">
        <f>U884/V884</f>
        <v/>
      </c>
      <c r="X884" s="177">
        <f>(W884/U884)*100</f>
        <v/>
      </c>
      <c r="Y884" s="178" t="n">
        <v>17852.9</v>
      </c>
      <c r="Z884" s="178" t="n">
        <v>33.82</v>
      </c>
      <c r="AA884" s="177">
        <f>Y884/Z884</f>
        <v/>
      </c>
      <c r="AB884" s="177">
        <f>(AA884/Y884)*100</f>
        <v/>
      </c>
    </row>
    <row r="885">
      <c r="A885" s="29" t="n">
        <v>884</v>
      </c>
      <c r="B885" s="175" t="n">
        <v>45862</v>
      </c>
      <c r="C885" s="176" t="n">
        <v>45919540.32</v>
      </c>
      <c r="D885" s="177">
        <f>C885/E885</f>
        <v/>
      </c>
      <c r="E885" s="178" t="n">
        <v>86.38</v>
      </c>
      <c r="F885" s="177">
        <f>D885/100000</f>
        <v/>
      </c>
      <c r="G885" s="177">
        <f>(F885/[1]DataSheet!$C$12*100)</f>
        <v/>
      </c>
      <c r="H885" s="177">
        <f>K885/I885</f>
        <v/>
      </c>
      <c r="I885" s="177">
        <f>(J885/L885)*100</f>
        <v/>
      </c>
      <c r="J885" s="177">
        <f>L885/O885</f>
        <v/>
      </c>
      <c r="K885" s="178" t="n">
        <v>6.329</v>
      </c>
      <c r="L885" s="178" t="n">
        <v>25062.1</v>
      </c>
      <c r="M885" s="178" t="n">
        <v>3.46</v>
      </c>
      <c r="N885" s="177">
        <f>K885-I885</f>
        <v/>
      </c>
      <c r="O885" s="178" t="n">
        <v>22.15</v>
      </c>
      <c r="P885" s="178" t="n">
        <v>4.408</v>
      </c>
      <c r="Q885" s="177">
        <f>K885-P885</f>
        <v/>
      </c>
      <c r="R885" s="178" t="n">
        <v>97.124</v>
      </c>
      <c r="S885" s="177">
        <f>(O885*T885)</f>
        <v/>
      </c>
      <c r="T885" s="178" t="n">
        <v>5.35</v>
      </c>
      <c r="U885" s="178" t="n">
        <v>21856.15</v>
      </c>
      <c r="V885" s="178" t="n">
        <v>34.74</v>
      </c>
      <c r="W885" s="177">
        <f>U885/V885</f>
        <v/>
      </c>
      <c r="X885" s="177">
        <f>(W885/U885)*100</f>
        <v/>
      </c>
      <c r="Y885" s="178" t="n">
        <v>17734.7</v>
      </c>
      <c r="Z885" s="178" t="n">
        <v>33.63</v>
      </c>
      <c r="AA885" s="177">
        <f>Y885/Z885</f>
        <v/>
      </c>
      <c r="AB885" s="177">
        <f>(AA885/Y885)*100</f>
        <v/>
      </c>
    </row>
    <row r="886">
      <c r="A886" s="29" t="n">
        <v>885</v>
      </c>
      <c r="B886" s="175" t="n">
        <v>45863</v>
      </c>
      <c r="C886" s="176" t="n">
        <v>45273516.08</v>
      </c>
      <c r="D886" s="177">
        <f>C886/E886</f>
        <v/>
      </c>
      <c r="E886" s="178" t="n">
        <v>86.503</v>
      </c>
      <c r="F886" s="177">
        <f>D886/100000</f>
        <v/>
      </c>
      <c r="G886" s="177">
        <f>(F886/[1]DataSheet!$C$12*100)</f>
        <v/>
      </c>
      <c r="H886" s="177">
        <f>K886/I886</f>
        <v/>
      </c>
      <c r="I886" s="177">
        <f>(J886/L886)*100</f>
        <v/>
      </c>
      <c r="J886" s="177">
        <f>L886/O886</f>
        <v/>
      </c>
      <c r="K886" s="178" t="n">
        <v>6.353</v>
      </c>
      <c r="L886" s="178" t="n">
        <v>24837</v>
      </c>
      <c r="M886" s="178" t="n">
        <v>3.43</v>
      </c>
      <c r="N886" s="177">
        <f>K886-I886</f>
        <v/>
      </c>
      <c r="O886" s="178" t="n">
        <v>21.93</v>
      </c>
      <c r="P886" s="178" t="n">
        <v>4.386</v>
      </c>
      <c r="Q886" s="177">
        <f>K886-P886</f>
        <v/>
      </c>
      <c r="R886" s="178" t="n">
        <v>97.399</v>
      </c>
      <c r="S886" s="177">
        <f>(O886*T886)</f>
        <v/>
      </c>
      <c r="T886" s="178" t="n">
        <v>5.35</v>
      </c>
      <c r="U886" s="178" t="n">
        <v>21501.6</v>
      </c>
      <c r="V886" s="178" t="n">
        <v>34.11</v>
      </c>
      <c r="W886" s="177">
        <f>U886/V886</f>
        <v/>
      </c>
      <c r="X886" s="177">
        <f>(W886/U886)*100</f>
        <v/>
      </c>
      <c r="Y886" s="178" t="n">
        <v>17379.95</v>
      </c>
      <c r="Z886" s="178" t="n">
        <v>32.98</v>
      </c>
      <c r="AA886" s="177">
        <f>Y886/Z886</f>
        <v/>
      </c>
      <c r="AB886" s="177">
        <f>(AA886/Y886)*100</f>
        <v/>
      </c>
    </row>
    <row r="887">
      <c r="A887" s="29" t="n">
        <v>886</v>
      </c>
      <c r="B887" s="175" t="n">
        <v>45866</v>
      </c>
      <c r="C887" s="176" t="n">
        <v>44875195.12</v>
      </c>
      <c r="D887" s="177">
        <f>C887/E887</f>
        <v/>
      </c>
      <c r="E887" s="178" t="n">
        <v>86.697</v>
      </c>
      <c r="F887" s="177">
        <f>D887/100000</f>
        <v/>
      </c>
      <c r="G887" s="177">
        <f>(F887/[1]DataSheet!$C$12*100)</f>
        <v/>
      </c>
      <c r="H887" s="177">
        <f>K887/I887</f>
        <v/>
      </c>
      <c r="I887" s="177">
        <f>(J887/L887)*100</f>
        <v/>
      </c>
      <c r="J887" s="177">
        <f>L887/O887</f>
        <v/>
      </c>
      <c r="K887" s="178" t="n">
        <v>6.373</v>
      </c>
      <c r="L887" s="178" t="n">
        <v>24680.9</v>
      </c>
      <c r="M887" s="178" t="n">
        <v>3.41</v>
      </c>
      <c r="N887" s="177">
        <f>K887-I887</f>
        <v/>
      </c>
      <c r="O887" s="178" t="n">
        <v>21.78</v>
      </c>
      <c r="P887" s="178" t="n">
        <v>4.42</v>
      </c>
      <c r="Q887" s="177">
        <f>K887-P887</f>
        <v/>
      </c>
      <c r="R887" s="178" t="n">
        <v>98.395</v>
      </c>
      <c r="S887" s="177">
        <f>(O887*T887)</f>
        <v/>
      </c>
      <c r="T887" s="178" t="n">
        <v>5.39</v>
      </c>
      <c r="U887" s="178" t="n">
        <v>21314.85</v>
      </c>
      <c r="V887" s="178" t="n">
        <v>33.79</v>
      </c>
      <c r="W887" s="177">
        <f>U887/V887</f>
        <v/>
      </c>
      <c r="X887" s="177">
        <f>(W887/U887)*100</f>
        <v/>
      </c>
      <c r="Y887" s="178" t="n">
        <v>17163.2</v>
      </c>
      <c r="Z887" s="178" t="n">
        <v>32.5</v>
      </c>
      <c r="AA887" s="177">
        <f>Y887/Z887</f>
        <v/>
      </c>
      <c r="AB887" s="177">
        <f>(AA887/Y887)*100</f>
        <v/>
      </c>
    </row>
    <row r="888">
      <c r="A888" s="29" t="n">
        <v>887</v>
      </c>
      <c r="B888" s="175" t="n">
        <v>45867</v>
      </c>
      <c r="C888" s="176" t="n">
        <v>45247331.01</v>
      </c>
      <c r="D888" s="177">
        <f>C888/E888</f>
        <v/>
      </c>
      <c r="E888" s="178" t="n">
        <v>87.108</v>
      </c>
      <c r="F888" s="177">
        <f>D888/100000</f>
        <v/>
      </c>
      <c r="G888" s="177">
        <f>(F888/[1]DataSheet!$C$12*100)</f>
        <v/>
      </c>
      <c r="H888" s="177">
        <f>K888/I888</f>
        <v/>
      </c>
      <c r="I888" s="177">
        <f>(J888/L888)*100</f>
        <v/>
      </c>
      <c r="J888" s="177">
        <f>L888/O888</f>
        <v/>
      </c>
      <c r="K888" s="178" t="n">
        <v>6.369</v>
      </c>
      <c r="L888" s="178" t="n">
        <v>24821.1</v>
      </c>
      <c r="M888" s="178" t="n">
        <v>3.43</v>
      </c>
      <c r="N888" s="177">
        <f>K888-I888</f>
        <v/>
      </c>
      <c r="O888" s="178" t="n">
        <v>21.97</v>
      </c>
      <c r="P888" s="178" t="n">
        <v>4.328</v>
      </c>
      <c r="Q888" s="177">
        <f>K888-P888</f>
        <v/>
      </c>
      <c r="R888" s="178" t="n">
        <v>98.64700000000001</v>
      </c>
      <c r="S888" s="177">
        <f>(O888*T888)</f>
        <v/>
      </c>
      <c r="T888" s="178" t="n">
        <v>5.4</v>
      </c>
      <c r="U888" s="178" t="n">
        <v>21501</v>
      </c>
      <c r="V888" s="178" t="n">
        <v>34.05</v>
      </c>
      <c r="W888" s="177">
        <f>U888/V888</f>
        <v/>
      </c>
      <c r="X888" s="177">
        <f>(W888/U888)*100</f>
        <v/>
      </c>
      <c r="Y888" s="178" t="n">
        <v>17319.05</v>
      </c>
      <c r="Z888" s="178" t="n">
        <v>32.81</v>
      </c>
      <c r="AA888" s="177">
        <f>Y888/Z888</f>
        <v/>
      </c>
      <c r="AB888" s="177">
        <f>(AA888/Y888)*100</f>
        <v/>
      </c>
    </row>
    <row r="889">
      <c r="A889" s="29" t="n">
        <v>888</v>
      </c>
      <c r="B889" s="175" t="n">
        <v>45868</v>
      </c>
      <c r="C889" s="176" t="n">
        <v>45332905.94</v>
      </c>
      <c r="D889" s="177">
        <f>C889/E889</f>
        <v/>
      </c>
      <c r="E889" s="178" t="n">
        <v>87.691</v>
      </c>
      <c r="F889" s="177">
        <f>D889/100000</f>
        <v/>
      </c>
      <c r="G889" s="177">
        <f>(F889/[1]DataSheet!$C$12*100)</f>
        <v/>
      </c>
      <c r="H889" s="177">
        <f>K889/I889</f>
        <v/>
      </c>
      <c r="I889" s="177">
        <f>(J889/L889)*100</f>
        <v/>
      </c>
      <c r="J889" s="177">
        <f>L889/O889</f>
        <v/>
      </c>
      <c r="K889" s="178" t="n">
        <v>6.365</v>
      </c>
      <c r="L889" s="178" t="n">
        <v>24855.05</v>
      </c>
      <c r="M889" s="178" t="n">
        <v>3.41</v>
      </c>
      <c r="N889" s="177">
        <f>K889-I889</f>
        <v/>
      </c>
      <c r="O889" s="178" t="n">
        <v>22.05</v>
      </c>
      <c r="P889" s="178" t="n">
        <v>4.378</v>
      </c>
      <c r="Q889" s="177">
        <f>K889-P889</f>
        <v/>
      </c>
      <c r="R889" s="178" t="n">
        <v>99.586</v>
      </c>
      <c r="S889" s="177">
        <f>(O889*T889)</f>
        <v/>
      </c>
      <c r="T889" s="178" t="n">
        <v>5.4</v>
      </c>
      <c r="U889" s="178" t="n">
        <v>21540.25</v>
      </c>
      <c r="V889" s="178" t="n">
        <v>34.12</v>
      </c>
      <c r="W889" s="177">
        <f>U889/V889</f>
        <v/>
      </c>
      <c r="X889" s="177">
        <f>(W889/U889)*100</f>
        <v/>
      </c>
      <c r="Y889" s="178" t="n">
        <v>17301.05</v>
      </c>
      <c r="Z889" s="178" t="n">
        <v>32.77</v>
      </c>
      <c r="AA889" s="177">
        <f>Y889/Z889</f>
        <v/>
      </c>
      <c r="AB889" s="177">
        <f>(AA889/Y889)*100</f>
        <v/>
      </c>
    </row>
    <row r="890">
      <c r="A890" s="29" t="n">
        <v>889</v>
      </c>
      <c r="B890" s="175" t="n">
        <v>45869</v>
      </c>
      <c r="C890" s="176" t="n">
        <v>45076771.73</v>
      </c>
      <c r="D890" s="177">
        <f>C890/E890</f>
        <v/>
      </c>
      <c r="E890" s="178" t="n">
        <v>87.524</v>
      </c>
      <c r="F890" s="177">
        <f>D890/100000</f>
        <v/>
      </c>
      <c r="G890" s="177">
        <f>(F890/[1]DataSheet!$C$12*100)</f>
        <v/>
      </c>
      <c r="H890" s="177">
        <f>K890/I890</f>
        <v/>
      </c>
      <c r="I890" s="177">
        <f>(J890/L890)*100</f>
        <v/>
      </c>
      <c r="J890" s="177">
        <f>L890/O890</f>
        <v/>
      </c>
      <c r="K890" s="178" t="n">
        <v>6.376</v>
      </c>
      <c r="L890" s="178" t="n">
        <v>24768.35</v>
      </c>
      <c r="M890" s="178" t="n">
        <v>3.38</v>
      </c>
      <c r="N890" s="177">
        <f>K890-I890</f>
        <v/>
      </c>
      <c r="O890" s="178" t="n">
        <v>21.93</v>
      </c>
      <c r="P890" s="178" t="n">
        <v>4.36</v>
      </c>
      <c r="Q890" s="177">
        <f>K890-P890</f>
        <v/>
      </c>
      <c r="R890" s="178" t="n">
        <v>99.74299999999999</v>
      </c>
      <c r="S890" s="177">
        <f>(O890*T890)</f>
        <v/>
      </c>
      <c r="T890" s="178" t="n">
        <v>5.4</v>
      </c>
      <c r="U890" s="178" t="n">
        <v>21361.3</v>
      </c>
      <c r="V890" s="178" t="n">
        <v>33.8</v>
      </c>
      <c r="W890" s="177">
        <f>U890/V890</f>
        <v/>
      </c>
      <c r="X890" s="177">
        <f>(W890/U890)*100</f>
        <v/>
      </c>
      <c r="Y890" s="178" t="n">
        <v>17144.25</v>
      </c>
      <c r="Z890" s="178" t="n">
        <v>32.55</v>
      </c>
      <c r="AA890" s="177">
        <f>Y890/Z890</f>
        <v/>
      </c>
      <c r="AB890" s="177">
        <f>(AA890/Y890)*100</f>
        <v/>
      </c>
    </row>
    <row r="891">
      <c r="A891" s="29" t="n">
        <v>890</v>
      </c>
      <c r="B891" s="175" t="n">
        <v>45870</v>
      </c>
      <c r="C891" s="176" t="n">
        <v>44550277.24</v>
      </c>
      <c r="D891" s="177">
        <f>C891/E891</f>
        <v/>
      </c>
      <c r="E891" s="178" t="n">
        <v>87.245</v>
      </c>
      <c r="F891" s="177">
        <f>D891/100000</f>
        <v/>
      </c>
      <c r="G891" s="177">
        <f>(F891/[1]DataSheet!$C$12*100)</f>
        <v/>
      </c>
      <c r="H891" s="177">
        <f>K891/I891</f>
        <v/>
      </c>
      <c r="I891" s="177">
        <f>(J891/L891)*100</f>
        <v/>
      </c>
      <c r="J891" s="177">
        <f>L891/O891</f>
        <v/>
      </c>
      <c r="K891" s="178" t="n">
        <v>6.371</v>
      </c>
      <c r="L891" s="178" t="n">
        <v>24565.35</v>
      </c>
      <c r="M891" s="178" t="n">
        <v>3.35</v>
      </c>
      <c r="N891" s="177">
        <f>K891-I891</f>
        <v/>
      </c>
      <c r="O891" s="178" t="n">
        <v>21.7</v>
      </c>
      <c r="P891" s="178" t="n">
        <v>4.22</v>
      </c>
      <c r="Q891" s="177">
        <f>K891-P891</f>
        <v/>
      </c>
      <c r="R891" s="178" t="n">
        <v>98.93000000000001</v>
      </c>
      <c r="S891" s="177">
        <f>(O891*T891)</f>
        <v/>
      </c>
      <c r="T891" s="178" t="n">
        <v>5.41</v>
      </c>
      <c r="U891" s="178" t="n">
        <v>21088.65</v>
      </c>
      <c r="V891" s="178" t="n">
        <v>33.37</v>
      </c>
      <c r="W891" s="177">
        <f>U891/V891</f>
        <v/>
      </c>
      <c r="X891" s="177">
        <f>(W891/U891)*100</f>
        <v/>
      </c>
      <c r="Y891" s="178" t="n">
        <v>16863.25</v>
      </c>
      <c r="Z891" s="178" t="n">
        <v>31.98</v>
      </c>
      <c r="AA891" s="177">
        <f>Y891/Z891</f>
        <v/>
      </c>
      <c r="AB891" s="177">
        <f>(AA891/Y891)*100</f>
        <v/>
      </c>
    </row>
    <row r="892">
      <c r="A892" s="29" t="n">
        <v>891</v>
      </c>
      <c r="B892" s="175" t="n">
        <v>45873</v>
      </c>
      <c r="C892" s="176" t="n">
        <v>44968362</v>
      </c>
      <c r="D892" s="177">
        <f>C892/E892</f>
        <v/>
      </c>
      <c r="E892" s="178" t="n">
        <v>87.68000000000001</v>
      </c>
      <c r="F892" s="177">
        <f>D892/100000</f>
        <v/>
      </c>
      <c r="G892" s="177">
        <f>(F892/[1]DataSheet!$C$12*100)</f>
        <v/>
      </c>
      <c r="H892" s="177">
        <f>K892/I892</f>
        <v/>
      </c>
      <c r="I892" s="177">
        <f>(J892/L892)*100</f>
        <v/>
      </c>
      <c r="J892" s="177">
        <f>L892/O892</f>
        <v/>
      </c>
      <c r="K892" s="178" t="n">
        <v>6.313</v>
      </c>
      <c r="L892" s="178" t="n">
        <v>24722.75</v>
      </c>
      <c r="M892" s="178" t="n">
        <v>3.37</v>
      </c>
      <c r="N892" s="177">
        <f>K892-I892</f>
        <v/>
      </c>
      <c r="O892" s="178" t="n">
        <v>21.89</v>
      </c>
      <c r="P892" s="178" t="n">
        <v>4.198</v>
      </c>
      <c r="Q892" s="177">
        <f>K892-P892</f>
        <v/>
      </c>
      <c r="R892" s="178" t="n">
        <v>98.586</v>
      </c>
      <c r="S892" s="177">
        <f>(O892*T892)</f>
        <v/>
      </c>
      <c r="T892" s="178" t="n">
        <v>5.39</v>
      </c>
      <c r="U892" s="178" t="n">
        <v>21329.4</v>
      </c>
      <c r="V892" s="178" t="n">
        <v>33.78</v>
      </c>
      <c r="W892" s="177">
        <f>U892/V892</f>
        <v/>
      </c>
      <c r="X892" s="177">
        <f>(W892/U892)*100</f>
        <v/>
      </c>
      <c r="Y892" s="178" t="n">
        <v>17028.65</v>
      </c>
      <c r="Z892" s="178" t="n">
        <v>32.37</v>
      </c>
      <c r="AA892" s="177">
        <f>Y892/Z892</f>
        <v/>
      </c>
      <c r="AB892" s="177">
        <f>(AA892/Y892)*100</f>
        <v/>
      </c>
    </row>
    <row r="893">
      <c r="A893" s="29" t="n">
        <v>892</v>
      </c>
      <c r="B893" s="175" t="n">
        <v>45874</v>
      </c>
      <c r="C893" s="176" t="n">
        <v>44896389.81</v>
      </c>
      <c r="D893" s="177">
        <f>C893/E893</f>
        <v/>
      </c>
      <c r="E893" s="178" t="n">
        <v>87.83</v>
      </c>
      <c r="F893" s="177">
        <f>D893/100000</f>
        <v/>
      </c>
      <c r="G893" s="177">
        <f>(F893/[1]DataSheet!$C$12*100)</f>
        <v/>
      </c>
      <c r="H893" s="177">
        <f>K893/I893</f>
        <v/>
      </c>
      <c r="I893" s="177">
        <f>(J893/L893)*100</f>
        <v/>
      </c>
      <c r="J893" s="177">
        <f>L893/O893</f>
        <v/>
      </c>
      <c r="K893" s="178" t="n">
        <v>6.324</v>
      </c>
      <c r="L893" s="178" t="n">
        <v>24649.55</v>
      </c>
      <c r="M893" s="178" t="n">
        <v>3.36</v>
      </c>
      <c r="N893" s="177">
        <f>K893-I893</f>
        <v/>
      </c>
      <c r="O893" s="178" t="n">
        <v>21.82</v>
      </c>
      <c r="P893" s="178" t="n">
        <v>4.196</v>
      </c>
      <c r="Q893" s="177">
        <f>K893-P893</f>
        <v/>
      </c>
      <c r="R893" s="178" t="n">
        <v>98.581</v>
      </c>
      <c r="S893" s="177">
        <f>(O893*T893)</f>
        <v/>
      </c>
      <c r="T893" s="178" t="n">
        <v>5.36</v>
      </c>
      <c r="U893" s="178" t="n">
        <v>21288.85</v>
      </c>
      <c r="V893" s="178" t="n">
        <v>33.65</v>
      </c>
      <c r="W893" s="177">
        <f>U893/V893</f>
        <v/>
      </c>
      <c r="X893" s="177">
        <f>(W893/U893)*100</f>
        <v/>
      </c>
      <c r="Y893" s="178" t="n">
        <v>16974.45</v>
      </c>
      <c r="Z893" s="178" t="n">
        <v>32.2</v>
      </c>
      <c r="AA893" s="177">
        <f>Y893/Z893</f>
        <v/>
      </c>
      <c r="AB893" s="177">
        <f>(AA893/Y893)*100</f>
        <v/>
      </c>
    </row>
    <row r="894">
      <c r="A894" s="29" t="n">
        <v>893</v>
      </c>
      <c r="B894" s="175" t="n">
        <v>45875</v>
      </c>
      <c r="C894" s="176" t="n">
        <v>44612575.39</v>
      </c>
      <c r="D894" s="177">
        <f>C894/E894</f>
        <v/>
      </c>
      <c r="E894" s="178" t="n">
        <v>87.72499999999999</v>
      </c>
      <c r="F894" s="177">
        <f>D894/100000</f>
        <v/>
      </c>
      <c r="G894" s="177">
        <f>(F894/[1]DataSheet!$C$12*100)</f>
        <v/>
      </c>
      <c r="H894" s="177">
        <f>K894/I894</f>
        <v/>
      </c>
      <c r="I894" s="177">
        <f>(J894/L894)*100</f>
        <v/>
      </c>
      <c r="J894" s="177">
        <f>L894/O894</f>
        <v/>
      </c>
      <c r="K894" s="178" t="n">
        <v>6.407</v>
      </c>
      <c r="L894" s="178" t="n">
        <v>24574.2</v>
      </c>
      <c r="M894" s="178" t="n">
        <v>3.35</v>
      </c>
      <c r="N894" s="177">
        <f>K894-I894</f>
        <v/>
      </c>
      <c r="O894" s="178" t="n">
        <v>21.75</v>
      </c>
      <c r="P894" s="178" t="n">
        <v>4.218</v>
      </c>
      <c r="Q894" s="177">
        <f>K894-P894</f>
        <v/>
      </c>
      <c r="R894" s="178" t="n">
        <v>97.983</v>
      </c>
      <c r="S894" s="177">
        <f>(O894*T894)</f>
        <v/>
      </c>
      <c r="T894" s="178" t="n">
        <v>5.4</v>
      </c>
      <c r="U894" s="178" t="n">
        <v>21096.65</v>
      </c>
      <c r="V894" s="178" t="n">
        <v>33.33</v>
      </c>
      <c r="W894" s="177">
        <f>U894/V894</f>
        <v/>
      </c>
      <c r="X894" s="177">
        <f>(W894/U894)*100</f>
        <v/>
      </c>
      <c r="Y894" s="178" t="n">
        <v>16770.1</v>
      </c>
      <c r="Z894" s="178" t="n">
        <v>31.89</v>
      </c>
      <c r="AA894" s="177">
        <f>Y894/Z894</f>
        <v/>
      </c>
      <c r="AB894" s="177">
        <f>(AA894/Y894)*100</f>
        <v/>
      </c>
    </row>
    <row r="895">
      <c r="A895" s="29" t="n">
        <v>894</v>
      </c>
      <c r="B895" s="175" t="n">
        <v>45876</v>
      </c>
      <c r="C895" s="176" t="n">
        <v>44627053.6</v>
      </c>
      <c r="D895" s="177">
        <f>C895/E895</f>
        <v/>
      </c>
      <c r="E895" s="178" t="n">
        <v>87.446</v>
      </c>
      <c r="F895" s="177">
        <f>D895/100000</f>
        <v/>
      </c>
      <c r="G895" s="177">
        <f>(F895/[1]DataSheet!$C$12*100)</f>
        <v/>
      </c>
      <c r="H895" s="177">
        <f>K895/I895</f>
        <v/>
      </c>
      <c r="I895" s="177">
        <f>(J895/L895)*100</f>
        <v/>
      </c>
      <c r="J895" s="177">
        <f>L895/O895</f>
        <v/>
      </c>
      <c r="K895" s="178" t="n">
        <v>6.39</v>
      </c>
      <c r="L895" s="178" t="n">
        <v>24596.15</v>
      </c>
      <c r="M895" s="178" t="n">
        <v>3.35</v>
      </c>
      <c r="N895" s="177">
        <f>K895-I895</f>
        <v/>
      </c>
      <c r="O895" s="178" t="n">
        <v>21.71</v>
      </c>
      <c r="P895" s="178" t="n">
        <v>4.244</v>
      </c>
      <c r="Q895" s="177">
        <f>K895-P895</f>
        <v/>
      </c>
      <c r="R895" s="178" t="n">
        <v>98.229</v>
      </c>
      <c r="S895" s="177">
        <f>(O895*T895)</f>
        <v/>
      </c>
      <c r="T895" s="178" t="n">
        <v>5.42</v>
      </c>
      <c r="U895" s="178" t="n">
        <v>21152.1</v>
      </c>
      <c r="V895" s="178" t="n">
        <v>33.36</v>
      </c>
      <c r="W895" s="177">
        <f>U895/V895</f>
        <v/>
      </c>
      <c r="X895" s="177">
        <f>(W895/U895)*100</f>
        <v/>
      </c>
      <c r="Y895" s="178" t="n">
        <v>16753.2</v>
      </c>
      <c r="Z895" s="178" t="n">
        <v>31.87</v>
      </c>
      <c r="AA895" s="177">
        <f>Y895/Z895</f>
        <v/>
      </c>
      <c r="AB895" s="177">
        <f>(AA895/Y895)*100</f>
        <v/>
      </c>
    </row>
    <row r="896">
      <c r="A896" s="29" t="n">
        <v>895</v>
      </c>
      <c r="B896" s="175" t="n">
        <v>45877</v>
      </c>
      <c r="C896" s="176" t="n">
        <v>44161186.76</v>
      </c>
      <c r="D896" s="177">
        <f>C896/E896</f>
        <v/>
      </c>
      <c r="E896" s="178" t="n">
        <v>87.489</v>
      </c>
      <c r="F896" s="177">
        <f>D896/100000</f>
        <v/>
      </c>
      <c r="G896" s="177">
        <f>(F896/[1]DataSheet!$C$12*100)</f>
        <v/>
      </c>
      <c r="H896" s="177">
        <f>K896/I896</f>
        <v/>
      </c>
      <c r="I896" s="177">
        <f>(J896/L896)*100</f>
        <v/>
      </c>
      <c r="J896" s="177">
        <f>L896/O896</f>
        <v/>
      </c>
      <c r="K896" s="178" t="n">
        <v>6.399</v>
      </c>
      <c r="L896" s="178" t="n">
        <v>24363.3</v>
      </c>
      <c r="M896" s="178" t="n">
        <v>3.32</v>
      </c>
      <c r="N896" s="177">
        <f>K896-I896</f>
        <v/>
      </c>
      <c r="O896" s="178" t="n">
        <v>21.48</v>
      </c>
      <c r="P896" s="178" t="n">
        <v>4.283</v>
      </c>
      <c r="Q896" s="177">
        <f>K896-P896</f>
        <v/>
      </c>
      <c r="R896" s="178" t="n">
        <v>98.009</v>
      </c>
      <c r="S896" s="177">
        <f>(O896*T896)</f>
        <v/>
      </c>
      <c r="T896" s="178" t="n">
        <v>5.44</v>
      </c>
      <c r="U896" s="178" t="n">
        <v>20848.25</v>
      </c>
      <c r="V896" s="178" t="n">
        <v>32.86</v>
      </c>
      <c r="W896" s="177">
        <f>U896/V896</f>
        <v/>
      </c>
      <c r="X896" s="177">
        <f>(W896/U896)*100</f>
        <v/>
      </c>
      <c r="Y896" s="178" t="n">
        <v>16541.9</v>
      </c>
      <c r="Z896" s="178" t="n">
        <v>31.38</v>
      </c>
      <c r="AA896" s="177">
        <f>Y896/Z896</f>
        <v/>
      </c>
      <c r="AB896" s="177">
        <f>(AA896/Y896)*100</f>
        <v/>
      </c>
    </row>
    <row r="897">
      <c r="A897" s="29" t="n">
        <v>896</v>
      </c>
      <c r="B897" s="175" t="n">
        <v>45880</v>
      </c>
      <c r="C897" s="176" t="n">
        <v>44497067.06</v>
      </c>
      <c r="D897" s="177">
        <f>C897/E897</f>
        <v/>
      </c>
      <c r="E897" s="178" t="n">
        <v>87.66</v>
      </c>
      <c r="F897" s="177">
        <f>D897/100000</f>
        <v/>
      </c>
      <c r="G897" s="177">
        <f>(F897/[1]DataSheet!$C$12*100)</f>
        <v/>
      </c>
      <c r="H897" s="177">
        <f>K897/I897</f>
        <v/>
      </c>
      <c r="I897" s="177">
        <f>(J897/L897)*100</f>
        <v/>
      </c>
      <c r="J897" s="177">
        <f>L897/O897</f>
        <v/>
      </c>
      <c r="K897" s="178" t="n">
        <v>6.428</v>
      </c>
      <c r="L897" s="178" t="n">
        <v>24585.05</v>
      </c>
      <c r="M897" s="178" t="n">
        <v>3.33</v>
      </c>
      <c r="N897" s="177">
        <f>K897-I897</f>
        <v/>
      </c>
      <c r="O897" s="178" t="n">
        <v>21.67</v>
      </c>
      <c r="P897" s="178" t="n">
        <v>4.273</v>
      </c>
      <c r="Q897" s="177">
        <f>K897-P897</f>
        <v/>
      </c>
      <c r="R897" s="178" t="n">
        <v>98.361</v>
      </c>
      <c r="S897" s="177">
        <f>(O897*T897)</f>
        <v/>
      </c>
      <c r="T897" s="178" t="n">
        <v>5.45</v>
      </c>
      <c r="U897" s="178" t="n">
        <v>20983.8</v>
      </c>
      <c r="V897" s="178" t="n">
        <v>32.54</v>
      </c>
      <c r="W897" s="177">
        <f>U897/V897</f>
        <v/>
      </c>
      <c r="X897" s="177">
        <f>(W897/U897)*100</f>
        <v/>
      </c>
      <c r="Y897" s="178" t="n">
        <v>16617</v>
      </c>
      <c r="Z897" s="178" t="n">
        <v>31.52</v>
      </c>
      <c r="AA897" s="177">
        <f>Y897/Z897</f>
        <v/>
      </c>
      <c r="AB897" s="177">
        <f>(AA897/Y897)*100</f>
        <v/>
      </c>
    </row>
    <row r="898">
      <c r="A898" s="29" t="n">
        <v>897</v>
      </c>
      <c r="B898" s="175" t="n">
        <v>45881</v>
      </c>
      <c r="C898" s="176" t="n">
        <v>44425802.4</v>
      </c>
      <c r="D898" s="177">
        <f>C898/E898</f>
        <v/>
      </c>
      <c r="E898" s="178" t="n">
        <v>87.60599999999999</v>
      </c>
      <c r="F898" s="177">
        <f>D898/100000</f>
        <v/>
      </c>
      <c r="G898" s="177">
        <f>(F898/[1]DataSheet!$C$12*100)</f>
        <v/>
      </c>
      <c r="H898" s="177">
        <f>K898/I898</f>
        <v/>
      </c>
      <c r="I898" s="177">
        <f>(J898/L898)*100</f>
        <v/>
      </c>
      <c r="J898" s="177">
        <f>L898/O898</f>
        <v/>
      </c>
      <c r="K898" s="178" t="n">
        <v>6.483</v>
      </c>
      <c r="L898" s="178" t="n">
        <v>24487.4</v>
      </c>
      <c r="M898" s="178" t="n">
        <v>3.26</v>
      </c>
      <c r="N898" s="177">
        <f>K898-I898</f>
        <v/>
      </c>
      <c r="O898" s="178" t="n">
        <v>21.56</v>
      </c>
      <c r="P898" s="178" t="n">
        <v>4.293</v>
      </c>
      <c r="Q898" s="177">
        <f>K898-P898</f>
        <v/>
      </c>
      <c r="R898" s="178" t="n">
        <v>97.92700000000001</v>
      </c>
      <c r="S898" s="177">
        <f>(O898*T898)</f>
        <v/>
      </c>
      <c r="T898" s="178" t="n">
        <v>5.44</v>
      </c>
      <c r="U898" s="178" t="n">
        <v>20935.2</v>
      </c>
      <c r="V898" s="178" t="n">
        <v>32.5</v>
      </c>
      <c r="W898" s="177">
        <f>U898/V898</f>
        <v/>
      </c>
      <c r="X898" s="177">
        <f>(W898/U898)*100</f>
        <v/>
      </c>
      <c r="Y898" s="178" t="n">
        <v>16621.2</v>
      </c>
      <c r="Z898" s="178" t="n">
        <v>31.65</v>
      </c>
      <c r="AA898" s="177">
        <f>Y898/Z898</f>
        <v/>
      </c>
      <c r="AB898" s="177">
        <f>(AA898/Y898)*100</f>
        <v/>
      </c>
    </row>
    <row r="899">
      <c r="A899" s="29" t="n">
        <v>898</v>
      </c>
      <c r="B899" s="175" t="n">
        <v>45882</v>
      </c>
      <c r="C899" s="176" t="n">
        <v>44636827.39</v>
      </c>
      <c r="D899" s="177">
        <f>C899/E899</f>
        <v/>
      </c>
      <c r="E899" s="178" t="n">
        <v>87.45</v>
      </c>
      <c r="F899" s="177">
        <f>D899/100000</f>
        <v/>
      </c>
      <c r="G899" s="177">
        <f>(F899/[1]DataSheet!$C$12*100)</f>
        <v/>
      </c>
      <c r="H899" s="177">
        <f>K899/I899</f>
        <v/>
      </c>
      <c r="I899" s="177">
        <f>(J899/L899)*100</f>
        <v/>
      </c>
      <c r="J899" s="177">
        <f>L899/O899</f>
        <v/>
      </c>
      <c r="K899" s="178" t="n">
        <v>6.481</v>
      </c>
      <c r="L899" s="178" t="n">
        <v>24619.35</v>
      </c>
      <c r="M899" s="178" t="n">
        <v>3.27</v>
      </c>
      <c r="N899" s="177">
        <f>K899-I899</f>
        <v/>
      </c>
      <c r="O899" s="178" t="n">
        <v>21.68</v>
      </c>
      <c r="P899" s="178" t="n">
        <v>4.24</v>
      </c>
      <c r="Q899" s="177">
        <f>K899-P899</f>
        <v/>
      </c>
      <c r="R899" s="178" t="n">
        <v>97.66200000000001</v>
      </c>
      <c r="S899" s="177">
        <f>(O899*T899)</f>
        <v/>
      </c>
      <c r="T899" s="178" t="n">
        <v>5.45</v>
      </c>
      <c r="U899" s="178" t="n">
        <v>21067.3</v>
      </c>
      <c r="V899" s="178" t="n">
        <v>32.72</v>
      </c>
      <c r="W899" s="177">
        <f>U899/V899</f>
        <v/>
      </c>
      <c r="X899" s="177">
        <f>(W899/U899)*100</f>
        <v/>
      </c>
      <c r="Y899" s="178" t="n">
        <v>16727.9</v>
      </c>
      <c r="Z899" s="178" t="n">
        <v>31.9</v>
      </c>
      <c r="AA899" s="177">
        <f>Y899/Z899</f>
        <v/>
      </c>
      <c r="AB899" s="177">
        <f>(AA899/Y899)*100</f>
        <v/>
      </c>
    </row>
    <row r="900">
      <c r="A900" s="29" t="n">
        <v>899</v>
      </c>
      <c r="B900" s="175" t="n">
        <v>45883</v>
      </c>
      <c r="C900" s="176" t="n">
        <v>44577632.34</v>
      </c>
      <c r="D900" s="177">
        <f>C900/E900</f>
        <v/>
      </c>
      <c r="E900" s="178" t="n">
        <v>87.691</v>
      </c>
      <c r="F900" s="177">
        <f>D900/100000</f>
        <v/>
      </c>
      <c r="G900" s="177">
        <f>(F900/[1]DataSheet!$C$12*100)</f>
        <v/>
      </c>
      <c r="H900" s="177">
        <f>K900/I900</f>
        <v/>
      </c>
      <c r="I900" s="177">
        <f>(J900/L900)*100</f>
        <v/>
      </c>
      <c r="J900" s="177">
        <f>L900/O900</f>
        <v/>
      </c>
      <c r="K900" s="178" t="n">
        <v>6.404</v>
      </c>
      <c r="L900" s="178" t="n">
        <v>24631.3</v>
      </c>
      <c r="M900" s="178" t="n">
        <v>3.34</v>
      </c>
      <c r="N900" s="177">
        <f>K900-I900</f>
        <v/>
      </c>
      <c r="O900" s="178" t="n">
        <v>21.66</v>
      </c>
      <c r="P900" s="178" t="n">
        <v>4.293</v>
      </c>
      <c r="Q900" s="177">
        <f>K900-P900</f>
        <v/>
      </c>
      <c r="R900" s="178" t="n">
        <v>98.10299999999999</v>
      </c>
      <c r="S900" s="177">
        <f>(O900*T900)</f>
        <v/>
      </c>
      <c r="T900" s="178" t="n">
        <v>5.45</v>
      </c>
      <c r="U900" s="178" t="n">
        <v>21017.05</v>
      </c>
      <c r="V900" s="178" t="n">
        <v>32.62</v>
      </c>
      <c r="W900" s="177">
        <f>U900/V900</f>
        <v/>
      </c>
      <c r="X900" s="177">
        <f>(W900/U900)*100</f>
        <v/>
      </c>
      <c r="Y900" s="178" t="n">
        <v>16656.75</v>
      </c>
      <c r="Z900" s="178" t="n">
        <v>31.83</v>
      </c>
      <c r="AA900" s="177">
        <f>Y900/Z900</f>
        <v/>
      </c>
      <c r="AB900" s="177">
        <f>(AA900/Y900)*100</f>
        <v/>
      </c>
    </row>
    <row r="901">
      <c r="A901" s="29" t="n">
        <v>900</v>
      </c>
      <c r="B901" s="179" t="n">
        <v>45887</v>
      </c>
      <c r="C901" s="180" t="n">
        <v>45130718.23</v>
      </c>
      <c r="D901" s="177">
        <f>C901/E901</f>
        <v/>
      </c>
      <c r="E901" s="181" t="n">
        <v>87.31100000000001</v>
      </c>
      <c r="F901" s="177">
        <f>D901/100000</f>
        <v/>
      </c>
      <c r="G901" s="177">
        <f>(F901/[1]DataSheet!$C$12*100)</f>
        <v/>
      </c>
      <c r="H901" s="177">
        <f>K901/I901</f>
        <v/>
      </c>
      <c r="I901" s="177">
        <f>(J901/L901)*100</f>
        <v/>
      </c>
      <c r="J901" s="177">
        <f>L901/O901</f>
        <v/>
      </c>
      <c r="K901" s="181" t="n">
        <v>6.484</v>
      </c>
      <c r="L901" s="181" t="n">
        <v>24876.95</v>
      </c>
      <c r="M901" s="181" t="n">
        <v>3.35</v>
      </c>
      <c r="N901" s="177">
        <f>K901-I901</f>
        <v/>
      </c>
      <c r="O901" s="181" t="n">
        <v>21.86</v>
      </c>
      <c r="P901" s="181" t="n">
        <v>4.339</v>
      </c>
      <c r="Q901" s="177">
        <f>K901-P901</f>
        <v/>
      </c>
      <c r="R901" s="181" t="n">
        <v>98.017</v>
      </c>
      <c r="S901" s="177">
        <f>(O901*T901)</f>
        <v/>
      </c>
      <c r="T901" s="181" t="n">
        <v>5.44</v>
      </c>
      <c r="U901" s="181" t="n">
        <v>21267.05</v>
      </c>
      <c r="V901" s="181" t="n">
        <v>32.92</v>
      </c>
      <c r="W901" s="177">
        <f>U901/V901</f>
        <v/>
      </c>
      <c r="X901" s="177">
        <f>(W901/U901)*100</f>
        <v/>
      </c>
      <c r="Y901" s="181" t="n">
        <v>16878.7</v>
      </c>
      <c r="Z901" s="181" t="n">
        <v>32.15</v>
      </c>
      <c r="AA901" s="177">
        <f>Y901/Z901</f>
        <v/>
      </c>
      <c r="AB901" s="177">
        <f>(AA901/Y901)*100</f>
        <v/>
      </c>
    </row>
    <row r="902">
      <c r="A902" s="29" t="n">
        <v>901</v>
      </c>
      <c r="B902" s="179" t="n">
        <v>45888</v>
      </c>
      <c r="C902" s="180" t="n">
        <v>45492470.26</v>
      </c>
      <c r="D902" s="177">
        <f>C902/E902</f>
        <v/>
      </c>
      <c r="E902" s="181" t="n">
        <v>87.06999999999999</v>
      </c>
      <c r="F902" s="177">
        <f>D902/100000</f>
        <v/>
      </c>
      <c r="G902" s="177">
        <f>(F902/[1]DataSheet!$C$12*100)</f>
        <v/>
      </c>
      <c r="H902" s="177">
        <f>K902/I902</f>
        <v/>
      </c>
      <c r="I902" s="177">
        <f>(J902/L902)*100</f>
        <v/>
      </c>
      <c r="J902" s="177">
        <f>L902/O902</f>
        <v/>
      </c>
      <c r="K902" s="181" t="n">
        <v>6.512</v>
      </c>
      <c r="L902" s="181" t="n">
        <v>24980.65</v>
      </c>
      <c r="M902" s="181" t="n">
        <v>3.36</v>
      </c>
      <c r="N902" s="177">
        <f>K902-I902</f>
        <v/>
      </c>
      <c r="O902" s="181" t="n">
        <v>21.95</v>
      </c>
      <c r="P902" s="181" t="n">
        <v>4.302</v>
      </c>
      <c r="Q902" s="177">
        <f>K902-P902</f>
        <v/>
      </c>
      <c r="R902" s="181" t="n">
        <v>98.119</v>
      </c>
      <c r="S902" s="177">
        <f>(O902*T902)</f>
        <v/>
      </c>
      <c r="T902" s="181" t="n">
        <v>5.47</v>
      </c>
      <c r="U902" s="181" t="n">
        <v>21466.85</v>
      </c>
      <c r="V902" s="181" t="n">
        <v>33.27</v>
      </c>
      <c r="W902" s="177">
        <f>U902/V902</f>
        <v/>
      </c>
      <c r="X902" s="177">
        <f>(W902/U902)*100</f>
        <v/>
      </c>
      <c r="Y902" s="181" t="n">
        <v>17006.45</v>
      </c>
      <c r="Z902" s="181" t="n">
        <v>32.45</v>
      </c>
      <c r="AA902" s="177">
        <f>Y902/Z902</f>
        <v/>
      </c>
      <c r="AB902" s="177">
        <f>(AA902/Y902)*100</f>
        <v/>
      </c>
    </row>
    <row r="903">
      <c r="A903" s="29" t="n">
        <v>902</v>
      </c>
      <c r="B903" s="179" t="n">
        <v>45889</v>
      </c>
      <c r="C903" s="180" t="n">
        <v>45670407.08</v>
      </c>
      <c r="D903" s="177">
        <f>C903/E903</f>
        <v/>
      </c>
      <c r="E903" s="181" t="n">
        <v>87.018</v>
      </c>
      <c r="F903" s="177">
        <f>D903/100000</f>
        <v/>
      </c>
      <c r="G903" s="177">
        <f>(F903/[1]DataSheet!$C$12*100)</f>
        <v/>
      </c>
      <c r="H903" s="177">
        <f>K903/I903</f>
        <v/>
      </c>
      <c r="I903" s="177">
        <f>(J903/L903)*100</f>
        <v/>
      </c>
      <c r="J903" s="177">
        <f>L903/O903</f>
        <v/>
      </c>
      <c r="K903" s="181" t="n">
        <v>6.497</v>
      </c>
      <c r="L903" s="181" t="n">
        <v>25050.55</v>
      </c>
      <c r="M903" s="181" t="n">
        <v>3.37</v>
      </c>
      <c r="N903" s="177">
        <f>K903-I903</f>
        <v/>
      </c>
      <c r="O903" s="181" t="n">
        <v>22</v>
      </c>
      <c r="P903" s="181" t="n">
        <v>4.296</v>
      </c>
      <c r="Q903" s="177">
        <f>K903-P903</f>
        <v/>
      </c>
      <c r="R903" s="181" t="n">
        <v>98.08</v>
      </c>
      <c r="S903" s="177">
        <f>(O903*T903)</f>
        <v/>
      </c>
      <c r="T903" s="181" t="n">
        <v>5.48</v>
      </c>
      <c r="U903" s="181" t="n">
        <v>21566.1</v>
      </c>
      <c r="V903" s="181" t="n">
        <v>33.37</v>
      </c>
      <c r="W903" s="177">
        <f>U903/V903</f>
        <v/>
      </c>
      <c r="X903" s="177">
        <f>(W903/U903)*100</f>
        <v/>
      </c>
      <c r="Y903" s="181" t="n">
        <v>17064.5</v>
      </c>
      <c r="Z903" s="181" t="n">
        <v>32.58</v>
      </c>
      <c r="AA903" s="177">
        <f>Y903/Z903</f>
        <v/>
      </c>
      <c r="AB903" s="177">
        <f>(AA903/Y903)*100</f>
        <v/>
      </c>
    </row>
    <row r="904">
      <c r="A904" s="29" t="n">
        <v>903</v>
      </c>
      <c r="B904" s="179" t="n">
        <v>45890</v>
      </c>
      <c r="C904" s="180" t="n">
        <v>45681057.03</v>
      </c>
      <c r="D904" s="177">
        <f>C904/E904</f>
        <v/>
      </c>
      <c r="E904" s="181" t="n">
        <v>87.294</v>
      </c>
      <c r="F904" s="177">
        <f>D904/100000</f>
        <v/>
      </c>
      <c r="G904" s="177">
        <f>(F904/[1]DataSheet!$C$12*100)</f>
        <v/>
      </c>
      <c r="H904" s="177">
        <f>K904/I904</f>
        <v/>
      </c>
      <c r="I904" s="177">
        <f>(J904/L904)*100</f>
        <v/>
      </c>
      <c r="J904" s="177">
        <f>L904/O904</f>
        <v/>
      </c>
      <c r="K904" s="181" t="n">
        <v>6.525</v>
      </c>
      <c r="L904" s="181" t="n">
        <v>25083.75</v>
      </c>
      <c r="M904" s="181" t="n">
        <v>3.37</v>
      </c>
      <c r="N904" s="177">
        <f>K904-I904</f>
        <v/>
      </c>
      <c r="O904" s="181" t="n">
        <v>22.03</v>
      </c>
      <c r="P904" s="181" t="n">
        <v>4.332</v>
      </c>
      <c r="Q904" s="177">
        <f>K904-P904</f>
        <v/>
      </c>
      <c r="R904" s="181" t="n">
        <v>98.511</v>
      </c>
      <c r="S904" s="177">
        <f>(O904*T904)</f>
        <v/>
      </c>
      <c r="T904" s="181" t="n">
        <v>5.46</v>
      </c>
      <c r="U904" s="181" t="n">
        <v>21476.2</v>
      </c>
      <c r="V904" s="181" t="n">
        <v>33.23</v>
      </c>
      <c r="W904" s="177">
        <f>U904/V904</f>
        <v/>
      </c>
      <c r="X904" s="177">
        <f>(W904/U904)*100</f>
        <v/>
      </c>
      <c r="Y904" s="181" t="n">
        <v>17077.7</v>
      </c>
      <c r="Z904" s="181" t="n">
        <v>32.6</v>
      </c>
      <c r="AA904" s="177">
        <f>Y904/Z904</f>
        <v/>
      </c>
      <c r="AB904" s="177">
        <f>(AA904/Y904)*100</f>
        <v/>
      </c>
    </row>
    <row r="905">
      <c r="A905" s="29" t="n">
        <v>904</v>
      </c>
      <c r="B905" s="179" t="n">
        <v>45891</v>
      </c>
      <c r="C905" s="180" t="n">
        <v>45418413.74</v>
      </c>
      <c r="D905" s="177">
        <f>C905/E905</f>
        <v/>
      </c>
      <c r="E905" s="181" t="n">
        <v>87.331</v>
      </c>
      <c r="F905" s="177">
        <f>D905/100000</f>
        <v/>
      </c>
      <c r="G905" s="177">
        <f>(F905/[1]DataSheet!$C$12*100)</f>
        <v/>
      </c>
      <c r="H905" s="177">
        <f>K905/I905</f>
        <v/>
      </c>
      <c r="I905" s="177">
        <f>(J905/L905)*100</f>
        <v/>
      </c>
      <c r="J905" s="177">
        <f>L905/O905</f>
        <v/>
      </c>
      <c r="K905" s="181" t="n">
        <v>6.549</v>
      </c>
      <c r="L905" s="181" t="n">
        <v>24870.1</v>
      </c>
      <c r="M905" s="181" t="n">
        <v>3.34</v>
      </c>
      <c r="N905" s="177">
        <f>K905-I905</f>
        <v/>
      </c>
      <c r="O905" s="181" t="n">
        <v>21.85</v>
      </c>
      <c r="P905" s="181" t="n">
        <v>4.258</v>
      </c>
      <c r="Q905" s="177">
        <f>K905-P905</f>
        <v/>
      </c>
      <c r="R905" s="181" t="n">
        <v>97.599</v>
      </c>
      <c r="S905" s="177">
        <f>(O905*T905)</f>
        <v/>
      </c>
      <c r="T905" s="181" t="n">
        <v>5.45</v>
      </c>
      <c r="U905" s="181" t="n">
        <v>21438.2</v>
      </c>
      <c r="V905" s="181" t="n">
        <v>33.17</v>
      </c>
      <c r="W905" s="177">
        <f>U905/V905</f>
        <v/>
      </c>
      <c r="X905" s="177">
        <f>(W905/U905)*100</f>
        <v/>
      </c>
      <c r="Y905" s="181" t="n">
        <v>17050.35</v>
      </c>
      <c r="Z905" s="181" t="n">
        <v>32.55</v>
      </c>
      <c r="AA905" s="177">
        <f>Y905/Z905</f>
        <v/>
      </c>
      <c r="AB905" s="177">
        <f>(AA905/Y905)*100</f>
        <v/>
      </c>
    </row>
    <row r="906">
      <c r="A906" s="29" t="n">
        <v>905</v>
      </c>
      <c r="B906" s="179" t="n">
        <v>45894</v>
      </c>
      <c r="C906" s="180" t="n">
        <v>45541312.9</v>
      </c>
      <c r="D906" s="177">
        <f>C906/E906</f>
        <v/>
      </c>
      <c r="E906" s="181" t="n">
        <v>87.608</v>
      </c>
      <c r="F906" s="177">
        <f>D906/100000</f>
        <v/>
      </c>
      <c r="G906" s="177">
        <f>(F906/[1]DataSheet!$C$12*100)</f>
        <v/>
      </c>
      <c r="H906" s="177">
        <f>K906/I906</f>
        <v/>
      </c>
      <c r="I906" s="177">
        <f>(J906/L906)*100</f>
        <v/>
      </c>
      <c r="J906" s="177">
        <f>L906/O906</f>
        <v/>
      </c>
      <c r="K906" s="181" t="n">
        <v>6.592</v>
      </c>
      <c r="L906" s="181" t="n">
        <v>24967.75</v>
      </c>
      <c r="M906" s="181" t="n">
        <v>3.34</v>
      </c>
      <c r="N906" s="177">
        <f>K906-I906</f>
        <v/>
      </c>
      <c r="O906" s="181" t="n">
        <v>21.93</v>
      </c>
      <c r="P906" s="181" t="n">
        <v>4.275</v>
      </c>
      <c r="Q906" s="177">
        <f>K906-P906</f>
        <v/>
      </c>
      <c r="R906" s="181" t="n">
        <v>98.318</v>
      </c>
      <c r="S906" s="177">
        <f>(O906*T906)</f>
        <v/>
      </c>
      <c r="T906" s="181" t="n">
        <v>5.47</v>
      </c>
      <c r="U906" s="181" t="n">
        <v>21432.3</v>
      </c>
      <c r="V906" s="181" t="n">
        <v>33.16</v>
      </c>
      <c r="W906" s="177">
        <f>U906/V906</f>
        <v/>
      </c>
      <c r="X906" s="177">
        <f>(W906/U906)*100</f>
        <v/>
      </c>
      <c r="Y906" s="181" t="n">
        <v>17060.9</v>
      </c>
      <c r="Z906" s="181" t="n">
        <v>32.57</v>
      </c>
      <c r="AA906" s="177">
        <f>Y906/Z906</f>
        <v/>
      </c>
      <c r="AB906" s="177">
        <f>(AA906/Y906)*100</f>
        <v/>
      </c>
    </row>
    <row r="907">
      <c r="A907" s="29" t="n">
        <v>906</v>
      </c>
      <c r="B907" s="179" t="n">
        <v>45895</v>
      </c>
      <c r="C907" s="180" t="n">
        <v>44995068.44</v>
      </c>
      <c r="D907" s="177">
        <f>C907/E907</f>
        <v/>
      </c>
      <c r="E907" s="181" t="n">
        <v>87.63500000000001</v>
      </c>
      <c r="F907" s="177">
        <f>D907/100000</f>
        <v/>
      </c>
      <c r="G907" s="177">
        <f>(F907/[1]DataSheet!$C$12*100)</f>
        <v/>
      </c>
      <c r="H907" s="177">
        <f>K907/I907</f>
        <v/>
      </c>
      <c r="I907" s="177">
        <f>(J907/L907)*100</f>
        <v/>
      </c>
      <c r="J907" s="177">
        <f>L907/O907</f>
        <v/>
      </c>
      <c r="K907" s="181" t="n">
        <v>6.617</v>
      </c>
      <c r="L907" s="181" t="n">
        <v>24712.05</v>
      </c>
      <c r="M907" s="181" t="n">
        <v>3.31</v>
      </c>
      <c r="N907" s="177">
        <f>K907-I907</f>
        <v/>
      </c>
      <c r="O907" s="181" t="n">
        <v>21.71</v>
      </c>
      <c r="P907" s="181" t="n">
        <v>4.256</v>
      </c>
      <c r="Q907" s="177">
        <f>K907-P907</f>
        <v/>
      </c>
      <c r="R907" s="181" t="n">
        <v>98.122</v>
      </c>
      <c r="S907" s="177">
        <f>(O907*T907)</f>
        <v/>
      </c>
      <c r="T907" s="181" t="n">
        <v>5.5</v>
      </c>
      <c r="U907" s="181" t="n">
        <v>21119.3</v>
      </c>
      <c r="V907" s="181" t="n">
        <v>32.67</v>
      </c>
      <c r="W907" s="177">
        <f>U907/V907</f>
        <v/>
      </c>
      <c r="X907" s="177">
        <f>(W907/U907)*100</f>
        <v/>
      </c>
      <c r="Y907" s="181" t="n">
        <v>16743.95</v>
      </c>
      <c r="Z907" s="181" t="n">
        <v>31.96</v>
      </c>
      <c r="AA907" s="177">
        <f>Y907/Z907</f>
        <v/>
      </c>
      <c r="AB907" s="177">
        <f>(AA907/Y907)*100</f>
        <v/>
      </c>
    </row>
    <row r="908">
      <c r="A908" s="29" t="n">
        <v>907</v>
      </c>
      <c r="B908" s="179" t="n">
        <v>45897</v>
      </c>
      <c r="C908" s="180" t="n">
        <v>44566207.17</v>
      </c>
      <c r="D908" s="177">
        <f>C908/E908</f>
        <v/>
      </c>
      <c r="E908" s="181" t="n">
        <v>87.59099999999999</v>
      </c>
      <c r="F908" s="177">
        <f>D908/100000</f>
        <v/>
      </c>
      <c r="G908" s="177">
        <f>(F908/[1]DataSheet!$C$12*100)</f>
        <v/>
      </c>
      <c r="H908" s="177">
        <f>K908/I908</f>
        <v/>
      </c>
      <c r="I908" s="177">
        <f>(J908/L908)*100</f>
        <v/>
      </c>
      <c r="J908" s="177">
        <f>L908/O908</f>
        <v/>
      </c>
      <c r="K908" s="181" t="n">
        <v>6.538</v>
      </c>
      <c r="L908" s="181" t="n">
        <v>24500.9</v>
      </c>
      <c r="M908" s="181" t="n">
        <v>3.28</v>
      </c>
      <c r="N908" s="177">
        <f>K908-I908</f>
        <v/>
      </c>
      <c r="O908" s="181" t="n">
        <v>21.52</v>
      </c>
      <c r="P908" s="181" t="n">
        <v>4.207</v>
      </c>
      <c r="Q908" s="177">
        <f>K908-P908</f>
        <v/>
      </c>
      <c r="R908" s="181" t="n">
        <v>97.738</v>
      </c>
      <c r="S908" s="177">
        <f>(O908*T908)</f>
        <v/>
      </c>
      <c r="T908" s="181" t="n">
        <v>5.48</v>
      </c>
      <c r="U908" s="181" t="n">
        <v>20864.75</v>
      </c>
      <c r="V908" s="181" t="n">
        <v>32.28</v>
      </c>
      <c r="W908" s="177">
        <f>U908/V908</f>
        <v/>
      </c>
      <c r="X908" s="177">
        <f>(W908/U908)*100</f>
        <v/>
      </c>
      <c r="Y908" s="181" t="n">
        <v>16559.65</v>
      </c>
      <c r="Z908" s="181" t="n">
        <v>31.6</v>
      </c>
      <c r="AA908" s="177">
        <f>Y908/Z908</f>
        <v/>
      </c>
      <c r="AB908" s="177">
        <f>(AA908/Y908)*100</f>
        <v/>
      </c>
    </row>
    <row r="909">
      <c r="A909" s="29" t="n">
        <v>908</v>
      </c>
      <c r="B909" s="179" t="n">
        <v>45898</v>
      </c>
      <c r="C909" s="180" t="n">
        <v>44417133.63</v>
      </c>
      <c r="D909" s="177">
        <f>C909/E909</f>
        <v/>
      </c>
      <c r="E909" s="181" t="n">
        <v>88.17400000000001</v>
      </c>
      <c r="F909" s="177">
        <f>D909/100000</f>
        <v/>
      </c>
      <c r="G909" s="177">
        <f>(F909/[1]DataSheet!$C$12*100)</f>
        <v/>
      </c>
      <c r="H909" s="177">
        <f>K909/I909</f>
        <v/>
      </c>
      <c r="I909" s="177">
        <f>(J909/L909)*100</f>
        <v/>
      </c>
      <c r="J909" s="177">
        <f>L909/O909</f>
        <v/>
      </c>
      <c r="K909" s="181" t="n">
        <v>6.588</v>
      </c>
      <c r="L909" s="181" t="n">
        <v>24426.85</v>
      </c>
      <c r="M909" s="181" t="n">
        <v>3.27</v>
      </c>
      <c r="N909" s="177">
        <f>K909-I909</f>
        <v/>
      </c>
      <c r="O909" s="181" t="n">
        <v>21.46</v>
      </c>
      <c r="P909" s="181" t="n">
        <v>4.226</v>
      </c>
      <c r="Q909" s="177">
        <f>K909-P909</f>
        <v/>
      </c>
      <c r="R909" s="181" t="n">
        <v>97.69</v>
      </c>
      <c r="S909" s="177">
        <f>(O909*T909)</f>
        <v/>
      </c>
      <c r="T909" s="181" t="n">
        <v>5.52</v>
      </c>
      <c r="U909" s="181" t="n">
        <v>20750.3</v>
      </c>
      <c r="V909" s="181" t="n">
        <v>32.1</v>
      </c>
      <c r="W909" s="177">
        <f>U909/V909</f>
        <v/>
      </c>
      <c r="X909" s="177">
        <f>(W909/U909)*100</f>
        <v/>
      </c>
      <c r="Y909" s="181" t="n">
        <v>16506.15</v>
      </c>
      <c r="Z909" s="181" t="n">
        <v>31.51</v>
      </c>
      <c r="AA909" s="177">
        <f>Y909/Z909</f>
        <v/>
      </c>
      <c r="AB909" s="177">
        <f>(AA909/Y909)*100</f>
        <v/>
      </c>
    </row>
    <row r="910">
      <c r="A910" s="29" t="n">
        <v>909</v>
      </c>
      <c r="B910" s="179" t="n">
        <v>45901</v>
      </c>
      <c r="C910" s="180" t="n">
        <v>44923569.59</v>
      </c>
      <c r="D910" s="177">
        <f>C910/E910</f>
        <v/>
      </c>
      <c r="E910" s="181" t="n">
        <v>88.001</v>
      </c>
      <c r="F910" s="177">
        <f>D910/100000</f>
        <v/>
      </c>
      <c r="G910" s="177">
        <f>(F910/[1]DataSheet!$C$12*100)</f>
        <v/>
      </c>
      <c r="H910" s="177">
        <f>K910/I910</f>
        <v/>
      </c>
      <c r="I910" s="177">
        <f>(J910/L910)*100</f>
        <v/>
      </c>
      <c r="J910" s="177">
        <f>L910/O910</f>
        <v/>
      </c>
      <c r="K910" s="181" t="n">
        <v>6.585</v>
      </c>
      <c r="L910" s="181" t="n">
        <v>24625.05</v>
      </c>
      <c r="M910" s="181" t="n">
        <v>3.29</v>
      </c>
      <c r="N910" s="177">
        <f>K910-I910</f>
        <v/>
      </c>
      <c r="O910" s="181" t="n">
        <v>21.63</v>
      </c>
      <c r="P910" s="181" t="n">
        <v>4.253</v>
      </c>
      <c r="Q910" s="177">
        <f>K910-P910</f>
        <v/>
      </c>
      <c r="R910" s="181" t="n">
        <v>97.69</v>
      </c>
      <c r="S910" s="177">
        <f>(O910*T910)</f>
        <v/>
      </c>
      <c r="T910" s="181" t="n">
        <v>5.48</v>
      </c>
      <c r="U910" s="181" t="n">
        <v>21111.85</v>
      </c>
      <c r="V910" s="181" t="n">
        <v>32.66</v>
      </c>
      <c r="W910" s="177">
        <f>U910/V910</f>
        <v/>
      </c>
      <c r="X910" s="177">
        <f>(W910/U910)*100</f>
        <v/>
      </c>
      <c r="Y910" s="181" t="n">
        <v>16738.35</v>
      </c>
      <c r="Z910" s="181" t="n">
        <v>31.95</v>
      </c>
      <c r="AA910" s="177">
        <f>Y910/Z910</f>
        <v/>
      </c>
      <c r="AB910" s="177">
        <f>(AA910/Y910)*100</f>
        <v/>
      </c>
    </row>
    <row r="911">
      <c r="A911" s="29" t="n">
        <v>910</v>
      </c>
      <c r="B911" s="179" t="n">
        <v>45902</v>
      </c>
      <c r="C911" s="180" t="n">
        <v>45041600.28</v>
      </c>
      <c r="D911" s="177">
        <f>C911/E911</f>
        <v/>
      </c>
      <c r="E911" s="181" t="n">
        <v>87.998</v>
      </c>
      <c r="F911" s="177">
        <f>D911/100000</f>
        <v/>
      </c>
      <c r="G911" s="177">
        <f>(F911/[1]DataSheet!$C$12*100)</f>
        <v/>
      </c>
      <c r="H911" s="177">
        <f>K911/I911</f>
        <v/>
      </c>
      <c r="I911" s="177">
        <f>(J911/L911)*100</f>
        <v/>
      </c>
      <c r="J911" s="177">
        <f>L911/O911</f>
        <v/>
      </c>
      <c r="K911" s="181" t="n">
        <v>6.569</v>
      </c>
      <c r="L911" s="181" t="n">
        <v>24579.6</v>
      </c>
      <c r="M911" s="181" t="n">
        <v>3.29</v>
      </c>
      <c r="N911" s="177">
        <f>K911-I911</f>
        <v/>
      </c>
      <c r="O911" s="181" t="n">
        <v>21.59</v>
      </c>
      <c r="P911" s="181" t="n">
        <v>4.277</v>
      </c>
      <c r="Q911" s="177">
        <f>K911-P911</f>
        <v/>
      </c>
      <c r="R911" s="181" t="n">
        <v>98.34699999999999</v>
      </c>
      <c r="S911" s="177">
        <f>(O911*T911)</f>
        <v/>
      </c>
      <c r="T911" s="181" t="n">
        <v>5.49</v>
      </c>
      <c r="U911" s="181" t="n">
        <v>21149.7</v>
      </c>
      <c r="V911" s="181" t="n">
        <v>32.72</v>
      </c>
      <c r="W911" s="177">
        <f>U911/V911</f>
        <v/>
      </c>
      <c r="X911" s="177">
        <f>(W911/U911)*100</f>
        <v/>
      </c>
      <c r="Y911" s="181" t="n">
        <v>16837.85</v>
      </c>
      <c r="Z911" s="181" t="n">
        <v>32.14</v>
      </c>
      <c r="AA911" s="177">
        <f>Y911/Z911</f>
        <v/>
      </c>
      <c r="AB911" s="177">
        <f>(AA911/Y911)*100</f>
        <v/>
      </c>
    </row>
    <row r="912">
      <c r="A912" s="29" t="n">
        <v>911</v>
      </c>
      <c r="B912" s="179" t="n">
        <v>45903</v>
      </c>
      <c r="C912" s="180" t="n">
        <v>45329268.17</v>
      </c>
      <c r="D912" s="177">
        <f>C912/E912</f>
        <v/>
      </c>
      <c r="E912" s="181" t="n">
        <v>88.07299999999999</v>
      </c>
      <c r="F912" s="177">
        <f>D912/100000</f>
        <v/>
      </c>
      <c r="G912" s="177">
        <f>(F912/[1]DataSheet!$C$12*100)</f>
        <v/>
      </c>
      <c r="H912" s="177">
        <f>K912/I912</f>
        <v/>
      </c>
      <c r="I912" s="177">
        <f>(J912/L912)*100</f>
        <v/>
      </c>
      <c r="J912" s="177">
        <f>L912/O912</f>
        <v/>
      </c>
      <c r="K912" s="181" t="n">
        <v>6.541</v>
      </c>
      <c r="L912" s="181" t="n">
        <v>24715.05</v>
      </c>
      <c r="M912" s="181" t="n">
        <v>3.31</v>
      </c>
      <c r="N912" s="177">
        <f>K912-I912</f>
        <v/>
      </c>
      <c r="O912" s="181" t="n">
        <v>21.71</v>
      </c>
      <c r="P912" s="181" t="n">
        <v>4.211</v>
      </c>
      <c r="Q912" s="177">
        <f>K912-P912</f>
        <v/>
      </c>
      <c r="R912" s="181" t="n">
        <v>98.083</v>
      </c>
      <c r="S912" s="177">
        <f>(O912*T912)</f>
        <v/>
      </c>
      <c r="T912" s="181" t="n">
        <v>5.5</v>
      </c>
      <c r="U912" s="181" t="n">
        <v>21292.25</v>
      </c>
      <c r="V912" s="181" t="n">
        <v>32.94</v>
      </c>
      <c r="W912" s="177">
        <f>U912/V912</f>
        <v/>
      </c>
      <c r="X912" s="177">
        <f>(W912/U912)*100</f>
        <v/>
      </c>
      <c r="Y912" s="181" t="n">
        <v>16979.05</v>
      </c>
      <c r="Z912" s="181" t="n">
        <v>32.41</v>
      </c>
      <c r="AA912" s="177">
        <f>Y912/Z912</f>
        <v/>
      </c>
      <c r="AB912" s="177">
        <f>(AA912/Y912)*100</f>
        <v/>
      </c>
    </row>
    <row r="913">
      <c r="A913" s="29" t="n">
        <v>912</v>
      </c>
      <c r="B913" s="179" t="n">
        <v>45904</v>
      </c>
      <c r="C913" s="180" t="n">
        <v>45178707.18</v>
      </c>
      <c r="D913" s="177">
        <f>C913/E913</f>
        <v/>
      </c>
      <c r="E913" s="181" t="n">
        <v>88.193</v>
      </c>
      <c r="F913" s="177">
        <f>D913/100000</f>
        <v/>
      </c>
      <c r="G913" s="177">
        <f>(F913/[1]DataSheet!$C$12*100)</f>
        <v/>
      </c>
      <c r="H913" s="177">
        <f>K913/I913</f>
        <v/>
      </c>
      <c r="I913" s="177">
        <f>(J913/L913)*100</f>
        <v/>
      </c>
      <c r="J913" s="177">
        <f>L913/O913</f>
        <v/>
      </c>
      <c r="K913" s="181" t="n">
        <v>6.494</v>
      </c>
      <c r="L913" s="181" t="n">
        <v>24734.3</v>
      </c>
      <c r="M913" s="181" t="n">
        <v>3.3</v>
      </c>
      <c r="N913" s="177">
        <f>K913-I913</f>
        <v/>
      </c>
      <c r="O913" s="181" t="n">
        <v>21.73</v>
      </c>
      <c r="P913" s="181" t="n">
        <v>4.176</v>
      </c>
      <c r="Q913" s="177">
        <f>K913-P913</f>
        <v/>
      </c>
      <c r="R913" s="181" t="n">
        <v>98.304</v>
      </c>
      <c r="S913" s="177">
        <f>(O913*T913)</f>
        <v/>
      </c>
      <c r="T913" s="181" t="n">
        <v>5.48</v>
      </c>
      <c r="U913" s="181" t="n">
        <v>21157.95</v>
      </c>
      <c r="V913" s="181" t="n">
        <v>32.73</v>
      </c>
      <c r="W913" s="177">
        <f>U913/V913</f>
        <v/>
      </c>
      <c r="X913" s="177">
        <f>(W913/U913)*100</f>
        <v/>
      </c>
      <c r="Y913" s="181" t="n">
        <v>16864.7</v>
      </c>
      <c r="Z913" s="181" t="n">
        <v>32.19</v>
      </c>
      <c r="AA913" s="177">
        <f>Y913/Z913</f>
        <v/>
      </c>
      <c r="AB913" s="177">
        <f>(AA913/Y913)*100</f>
        <v/>
      </c>
    </row>
    <row r="914">
      <c r="A914" s="29" t="n">
        <v>913</v>
      </c>
      <c r="B914" s="179" t="n">
        <v>45905</v>
      </c>
      <c r="C914" s="180" t="n">
        <v>45194437.34</v>
      </c>
      <c r="D914" s="177">
        <f>C914/E914</f>
        <v/>
      </c>
      <c r="E914" s="181" t="n">
        <v>88.187</v>
      </c>
      <c r="F914" s="177">
        <f>D914/100000</f>
        <v/>
      </c>
      <c r="G914" s="177">
        <f>(F914/[1]DataSheet!$C$12*100)</f>
        <v/>
      </c>
      <c r="H914" s="177">
        <f>K914/I914</f>
        <v/>
      </c>
      <c r="I914" s="177">
        <f>(J914/L914)*100</f>
        <v/>
      </c>
      <c r="J914" s="177">
        <f>L914/O914</f>
        <v/>
      </c>
      <c r="K914" s="181" t="n">
        <v>6.461</v>
      </c>
      <c r="L914" s="181" t="n">
        <v>24741</v>
      </c>
      <c r="M914" s="181" t="n">
        <v>3.3</v>
      </c>
      <c r="N914" s="177">
        <f>K914-I914</f>
        <v/>
      </c>
      <c r="O914" s="181" t="n">
        <v>21.73</v>
      </c>
      <c r="P914" s="181" t="n">
        <v>4.086</v>
      </c>
      <c r="Q914" s="177">
        <f>K914-P914</f>
        <v/>
      </c>
      <c r="R914" s="181" t="n">
        <v>97.72799999999999</v>
      </c>
      <c r="S914" s="177">
        <f>(O914*T914)</f>
        <v/>
      </c>
      <c r="T914" s="181" t="n">
        <v>5.48</v>
      </c>
      <c r="U914" s="181" t="n">
        <v>21172.65</v>
      </c>
      <c r="V914" s="181" t="n">
        <v>32.75</v>
      </c>
      <c r="W914" s="177">
        <f>U914/V914</f>
        <v/>
      </c>
      <c r="X914" s="177">
        <f>(W914/U914)*100</f>
        <v/>
      </c>
      <c r="Y914" s="181" t="n">
        <v>16904.25</v>
      </c>
      <c r="Z914" s="181" t="n">
        <v>32.26</v>
      </c>
      <c r="AA914" s="177">
        <f>Y914/Z914</f>
        <v/>
      </c>
      <c r="AB914" s="177">
        <f>(AA914/Y914)*100</f>
        <v/>
      </c>
    </row>
    <row r="915">
      <c r="A915" s="29" t="n">
        <v>914</v>
      </c>
      <c r="B915" s="179" t="n">
        <v>45908</v>
      </c>
      <c r="C915" s="180" t="n">
        <v>45315652.66</v>
      </c>
      <c r="D915" s="177">
        <f>C915/E915</f>
        <v/>
      </c>
      <c r="E915" s="181" t="n">
        <v>87.98099999999999</v>
      </c>
      <c r="F915" s="177">
        <f>D915/100000</f>
        <v/>
      </c>
      <c r="G915" s="177">
        <f>(F915/[1]DataSheet!$C$12*100)</f>
        <v/>
      </c>
      <c r="H915" s="177">
        <f>K915/I915</f>
        <v/>
      </c>
      <c r="I915" s="177">
        <f>(J915/L915)*100</f>
        <v/>
      </c>
      <c r="J915" s="177">
        <f>L915/O915</f>
        <v/>
      </c>
      <c r="K915" s="181" t="n">
        <v>6.463</v>
      </c>
      <c r="L915" s="181" t="n">
        <v>24773.15</v>
      </c>
      <c r="M915" s="181" t="n">
        <v>3.31</v>
      </c>
      <c r="N915" s="177">
        <f>K915-I915</f>
        <v/>
      </c>
      <c r="O915" s="181" t="n">
        <v>21.76</v>
      </c>
      <c r="P915" s="181" t="n">
        <v>4.046</v>
      </c>
      <c r="Q915" s="177">
        <f>K915-P915</f>
        <v/>
      </c>
      <c r="R915" s="181" t="n">
        <v>97.03700000000001</v>
      </c>
      <c r="S915" s="177">
        <f>(O915*T915)</f>
        <v/>
      </c>
      <c r="T915" s="181" t="n">
        <v>5.48</v>
      </c>
      <c r="U915" s="181" t="n">
        <v>21254.1</v>
      </c>
      <c r="V915" s="181" t="n">
        <v>32.88</v>
      </c>
      <c r="W915" s="177">
        <f>U915/V915</f>
        <v/>
      </c>
      <c r="X915" s="177">
        <f>(W915/U915)*100</f>
        <v/>
      </c>
      <c r="Y915" s="181" t="n">
        <v>16935.15</v>
      </c>
      <c r="Z915" s="181" t="n">
        <v>32.32</v>
      </c>
      <c r="AA915" s="177">
        <f>Y915/Z915</f>
        <v/>
      </c>
      <c r="AB915" s="177">
        <f>(AA915/Y915)*100</f>
        <v/>
      </c>
    </row>
    <row r="916">
      <c r="A916" s="29" t="n">
        <v>915</v>
      </c>
      <c r="B916" s="179" t="n">
        <v>45909</v>
      </c>
      <c r="C916" s="180" t="n">
        <v>45438886.5</v>
      </c>
      <c r="D916" s="177">
        <f>C916/E916</f>
        <v/>
      </c>
      <c r="E916" s="181" t="n">
        <v>88.248</v>
      </c>
      <c r="F916" s="177">
        <f>D916/100000</f>
        <v/>
      </c>
      <c r="G916" s="177">
        <f>(F916/[1]DataSheet!$C$12*100)</f>
        <v/>
      </c>
      <c r="H916" s="177">
        <f>K916/I916</f>
        <v/>
      </c>
      <c r="I916" s="177">
        <f>(J916/L916)*100</f>
        <v/>
      </c>
      <c r="J916" s="177">
        <f>L916/O916</f>
        <v/>
      </c>
      <c r="K916" s="181" t="n">
        <v>6.486</v>
      </c>
      <c r="L916" s="181" t="n">
        <v>24868.6</v>
      </c>
      <c r="M916" s="181" t="n">
        <v>3.32</v>
      </c>
      <c r="N916" s="177">
        <f>K916-I916</f>
        <v/>
      </c>
      <c r="O916" s="181" t="n">
        <v>21.85</v>
      </c>
      <c r="P916" s="181" t="n">
        <v>4.074</v>
      </c>
      <c r="Q916" s="177">
        <f>K916-P916</f>
        <v/>
      </c>
      <c r="R916" s="181" t="n">
        <v>97.367</v>
      </c>
      <c r="S916" s="177">
        <f>(O916*T916)</f>
        <v/>
      </c>
      <c r="T916" s="181" t="n">
        <v>5.52</v>
      </c>
      <c r="U916" s="181" t="n">
        <v>21295.9</v>
      </c>
      <c r="V916" s="181" t="n">
        <v>32.94</v>
      </c>
      <c r="W916" s="177">
        <f>U916/V916</f>
        <v/>
      </c>
      <c r="X916" s="177">
        <f>(W916/U916)*100</f>
        <v/>
      </c>
      <c r="Y916" s="181" t="n">
        <v>16979.75</v>
      </c>
      <c r="Z916" s="181" t="n">
        <v>32.41</v>
      </c>
      <c r="AA916" s="177">
        <f>Y916/Z916</f>
        <v/>
      </c>
      <c r="AB916" s="177">
        <f>(AA916/Y916)*100</f>
        <v/>
      </c>
    </row>
    <row r="917">
      <c r="A917" s="29" t="n">
        <v>916</v>
      </c>
      <c r="B917" s="179" t="n">
        <v>45910</v>
      </c>
      <c r="C917" s="180" t="n">
        <v>45701095.57</v>
      </c>
      <c r="D917" s="177">
        <f>C917/E917</f>
        <v/>
      </c>
      <c r="E917" s="181" t="n">
        <v>88.054</v>
      </c>
      <c r="F917" s="177">
        <f>D917/100000</f>
        <v/>
      </c>
      <c r="G917" s="177">
        <f>(F917/[1]DataSheet!$C$12*100)</f>
        <v/>
      </c>
      <c r="H917" s="177">
        <f>K917/I917</f>
        <v/>
      </c>
      <c r="I917" s="177">
        <f>(J917/L917)*100</f>
        <v/>
      </c>
      <c r="J917" s="177">
        <f>L917/O917</f>
        <v/>
      </c>
      <c r="K917" s="181" t="n">
        <v>6.483</v>
      </c>
      <c r="L917" s="181" t="n">
        <v>24973.1</v>
      </c>
      <c r="M917" s="181" t="n">
        <v>3.33</v>
      </c>
      <c r="N917" s="177">
        <f>K917-I917</f>
        <v/>
      </c>
      <c r="O917" s="181" t="n">
        <v>21.94</v>
      </c>
      <c r="P917" s="181" t="n">
        <v>4.032</v>
      </c>
      <c r="Q917" s="177">
        <f>K917-P917</f>
        <v/>
      </c>
      <c r="R917" s="181" t="n">
        <v>97.357</v>
      </c>
      <c r="S917" s="177">
        <f>(O917*T917)</f>
        <v/>
      </c>
      <c r="T917" s="181" t="n">
        <v>5.52</v>
      </c>
      <c r="U917" s="181" t="n">
        <v>21498.35</v>
      </c>
      <c r="V917" s="181" t="n">
        <v>33.26</v>
      </c>
      <c r="W917" s="177">
        <f>U917/V917</f>
        <v/>
      </c>
      <c r="X917" s="177">
        <f>(W917/U917)*100</f>
        <v/>
      </c>
      <c r="Y917" s="181" t="n">
        <v>17092.25</v>
      </c>
      <c r="Z917" s="181" t="n">
        <v>32.62</v>
      </c>
      <c r="AA917" s="177">
        <f>Y917/Z917</f>
        <v/>
      </c>
      <c r="AB917" s="177">
        <f>(AA917/Y917)*100</f>
        <v/>
      </c>
    </row>
    <row r="918">
      <c r="A918" s="29" t="n">
        <v>917</v>
      </c>
      <c r="B918" s="179" t="n">
        <v>45911</v>
      </c>
      <c r="C918" s="180" t="n">
        <v>45774985.67</v>
      </c>
      <c r="D918" s="177">
        <f>C918/E918</f>
        <v/>
      </c>
      <c r="E918" s="181" t="n">
        <v>88.267</v>
      </c>
      <c r="F918" s="177">
        <f>D918/100000</f>
        <v/>
      </c>
      <c r="G918" s="177">
        <f>(F918/[1]DataSheet!$C$12*100)</f>
        <v/>
      </c>
      <c r="H918" s="177">
        <f>K918/I918</f>
        <v/>
      </c>
      <c r="I918" s="177">
        <f>(J918/L918)*100</f>
        <v/>
      </c>
      <c r="J918" s="177">
        <f>L918/O918</f>
        <v/>
      </c>
      <c r="K918" s="181" t="n">
        <v>6.472</v>
      </c>
      <c r="L918" s="181" t="n">
        <v>25005.5</v>
      </c>
      <c r="M918" s="181" t="n">
        <v>3.34</v>
      </c>
      <c r="N918" s="177">
        <f>K918-I918</f>
        <v/>
      </c>
      <c r="O918" s="181" t="n">
        <v>21.97</v>
      </c>
      <c r="P918" s="181" t="n">
        <v>4.011</v>
      </c>
      <c r="Q918" s="177">
        <f>K918-P918</f>
        <v/>
      </c>
      <c r="R918" s="181" t="n">
        <v>97.52800000000001</v>
      </c>
      <c r="S918" s="177">
        <f>(O918*T918)</f>
        <v/>
      </c>
      <c r="T918" s="181" t="n">
        <v>5.5</v>
      </c>
      <c r="U918" s="181" t="n">
        <v>21507.75</v>
      </c>
      <c r="V918" s="181" t="n">
        <v>33.27</v>
      </c>
      <c r="W918" s="177">
        <f>U918/V918</f>
        <v/>
      </c>
      <c r="X918" s="177">
        <f>(W918/U918)*100</f>
        <v/>
      </c>
      <c r="Y918" s="181" t="n">
        <v>17090.5</v>
      </c>
      <c r="Z918" s="181" t="n">
        <v>32.62</v>
      </c>
      <c r="AA918" s="177">
        <f>Y918/Z918</f>
        <v/>
      </c>
      <c r="AB918" s="177">
        <f>(AA918/Y918)*100</f>
        <v/>
      </c>
    </row>
    <row r="919">
      <c r="A919" s="29" t="n">
        <v>918</v>
      </c>
      <c r="B919" s="179" t="n">
        <v>45912</v>
      </c>
      <c r="C919" s="180" t="n">
        <v>45931025.19</v>
      </c>
      <c r="D919" s="177">
        <f>C919/E919</f>
        <v/>
      </c>
      <c r="E919" s="181" t="n">
        <v>88.277</v>
      </c>
      <c r="F919" s="177">
        <f>D919/100000</f>
        <v/>
      </c>
      <c r="G919" s="177">
        <f>(F919/[1]DataSheet!$C$12*100)</f>
        <v/>
      </c>
      <c r="H919" s="177">
        <f>K919/I919</f>
        <v/>
      </c>
      <c r="I919" s="177">
        <f>(J919/L919)*100</f>
        <v/>
      </c>
      <c r="J919" s="177">
        <f>L919/O919</f>
        <v/>
      </c>
      <c r="K919" s="181" t="n">
        <v>6.483</v>
      </c>
      <c r="L919" s="181" t="n">
        <v>25114</v>
      </c>
      <c r="M919" s="181" t="n">
        <v>3.35</v>
      </c>
      <c r="N919" s="177">
        <f>K919-I919</f>
        <v/>
      </c>
      <c r="O919" s="181" t="n">
        <v>22.06</v>
      </c>
      <c r="P919" s="181" t="n">
        <v>4.06</v>
      </c>
      <c r="Q919" s="177">
        <f>K919-P919</f>
        <v/>
      </c>
      <c r="R919" s="181" t="n">
        <v>97.536</v>
      </c>
      <c r="S919" s="177">
        <f>(O919*T919)</f>
        <v/>
      </c>
      <c r="T919" s="181" t="n">
        <v>5.51</v>
      </c>
      <c r="U919" s="181" t="n">
        <v>21567.2</v>
      </c>
      <c r="V919" s="181" t="n">
        <v>33.36</v>
      </c>
      <c r="W919" s="177">
        <f>U919/V919</f>
        <v/>
      </c>
      <c r="X919" s="177">
        <f>(W919/U919)*100</f>
        <v/>
      </c>
      <c r="Y919" s="181" t="n">
        <v>17144.85</v>
      </c>
      <c r="Z919" s="181" t="n">
        <v>32.72</v>
      </c>
      <c r="AA919" s="177">
        <f>Y919/Z919</f>
        <v/>
      </c>
      <c r="AB919" s="177">
        <f>(AA919/Y919)*100</f>
        <v/>
      </c>
    </row>
    <row r="920">
      <c r="A920" s="29" t="n">
        <v>919</v>
      </c>
      <c r="B920" s="179" t="n">
        <v>45915</v>
      </c>
      <c r="C920" s="180" t="n">
        <v>46046823.14</v>
      </c>
      <c r="D920" s="177">
        <f>C920/E920</f>
        <v/>
      </c>
      <c r="E920" s="181" t="n">
        <v>88.122</v>
      </c>
      <c r="F920" s="177">
        <f>D920/100000</f>
        <v/>
      </c>
      <c r="G920" s="177">
        <f>(F920/[1]DataSheet!$C$12*100)</f>
        <v/>
      </c>
      <c r="H920" s="177">
        <f>K920/I920</f>
        <v/>
      </c>
      <c r="I920" s="177">
        <f>(J920/L920)*100</f>
        <v/>
      </c>
      <c r="J920" s="177">
        <f>L920/O920</f>
        <v/>
      </c>
      <c r="K920" s="181" t="n">
        <v>6.492</v>
      </c>
      <c r="L920" s="181" t="n">
        <v>25069.2</v>
      </c>
      <c r="M920" s="181" t="n">
        <v>3.34</v>
      </c>
      <c r="N920" s="177">
        <f>K920-I920</f>
        <v/>
      </c>
      <c r="O920" s="181" t="n">
        <v>22.02</v>
      </c>
      <c r="P920" s="181" t="n">
        <v>4.034</v>
      </c>
      <c r="Q920" s="177">
        <f>K920-P920</f>
        <v/>
      </c>
      <c r="R920" s="181" t="n">
        <v>97.44799999999999</v>
      </c>
      <c r="S920" s="177">
        <f>(O920*T920)</f>
        <v/>
      </c>
      <c r="T920" s="181" t="n">
        <v>5.49</v>
      </c>
      <c r="U920" s="181" t="n">
        <v>21657.4</v>
      </c>
      <c r="V920" s="181" t="n">
        <v>33.5</v>
      </c>
      <c r="W920" s="177">
        <f>U920/V920</f>
        <v/>
      </c>
      <c r="X920" s="177">
        <f>(W920/U920)*100</f>
        <v/>
      </c>
      <c r="Y920" s="181" t="n">
        <v>17254.25</v>
      </c>
      <c r="Z920" s="181" t="n">
        <v>32.93</v>
      </c>
      <c r="AA920" s="177">
        <f>Y920/Z920</f>
        <v/>
      </c>
      <c r="AB920" s="177">
        <f>(AA920/Y920)*100</f>
        <v/>
      </c>
    </row>
    <row r="921">
      <c r="A921" s="29" t="n">
        <v>920</v>
      </c>
      <c r="B921" s="179" t="n">
        <v>45916</v>
      </c>
      <c r="C921" s="180" t="n">
        <v>46345517.86</v>
      </c>
      <c r="D921" s="177">
        <f>C921/E921</f>
        <v/>
      </c>
      <c r="E921" s="181" t="n">
        <v>87.883</v>
      </c>
      <c r="F921" s="177">
        <f>D921/100000</f>
        <v/>
      </c>
      <c r="G921" s="177">
        <f>(F921/[1]DataSheet!$C$12*100)</f>
        <v/>
      </c>
      <c r="H921" s="177">
        <f>K921/I921</f>
        <v/>
      </c>
      <c r="I921" s="177">
        <f>(J921/L921)*100</f>
        <v/>
      </c>
      <c r="J921" s="177">
        <f>L921/O921</f>
        <v/>
      </c>
      <c r="K921" s="181" t="n">
        <v>6.49</v>
      </c>
      <c r="L921" s="181" t="n">
        <v>25239.1</v>
      </c>
      <c r="M921" s="181" t="n">
        <v>3.37</v>
      </c>
      <c r="N921" s="177">
        <f>K921-I921</f>
        <v/>
      </c>
      <c r="O921" s="181" t="n">
        <v>22.17</v>
      </c>
      <c r="P921" s="181" t="n">
        <v>4.026</v>
      </c>
      <c r="Q921" s="177">
        <f>K921-P921</f>
        <v/>
      </c>
      <c r="R921" s="181" t="n">
        <v>96.248</v>
      </c>
      <c r="S921" s="177">
        <f>(O921*T921)</f>
        <v/>
      </c>
      <c r="T921" s="181" t="n">
        <v>5.51</v>
      </c>
      <c r="U921" s="181" t="n">
        <v>21791.15</v>
      </c>
      <c r="V921" s="181" t="n">
        <v>33.71</v>
      </c>
      <c r="W921" s="177">
        <f>U921/V921</f>
        <v/>
      </c>
      <c r="X921" s="177">
        <f>(W921/U921)*100</f>
        <v/>
      </c>
      <c r="Y921" s="181" t="n">
        <v>17382.2</v>
      </c>
      <c r="Z921" s="181" t="n">
        <v>33.18</v>
      </c>
      <c r="AA921" s="177">
        <f>Y921/Z921</f>
        <v/>
      </c>
      <c r="AB921" s="177">
        <f>(AA921/Y921)*100</f>
        <v/>
      </c>
    </row>
    <row r="922">
      <c r="A922" s="29" t="n">
        <v>921</v>
      </c>
      <c r="B922" s="179" t="n">
        <v>45917</v>
      </c>
      <c r="C922" s="180" t="n">
        <v>46537140.17</v>
      </c>
      <c r="D922" s="177">
        <f>C922/E922</f>
        <v/>
      </c>
      <c r="E922" s="181" t="n">
        <v>87.745</v>
      </c>
      <c r="F922" s="177">
        <f>D922/100000</f>
        <v/>
      </c>
      <c r="G922" s="177">
        <f>(F922/[1]DataSheet!$C$12*100)</f>
        <v/>
      </c>
      <c r="H922" s="177">
        <f>K922/I922</f>
        <v/>
      </c>
      <c r="I922" s="177">
        <f>(J922/L922)*100</f>
        <v/>
      </c>
      <c r="J922" s="177">
        <f>L922/O922</f>
        <v/>
      </c>
      <c r="K922" s="181" t="n">
        <v>6.466</v>
      </c>
      <c r="L922" s="181" t="n">
        <v>25330.25</v>
      </c>
      <c r="M922" s="181" t="n">
        <v>3.38</v>
      </c>
      <c r="N922" s="177">
        <f>K922-I922</f>
        <v/>
      </c>
      <c r="O922" s="181" t="n">
        <v>22.25</v>
      </c>
      <c r="P922" s="181" t="n">
        <v>4.076</v>
      </c>
      <c r="Q922" s="177">
        <f>K922-P922</f>
        <v/>
      </c>
      <c r="R922" s="181" t="n">
        <v>96.52</v>
      </c>
      <c r="S922" s="177">
        <f>(O922*T922)</f>
        <v/>
      </c>
      <c r="T922" s="181" t="n">
        <v>5.49</v>
      </c>
      <c r="U922" s="181" t="n">
        <v>21831.05</v>
      </c>
      <c r="V922" s="181" t="n">
        <v>33.77</v>
      </c>
      <c r="W922" s="177">
        <f>U922/V922</f>
        <v/>
      </c>
      <c r="X922" s="177">
        <f>(W922/U922)*100</f>
        <v/>
      </c>
      <c r="Y922" s="181" t="n">
        <v>17470.75</v>
      </c>
      <c r="Z922" s="181" t="n">
        <v>33.35</v>
      </c>
      <c r="AA922" s="177">
        <f>Y922/Z922</f>
        <v/>
      </c>
      <c r="AB922" s="177">
        <f>(AA922/Y922)*100</f>
        <v/>
      </c>
    </row>
    <row r="923">
      <c r="A923" s="29" t="n">
        <v>922</v>
      </c>
      <c r="B923" s="179" t="n">
        <v>45918</v>
      </c>
      <c r="C923" s="180" t="n">
        <v>46628576.12</v>
      </c>
      <c r="D923" s="177">
        <f>C923/E923</f>
        <v/>
      </c>
      <c r="E923" s="181" t="n">
        <v>88.20699999999999</v>
      </c>
      <c r="F923" s="177">
        <f>D923/100000</f>
        <v/>
      </c>
      <c r="G923" s="177">
        <f>(F923/[1]DataSheet!$C$12*100)</f>
        <v/>
      </c>
      <c r="H923" s="177">
        <f>K923/I923</f>
        <v/>
      </c>
      <c r="I923" s="177">
        <f>(J923/L923)*100</f>
        <v/>
      </c>
      <c r="J923" s="177">
        <f>L923/O923</f>
        <v/>
      </c>
      <c r="K923" s="181" t="n">
        <v>6.509</v>
      </c>
      <c r="L923" s="181" t="n">
        <v>25423.6</v>
      </c>
      <c r="M923" s="181" t="n">
        <v>3.39</v>
      </c>
      <c r="N923" s="177">
        <f>K923-I923</f>
        <v/>
      </c>
      <c r="O923" s="181" t="n">
        <v>22.33</v>
      </c>
      <c r="P923" s="181" t="n">
        <v>4.104</v>
      </c>
      <c r="Q923" s="177">
        <f>K923-P923</f>
        <v/>
      </c>
      <c r="R923" s="181" t="n">
        <v>96.971</v>
      </c>
      <c r="S923" s="177">
        <f>(O923*T923)</f>
        <v/>
      </c>
      <c r="T923" s="181" t="n">
        <v>5.5</v>
      </c>
      <c r="U923" s="181" t="n">
        <v>21898.8</v>
      </c>
      <c r="V923" s="181" t="n">
        <v>33.88</v>
      </c>
      <c r="W923" s="177">
        <f>U923/V923</f>
        <v/>
      </c>
      <c r="X923" s="177">
        <f>(W923/U923)*100</f>
        <v/>
      </c>
      <c r="Y923" s="181" t="n">
        <v>17481.65</v>
      </c>
      <c r="Z923" s="181" t="n">
        <v>33.37</v>
      </c>
      <c r="AA923" s="177">
        <f>Y923/Z923</f>
        <v/>
      </c>
      <c r="AB923" s="177">
        <f>(AA923/Y923)*100</f>
        <v/>
      </c>
    </row>
    <row r="924">
      <c r="A924" s="29" t="n">
        <v>923</v>
      </c>
      <c r="B924" s="179" t="n">
        <v>45919</v>
      </c>
      <c r="C924" s="180" t="n">
        <v>46689419.49</v>
      </c>
      <c r="D924" s="177">
        <f>C924/E924</f>
        <v/>
      </c>
      <c r="E924" s="182" t="n">
        <v>88.09999999999999</v>
      </c>
      <c r="F924" s="177">
        <f>D924/100000</f>
        <v/>
      </c>
      <c r="G924" s="177">
        <f>(F924/[1]DataSheet!$C$12*100)</f>
        <v/>
      </c>
      <c r="H924" s="177">
        <f>K924/I924</f>
        <v/>
      </c>
      <c r="I924" s="177">
        <f>(J924/L924)*100</f>
        <v/>
      </c>
      <c r="J924" s="177">
        <f>L924/O924</f>
        <v/>
      </c>
      <c r="K924" s="181" t="n">
        <v>6.489</v>
      </c>
      <c r="L924" s="181" t="n">
        <v>25327.05</v>
      </c>
      <c r="M924" s="181" t="n">
        <v>3.38</v>
      </c>
      <c r="N924" s="177">
        <f>K924-I924</f>
        <v/>
      </c>
      <c r="O924" s="181" t="n">
        <v>22.25</v>
      </c>
      <c r="P924" s="181" t="n">
        <v>4.139</v>
      </c>
      <c r="Q924" s="177">
        <f>K924-P924</f>
        <v/>
      </c>
      <c r="R924" s="181" t="n">
        <v>97.27</v>
      </c>
      <c r="S924" s="177">
        <f>(O924*T924)</f>
        <v/>
      </c>
      <c r="T924" s="181" t="n">
        <v>5.45</v>
      </c>
      <c r="U924" s="181" t="n">
        <v>21900.6</v>
      </c>
      <c r="V924" s="181" t="n">
        <v>33.88</v>
      </c>
      <c r="W924" s="177">
        <f>U924/V924</f>
        <v/>
      </c>
      <c r="X924" s="177">
        <f>(W924/U924)*100</f>
        <v/>
      </c>
      <c r="Y924" s="181" t="n">
        <v>17505.9</v>
      </c>
      <c r="Z924" s="181" t="n">
        <v>33.41</v>
      </c>
      <c r="AA924" s="177">
        <f>Y924/Z924</f>
        <v/>
      </c>
      <c r="AB924" s="177">
        <f>(AA924/Y924)*100</f>
        <v/>
      </c>
    </row>
    <row r="925">
      <c r="A925" s="29" t="n">
        <v>924</v>
      </c>
      <c r="B925" s="179" t="n">
        <v>45922</v>
      </c>
      <c r="C925" s="180" t="n">
        <v>46545453.33</v>
      </c>
      <c r="D925" s="177">
        <f>C925/E925</f>
        <v/>
      </c>
      <c r="E925" s="182" t="n">
        <v>88.303</v>
      </c>
      <c r="F925" s="177">
        <f>D925/100000</f>
        <v/>
      </c>
      <c r="G925" s="177">
        <f>(F925/[1]DataSheet!$C$12*100)</f>
        <v/>
      </c>
      <c r="H925" s="177">
        <f>K925/I925</f>
        <v/>
      </c>
      <c r="I925" s="177">
        <f>(J925/L925)*100</f>
        <v/>
      </c>
      <c r="J925" s="177">
        <f>L925/O925</f>
        <v/>
      </c>
      <c r="K925" s="181" t="n">
        <v>6.481</v>
      </c>
      <c r="L925" s="181" t="n">
        <v>25202.35</v>
      </c>
      <c r="M925" s="181" t="n">
        <v>3.36</v>
      </c>
      <c r="N925" s="177">
        <f>K925-I925</f>
        <v/>
      </c>
      <c r="O925" s="181" t="n">
        <v>22.14</v>
      </c>
      <c r="P925" s="181" t="n">
        <v>4.145</v>
      </c>
      <c r="Q925" s="177">
        <f>K925-P925</f>
        <v/>
      </c>
      <c r="R925" s="181" t="n">
        <v>96.97499999999999</v>
      </c>
      <c r="S925" s="177">
        <f>(O925*T925)</f>
        <v/>
      </c>
      <c r="T925" s="181" t="n">
        <v>5.5</v>
      </c>
      <c r="U925" s="181" t="n">
        <v>21777.5</v>
      </c>
      <c r="V925" s="181" t="n">
        <v>33.69</v>
      </c>
      <c r="W925" s="177">
        <f>U925/V925</f>
        <v/>
      </c>
      <c r="X925" s="177">
        <f>(W925/U925)*100</f>
        <v/>
      </c>
      <c r="Y925" s="181" t="n">
        <v>17345.9</v>
      </c>
      <c r="Z925" s="181" t="n">
        <v>33.11</v>
      </c>
      <c r="AA925" s="177">
        <f>Y925/Z925</f>
        <v/>
      </c>
      <c r="AB925" s="177">
        <f>(AA925/Y925)*100</f>
        <v/>
      </c>
    </row>
    <row r="926">
      <c r="A926" s="29" t="n">
        <v>925</v>
      </c>
      <c r="B926" s="179" t="n">
        <v>45923</v>
      </c>
      <c r="C926" s="180" t="n">
        <v>46437915.55</v>
      </c>
      <c r="D926" s="177">
        <f>C926/E926</f>
        <v/>
      </c>
      <c r="E926" s="182" t="n">
        <v>88.80800000000001</v>
      </c>
      <c r="F926" s="177">
        <f>D926/100000</f>
        <v/>
      </c>
      <c r="G926" s="177">
        <f>(F926/[1]DataSheet!$C$12*100)</f>
        <v/>
      </c>
      <c r="H926" s="177">
        <f>K926/I926</f>
        <v/>
      </c>
      <c r="I926" s="177">
        <f>(J926/L926)*100</f>
        <v/>
      </c>
      <c r="J926" s="177">
        <f>L926/O926</f>
        <v/>
      </c>
      <c r="K926" s="181" t="n">
        <v>6.467</v>
      </c>
      <c r="L926" s="181" t="n">
        <v>25169.5</v>
      </c>
      <c r="M926" s="181" t="n">
        <v>3.36</v>
      </c>
      <c r="N926" s="177">
        <f>K926-I926</f>
        <v/>
      </c>
      <c r="O926" s="181" t="n">
        <v>22.11</v>
      </c>
      <c r="P926" s="181" t="n">
        <v>4.118</v>
      </c>
      <c r="Q926" s="177">
        <f>K926-P926</f>
        <v/>
      </c>
      <c r="R926" s="181" t="n">
        <v>96.893</v>
      </c>
      <c r="S926" s="177">
        <f>(O926*T926)</f>
        <v/>
      </c>
      <c r="T926" s="181" t="n">
        <v>5.53</v>
      </c>
      <c r="U926" s="181" t="n">
        <v>21713.6</v>
      </c>
      <c r="V926" s="181" t="n">
        <v>33.59</v>
      </c>
      <c r="W926" s="177">
        <f>U926/V926</f>
        <v/>
      </c>
      <c r="X926" s="177">
        <f>(W926/U926)*100</f>
        <v/>
      </c>
      <c r="Y926" s="181" t="n">
        <v>17256.25</v>
      </c>
      <c r="Z926" s="181" t="n">
        <v>29.66</v>
      </c>
      <c r="AA926" s="177">
        <f>Y926/Z926</f>
        <v/>
      </c>
      <c r="AB926" s="177">
        <f>(AA926/Y926)*100</f>
        <v/>
      </c>
    </row>
    <row r="927">
      <c r="A927" s="29" t="n">
        <v>926</v>
      </c>
      <c r="B927" s="179" t="n">
        <v>45924</v>
      </c>
      <c r="C927" s="180" t="n">
        <v>46134923.6</v>
      </c>
      <c r="D927" s="177">
        <f>C927/E927</f>
        <v/>
      </c>
      <c r="E927" s="182" t="n">
        <v>88.777</v>
      </c>
      <c r="F927" s="177">
        <f>D927/100000</f>
        <v/>
      </c>
      <c r="G927" s="177">
        <f>(F927/[1]DataSheet!$C$12*100)</f>
        <v/>
      </c>
      <c r="H927" s="177">
        <f>K927/I927</f>
        <v/>
      </c>
      <c r="I927" s="177">
        <f>(J927/L927)*100</f>
        <v/>
      </c>
      <c r="J927" s="177">
        <f>L927/O927</f>
        <v/>
      </c>
      <c r="K927" s="181" t="n">
        <v>6.483</v>
      </c>
      <c r="L927" s="181" t="n">
        <v>25056.9</v>
      </c>
      <c r="M927" s="181" t="n">
        <v>3.34</v>
      </c>
      <c r="N927" s="177">
        <f>K927-I927</f>
        <v/>
      </c>
      <c r="O927" s="181" t="n">
        <v>22.01</v>
      </c>
      <c r="P927" s="181" t="n">
        <v>4.147</v>
      </c>
      <c r="Q927" s="177">
        <f>K927-P927</f>
        <v/>
      </c>
      <c r="R927" s="181" t="n">
        <v>97.518</v>
      </c>
      <c r="S927" s="177">
        <f>(O927*T927)</f>
        <v/>
      </c>
      <c r="T927" s="181" t="n">
        <v>5.47</v>
      </c>
      <c r="U927" s="181" t="n">
        <v>21523.35</v>
      </c>
      <c r="V927" s="181" t="n">
        <v>33.3</v>
      </c>
      <c r="W927" s="177">
        <f>U927/V927</f>
        <v/>
      </c>
      <c r="X927" s="177">
        <f>(W927/U927)*100</f>
        <v/>
      </c>
      <c r="Y927" s="181" t="n">
        <v>17162.1</v>
      </c>
      <c r="Z927" s="181" t="n">
        <v>29.5</v>
      </c>
      <c r="AA927" s="177">
        <f>Y927/Z927</f>
        <v/>
      </c>
      <c r="AB927" s="177">
        <f>(AA927/Y927)*100</f>
        <v/>
      </c>
    </row>
    <row r="928">
      <c r="A928" s="29" t="n">
        <v>927</v>
      </c>
      <c r="B928" s="179" t="n">
        <v>45925</v>
      </c>
      <c r="C928" s="180" t="n">
        <v>45811797.6</v>
      </c>
      <c r="D928" s="177">
        <f>C928/E928</f>
        <v/>
      </c>
      <c r="E928" s="182" t="n">
        <v>88.768</v>
      </c>
      <c r="F928" s="177">
        <f>D928/100000</f>
        <v/>
      </c>
      <c r="G928" s="177">
        <f>(F928/[1]DataSheet!$C$12*100)</f>
        <v/>
      </c>
      <c r="H928" s="177">
        <f>K928/I928</f>
        <v/>
      </c>
      <c r="I928" s="177">
        <f>(J928/L928)*100</f>
        <v/>
      </c>
      <c r="J928" s="177">
        <f>L928/O928</f>
        <v/>
      </c>
      <c r="K928" s="181" t="n">
        <v>6.492</v>
      </c>
      <c r="L928" s="181" t="n">
        <v>24890.85</v>
      </c>
      <c r="M928" s="181" t="n">
        <v>3.32</v>
      </c>
      <c r="N928" s="177">
        <f>K928-I928</f>
        <v/>
      </c>
      <c r="O928" s="181" t="n">
        <v>21.86</v>
      </c>
      <c r="P928" s="181" t="n">
        <v>4.174</v>
      </c>
      <c r="Q928" s="177">
        <f>K928-P928</f>
        <v/>
      </c>
      <c r="R928" s="181" t="n">
        <v>98.215</v>
      </c>
      <c r="S928" s="177">
        <f>(O928*T928)</f>
        <v/>
      </c>
      <c r="T928" s="181" t="n">
        <v>5.48</v>
      </c>
      <c r="U928" s="181" t="n">
        <v>21381.5</v>
      </c>
      <c r="V928" s="181" t="n">
        <v>33.08</v>
      </c>
      <c r="W928" s="177">
        <f>U928/V928</f>
        <v/>
      </c>
      <c r="X928" s="177">
        <f>(W928/U928)*100</f>
        <v/>
      </c>
      <c r="Y928" s="181" t="n">
        <v>17048.6</v>
      </c>
      <c r="Z928" s="181" t="n">
        <v>29.3</v>
      </c>
      <c r="AA928" s="177">
        <f>Y928/Z928</f>
        <v/>
      </c>
      <c r="AB928" s="177">
        <f>(AA928/Y928)*100</f>
        <v/>
      </c>
    </row>
    <row r="929">
      <c r="A929" s="29" t="n">
        <v>928</v>
      </c>
      <c r="B929" s="179" t="n">
        <v>45926</v>
      </c>
      <c r="C929" s="180" t="n">
        <v>45125527.83</v>
      </c>
      <c r="D929" s="177">
        <f>C929/E929</f>
        <v/>
      </c>
      <c r="E929" s="182" t="n">
        <v>88.67700000000001</v>
      </c>
      <c r="F929" s="177">
        <f>D929/100000</f>
        <v/>
      </c>
      <c r="G929" s="177">
        <f>(F929/[1]DataSheet!$C$12*100)</f>
        <v/>
      </c>
      <c r="H929" s="177">
        <f>K929/I929</f>
        <v/>
      </c>
      <c r="I929" s="177">
        <f>(J929/L929)*100</f>
        <v/>
      </c>
      <c r="J929" s="177">
        <f>L929/O929</f>
        <v/>
      </c>
      <c r="K929" s="181" t="n">
        <v>6.517</v>
      </c>
      <c r="L929" s="181" t="n">
        <v>24654.7</v>
      </c>
      <c r="M929" s="181" t="n">
        <v>3.29</v>
      </c>
      <c r="N929" s="177">
        <f>K929-I929</f>
        <v/>
      </c>
      <c r="O929" s="181" t="n">
        <v>21.66</v>
      </c>
      <c r="P929" s="181" t="n">
        <v>4.187</v>
      </c>
      <c r="Q929" s="177">
        <f>K929-P929</f>
        <v/>
      </c>
      <c r="R929" s="181" t="n">
        <v>97.824</v>
      </c>
      <c r="S929" s="177">
        <f>(O929*T929)</f>
        <v/>
      </c>
      <c r="T929" s="181" t="n">
        <v>5.49</v>
      </c>
      <c r="U929" s="181" t="n">
        <v>20967.75</v>
      </c>
      <c r="V929" s="181" t="n">
        <v>32.44</v>
      </c>
      <c r="W929" s="177">
        <f>U929/V929</f>
        <v/>
      </c>
      <c r="X929" s="177">
        <f>(W929/U929)*100</f>
        <v/>
      </c>
      <c r="Y929" s="181" t="n">
        <v>16683.1</v>
      </c>
      <c r="Z929" s="181" t="n">
        <v>28.68</v>
      </c>
      <c r="AA929" s="177">
        <f>Y929/Z929</f>
        <v/>
      </c>
      <c r="AB929" s="177">
        <f>(AA929/Y929)*100</f>
        <v/>
      </c>
    </row>
    <row r="930">
      <c r="A930" s="29" t="n">
        <v>929</v>
      </c>
      <c r="B930" s="179" t="n">
        <v>45929</v>
      </c>
      <c r="C930" s="180" t="n">
        <v>45205663.67</v>
      </c>
      <c r="D930" s="177">
        <f>C930/E930</f>
        <v/>
      </c>
      <c r="E930" s="182" t="n">
        <v>88.70399999999999</v>
      </c>
      <c r="F930" s="177">
        <f>D930/100000</f>
        <v/>
      </c>
      <c r="G930" s="177">
        <f>(F930/[1]DataSheet!$C$12*100)</f>
        <v/>
      </c>
      <c r="H930" s="177">
        <f>K930/I930</f>
        <v/>
      </c>
      <c r="I930" s="177">
        <f>(J930/L930)*100</f>
        <v/>
      </c>
      <c r="J930" s="177">
        <f>L930/O930</f>
        <v/>
      </c>
      <c r="K930" s="181" t="n">
        <v>6.563</v>
      </c>
      <c r="L930" s="181" t="n">
        <v>24634.9</v>
      </c>
      <c r="M930" s="181" t="n">
        <v>3.29</v>
      </c>
      <c r="N930" s="177">
        <f>K930-I930</f>
        <v/>
      </c>
      <c r="O930" s="181" t="n">
        <v>21.64</v>
      </c>
      <c r="P930" s="181" t="n">
        <v>4.141</v>
      </c>
      <c r="Q930" s="177">
        <f>K930-P930</f>
        <v/>
      </c>
      <c r="R930" s="181" t="n">
        <v>97.584</v>
      </c>
      <c r="S930" s="177">
        <f>(O930*T930)</f>
        <v/>
      </c>
      <c r="T930" s="181" t="n">
        <v>5.47</v>
      </c>
      <c r="U930" s="181" t="n">
        <v>21020</v>
      </c>
      <c r="V930" s="181" t="n">
        <v>32.52</v>
      </c>
      <c r="W930" s="177">
        <f>U930/V930</f>
        <v/>
      </c>
      <c r="X930" s="177">
        <f>(W930/U930)*100</f>
        <v/>
      </c>
      <c r="Y930" s="181" t="n">
        <v>16666.15</v>
      </c>
      <c r="Z930" s="181" t="n">
        <v>28.65</v>
      </c>
      <c r="AA930" s="177">
        <f>Y930/Z930</f>
        <v/>
      </c>
      <c r="AB930" s="177">
        <f>(AA930/Y930)*100</f>
        <v/>
      </c>
    </row>
    <row r="931">
      <c r="A931" s="29" t="n">
        <v>930</v>
      </c>
      <c r="B931" s="179" t="n">
        <v>45930</v>
      </c>
      <c r="C931" s="180" t="n">
        <v>45223030.68</v>
      </c>
      <c r="D931" s="177">
        <f>C931/E931</f>
        <v/>
      </c>
      <c r="E931" s="182" t="n">
        <v>88.84099999999999</v>
      </c>
      <c r="F931" s="177">
        <f>D931/100000</f>
        <v/>
      </c>
      <c r="G931" s="177">
        <f>(F931/[1]DataSheet!$C$12*100)</f>
        <v/>
      </c>
      <c r="H931" s="177">
        <f>K931/I931</f>
        <v/>
      </c>
      <c r="I931" s="177">
        <f>(J931/L931)*100</f>
        <v/>
      </c>
      <c r="J931" s="177">
        <f>L931/O931</f>
        <v/>
      </c>
      <c r="K931" s="181" t="n">
        <v>6.571</v>
      </c>
      <c r="L931" s="181" t="n">
        <v>24611.1</v>
      </c>
      <c r="M931" s="181" t="n">
        <v>3.37</v>
      </c>
      <c r="N931" s="177">
        <f>K931-I931</f>
        <v/>
      </c>
      <c r="O931" s="181" t="n">
        <v>21.76</v>
      </c>
      <c r="P931" s="181" t="n">
        <v>4.15</v>
      </c>
      <c r="Q931" s="177">
        <f>K931-P931</f>
        <v/>
      </c>
      <c r="R931" s="181" t="n">
        <v>97.45099999999999</v>
      </c>
      <c r="S931" s="177">
        <f>(O931*T931)</f>
        <v/>
      </c>
      <c r="T931" s="181" t="n">
        <v>5.42</v>
      </c>
      <c r="U931" s="181" t="n">
        <v>21038.7</v>
      </c>
      <c r="V931" s="181" t="n">
        <v>32.84</v>
      </c>
      <c r="W931" s="177">
        <f>U931/V931</f>
        <v/>
      </c>
      <c r="X931" s="177">
        <f>(W931/U931)*100</f>
        <v/>
      </c>
      <c r="Y931" s="181" t="n">
        <v>16692.75</v>
      </c>
      <c r="Z931" s="181" t="n">
        <v>29.96</v>
      </c>
      <c r="AA931" s="177">
        <f>Y931/Z931</f>
        <v/>
      </c>
      <c r="AB931" s="177">
        <f>(AA931/Y931)*100</f>
        <v/>
      </c>
    </row>
    <row r="932">
      <c r="A932" s="29" t="n">
        <v>931</v>
      </c>
      <c r="B932" s="179" t="n">
        <v>45931</v>
      </c>
      <c r="C932" s="180" t="n">
        <v>45605312.1</v>
      </c>
      <c r="D932" s="177">
        <f>C932/E932</f>
        <v/>
      </c>
      <c r="E932" s="182" t="n">
        <v>88.68300000000001</v>
      </c>
      <c r="F932" s="177">
        <f>D932/100000</f>
        <v/>
      </c>
      <c r="G932" s="177">
        <f>(F932/[1]DataSheet!$C$12*100)</f>
        <v/>
      </c>
      <c r="H932" s="177">
        <f>K932/I932</f>
        <v/>
      </c>
      <c r="I932" s="177">
        <f>(J932/L932)*100</f>
        <v/>
      </c>
      <c r="J932" s="177">
        <f>L932/O932</f>
        <v/>
      </c>
      <c r="K932" s="181" t="n">
        <v>6.523</v>
      </c>
      <c r="L932" s="181" t="n">
        <v>24836.3</v>
      </c>
      <c r="M932" s="181" t="n">
        <v>3.4</v>
      </c>
      <c r="N932" s="177">
        <f>K932-I932</f>
        <v/>
      </c>
      <c r="O932" s="181" t="n">
        <v>21.96</v>
      </c>
      <c r="P932" s="181" t="n">
        <v>4.106</v>
      </c>
      <c r="Q932" s="177">
        <f>K932-P932</f>
        <v/>
      </c>
      <c r="R932" s="181" t="n">
        <v>97.381</v>
      </c>
      <c r="S932" s="177">
        <f>(O932*T932)</f>
        <v/>
      </c>
      <c r="T932" s="181" t="n">
        <v>5.48</v>
      </c>
      <c r="U932" s="181" t="n">
        <v>21220.45</v>
      </c>
      <c r="V932" s="181" t="n">
        <v>33.12</v>
      </c>
      <c r="W932" s="177">
        <f>U932/V932</f>
        <v/>
      </c>
      <c r="X932" s="177">
        <f>(W932/U932)*100</f>
        <v/>
      </c>
      <c r="Y932" s="181" t="n">
        <v>16869.4</v>
      </c>
      <c r="Z932" s="181" t="n">
        <v>30.28</v>
      </c>
      <c r="AA932" s="177">
        <f>Y932/Z932</f>
        <v/>
      </c>
      <c r="AB932" s="177">
        <f>(AA932/Y932)*100</f>
        <v/>
      </c>
    </row>
    <row r="933">
      <c r="A933" s="29" t="n">
        <v>932</v>
      </c>
      <c r="B933" s="179" t="n">
        <v>45933</v>
      </c>
      <c r="C933" s="180" t="n">
        <v>45853492.66</v>
      </c>
      <c r="D933" s="177">
        <f>C933/E933</f>
        <v/>
      </c>
      <c r="E933" s="182" t="n">
        <v>88.735</v>
      </c>
      <c r="F933" s="177">
        <f>D933/100000</f>
        <v/>
      </c>
      <c r="G933" s="177">
        <f>(F933/[1]DataSheet!$C$12*100)</f>
        <v/>
      </c>
      <c r="H933" s="177">
        <f>K933/I933</f>
        <v/>
      </c>
      <c r="I933" s="177">
        <f>(J933/L933)*100</f>
        <v/>
      </c>
      <c r="J933" s="177">
        <f>L933/O933</f>
        <v/>
      </c>
      <c r="K933" s="181" t="n">
        <v>6.514</v>
      </c>
      <c r="L933" s="181" t="n">
        <v>24894.25</v>
      </c>
      <c r="M933" s="181" t="n">
        <v>3.4</v>
      </c>
      <c r="N933" s="177">
        <f>K933-I933</f>
        <v/>
      </c>
      <c r="O933" s="181" t="n">
        <v>22.01</v>
      </c>
      <c r="P933" s="181" t="n">
        <v>4.119</v>
      </c>
      <c r="Q933" s="177">
        <f>K933-P933</f>
        <v/>
      </c>
      <c r="R933" s="181" t="n">
        <v>97.41500000000001</v>
      </c>
      <c r="S933" s="177">
        <f>(O933*T933)</f>
        <v/>
      </c>
      <c r="T933" s="181" t="n">
        <v>5.46</v>
      </c>
      <c r="U933" s="181" t="n">
        <v>21400.3</v>
      </c>
      <c r="V933" s="181" t="n">
        <v>33.4</v>
      </c>
      <c r="W933" s="177">
        <f>U933/V933</f>
        <v/>
      </c>
      <c r="X933" s="177">
        <f>(W933/U933)*100</f>
        <v/>
      </c>
      <c r="Y933" s="181" t="n">
        <v>17015.3</v>
      </c>
      <c r="Z933" s="181" t="n">
        <v>30.54</v>
      </c>
      <c r="AA933" s="177">
        <f>Y933/Z933</f>
        <v/>
      </c>
      <c r="AB933" s="177">
        <f>(AA933/Y933)*100</f>
        <v/>
      </c>
    </row>
    <row r="934">
      <c r="A934" s="29" t="n">
        <v>933</v>
      </c>
      <c r="B934" s="179" t="n">
        <v>45936</v>
      </c>
      <c r="C934" s="180" t="n">
        <v>46050478.89</v>
      </c>
      <c r="D934" s="177">
        <f>C934/E934</f>
        <v/>
      </c>
      <c r="E934" s="182" t="n">
        <v>88.721</v>
      </c>
      <c r="F934" s="177">
        <f>D934/100000</f>
        <v/>
      </c>
      <c r="G934" s="177">
        <f>(F934/[1]DataSheet!$C$12*100)</f>
        <v/>
      </c>
      <c r="H934" s="177">
        <f>K934/I934</f>
        <v/>
      </c>
      <c r="I934" s="177">
        <f>(J934/L934)*100</f>
        <v/>
      </c>
      <c r="J934" s="177">
        <f>L934/O934</f>
        <v/>
      </c>
      <c r="K934" s="181" t="n">
        <v>6.519</v>
      </c>
      <c r="L934" s="181" t="n">
        <v>25077.65</v>
      </c>
      <c r="M934" s="181" t="n">
        <v>3.43</v>
      </c>
      <c r="N934" s="177">
        <f>K934-I934</f>
        <v/>
      </c>
      <c r="O934" s="181" t="n">
        <v>22.18</v>
      </c>
      <c r="P934" s="181" t="n">
        <v>4.162</v>
      </c>
      <c r="Q934" s="177">
        <f>K934-P934</f>
        <v/>
      </c>
      <c r="R934" s="181" t="n">
        <v>97.807</v>
      </c>
      <c r="S934" s="177">
        <f>(O934*T934)</f>
        <v/>
      </c>
      <c r="T934" s="181" t="n">
        <v>5.39</v>
      </c>
      <c r="U934" s="181" t="n">
        <v>21551.05</v>
      </c>
      <c r="V934" s="181" t="n">
        <v>33.64</v>
      </c>
      <c r="W934" s="177">
        <f>U934/V934</f>
        <v/>
      </c>
      <c r="X934" s="177">
        <f>(W934/U934)*100</f>
        <v/>
      </c>
      <c r="Y934" s="181" t="n">
        <v>17030.15</v>
      </c>
      <c r="Z934" s="181" t="n">
        <v>30.56</v>
      </c>
      <c r="AA934" s="177">
        <f>Y934/Z934</f>
        <v/>
      </c>
      <c r="AB934" s="177">
        <f>(AA934/Y934)*100</f>
        <v/>
      </c>
    </row>
    <row r="935">
      <c r="A935" s="29" t="n">
        <v>934</v>
      </c>
      <c r="B935" s="179" t="n">
        <v>45937</v>
      </c>
      <c r="C935" s="180" t="n">
        <v>46098018.02</v>
      </c>
      <c r="D935" s="177">
        <f>C935/E935</f>
        <v/>
      </c>
      <c r="E935" s="182" t="n">
        <v>88.739</v>
      </c>
      <c r="F935" s="177">
        <f>D935/100000</f>
        <v/>
      </c>
      <c r="G935" s="177">
        <f>(F935/[1]DataSheet!$C$12*100)</f>
        <v/>
      </c>
      <c r="H935" s="177">
        <f>K935/I935</f>
        <v/>
      </c>
      <c r="I935" s="177">
        <f>(J935/L935)*100</f>
        <v/>
      </c>
      <c r="J935" s="177">
        <f>L935/O935</f>
        <v/>
      </c>
      <c r="K935" s="181" t="n">
        <v>6.51</v>
      </c>
      <c r="L935" s="181" t="n">
        <v>25108.3</v>
      </c>
      <c r="M935" s="181" t="n">
        <v>3.43</v>
      </c>
      <c r="N935" s="177">
        <f>K935-I935</f>
        <v/>
      </c>
      <c r="O935" s="181" t="n">
        <v>22.2</v>
      </c>
      <c r="P935" s="181" t="n">
        <v>4.127</v>
      </c>
      <c r="Q935" s="177">
        <f>K935-P935</f>
        <v/>
      </c>
      <c r="R935" s="181" t="n">
        <v>98.28400000000001</v>
      </c>
      <c r="S935" s="177">
        <f>(O935*T935)</f>
        <v/>
      </c>
      <c r="T935" s="181" t="n">
        <v>5.4</v>
      </c>
      <c r="U935" s="181" t="n">
        <v>21635.9</v>
      </c>
      <c r="V935" s="181" t="n">
        <v>33.77</v>
      </c>
      <c r="W935" s="177">
        <f>U935/V935</f>
        <v/>
      </c>
      <c r="X935" s="177">
        <f>(W935/U935)*100</f>
        <v/>
      </c>
      <c r="Y935" s="181" t="n">
        <v>17048.85</v>
      </c>
      <c r="Z935" s="181" t="n">
        <v>30.6</v>
      </c>
      <c r="AA935" s="177">
        <f>Y935/Z935</f>
        <v/>
      </c>
      <c r="AB935" s="177">
        <f>(AA935/Y935)*100</f>
        <v/>
      </c>
    </row>
    <row r="936">
      <c r="A936" s="29" t="n">
        <v>935</v>
      </c>
      <c r="B936" s="179" t="n">
        <v>45938</v>
      </c>
      <c r="C936" s="180" t="n">
        <v>45870292.63</v>
      </c>
      <c r="D936" s="177">
        <f>C936/E936</f>
        <v/>
      </c>
      <c r="E936" s="182" t="n">
        <v>88.76000000000001</v>
      </c>
      <c r="F936" s="177">
        <f>D936/100000</f>
        <v/>
      </c>
      <c r="G936" s="177">
        <f>(F936/[1]DataSheet!$C$12*100)</f>
        <v/>
      </c>
      <c r="H936" s="177">
        <f>K936/I936</f>
        <v/>
      </c>
      <c r="I936" s="177">
        <f>(J936/L936)*100</f>
        <v/>
      </c>
      <c r="J936" s="177">
        <f>L936/O936</f>
        <v/>
      </c>
      <c r="K936" s="181" t="n">
        <v>6.504</v>
      </c>
      <c r="L936" s="181" t="n">
        <v>25046.15</v>
      </c>
      <c r="M936" s="181" t="n">
        <v>3.43</v>
      </c>
      <c r="N936" s="177">
        <f>K936-I936</f>
        <v/>
      </c>
      <c r="O936" s="181" t="n">
        <v>22.15</v>
      </c>
      <c r="P936" s="181" t="n">
        <v>4.131</v>
      </c>
      <c r="Q936" s="177">
        <f>K936-P936</f>
        <v/>
      </c>
      <c r="R936" s="181" t="n">
        <v>98.64</v>
      </c>
      <c r="S936" s="177">
        <f>(O936*T936)</f>
        <v/>
      </c>
      <c r="T936" s="181" t="n">
        <v>5.41</v>
      </c>
      <c r="U936" s="181" t="n">
        <v>21477.85</v>
      </c>
      <c r="V936" s="181" t="n">
        <v>33.52</v>
      </c>
      <c r="W936" s="177">
        <f>U936/V936</f>
        <v/>
      </c>
      <c r="X936" s="177">
        <f>(W936/U936)*100</f>
        <v/>
      </c>
      <c r="Y936" s="181" t="n">
        <v>16956.55</v>
      </c>
      <c r="Z936" s="181" t="n">
        <v>30.43</v>
      </c>
      <c r="AA936" s="177">
        <f>Y936/Z936</f>
        <v/>
      </c>
      <c r="AB936" s="177">
        <f>(AA936/Y936)*100</f>
        <v/>
      </c>
    </row>
    <row r="937">
      <c r="A937" s="29" t="n">
        <v>936</v>
      </c>
      <c r="B937" s="179" t="n">
        <v>45939</v>
      </c>
      <c r="C937" s="180" t="n">
        <v>46204477.05</v>
      </c>
      <c r="D937" s="177">
        <f>C937/E937</f>
        <v/>
      </c>
      <c r="E937" s="182" t="n">
        <v>88.866</v>
      </c>
      <c r="F937" s="177">
        <f>D937/100000</f>
        <v/>
      </c>
      <c r="G937" s="177">
        <f>(F937/[1]DataSheet!$C$12*100)</f>
        <v/>
      </c>
      <c r="H937" s="177">
        <f>K937/I937</f>
        <v/>
      </c>
      <c r="I937" s="177">
        <f>(J937/L937)*100</f>
        <v/>
      </c>
      <c r="J937" s="177">
        <f>L937/O937</f>
        <v/>
      </c>
      <c r="K937" s="181" t="n">
        <v>6.521</v>
      </c>
      <c r="L937" s="181" t="n">
        <v>25181.8</v>
      </c>
      <c r="M937" s="181" t="n">
        <v>3.44</v>
      </c>
      <c r="N937" s="177">
        <f>K937-I937</f>
        <v/>
      </c>
      <c r="O937" s="181" t="n">
        <v>22.27</v>
      </c>
      <c r="P937" s="181" t="n">
        <v>4.148</v>
      </c>
      <c r="Q937" s="177">
        <f>K937-P937</f>
        <v/>
      </c>
      <c r="R937" s="181" t="n">
        <v>99.285</v>
      </c>
      <c r="S937" s="177">
        <f>(O937*T937)</f>
        <v/>
      </c>
      <c r="T937" s="181" t="n">
        <v>5.44</v>
      </c>
      <c r="U937" s="181" t="n">
        <v>21655.9</v>
      </c>
      <c r="V937" s="181" t="n">
        <v>33.8</v>
      </c>
      <c r="W937" s="177">
        <f>U937/V937</f>
        <v/>
      </c>
      <c r="X937" s="177">
        <f>(W937/U937)*100</f>
        <v/>
      </c>
      <c r="Y937" s="181" t="n">
        <v>17007.8</v>
      </c>
      <c r="Z937" s="181" t="n">
        <v>30.52</v>
      </c>
      <c r="AA937" s="177">
        <f>Y937/Z937</f>
        <v/>
      </c>
      <c r="AB937" s="177">
        <f>(AA937/Y937)*100</f>
        <v/>
      </c>
    </row>
    <row r="938">
      <c r="A938" s="29" t="n">
        <v>937</v>
      </c>
      <c r="B938" s="179" t="n">
        <v>45940</v>
      </c>
      <c r="C938" s="180" t="n">
        <v>46294314.66</v>
      </c>
      <c r="D938" s="177">
        <f>C938/E938</f>
        <v/>
      </c>
      <c r="E938" s="182" t="n">
        <v>88.75700000000001</v>
      </c>
      <c r="F938" s="177">
        <f>D938/100000</f>
        <v/>
      </c>
      <c r="G938" s="177">
        <f>(F938/[1]DataSheet!$C$12*100)</f>
        <v/>
      </c>
      <c r="H938" s="177">
        <f>K938/I938</f>
        <v/>
      </c>
      <c r="I938" s="177">
        <f>(J938/L938)*100</f>
        <v/>
      </c>
      <c r="J938" s="177">
        <f>L938/O938</f>
        <v/>
      </c>
      <c r="K938" s="181" t="n">
        <v>6.531</v>
      </c>
      <c r="L938" s="181" t="n">
        <v>25285.35</v>
      </c>
      <c r="M938" s="181" t="n">
        <v>3.46</v>
      </c>
      <c r="N938" s="177">
        <f>K938-I938</f>
        <v/>
      </c>
      <c r="O938" s="181" t="n">
        <v>22.36</v>
      </c>
      <c r="P938" s="181" t="n">
        <v>4.051</v>
      </c>
      <c r="Q938" s="177">
        <f>K938-P938</f>
        <v/>
      </c>
      <c r="R938" s="181" t="n">
        <v>98.732</v>
      </c>
      <c r="S938" s="177">
        <f>(O938*T938)</f>
        <v/>
      </c>
      <c r="T938" s="181" t="n">
        <v>5.43</v>
      </c>
      <c r="U938" s="181" t="n">
        <v>21743.95</v>
      </c>
      <c r="V938" s="181" t="n">
        <v>33.94</v>
      </c>
      <c r="W938" s="177">
        <f>U938/V938</f>
        <v/>
      </c>
      <c r="X938" s="177">
        <f>(W938/U938)*100</f>
        <v/>
      </c>
      <c r="Y938" s="181" t="n">
        <v>17112.75</v>
      </c>
      <c r="Z938" s="181" t="n">
        <v>30.71</v>
      </c>
      <c r="AA938" s="177">
        <f>Y938/Z938</f>
        <v/>
      </c>
      <c r="AB938" s="177">
        <f>(AA938/Y938)*100</f>
        <v/>
      </c>
    </row>
    <row r="939">
      <c r="A939" s="29" t="n">
        <v>938</v>
      </c>
      <c r="B939" s="179" t="n">
        <v>45943</v>
      </c>
      <c r="C939" s="180" t="n">
        <v>46316624.13</v>
      </c>
      <c r="D939" s="177">
        <f>C939/E939</f>
        <v/>
      </c>
      <c r="E939" s="182" t="n">
        <v>88.66500000000001</v>
      </c>
      <c r="F939" s="177">
        <f>D939/100000</f>
        <v/>
      </c>
      <c r="G939" s="177">
        <f>(F939/[1]DataSheet!$C$12*100)</f>
        <v/>
      </c>
      <c r="H939" s="177">
        <f>K939/I939</f>
        <v/>
      </c>
      <c r="I939" s="177">
        <f>(J939/L939)*100</f>
        <v/>
      </c>
      <c r="J939" s="177">
        <f>L939/O939</f>
        <v/>
      </c>
      <c r="K939" s="181" t="n">
        <v>6.518</v>
      </c>
      <c r="L939" s="181" t="n">
        <v>25227.35</v>
      </c>
      <c r="M939" s="181" t="n">
        <v>3.45</v>
      </c>
      <c r="N939" s="177">
        <f>K939-I939</f>
        <v/>
      </c>
      <c r="O939" s="181" t="n">
        <v>22.31</v>
      </c>
      <c r="P939" s="181" t="n">
        <v>4.055</v>
      </c>
      <c r="Q939" s="177">
        <f>K939-P939</f>
        <v/>
      </c>
      <c r="R939" s="181" t="n">
        <v>99.03</v>
      </c>
      <c r="S939" s="177">
        <f>(O939*T939)</f>
        <v/>
      </c>
      <c r="T939" s="181" t="n">
        <v>5.41</v>
      </c>
      <c r="U939" s="181" t="n">
        <v>21746.75</v>
      </c>
      <c r="V939" s="181" t="n">
        <v>33.96</v>
      </c>
      <c r="W939" s="177">
        <f>U939/V939</f>
        <v/>
      </c>
      <c r="X939" s="177">
        <f>(W939/U939)*100</f>
        <v/>
      </c>
      <c r="Y939" s="181" t="n">
        <v>17063.1</v>
      </c>
      <c r="Z939" s="181" t="n">
        <v>30.62</v>
      </c>
      <c r="AA939" s="177">
        <f>Y939/Z939</f>
        <v/>
      </c>
      <c r="AB939" s="177">
        <f>(AA939/Y939)*100</f>
        <v/>
      </c>
    </row>
    <row r="940">
      <c r="A940" s="29" t="n">
        <v>939</v>
      </c>
      <c r="B940" s="179" t="n">
        <v>45944</v>
      </c>
      <c r="C940" s="180" t="n">
        <v>46050769.07</v>
      </c>
      <c r="D940" s="177">
        <f>C940/E940</f>
        <v/>
      </c>
      <c r="E940" s="182" t="n">
        <v>88.782</v>
      </c>
      <c r="F940" s="177">
        <f>D940/100000</f>
        <v/>
      </c>
      <c r="G940" s="177">
        <f>(F940/[1]DataSheet!$C$12*100)</f>
        <v/>
      </c>
      <c r="H940" s="177">
        <f>K940/I940</f>
        <v/>
      </c>
      <c r="I940" s="177">
        <f>(J940/L940)*100</f>
        <v/>
      </c>
      <c r="J940" s="177">
        <f>L940/O940</f>
        <v/>
      </c>
      <c r="K940" s="181" t="n">
        <v>6.507</v>
      </c>
      <c r="L940" s="181" t="n">
        <v>25145.5</v>
      </c>
      <c r="M940" s="181" t="n">
        <v>3.44</v>
      </c>
      <c r="N940" s="177">
        <f>K940-I940</f>
        <v/>
      </c>
      <c r="O940" s="181" t="n">
        <v>22.23</v>
      </c>
      <c r="P940" s="181" t="n">
        <v>4.022</v>
      </c>
      <c r="Q940" s="177">
        <f>K940-P940</f>
        <v/>
      </c>
      <c r="R940" s="181" t="n">
        <v>98.81</v>
      </c>
      <c r="S940" s="177">
        <f>(O940*T940)</f>
        <v/>
      </c>
      <c r="T940" s="181" t="n">
        <v>5.41</v>
      </c>
      <c r="U940" s="181" t="n">
        <v>21595.95</v>
      </c>
      <c r="V940" s="181" t="n">
        <v>33.72</v>
      </c>
      <c r="W940" s="177">
        <f>U940/V940</f>
        <v/>
      </c>
      <c r="X940" s="177">
        <f>(W940/U940)*100</f>
        <v/>
      </c>
      <c r="Y940" s="181" t="n">
        <v>16913.4</v>
      </c>
      <c r="Z940" s="181" t="n">
        <v>30.35</v>
      </c>
      <c r="AA940" s="177">
        <f>Y940/Z940</f>
        <v/>
      </c>
      <c r="AB940" s="177">
        <f>(AA940/Y940)*100</f>
        <v/>
      </c>
    </row>
    <row r="941">
      <c r="A941" s="29" t="n">
        <v>940</v>
      </c>
      <c r="B941" s="179" t="n">
        <v>45945</v>
      </c>
      <c r="C941" s="180" t="n">
        <v>46457630.63</v>
      </c>
      <c r="D941" s="177">
        <f>C941/E941</f>
        <v/>
      </c>
      <c r="E941" s="182" t="n">
        <v>87.81</v>
      </c>
      <c r="F941" s="177">
        <f>D941/100000</f>
        <v/>
      </c>
      <c r="G941" s="177">
        <f>(F941/[1]DataSheet!$C$12*100)</f>
        <v/>
      </c>
      <c r="H941" s="177">
        <f>K941/I941</f>
        <v/>
      </c>
      <c r="I941" s="177">
        <f>(J941/L941)*100</f>
        <v/>
      </c>
      <c r="J941" s="177">
        <f>L941/O941</f>
        <v/>
      </c>
      <c r="K941" s="181" t="n">
        <v>6.484</v>
      </c>
      <c r="L941" s="181" t="n">
        <v>25323.55</v>
      </c>
      <c r="M941" s="181" t="n">
        <v>3.46</v>
      </c>
      <c r="N941" s="177">
        <f>K941-I941</f>
        <v/>
      </c>
      <c r="O941" s="181" t="n">
        <v>22.39</v>
      </c>
      <c r="P941" s="181" t="n">
        <v>4.045</v>
      </c>
      <c r="Q941" s="177">
        <f>K941-P941</f>
        <v/>
      </c>
      <c r="R941" s="181" t="n">
        <v>98.541</v>
      </c>
      <c r="S941" s="177">
        <f>(O941*T941)</f>
        <v/>
      </c>
      <c r="T941" s="181" t="n">
        <v>5.42</v>
      </c>
      <c r="U941" s="181" t="n">
        <v>21796.5</v>
      </c>
      <c r="V941" s="181" t="n">
        <v>34.07</v>
      </c>
      <c r="W941" s="177">
        <f>U941/V941</f>
        <v/>
      </c>
      <c r="X941" s="177">
        <f>(W941/U941)*100</f>
        <v/>
      </c>
      <c r="Y941" s="181" t="n">
        <v>17052</v>
      </c>
      <c r="Z941" s="181" t="n">
        <v>30.6</v>
      </c>
      <c r="AA941" s="177">
        <f>Y941/Z941</f>
        <v/>
      </c>
      <c r="AB941" s="177">
        <f>(AA941/Y941)*100</f>
        <v/>
      </c>
    </row>
    <row r="942">
      <c r="A942" s="29" t="n">
        <v>941</v>
      </c>
      <c r="B942" s="179" t="n">
        <v>45946</v>
      </c>
      <c r="C942" s="180" t="n">
        <v>46763950.89</v>
      </c>
      <c r="D942" s="177">
        <f>C941/E942</f>
        <v/>
      </c>
      <c r="E942" s="182" t="n">
        <v>87.991</v>
      </c>
      <c r="F942" s="177">
        <f>D942/100000</f>
        <v/>
      </c>
      <c r="G942" s="177">
        <f>(F942/[1]DataSheet!$C$12*100)</f>
        <v/>
      </c>
      <c r="H942" s="177">
        <f>K942/I942</f>
        <v/>
      </c>
      <c r="I942" s="177">
        <f>(J942/L942)*100</f>
        <v/>
      </c>
      <c r="J942" s="177">
        <f>L942/O942</f>
        <v/>
      </c>
      <c r="K942" s="181" t="n">
        <v>6.503</v>
      </c>
      <c r="L942" s="181" t="n">
        <v>25585.3</v>
      </c>
      <c r="M942" s="181" t="n">
        <v>3.5</v>
      </c>
      <c r="N942" s="177">
        <f>K942-I942</f>
        <v/>
      </c>
      <c r="O942" s="181" t="n">
        <v>22.7</v>
      </c>
      <c r="P942" s="181" t="n">
        <v>3.976</v>
      </c>
      <c r="Q942" s="177">
        <f>K942-P942</f>
        <v/>
      </c>
      <c r="R942" s="181" t="n">
        <v>98.092</v>
      </c>
      <c r="S942" s="177">
        <f>(O942*T942)</f>
        <v/>
      </c>
      <c r="T942" s="181" t="n">
        <v>5.43</v>
      </c>
      <c r="U942" s="181" t="n">
        <v>21900.9</v>
      </c>
      <c r="V942" s="181" t="n">
        <v>34.21</v>
      </c>
      <c r="W942" s="177">
        <f>U942/V942</f>
        <v/>
      </c>
      <c r="X942" s="177">
        <f>(W942/U942)*100</f>
        <v/>
      </c>
      <c r="Y942" s="181" t="n">
        <v>17117.2</v>
      </c>
      <c r="Z942" s="181" t="n">
        <v>30.7</v>
      </c>
      <c r="AA942" s="177">
        <f>Y942/Z942</f>
        <v/>
      </c>
      <c r="AB942" s="177">
        <f>(AA942/Y942)*100</f>
        <v/>
      </c>
    </row>
    <row r="943">
      <c r="A943" s="29" t="n">
        <v>942</v>
      </c>
      <c r="B943" s="179" t="n">
        <v>45947</v>
      </c>
      <c r="C943" s="180" t="n">
        <v>46761076.31</v>
      </c>
      <c r="D943" s="177">
        <f>C942/E943</f>
        <v/>
      </c>
      <c r="E943" s="182" t="n">
        <v>88.003</v>
      </c>
      <c r="F943" s="177">
        <f>D943/100000</f>
        <v/>
      </c>
      <c r="G943" s="177">
        <f>(F943/[1]DataSheet!$C$12*100)</f>
        <v/>
      </c>
      <c r="H943" s="177">
        <f>K943/I943</f>
        <v/>
      </c>
      <c r="I943" s="177">
        <f>(J943/L943)*100</f>
        <v/>
      </c>
      <c r="J943" s="177">
        <f>L943/O943</f>
        <v/>
      </c>
      <c r="K943" s="181" t="n">
        <v>6.506</v>
      </c>
      <c r="L943" s="181" t="n">
        <v>25709.85</v>
      </c>
      <c r="M943" s="181" t="n">
        <v>3.52</v>
      </c>
      <c r="N943" s="177">
        <f>K943-I943</f>
        <v/>
      </c>
      <c r="O943" s="181" t="n">
        <v>22.78</v>
      </c>
      <c r="P943" s="181" t="n">
        <v>4.009</v>
      </c>
      <c r="Q943" s="177">
        <f>K943-P943</f>
        <v/>
      </c>
      <c r="R943" s="181" t="n">
        <v>98.19199999999999</v>
      </c>
      <c r="S943" s="177">
        <f>(O943*T943)</f>
        <v/>
      </c>
      <c r="T943" s="181" t="n">
        <v>5.43</v>
      </c>
      <c r="U943" s="181" t="n">
        <v>21782.8</v>
      </c>
      <c r="V943" s="181" t="n">
        <v>33.99</v>
      </c>
      <c r="W943" s="177">
        <f>U943/V943</f>
        <v/>
      </c>
      <c r="X943" s="177">
        <f>(W943/U943)*100</f>
        <v/>
      </c>
      <c r="Y943" s="181" t="n">
        <v>17076.55</v>
      </c>
      <c r="Z943" s="181" t="n">
        <v>30.55</v>
      </c>
      <c r="AA943" s="177">
        <f>Y943/Z943</f>
        <v/>
      </c>
      <c r="AB943" s="177">
        <f>(AA943/Y943)*100</f>
        <v/>
      </c>
    </row>
    <row r="944">
      <c r="A944" s="29" t="n">
        <v>943</v>
      </c>
      <c r="B944" s="179" t="n">
        <v>45950</v>
      </c>
      <c r="C944" s="180" t="n">
        <v>47023825.76</v>
      </c>
      <c r="D944" s="177">
        <f>C943/E944</f>
        <v/>
      </c>
      <c r="E944" s="182" t="n">
        <v>87.875</v>
      </c>
      <c r="F944" s="177">
        <f>D944/100000</f>
        <v/>
      </c>
      <c r="G944" s="177">
        <f>(F944/[1]DataSheet!$C$12*100)</f>
        <v/>
      </c>
      <c r="H944" s="177">
        <f>K944/I944</f>
        <v/>
      </c>
      <c r="I944" s="177">
        <f>(J944/L944)*100</f>
        <v/>
      </c>
      <c r="J944" s="177">
        <f>L944/O944</f>
        <v/>
      </c>
      <c r="K944" s="181" t="n">
        <v>6.508</v>
      </c>
      <c r="L944" s="181" t="n">
        <v>25843.15</v>
      </c>
      <c r="M944" s="181" t="n">
        <v>3.53</v>
      </c>
      <c r="N944" s="177">
        <f>K944-I944</f>
        <v/>
      </c>
      <c r="O944" s="181" t="n">
        <v>22.72</v>
      </c>
      <c r="P944" s="181" t="n">
        <v>3.988</v>
      </c>
      <c r="Q944" s="177">
        <f>K944-P944</f>
        <v/>
      </c>
      <c r="R944" s="181" t="n">
        <v>98.355</v>
      </c>
      <c r="S944" s="177">
        <f>(O944*T944)</f>
        <v/>
      </c>
      <c r="T944" s="181" t="n">
        <v>5.45</v>
      </c>
      <c r="U944" s="181" t="n">
        <v>21924.85</v>
      </c>
      <c r="V944" s="181" t="n">
        <v>34.43</v>
      </c>
      <c r="W944" s="177">
        <f>U944/V944</f>
        <v/>
      </c>
      <c r="X944" s="177">
        <f>(W944/U944)*100</f>
        <v/>
      </c>
      <c r="Y944" s="181" t="n">
        <v>17167.4</v>
      </c>
      <c r="Z944" s="181" t="n">
        <v>30.77</v>
      </c>
      <c r="AA944" s="177">
        <f>Y944/Z944</f>
        <v/>
      </c>
      <c r="AB944" s="177">
        <f>(AA944/Y944)*100</f>
        <v/>
      </c>
    </row>
    <row r="945">
      <c r="A945" s="29" t="n">
        <v>944</v>
      </c>
      <c r="B945" s="179" t="n">
        <v>45951</v>
      </c>
      <c r="C945" s="180" t="n">
        <v>47158512.06</v>
      </c>
      <c r="D945" s="177">
        <f>C944/E945</f>
        <v/>
      </c>
      <c r="E945" s="182" t="n">
        <v>88.021</v>
      </c>
      <c r="F945" s="177">
        <f>D945/100000</f>
        <v/>
      </c>
      <c r="G945" s="177">
        <f>(F945/[1]DataSheet!$C$12*100)</f>
        <v/>
      </c>
      <c r="H945" s="177">
        <f>K945/I945</f>
        <v/>
      </c>
      <c r="I945" s="177">
        <f>(J945/L945)*100</f>
        <v/>
      </c>
      <c r="J945" s="177">
        <f>L945/O945</f>
        <v/>
      </c>
      <c r="K945" s="181" t="n">
        <v>6.507</v>
      </c>
      <c r="L945" s="181" t="n">
        <v>25868.6</v>
      </c>
      <c r="M945" s="181" t="n">
        <v>3.54</v>
      </c>
      <c r="N945" s="177">
        <f>K945-I945</f>
        <v/>
      </c>
      <c r="O945" s="181" t="n">
        <v>22.74</v>
      </c>
      <c r="P945" s="181" t="n">
        <v>3.963</v>
      </c>
      <c r="Q945" s="177">
        <f>K945-P945</f>
        <v/>
      </c>
      <c r="R945" s="181" t="n">
        <v>98.711</v>
      </c>
      <c r="S945" s="177">
        <f>(O945*T945)</f>
        <v/>
      </c>
      <c r="T945" s="181" t="n">
        <v>5.45</v>
      </c>
      <c r="U945" s="181" t="n">
        <v>21972.05</v>
      </c>
      <c r="V945" s="181" t="n">
        <v>34.5</v>
      </c>
      <c r="W945" s="177">
        <f>U945/V945</f>
        <v/>
      </c>
      <c r="X945" s="177">
        <f>(W945/U945)*100</f>
        <v/>
      </c>
      <c r="Y945" s="181" t="n">
        <v>17286.7</v>
      </c>
      <c r="Z945" s="181" t="n">
        <v>30.98</v>
      </c>
      <c r="AA945" s="177">
        <f>Y945/Z945</f>
        <v/>
      </c>
      <c r="AB945" s="177">
        <f>(AA945/Y945)*100</f>
        <v/>
      </c>
    </row>
    <row r="946">
      <c r="A946" s="29" t="n">
        <v>945</v>
      </c>
      <c r="B946" s="179" t="n">
        <v>45953</v>
      </c>
      <c r="C946" s="180" t="n">
        <v>47102217.16</v>
      </c>
      <c r="D946" s="177">
        <f>C945/E946</f>
        <v/>
      </c>
      <c r="E946" s="182" t="n">
        <v>87.779</v>
      </c>
      <c r="F946" s="177">
        <f>D946/100000</f>
        <v/>
      </c>
      <c r="G946" s="177">
        <f>(F946/[1]DataSheet!$C$12*100)</f>
        <v/>
      </c>
      <c r="H946" s="177">
        <f>K946/I946</f>
        <v/>
      </c>
      <c r="I946" s="177">
        <f>(J946/L946)*100</f>
        <v/>
      </c>
      <c r="J946" s="177">
        <f>L946/O946</f>
        <v/>
      </c>
      <c r="K946" s="181" t="n">
        <v>6.539</v>
      </c>
      <c r="L946" s="181" t="n">
        <v>25891.4</v>
      </c>
      <c r="M946" s="181" t="n">
        <v>3.54</v>
      </c>
      <c r="N946" s="177">
        <f>K946-I946</f>
        <v/>
      </c>
      <c r="O946" s="181" t="n">
        <v>22.76</v>
      </c>
      <c r="P946" s="181" t="n">
        <v>3.989</v>
      </c>
      <c r="Q946" s="177">
        <f>K946-P946</f>
        <v/>
      </c>
      <c r="R946" s="181" t="n">
        <v>98.729</v>
      </c>
      <c r="S946" s="177">
        <f>(O946*T946)</f>
        <v/>
      </c>
      <c r="T946" s="181" t="n">
        <v>5.42</v>
      </c>
      <c r="U946" s="181" t="n">
        <v>21940.05</v>
      </c>
      <c r="V946" s="181" t="n">
        <v>34.45</v>
      </c>
      <c r="W946" s="177">
        <f>U946/V946</f>
        <v/>
      </c>
      <c r="X946" s="177">
        <f>(W946/U946)*100</f>
        <v/>
      </c>
      <c r="Y946" s="181" t="n">
        <v>17245.55</v>
      </c>
      <c r="Z946" s="181" t="n">
        <v>30.91</v>
      </c>
      <c r="AA946" s="177">
        <f>Y946/Z946</f>
        <v/>
      </c>
      <c r="AB946" s="177">
        <f>(AA946/Y946)*100</f>
        <v/>
      </c>
    </row>
    <row r="947">
      <c r="A947" s="29" t="n">
        <v>946</v>
      </c>
      <c r="B947" s="179" t="n">
        <v>45954</v>
      </c>
      <c r="C947" s="180" t="n">
        <v>46967399.62</v>
      </c>
      <c r="D947" s="177">
        <f>C946/E947</f>
        <v/>
      </c>
      <c r="E947" s="182" t="n">
        <v>87.836</v>
      </c>
      <c r="F947" s="177">
        <f>D947/100000</f>
        <v/>
      </c>
      <c r="G947" s="177">
        <f>(F947/[1]DataSheet!$C$12*100)</f>
        <v/>
      </c>
      <c r="H947" s="177">
        <f>K947/I947</f>
        <v/>
      </c>
      <c r="I947" s="177">
        <f>(J947/L947)*100</f>
        <v/>
      </c>
      <c r="J947" s="177">
        <f>L947/O947</f>
        <v/>
      </c>
      <c r="K947" s="181" t="n">
        <v>6.533</v>
      </c>
      <c r="L947" s="181" t="n">
        <v>25795.15</v>
      </c>
      <c r="M947" s="181" t="n">
        <v>3.53</v>
      </c>
      <c r="N947" s="177">
        <f>K947-I947</f>
        <v/>
      </c>
      <c r="O947" s="181" t="n">
        <v>22.67</v>
      </c>
      <c r="P947" s="181" t="n">
        <v>3.997</v>
      </c>
      <c r="Q947" s="177">
        <f>K947-P947</f>
        <v/>
      </c>
      <c r="R947" s="181" t="n">
        <v>98.747</v>
      </c>
      <c r="S947" s="177">
        <f>(O947*T947)</f>
        <v/>
      </c>
      <c r="T947" s="181" t="n">
        <v>5.48</v>
      </c>
      <c r="U947" s="181" t="n">
        <v>21890.9</v>
      </c>
      <c r="V947" s="181" t="n">
        <v>34.39</v>
      </c>
      <c r="W947" s="177">
        <f>U947/V947</f>
        <v/>
      </c>
      <c r="X947" s="177">
        <f>(W947/U947)*100</f>
        <v/>
      </c>
      <c r="Y947" s="181" t="n">
        <v>17219</v>
      </c>
      <c r="Z947" s="181" t="n">
        <v>30.86</v>
      </c>
      <c r="AA947" s="177">
        <f>Y947/Z947</f>
        <v/>
      </c>
      <c r="AB947" s="177">
        <f>(AA947/Y947)*100</f>
        <v/>
      </c>
    </row>
    <row r="948">
      <c r="A948" s="29" t="n">
        <v>947</v>
      </c>
      <c r="B948" s="179" t="n">
        <v>45957</v>
      </c>
      <c r="C948" s="180" t="n">
        <v>47248640.55</v>
      </c>
      <c r="D948" s="177">
        <f>C947/E948</f>
        <v/>
      </c>
      <c r="E948" s="182" t="n">
        <v>88.22499999999999</v>
      </c>
      <c r="F948" s="177">
        <f>D948/100000</f>
        <v/>
      </c>
      <c r="G948" s="177">
        <f>(F948/[1]DataSheet!$C$12*100)</f>
        <v/>
      </c>
      <c r="H948" s="177">
        <f>K948/I948</f>
        <v/>
      </c>
      <c r="I948" s="177">
        <f>(J948/L948)*100</f>
        <v/>
      </c>
      <c r="J948" s="177">
        <f>L948/O948</f>
        <v/>
      </c>
      <c r="K948" s="181" t="n">
        <v>6.542</v>
      </c>
      <c r="L948" s="181" t="n">
        <v>25966.05</v>
      </c>
      <c r="M948" s="181" t="n">
        <v>3.55</v>
      </c>
      <c r="N948" s="177">
        <f>K948-I948</f>
        <v/>
      </c>
      <c r="O948" s="181" t="n">
        <v>22.84</v>
      </c>
      <c r="P948" s="181" t="n">
        <v>3.997</v>
      </c>
      <c r="Q948" s="177">
        <f>K948-P948</f>
        <v/>
      </c>
      <c r="R948" s="181" t="n">
        <v>98.563</v>
      </c>
      <c r="S948" s="177">
        <f>(O948*T948)</f>
        <v/>
      </c>
      <c r="T948" s="181" t="n">
        <v>5.45</v>
      </c>
      <c r="U948" s="181" t="n">
        <v>22064.65</v>
      </c>
      <c r="V948" s="181" t="n">
        <v>34.63</v>
      </c>
      <c r="W948" s="177">
        <f>U948/V948</f>
        <v/>
      </c>
      <c r="X948" s="177">
        <f>(W948/U948)*100</f>
        <v/>
      </c>
      <c r="Y948" s="181" t="n">
        <v>17330.15</v>
      </c>
      <c r="Z948" s="181" t="n">
        <v>31.04</v>
      </c>
      <c r="AA948" s="177">
        <f>Y948/Z948</f>
        <v/>
      </c>
      <c r="AB948" s="177">
        <f>(AA948/Y948)*100</f>
        <v/>
      </c>
    </row>
    <row r="949">
      <c r="A949" s="29" t="n">
        <v>948</v>
      </c>
      <c r="B949" s="179" t="n">
        <v>45958</v>
      </c>
      <c r="C949" s="180" t="n">
        <v>47188589.31</v>
      </c>
      <c r="D949" s="177">
        <f>C948/E949</f>
        <v/>
      </c>
      <c r="E949" s="182" t="n">
        <v>88.224</v>
      </c>
      <c r="F949" s="177">
        <f>D949/100000</f>
        <v/>
      </c>
      <c r="G949" s="177">
        <f>(F949/[1]DataSheet!$C$12*100)</f>
        <v/>
      </c>
      <c r="H949" s="177">
        <f>K949/I949</f>
        <v/>
      </c>
      <c r="I949" s="177">
        <f>(J949/L949)*100</f>
        <v/>
      </c>
      <c r="J949" s="177">
        <f>L949/O949</f>
        <v/>
      </c>
      <c r="K949" s="181" t="n">
        <v>6.533</v>
      </c>
      <c r="L949" s="181" t="n">
        <v>25936.2</v>
      </c>
      <c r="M949" s="181" t="n">
        <v>3.55</v>
      </c>
      <c r="N949" s="177">
        <f>K949-I949</f>
        <v/>
      </c>
      <c r="O949" s="181" t="n">
        <v>22.82</v>
      </c>
      <c r="P949" s="181" t="n">
        <v>3.983</v>
      </c>
      <c r="Q949" s="177">
        <f>K949-P949</f>
        <v/>
      </c>
      <c r="R949" s="181" t="n">
        <v>98.453</v>
      </c>
      <c r="S949" s="177">
        <f>(O949*T949)</f>
        <v/>
      </c>
      <c r="T949" s="181" t="n">
        <v>5.47</v>
      </c>
      <c r="U949" s="181" t="n">
        <v>22063</v>
      </c>
      <c r="V949" s="181" t="n">
        <v>34.6</v>
      </c>
      <c r="W949" s="177">
        <f>U949/V949</f>
        <v/>
      </c>
      <c r="X949" s="177">
        <f>(W949/U949)*100</f>
        <v/>
      </c>
      <c r="Y949" s="181" t="n">
        <v>17346.4</v>
      </c>
      <c r="Z949" s="181" t="n">
        <v>30.86</v>
      </c>
      <c r="AA949" s="177">
        <f>Y949/Z949</f>
        <v/>
      </c>
      <c r="AB949" s="177">
        <f>(AA949/Y949)*100</f>
        <v/>
      </c>
    </row>
    <row r="950">
      <c r="A950" s="29" t="n">
        <v>949</v>
      </c>
      <c r="B950" s="179" t="n">
        <v>45959</v>
      </c>
      <c r="C950" s="180" t="n">
        <v>47504242.67</v>
      </c>
      <c r="D950" s="177">
        <f>C949/E950</f>
        <v/>
      </c>
      <c r="E950" s="181" t="n">
        <v>88.408</v>
      </c>
      <c r="F950" s="177">
        <f>D950/100000</f>
        <v/>
      </c>
      <c r="G950" s="177">
        <f>(F950/[1]DataSheet!$C$12*100)</f>
        <v/>
      </c>
      <c r="H950" s="177">
        <f>K950/I950</f>
        <v/>
      </c>
      <c r="I950" s="177">
        <f>(J950/L950)*100</f>
        <v/>
      </c>
      <c r="J950" s="177">
        <f>L950/O950</f>
        <v/>
      </c>
      <c r="K950" s="181" t="n">
        <v>6.537</v>
      </c>
      <c r="L950" s="182" t="n">
        <v>26053.9</v>
      </c>
      <c r="M950" s="181" t="n">
        <v>3.56</v>
      </c>
      <c r="N950" s="177">
        <f>K950-I950</f>
        <v/>
      </c>
      <c r="O950" s="181" t="n">
        <v>22.92</v>
      </c>
      <c r="P950" s="181" t="n">
        <v>4.058</v>
      </c>
      <c r="Q950" s="177">
        <f>K950-P950</f>
        <v/>
      </c>
      <c r="R950" s="181" t="n">
        <v>99.02200000000001</v>
      </c>
      <c r="S950" s="177">
        <f>(O950*T950)</f>
        <v/>
      </c>
      <c r="T950" s="181" t="n">
        <v>5.43</v>
      </c>
      <c r="U950" s="181" t="n">
        <v>22190.5</v>
      </c>
      <c r="V950" s="181" t="n">
        <v>34.83</v>
      </c>
      <c r="W950" s="177">
        <f>U950/V950</f>
        <v/>
      </c>
      <c r="X950" s="177">
        <f>(W950/U950)*100</f>
        <v/>
      </c>
      <c r="Y950" s="181" t="n">
        <v>17423.6</v>
      </c>
      <c r="Z950" s="181" t="n">
        <v>31</v>
      </c>
      <c r="AA950" s="177">
        <f>Y950/Z950</f>
        <v/>
      </c>
      <c r="AB950" s="177">
        <f>(AA950/Y950)*100</f>
        <v/>
      </c>
    </row>
    <row r="951">
      <c r="A951" s="29" t="n">
        <v>950</v>
      </c>
      <c r="B951" s="179" t="n">
        <v>45960</v>
      </c>
      <c r="C951" s="180" t="n">
        <v>47313172.98</v>
      </c>
      <c r="D951" s="177">
        <f>C950/E951</f>
        <v/>
      </c>
      <c r="E951" s="181" t="n">
        <v>88.63200000000001</v>
      </c>
      <c r="F951" s="177">
        <f>D951/100000</f>
        <v/>
      </c>
      <c r="G951" s="177">
        <f>(F951/[1]DataSheet!$C$12*100)</f>
        <v/>
      </c>
      <c r="H951" s="177">
        <f>K951/I951</f>
        <v/>
      </c>
      <c r="I951" s="177">
        <f>(J951/L951)*100</f>
        <v/>
      </c>
      <c r="J951" s="177">
        <f>L951/O951</f>
        <v/>
      </c>
      <c r="K951" s="181" t="n">
        <v>6.573</v>
      </c>
      <c r="L951" s="182" t="n">
        <v>25877.85</v>
      </c>
      <c r="M951" s="181" t="n">
        <v>3.54</v>
      </c>
      <c r="N951" s="177">
        <f>K951-I951</f>
        <v/>
      </c>
      <c r="O951" s="181" t="n">
        <v>22.77</v>
      </c>
      <c r="P951" s="181" t="n">
        <v>4.093</v>
      </c>
      <c r="Q951" s="177">
        <f>K951-P951</f>
        <v/>
      </c>
      <c r="R951" s="181" t="n">
        <v>99.348</v>
      </c>
      <c r="S951" s="177">
        <f>(O951*T951)</f>
        <v/>
      </c>
      <c r="T951" s="181" t="n">
        <v>5.45</v>
      </c>
      <c r="U951" s="181" t="n">
        <v>22154.45</v>
      </c>
      <c r="V951" s="181" t="n">
        <v>34.77</v>
      </c>
      <c r="W951" s="177">
        <f>U951/V951</f>
        <v/>
      </c>
      <c r="X951" s="177">
        <f>(W951/U951)*100</f>
        <v/>
      </c>
      <c r="Y951" s="181" t="n">
        <v>17411.55</v>
      </c>
      <c r="Z951" s="181" t="n">
        <v>30.94</v>
      </c>
      <c r="AA951" s="177">
        <f>Y951/Z951</f>
        <v/>
      </c>
      <c r="AB951" s="177">
        <f>(AA951/Y951)*100</f>
        <v/>
      </c>
    </row>
    <row r="952">
      <c r="A952" s="29" t="n">
        <v>951</v>
      </c>
      <c r="B952" s="179" t="n">
        <v>45961</v>
      </c>
      <c r="C952" s="180" t="n">
        <v>47106180.55</v>
      </c>
      <c r="D952" s="177">
        <f>C951/E952</f>
        <v/>
      </c>
      <c r="E952" s="181" t="n">
        <v>88.76900000000001</v>
      </c>
      <c r="F952" s="177">
        <f>D952/100000</f>
        <v/>
      </c>
      <c r="G952" s="177">
        <f>(F952/[1]DataSheet!$C$12*100)</f>
        <v/>
      </c>
      <c r="H952" s="177">
        <f>K952/I952</f>
        <v/>
      </c>
      <c r="I952" s="177">
        <f>(J952/L952)*100</f>
        <v/>
      </c>
      <c r="J952" s="177">
        <f>L952/O952</f>
        <v/>
      </c>
      <c r="K952" s="181" t="n">
        <v>6.529</v>
      </c>
      <c r="L952" s="182" t="n">
        <v>25722.1</v>
      </c>
      <c r="M952" s="181" t="n">
        <v>3.52</v>
      </c>
      <c r="N952" s="177">
        <f>K952-I952</f>
        <v/>
      </c>
      <c r="O952" s="181" t="n">
        <v>22.64</v>
      </c>
      <c r="P952" s="181" t="n">
        <v>4.101</v>
      </c>
      <c r="Q952" s="177">
        <f>K952-P952</f>
        <v/>
      </c>
      <c r="R952" s="181" t="n">
        <v>99.63</v>
      </c>
      <c r="S952" s="177">
        <f>(O952*T952)</f>
        <v/>
      </c>
      <c r="T952" s="181" t="n">
        <v>5.44</v>
      </c>
      <c r="U952" s="181" t="n">
        <v>22045.95</v>
      </c>
      <c r="V952" s="181" t="n">
        <v>34.12</v>
      </c>
      <c r="W952" s="177">
        <f>U952/V952</f>
        <v/>
      </c>
      <c r="X952" s="177">
        <f>(W952/U952)*100</f>
        <v/>
      </c>
      <c r="Y952" s="181" t="n">
        <v>17313.9</v>
      </c>
      <c r="Z952" s="181" t="n">
        <v>30.76</v>
      </c>
      <c r="AA952" s="177">
        <f>Y952/Z952</f>
        <v/>
      </c>
      <c r="AB952" s="177">
        <f>(AA952/Y952)*100</f>
        <v/>
      </c>
    </row>
    <row r="953">
      <c r="A953" s="29" t="n">
        <v>952</v>
      </c>
      <c r="B953" s="179" t="n">
        <v>45964</v>
      </c>
      <c r="C953" s="180" t="n">
        <v>47314128.6</v>
      </c>
      <c r="D953" s="177">
        <f>C952/E953</f>
        <v/>
      </c>
      <c r="E953" s="181" t="n">
        <v>88.724</v>
      </c>
      <c r="F953" s="177">
        <f>D953/100000</f>
        <v/>
      </c>
      <c r="G953" s="177">
        <f>(F953/[1]DataSheet!$C$12*100)</f>
        <v/>
      </c>
      <c r="H953" s="177">
        <f>K953/I953</f>
        <v/>
      </c>
      <c r="I953" s="177">
        <f>(J953/L953)*100</f>
        <v/>
      </c>
      <c r="J953" s="177">
        <f>L953/O953</f>
        <v/>
      </c>
      <c r="K953" s="181" t="n">
        <v>6.528</v>
      </c>
      <c r="L953" s="182" t="n">
        <v>25763.35</v>
      </c>
      <c r="M953" s="181" t="n">
        <v>3.52</v>
      </c>
      <c r="N953" s="177">
        <f>K953-I953</f>
        <v/>
      </c>
      <c r="O953" s="181" t="n">
        <v>22.67</v>
      </c>
      <c r="P953" s="181" t="n">
        <v>4.107</v>
      </c>
      <c r="Q953" s="177">
        <f>K953-P953</f>
        <v/>
      </c>
      <c r="R953" s="181" t="n">
        <v>99.70699999999999</v>
      </c>
      <c r="S953" s="177">
        <f>(O953*T953)</f>
        <v/>
      </c>
      <c r="T953" s="181" t="n">
        <v>5.47</v>
      </c>
      <c r="U953" s="181" t="n">
        <v>22216.1</v>
      </c>
      <c r="V953" s="181" t="n">
        <v>34.39</v>
      </c>
      <c r="W953" s="177">
        <f>U953/V953</f>
        <v/>
      </c>
      <c r="X953" s="177">
        <f>(W953/U953)*100</f>
        <v/>
      </c>
      <c r="Y953" s="181" t="n">
        <v>17434.85</v>
      </c>
      <c r="Z953" s="181" t="n">
        <v>30.97</v>
      </c>
      <c r="AA953" s="177">
        <f>Y953/Z953</f>
        <v/>
      </c>
      <c r="AB953" s="177">
        <f>(AA953/Y953)*100</f>
        <v/>
      </c>
    </row>
    <row r="954">
      <c r="A954" s="29" t="n">
        <v>953</v>
      </c>
      <c r="B954" s="179" t="n">
        <v>45965</v>
      </c>
      <c r="C954" s="180" t="n">
        <v>47052676.29</v>
      </c>
      <c r="D954" s="177">
        <f>C953/E954</f>
        <v/>
      </c>
      <c r="E954" s="181" t="n">
        <v>88.732</v>
      </c>
      <c r="F954" s="177">
        <f>D954/100000</f>
        <v/>
      </c>
      <c r="G954" s="177">
        <f>(F954/[1]DataSheet!$C$12*100)</f>
        <v/>
      </c>
      <c r="H954" s="177">
        <f>K954/I954</f>
        <v/>
      </c>
      <c r="I954" s="177">
        <f>(J954/L954)*100</f>
        <v/>
      </c>
      <c r="J954" s="177">
        <f>L954/O954</f>
        <v/>
      </c>
      <c r="K954" s="181" t="n">
        <v>6.53</v>
      </c>
      <c r="L954" s="182" t="n">
        <v>25597.65</v>
      </c>
      <c r="M954" s="181" t="n">
        <v>3.5</v>
      </c>
      <c r="N954" s="177">
        <f>K954-I954</f>
        <v/>
      </c>
      <c r="O954" s="181" t="n">
        <v>22.51</v>
      </c>
      <c r="P954" s="181" t="n">
        <v>4.091</v>
      </c>
      <c r="Q954" s="177">
        <f>K954-P954</f>
        <v/>
      </c>
      <c r="R954" s="181" t="n">
        <v>100.07</v>
      </c>
      <c r="S954" s="177">
        <f>(O954*T954)</f>
        <v/>
      </c>
      <c r="T954" s="181" t="n">
        <v>5.45</v>
      </c>
      <c r="U954" s="181" t="n">
        <v>22135.95</v>
      </c>
      <c r="V954" s="181" t="n">
        <v>34.15</v>
      </c>
      <c r="W954" s="177">
        <f>U954/V954</f>
        <v/>
      </c>
      <c r="X954" s="177">
        <f>(W954/U954)*100</f>
        <v/>
      </c>
      <c r="Y954" s="181" t="n">
        <v>17320.2</v>
      </c>
      <c r="Z954" s="181" t="n">
        <v>29.44</v>
      </c>
      <c r="AA954" s="177">
        <f>Y954/Z954</f>
        <v/>
      </c>
      <c r="AB954" s="177">
        <f>(AA954/Y954)*100</f>
        <v/>
      </c>
    </row>
    <row r="955">
      <c r="A955" s="29" t="n">
        <v>954</v>
      </c>
      <c r="B955" s="179" t="n">
        <v>45967</v>
      </c>
      <c r="C955" s="180" t="n">
        <v>46653650.62</v>
      </c>
      <c r="D955" s="177">
        <f>C954/E955</f>
        <v/>
      </c>
      <c r="E955" s="181" t="n">
        <v>88.673</v>
      </c>
      <c r="F955" s="177">
        <f>D955/100000</f>
        <v/>
      </c>
      <c r="G955" s="177">
        <f>(F955/[1]DataSheet!$C$12*100)</f>
        <v/>
      </c>
      <c r="H955" s="177">
        <f>K955/I955</f>
        <v/>
      </c>
      <c r="I955" s="177">
        <f>(J955/L955)*100</f>
        <v/>
      </c>
      <c r="J955" s="177">
        <f>L955/O955</f>
        <v/>
      </c>
      <c r="K955" s="181" t="n">
        <v>6.514</v>
      </c>
      <c r="L955" s="182" t="n">
        <v>25509.7</v>
      </c>
      <c r="M955" s="181" t="n">
        <v>3.49</v>
      </c>
      <c r="N955" s="177">
        <f>K955-I955</f>
        <v/>
      </c>
      <c r="O955" s="181" t="n">
        <v>22.29</v>
      </c>
      <c r="P955" s="181" t="n">
        <v>4.093</v>
      </c>
      <c r="Q955" s="177">
        <f>K955-P955</f>
        <v/>
      </c>
      <c r="R955" s="181" t="n">
        <v>99.58499999999999</v>
      </c>
      <c r="S955" s="177">
        <f>(O955*T955)</f>
        <v/>
      </c>
      <c r="T955" s="181" t="n">
        <v>5.43</v>
      </c>
      <c r="U955" s="181" t="n">
        <v>21923.1</v>
      </c>
      <c r="V955" s="181" t="n">
        <v>33.63</v>
      </c>
      <c r="W955" s="177">
        <f>U955/V955</f>
        <v/>
      </c>
      <c r="X955" s="177">
        <f>(W955/U955)*100</f>
        <v/>
      </c>
      <c r="Y955" s="181" t="n">
        <v>17061.5</v>
      </c>
      <c r="Z955" s="181" t="n">
        <v>28.84</v>
      </c>
      <c r="AA955" s="177">
        <f>Y955/Z955</f>
        <v/>
      </c>
      <c r="AB955" s="177">
        <f>(AA955/Y955)*100</f>
        <v/>
      </c>
    </row>
    <row r="956">
      <c r="A956" s="29" t="n">
        <v>955</v>
      </c>
      <c r="B956" s="179" t="n">
        <v>45968</v>
      </c>
      <c r="C956" s="180" t="n">
        <v>46699665.84</v>
      </c>
      <c r="D956" s="177">
        <f>C955/E956</f>
        <v/>
      </c>
      <c r="E956" s="181" t="n">
        <v>88.66500000000001</v>
      </c>
      <c r="F956" s="177">
        <f>D956/100000</f>
        <v/>
      </c>
      <c r="G956" s="177">
        <f>(F956/[1]DataSheet!$C$12*100)</f>
        <v/>
      </c>
      <c r="H956" s="177">
        <f>K956/I956</f>
        <v/>
      </c>
      <c r="I956" s="177">
        <f>(J956/L956)*100</f>
        <v/>
      </c>
      <c r="J956" s="177">
        <f>L956/O956</f>
        <v/>
      </c>
      <c r="K956" s="181" t="n">
        <v>6.521</v>
      </c>
      <c r="L956" s="182" t="n">
        <v>25492.3</v>
      </c>
      <c r="M956" s="181" t="n">
        <v>3.49</v>
      </c>
      <c r="N956" s="177">
        <f>K956-I956</f>
        <v/>
      </c>
      <c r="O956" s="181" t="n">
        <v>22.28</v>
      </c>
      <c r="P956" s="181" t="n">
        <v>4.093</v>
      </c>
      <c r="Q956" s="177">
        <f>K956-P956</f>
        <v/>
      </c>
      <c r="R956" s="181" t="n">
        <v>99.471</v>
      </c>
      <c r="S956" s="177">
        <f>(O956*T956)</f>
        <v/>
      </c>
      <c r="T956" s="181" t="n">
        <v>5.44</v>
      </c>
      <c r="U956" s="181" t="n">
        <v>22026.4</v>
      </c>
      <c r="V956" s="181" t="n">
        <v>33.42</v>
      </c>
      <c r="W956" s="177">
        <f>U956/V956</f>
        <v/>
      </c>
      <c r="X956" s="177">
        <f>(W956/U956)*100</f>
        <v/>
      </c>
      <c r="Y956" s="181" t="n">
        <v>17020.05</v>
      </c>
      <c r="Z956" s="181" t="n">
        <v>28.76</v>
      </c>
      <c r="AA956" s="177">
        <f>Y956/Z956</f>
        <v/>
      </c>
      <c r="AB956" s="177">
        <f>(AA956/Y956)*100</f>
        <v/>
      </c>
    </row>
    <row r="957">
      <c r="A957" s="29" t="n">
        <v>956</v>
      </c>
      <c r="B957" s="179" t="n">
        <v>45971</v>
      </c>
      <c r="C957" s="180" t="n">
        <v>46874907.78</v>
      </c>
      <c r="D957" s="177">
        <f>C956/E957</f>
        <v/>
      </c>
      <c r="E957" s="181" t="n">
        <v>88.70699999999999</v>
      </c>
      <c r="F957" s="177">
        <f>D957/100000</f>
        <v/>
      </c>
      <c r="G957" s="177">
        <f>(F957/[1]DataSheet!$C$12*100)</f>
        <v/>
      </c>
      <c r="H957" s="177">
        <f>K957/I957</f>
        <v/>
      </c>
      <c r="I957" s="177">
        <f>(J957/L957)*100</f>
        <v/>
      </c>
      <c r="J957" s="177">
        <f>L957/O957</f>
        <v/>
      </c>
      <c r="K957" s="181" t="n">
        <v>6.49</v>
      </c>
      <c r="L957" s="182" t="n">
        <v>25574.35</v>
      </c>
      <c r="M957" s="181" t="n">
        <v>3.5</v>
      </c>
      <c r="N957" s="177">
        <f>K957-I957</f>
        <v/>
      </c>
      <c r="O957" s="181" t="n">
        <v>22.31</v>
      </c>
      <c r="P957" s="181" t="n">
        <v>4.11</v>
      </c>
      <c r="Q957" s="177">
        <f>K957-P957</f>
        <v/>
      </c>
      <c r="R957" s="181" t="n">
        <v>99.462</v>
      </c>
      <c r="S957" s="177">
        <f>(O957*T957)</f>
        <v/>
      </c>
      <c r="T957" s="181" t="n">
        <v>5.41</v>
      </c>
      <c r="U957" s="181" t="n">
        <v>22126.6</v>
      </c>
      <c r="V957" s="181" t="n">
        <v>33.47</v>
      </c>
      <c r="W957" s="177">
        <f>U957/V957</f>
        <v/>
      </c>
      <c r="X957" s="177">
        <f>(W957/U957)*100</f>
        <v/>
      </c>
      <c r="Y957" s="181" t="n">
        <v>17019.3</v>
      </c>
      <c r="Z957" s="181" t="n">
        <v>28.62</v>
      </c>
      <c r="AA957" s="177">
        <f>Y957/Z957</f>
        <v/>
      </c>
      <c r="AB957" s="177">
        <f>(AA957/Y957)*100</f>
        <v/>
      </c>
    </row>
    <row r="958">
      <c r="A958" s="29" t="n">
        <v>957</v>
      </c>
      <c r="B958" s="179" t="n">
        <v>45972</v>
      </c>
      <c r="C958" s="180" t="n">
        <v>46985995.98</v>
      </c>
      <c r="D958" s="177">
        <f>C957/E958</f>
        <v/>
      </c>
      <c r="E958" s="181" t="n">
        <v>88.467</v>
      </c>
      <c r="F958" s="177">
        <f>D958/100000</f>
        <v/>
      </c>
      <c r="G958" s="177">
        <f>(F958/[1]DataSheet!$C$12*100)</f>
        <v/>
      </c>
      <c r="H958" s="177">
        <f>K958/I958</f>
        <v/>
      </c>
      <c r="I958" s="177">
        <f>(J958/L958)*100</f>
        <v/>
      </c>
      <c r="J958" s="177">
        <f>L958/O958</f>
        <v/>
      </c>
      <c r="K958" s="181" t="n">
        <v>6.499</v>
      </c>
      <c r="L958" s="182" t="n">
        <v>25694.95</v>
      </c>
      <c r="M958" s="181" t="n">
        <v>3.51</v>
      </c>
      <c r="N958" s="177">
        <f>K958-I958</f>
        <v/>
      </c>
      <c r="O958" s="181" t="n">
        <v>22.4</v>
      </c>
      <c r="P958" s="181" t="n">
        <v>4.069</v>
      </c>
      <c r="Q958" s="177">
        <f>K958-P958</f>
        <v/>
      </c>
      <c r="R958" s="181" t="n">
        <v>99.316</v>
      </c>
      <c r="S958" s="177">
        <f>(O958*T958)</f>
        <v/>
      </c>
      <c r="T958" s="181" t="n">
        <v>5.42</v>
      </c>
      <c r="U958" s="181" t="n">
        <v>22224.4</v>
      </c>
      <c r="V958" s="181" t="n">
        <v>33.61</v>
      </c>
      <c r="W958" s="177">
        <f>U958/V958</f>
        <v/>
      </c>
      <c r="X958" s="177">
        <f>(W958/U958)*100</f>
        <v/>
      </c>
      <c r="Y958" s="181" t="n">
        <v>16994</v>
      </c>
      <c r="Z958" s="181" t="n">
        <v>28.52</v>
      </c>
      <c r="AA958" s="177">
        <f>Y958/Z958</f>
        <v/>
      </c>
      <c r="AB958" s="177">
        <f>(AA958/Y958)*100</f>
        <v/>
      </c>
    </row>
    <row r="959">
      <c r="A959" s="29" t="n">
        <v>958</v>
      </c>
      <c r="B959" s="179" t="n">
        <v>45973</v>
      </c>
      <c r="C959" s="180" t="n">
        <v>47472245.97</v>
      </c>
      <c r="D959" s="177">
        <f>C958/E959</f>
        <v/>
      </c>
      <c r="E959" s="181" t="n">
        <v>88.59</v>
      </c>
      <c r="F959" s="177">
        <f>D959/100000</f>
        <v/>
      </c>
      <c r="G959" s="177">
        <f>(F959/[1]DataSheet!$C$12*100)</f>
        <v/>
      </c>
      <c r="H959" s="177">
        <f>K959/I959</f>
        <v/>
      </c>
      <c r="I959" s="177">
        <f>(J959/L959)*100</f>
        <v/>
      </c>
      <c r="J959" s="177">
        <f>L959/O959</f>
        <v/>
      </c>
      <c r="K959" s="181" t="n">
        <v>6.483</v>
      </c>
      <c r="L959" s="182" t="n">
        <v>25875.8</v>
      </c>
      <c r="M959" s="181" t="n">
        <v>3.54</v>
      </c>
      <c r="N959" s="177">
        <f>K959-I959</f>
        <v/>
      </c>
      <c r="O959" s="181" t="n">
        <v>22.52</v>
      </c>
      <c r="P959" s="181" t="n">
        <v>4.067</v>
      </c>
      <c r="Q959" s="177">
        <f>K959-P959</f>
        <v/>
      </c>
      <c r="R959" s="181" t="n">
        <v>99.374</v>
      </c>
      <c r="S959" s="177">
        <f>(O959*T959)</f>
        <v/>
      </c>
      <c r="T959" s="181" t="n">
        <v>5.41</v>
      </c>
      <c r="U959" s="181" t="n">
        <v>22394.45</v>
      </c>
      <c r="V959" s="181" t="n">
        <v>33.75</v>
      </c>
      <c r="W959" s="177">
        <f>U959/V959</f>
        <v/>
      </c>
      <c r="X959" s="177">
        <f>(W959/U959)*100</f>
        <v/>
      </c>
      <c r="Y959" s="181" t="n">
        <v>17120.15</v>
      </c>
      <c r="Z959" s="181" t="n">
        <v>28.7</v>
      </c>
      <c r="AA959" s="177">
        <f>Y959/Z959</f>
        <v/>
      </c>
      <c r="AB959" s="177">
        <f>(AA959/Y959)*100</f>
        <v/>
      </c>
    </row>
    <row r="960">
      <c r="A960" s="29" t="n">
        <v>959</v>
      </c>
      <c r="B960" s="179" t="n">
        <v>45974</v>
      </c>
      <c r="C960" s="180" t="n">
        <v>47422676.63</v>
      </c>
      <c r="D960" s="177">
        <f>C959/E960</f>
        <v/>
      </c>
      <c r="E960" s="181" t="n">
        <v>88.81699999999999</v>
      </c>
      <c r="F960" s="177">
        <f>D960/100000</f>
        <v/>
      </c>
      <c r="G960" s="177">
        <f>(F960/[1]DataSheet!$C$12*100)</f>
        <v/>
      </c>
      <c r="H960" s="177">
        <f>K960/I960</f>
        <v/>
      </c>
      <c r="I960" s="177">
        <f>(J960/L960)*100</f>
        <v/>
      </c>
      <c r="J960" s="177">
        <f>L960/O960</f>
        <v/>
      </c>
      <c r="K960" s="181" t="n">
        <v>6.511</v>
      </c>
      <c r="L960" s="182" t="n">
        <v>25879.15</v>
      </c>
      <c r="M960" s="181" t="n">
        <v>3.54</v>
      </c>
      <c r="N960" s="177">
        <f>K960-I960</f>
        <v/>
      </c>
      <c r="O960" s="181" t="n">
        <v>22.51</v>
      </c>
      <c r="P960" s="181" t="n">
        <v>4.111</v>
      </c>
      <c r="Q960" s="177">
        <f>K960-P960</f>
        <v/>
      </c>
      <c r="R960" s="181" t="n">
        <v>99.05</v>
      </c>
      <c r="S960" s="177">
        <f>(O960*T960)</f>
        <v/>
      </c>
      <c r="T960" s="181" t="n">
        <v>5.4</v>
      </c>
      <c r="U960" s="181" t="n">
        <v>22322.45</v>
      </c>
      <c r="V960" s="181" t="n">
        <v>33.64</v>
      </c>
      <c r="W960" s="177">
        <f>U960/V960</f>
        <v/>
      </c>
      <c r="X960" s="177">
        <f>(W960/U960)*100</f>
        <v/>
      </c>
      <c r="Y960" s="181" t="n">
        <v>17051.05</v>
      </c>
      <c r="Z960" s="181" t="n">
        <v>28.49</v>
      </c>
      <c r="AA960" s="177">
        <f>Y960/Z960</f>
        <v/>
      </c>
      <c r="AB960" s="177">
        <f>(AA960/Y960)*100</f>
        <v/>
      </c>
    </row>
    <row r="961">
      <c r="A961" s="29" t="n">
        <v>960</v>
      </c>
      <c r="B961" s="179" t="n">
        <v>45975</v>
      </c>
      <c r="C961" s="180" t="n">
        <v>47499635.71</v>
      </c>
      <c r="D961" s="177">
        <f>C960/E961</f>
        <v/>
      </c>
      <c r="E961" s="181" t="n">
        <v>88.68899999999999</v>
      </c>
      <c r="F961" s="177">
        <f>D961/100000</f>
        <v/>
      </c>
      <c r="G961" s="177">
        <f>(F961/[1]DataSheet!$C$12*100)</f>
        <v/>
      </c>
      <c r="H961" s="177">
        <f>K961/I961</f>
        <v/>
      </c>
      <c r="I961" s="177">
        <f>(J961/L961)*100</f>
        <v/>
      </c>
      <c r="J961" s="177">
        <f>L961/O961</f>
        <v/>
      </c>
      <c r="K961" s="181" t="n">
        <v>6.527</v>
      </c>
      <c r="L961" s="182" t="n">
        <v>25910.05</v>
      </c>
      <c r="M961" s="181" t="n">
        <v>3.54</v>
      </c>
      <c r="N961" s="177">
        <f>K961-I961</f>
        <v/>
      </c>
      <c r="O961" s="181" t="n">
        <v>22.53</v>
      </c>
      <c r="P961" s="181" t="n">
        <v>4.148</v>
      </c>
      <c r="Q961" s="177">
        <f>K961-P961</f>
        <v/>
      </c>
      <c r="R961" s="181" t="n">
        <v>99.199</v>
      </c>
      <c r="S961" s="177">
        <f>(O961*T961)</f>
        <v/>
      </c>
      <c r="T961" s="181" t="n">
        <v>5.38</v>
      </c>
      <c r="U961" s="181" t="n">
        <v>22331.25</v>
      </c>
      <c r="V961" s="181" t="n">
        <v>33.55</v>
      </c>
      <c r="W961" s="177">
        <f>U961/V961</f>
        <v/>
      </c>
      <c r="X961" s="177">
        <f>(W961/U961)*100</f>
        <v/>
      </c>
      <c r="Y961" s="181" t="n">
        <v>17081.45</v>
      </c>
      <c r="Z961" s="181" t="n">
        <v>29.8</v>
      </c>
      <c r="AA961" s="177">
        <f>Y961/Z961</f>
        <v/>
      </c>
      <c r="AB961" s="177">
        <f>(AA961/Y961)*100</f>
        <v/>
      </c>
    </row>
    <row r="962">
      <c r="A962" s="29" t="n">
        <v>961</v>
      </c>
      <c r="B962" s="179" t="n">
        <v>45978</v>
      </c>
      <c r="C962" s="180" t="n">
        <v>47775359.25</v>
      </c>
      <c r="D962" s="177">
        <f>C961/E962</f>
        <v/>
      </c>
      <c r="E962" s="181" t="n">
        <v>88.636</v>
      </c>
      <c r="F962" s="177">
        <f>D962/100000</f>
        <v/>
      </c>
      <c r="G962" s="177">
        <f>(F962/[1]DataSheet!$C$12*100)</f>
        <v/>
      </c>
      <c r="H962" s="177">
        <f>K962/I962</f>
        <v/>
      </c>
      <c r="I962" s="177">
        <f>(J962/L962)*100</f>
        <v/>
      </c>
      <c r="J962" s="177">
        <f>L962/O962</f>
        <v/>
      </c>
      <c r="K962" s="181" t="n">
        <v>6.536</v>
      </c>
      <c r="L962" s="182" t="n">
        <v>26013.45</v>
      </c>
      <c r="M962" s="181" t="n">
        <v>3.54</v>
      </c>
      <c r="N962" s="177">
        <f>K962-I962</f>
        <v/>
      </c>
      <c r="O962" s="181" t="n">
        <v>22.49</v>
      </c>
      <c r="P962" s="181" t="n">
        <v>4.133</v>
      </c>
      <c r="Q962" s="177">
        <f>K962-P962</f>
        <v/>
      </c>
      <c r="R962" s="181" t="n">
        <v>99.488</v>
      </c>
      <c r="S962" s="177">
        <f>(O962*T962)</f>
        <v/>
      </c>
      <c r="T962" s="181" t="n">
        <v>5.4</v>
      </c>
      <c r="U962" s="181" t="n">
        <v>22482.4</v>
      </c>
      <c r="V962" s="181" t="n">
        <v>33.74</v>
      </c>
      <c r="W962" s="177">
        <f>U962/V962</f>
        <v/>
      </c>
      <c r="X962" s="177">
        <f>(W962/U962)*100</f>
        <v/>
      </c>
      <c r="Y962" s="181" t="n">
        <v>17197.9</v>
      </c>
      <c r="Z962" s="181" t="n">
        <v>30.02</v>
      </c>
      <c r="AA962" s="177">
        <f>Y962/Z962</f>
        <v/>
      </c>
      <c r="AB962" s="177">
        <f>(AA962/Y962)*100</f>
        <v/>
      </c>
    </row>
    <row r="963">
      <c r="A963" s="29" t="n">
        <v>962</v>
      </c>
      <c r="B963" s="179" t="n">
        <v>45979</v>
      </c>
      <c r="C963" s="180" t="n">
        <v>47564265.4</v>
      </c>
      <c r="D963" s="177">
        <f>C962/E963</f>
        <v/>
      </c>
      <c r="E963" s="181" t="n">
        <v>88.55200000000001</v>
      </c>
      <c r="F963" s="177">
        <f>D963/100000</f>
        <v/>
      </c>
      <c r="G963" s="177">
        <f>(F963/[1]DataSheet!$C$12*100)</f>
        <v/>
      </c>
      <c r="H963" s="177">
        <f>K963/I963</f>
        <v/>
      </c>
      <c r="I963" s="177">
        <f>(J963/L963)*100</f>
        <v/>
      </c>
      <c r="J963" s="177">
        <f>L963/O963</f>
        <v/>
      </c>
      <c r="K963" s="181" t="n">
        <v>6.523</v>
      </c>
      <c r="L963" s="182" t="n">
        <v>25910.05</v>
      </c>
      <c r="M963" s="181" t="n">
        <v>3.52</v>
      </c>
      <c r="N963" s="177">
        <f>K963-I963</f>
        <v/>
      </c>
      <c r="O963" s="181" t="n">
        <v>22.33</v>
      </c>
      <c r="P963" s="181" t="n">
        <v>4.121</v>
      </c>
      <c r="Q963" s="177">
        <f>K963-P963</f>
        <v/>
      </c>
      <c r="R963" s="181" t="n">
        <v>99.449</v>
      </c>
      <c r="S963" s="177">
        <f>(O963*T963)</f>
        <v/>
      </c>
      <c r="T963" s="181" t="n">
        <v>5.44</v>
      </c>
      <c r="U963" s="181" t="n">
        <v>22342.65</v>
      </c>
      <c r="V963" s="181" t="n">
        <v>33.45</v>
      </c>
      <c r="W963" s="177">
        <f>U963/V963</f>
        <v/>
      </c>
      <c r="X963" s="177">
        <f>(W963/U963)*100</f>
        <v/>
      </c>
      <c r="Y963" s="181" t="n">
        <v>17022.75</v>
      </c>
      <c r="Z963" s="181" t="n">
        <v>29.76</v>
      </c>
      <c r="AA963" s="177">
        <f>Y963/Z963</f>
        <v/>
      </c>
      <c r="AB963" s="177">
        <f>(AA963/Y963)*100</f>
        <v/>
      </c>
    </row>
    <row r="964">
      <c r="A964" s="29" t="n">
        <v>963</v>
      </c>
      <c r="B964" s="179" t="n">
        <v>45980</v>
      </c>
      <c r="C964" s="180" t="n">
        <v>47676774.87</v>
      </c>
      <c r="D964" s="177">
        <f>C963/E964</f>
        <v/>
      </c>
      <c r="E964" s="181" t="n">
        <v>88.488</v>
      </c>
      <c r="F964" s="177">
        <f>D964/100000</f>
        <v/>
      </c>
      <c r="G964" s="177">
        <f>(F964/[1]DataSheet!$C$12*100)</f>
        <v/>
      </c>
      <c r="H964" s="177">
        <f>K964/I964</f>
        <v/>
      </c>
      <c r="I964" s="177">
        <f>(J964/L964)*100</f>
        <v/>
      </c>
      <c r="J964" s="177">
        <f>L964/O964</f>
        <v/>
      </c>
      <c r="K964" s="181" t="n">
        <v>6.532</v>
      </c>
      <c r="L964" s="182" t="n">
        <v>26052.65</v>
      </c>
      <c r="M964" s="181" t="n">
        <v>3.54</v>
      </c>
      <c r="N964" s="177">
        <f>K964-I964</f>
        <v/>
      </c>
      <c r="O964" s="181" t="n">
        <v>22.45</v>
      </c>
      <c r="P964" s="181" t="n">
        <v>4.131</v>
      </c>
      <c r="Q964" s="177">
        <f>K964-P964</f>
        <v/>
      </c>
      <c r="R964" s="181" t="n">
        <v>100.151</v>
      </c>
      <c r="S964" s="177">
        <f>(O964*T964)</f>
        <v/>
      </c>
      <c r="T964" s="22" t="n">
        <v>5.35</v>
      </c>
      <c r="U964" s="181" t="n">
        <v>22414.65</v>
      </c>
      <c r="V964" s="181" t="n">
        <v>33.55</v>
      </c>
      <c r="W964" s="177">
        <f>U964/V964</f>
        <v/>
      </c>
      <c r="X964" s="177">
        <f>(W964/U964)*100</f>
        <v/>
      </c>
      <c r="Y964" s="181" t="n">
        <v>16950.8</v>
      </c>
      <c r="Z964" s="181" t="n">
        <v>29.6</v>
      </c>
      <c r="AA964" s="177">
        <f>Y964/Z964</f>
        <v/>
      </c>
      <c r="AB964" s="177">
        <f>(AA964/Y964)*100</f>
        <v/>
      </c>
    </row>
    <row r="965">
      <c r="A965" s="29" t="n">
        <v>964</v>
      </c>
      <c r="B965" s="185" t="n">
        <v>45981</v>
      </c>
      <c r="C965" s="186" t="n">
        <v>47746353.55</v>
      </c>
      <c r="D965" s="97">
        <f>C965/E965</f>
        <v/>
      </c>
      <c r="E965" s="187" t="n">
        <v>88.715</v>
      </c>
      <c r="F965" s="97">
        <f>D965/100000</f>
        <v/>
      </c>
      <c r="H965" s="92">
        <f>K965/I965</f>
        <v/>
      </c>
      <c r="I965" s="97">
        <f>(J965/L965)*100</f>
        <v/>
      </c>
      <c r="J965" s="97">
        <f>L965/O965</f>
        <v/>
      </c>
      <c r="K965" s="97" t="n">
        <v>6.54</v>
      </c>
      <c r="L965" s="22" t="n">
        <v>26192.15</v>
      </c>
      <c r="M965" s="22" t="n">
        <v>3.56</v>
      </c>
      <c r="N965" s="97">
        <f>K965-I965</f>
        <v/>
      </c>
      <c r="O965" s="22" t="n">
        <v>22.8</v>
      </c>
      <c r="P965" s="22" t="n">
        <v>4.104</v>
      </c>
      <c r="Q965" s="177">
        <f>K965-P965</f>
        <v/>
      </c>
      <c r="R965" s="22" t="n">
        <v>100.09</v>
      </c>
      <c r="S965" s="177">
        <f>(O965*T965)</f>
        <v/>
      </c>
      <c r="T965" s="22" t="n">
        <v>5.38</v>
      </c>
      <c r="U965" s="22" t="n">
        <v>22406.75</v>
      </c>
      <c r="V965" s="22" t="n">
        <v>33.45</v>
      </c>
      <c r="W965" s="177">
        <f>U965/V965</f>
        <v/>
      </c>
      <c r="X965" s="177">
        <f>(W965/U965)*100</f>
        <v/>
      </c>
      <c r="Y965" s="22" t="n">
        <v>16934.45</v>
      </c>
      <c r="Z965" s="22" t="n">
        <v>29.55</v>
      </c>
      <c r="AA965" s="177">
        <f>Y965/Z965</f>
        <v/>
      </c>
      <c r="AB965" s="177">
        <f>(AA965/Y965)*100</f>
        <v/>
      </c>
    </row>
    <row r="966">
      <c r="A966" s="29" t="n">
        <v>965</v>
      </c>
      <c r="B966" s="185" t="n">
        <v>45982</v>
      </c>
      <c r="C966" s="186" t="n">
        <v>47322693.84</v>
      </c>
      <c r="D966" s="97">
        <f>C966/E966</f>
        <v/>
      </c>
      <c r="E966" s="187" t="n">
        <v>89.64100000000001</v>
      </c>
      <c r="F966" s="97">
        <f>D966/100000</f>
        <v/>
      </c>
      <c r="H966" s="92">
        <f>K966/I966</f>
        <v/>
      </c>
      <c r="I966" s="97">
        <f>(J966/L966)*100</f>
        <v/>
      </c>
      <c r="J966" s="97">
        <f>L966/O966</f>
        <v/>
      </c>
      <c r="K966" s="97" t="n">
        <v>6.56</v>
      </c>
      <c r="L966" s="22" t="n">
        <v>26068.15</v>
      </c>
      <c r="M966" s="22" t="n">
        <v>3.54</v>
      </c>
      <c r="N966" s="97">
        <f>K966-I966</f>
        <v/>
      </c>
      <c r="O966" s="22" t="n">
        <v>22.7</v>
      </c>
      <c r="P966" s="22" t="n">
        <v>4.063</v>
      </c>
      <c r="Q966" s="177">
        <f>K966-P966</f>
        <v/>
      </c>
      <c r="R966" s="22" t="n">
        <v>100.113</v>
      </c>
      <c r="S966" s="177">
        <f>(O966*T966)</f>
        <v/>
      </c>
      <c r="T966" s="22" t="n">
        <v>5.38</v>
      </c>
      <c r="U966" s="22" t="n">
        <v>22151.15</v>
      </c>
      <c r="V966" s="22" t="n">
        <v>33.07</v>
      </c>
      <c r="W966" s="177">
        <f>U966/V966</f>
        <v/>
      </c>
      <c r="X966" s="177">
        <f>(W966/U966)*100</f>
        <v/>
      </c>
      <c r="Y966" s="22" t="n">
        <v>16723.75</v>
      </c>
      <c r="Z966" s="22" t="n">
        <v>29.19</v>
      </c>
      <c r="AA966" s="177">
        <f>Y966/Z966</f>
        <v/>
      </c>
      <c r="AB966" s="177">
        <f>(AA966/Y966)*100</f>
        <v/>
      </c>
    </row>
    <row r="967">
      <c r="A967" s="29" t="n">
        <v>966</v>
      </c>
      <c r="B967" s="185" t="n">
        <v>45985</v>
      </c>
      <c r="C967" s="186" t="n">
        <v>47020483.46</v>
      </c>
      <c r="D967" s="97">
        <f>C967/E967</f>
        <v/>
      </c>
      <c r="E967" s="187" t="n">
        <v>89.148</v>
      </c>
      <c r="F967" s="97">
        <f>D967/100000</f>
        <v/>
      </c>
      <c r="H967" s="92">
        <f>K967/I967</f>
        <v/>
      </c>
      <c r="I967" s="97">
        <f>(J967/L967)*100</f>
        <v/>
      </c>
      <c r="J967" s="97">
        <f>L967/O967</f>
        <v/>
      </c>
      <c r="K967" s="97" t="n">
        <v>6.53</v>
      </c>
      <c r="L967" s="22" t="n">
        <v>25959.5</v>
      </c>
      <c r="M967" s="22" t="n">
        <v>3.53</v>
      </c>
      <c r="N967" s="97">
        <f>K967-I967</f>
        <v/>
      </c>
      <c r="O967" s="22" t="n">
        <v>22.6</v>
      </c>
      <c r="P967" s="22" t="n">
        <v>4.036</v>
      </c>
      <c r="Q967" s="177">
        <f>K967-P967</f>
        <v/>
      </c>
      <c r="R967" s="22" t="n">
        <v>100.072</v>
      </c>
      <c r="S967" s="177">
        <f>(O967*T967)</f>
        <v/>
      </c>
      <c r="T967" s="22" t="n">
        <v>5.42</v>
      </c>
      <c r="U967" s="22" t="n">
        <v>22079.4</v>
      </c>
      <c r="V967" s="22" t="n">
        <v>32.96</v>
      </c>
      <c r="W967" s="177">
        <f>U967/V967</f>
        <v/>
      </c>
      <c r="X967" s="177">
        <f>(W967/U967)*100</f>
        <v/>
      </c>
      <c r="Y967" s="22" t="n">
        <v>16615.85</v>
      </c>
      <c r="Z967" s="22" t="n">
        <v>28.98</v>
      </c>
      <c r="AA967" s="177">
        <f>Y967/Z967</f>
        <v/>
      </c>
      <c r="AB967" s="177">
        <f>(AA967/Y967)*100</f>
        <v/>
      </c>
    </row>
    <row r="968">
      <c r="A968" s="29" t="n">
        <v>967</v>
      </c>
      <c r="B968" s="185" t="n">
        <v>45986</v>
      </c>
      <c r="C968" s="186" t="n">
        <v>47037564.71</v>
      </c>
      <c r="D968" s="97">
        <f>C968/E968</f>
        <v/>
      </c>
      <c r="E968" s="187" t="n">
        <v>89.15300000000001</v>
      </c>
      <c r="F968" s="97">
        <f>D968/100000</f>
        <v/>
      </c>
      <c r="H968" s="92">
        <f>K968/I968</f>
        <v/>
      </c>
      <c r="I968" s="97">
        <f>(J968/L968)*100</f>
        <v/>
      </c>
      <c r="J968" s="97">
        <f>L968/O968</f>
        <v/>
      </c>
      <c r="K968" s="97" t="n">
        <v>6.49</v>
      </c>
      <c r="L968" s="22" t="n">
        <v>25884.8</v>
      </c>
      <c r="M968" s="22" t="n">
        <v>3.52</v>
      </c>
      <c r="N968" s="97">
        <f>K968-I968</f>
        <v/>
      </c>
      <c r="O968" s="22" t="n">
        <v>22.54</v>
      </c>
      <c r="P968" s="22" t="n">
        <v>4.002</v>
      </c>
      <c r="Q968" s="177">
        <f>K968-P968</f>
        <v/>
      </c>
      <c r="R968" s="22" t="n">
        <v>99.589</v>
      </c>
      <c r="S968" s="177">
        <f>(O968*T968)</f>
        <v/>
      </c>
      <c r="T968" s="22" t="n">
        <v>5.38</v>
      </c>
      <c r="U968" s="22" t="n">
        <v>22136.45</v>
      </c>
      <c r="V968" s="22" t="n">
        <v>33.04</v>
      </c>
      <c r="W968" s="177">
        <f>U968/V968</f>
        <v/>
      </c>
      <c r="X968" s="177">
        <f>(W968/U968)*100</f>
        <v/>
      </c>
      <c r="Y968" s="22" t="n">
        <v>16633.4</v>
      </c>
      <c r="Z968" s="22" t="n">
        <v>29.01</v>
      </c>
      <c r="AA968" s="177">
        <f>Y968/Z968</f>
        <v/>
      </c>
      <c r="AB968" s="177">
        <f>(AA968/Y968)*100</f>
        <v/>
      </c>
    </row>
    <row r="969">
      <c r="A969" s="29" t="n">
        <v>968</v>
      </c>
      <c r="B969" s="185" t="n">
        <v>45987</v>
      </c>
      <c r="C969" s="186" t="n">
        <v>47592247.01</v>
      </c>
      <c r="D969" s="97">
        <f>C969/E969</f>
        <v/>
      </c>
      <c r="E969" s="187" t="n">
        <v>89.161</v>
      </c>
      <c r="F969" s="97">
        <f>D969/100000</f>
        <v/>
      </c>
      <c r="H969" s="92">
        <f>K969/I969</f>
        <v/>
      </c>
      <c r="I969" s="97">
        <f>(J969/L969)*100</f>
        <v/>
      </c>
      <c r="J969" s="97">
        <f>L969/O969</f>
        <v/>
      </c>
      <c r="K969" s="97" t="n">
        <v>6.49</v>
      </c>
      <c r="L969" s="22" t="n">
        <v>26205.3</v>
      </c>
      <c r="M969" s="22" t="n">
        <v>3.56</v>
      </c>
      <c r="N969" s="97">
        <f>K969-I969</f>
        <v/>
      </c>
      <c r="O969" s="22" t="n">
        <v>22.82</v>
      </c>
      <c r="P969" s="22" t="n">
        <v>3.998</v>
      </c>
      <c r="Q969" s="177">
        <f>K969-P969</f>
        <v/>
      </c>
      <c r="R969" s="22" t="n">
        <v>99.52200000000001</v>
      </c>
      <c r="S969" s="177">
        <f>(O969*T969)</f>
        <v/>
      </c>
      <c r="T969" s="22" t="n">
        <v>5.38</v>
      </c>
      <c r="U969" s="22" t="n">
        <v>22419.1</v>
      </c>
      <c r="V969" s="22" t="n">
        <v>33.46</v>
      </c>
      <c r="W969" s="177">
        <f>U969/V969</f>
        <v/>
      </c>
      <c r="X969" s="177">
        <f>(W969/U969)*100</f>
        <v/>
      </c>
      <c r="Y969" s="22" t="n">
        <v>16829.8</v>
      </c>
      <c r="Z969" s="22" t="n">
        <v>29.35</v>
      </c>
      <c r="AA969" s="177">
        <f>Y969/Z969</f>
        <v/>
      </c>
      <c r="AB969" s="177">
        <f>(AA969/Y969)*100</f>
        <v/>
      </c>
    </row>
    <row r="970">
      <c r="A970" s="29" t="n">
        <v>969</v>
      </c>
      <c r="B970" s="185" t="n">
        <v>45988</v>
      </c>
      <c r="C970" s="186" t="n">
        <v>47534362.56</v>
      </c>
      <c r="D970" s="97">
        <f>C970/E970</f>
        <v/>
      </c>
      <c r="E970" s="187" t="n">
        <v>89.36499999999999</v>
      </c>
      <c r="F970" s="97">
        <f>D970/100000</f>
        <v/>
      </c>
      <c r="H970" s="92">
        <f>K970/I970</f>
        <v/>
      </c>
      <c r="I970" s="97">
        <f>(J970/L970)*100</f>
        <v/>
      </c>
      <c r="J970" s="97">
        <f>L970/O970</f>
        <v/>
      </c>
      <c r="K970" s="97" t="n">
        <v>6.51</v>
      </c>
      <c r="L970" s="22" t="n">
        <v>26215.55</v>
      </c>
      <c r="M970" s="22" t="n">
        <v>3.56</v>
      </c>
      <c r="N970" s="97">
        <f>K970-I970</f>
        <v/>
      </c>
      <c r="O970" s="22" t="n">
        <v>22.82</v>
      </c>
      <c r="P970" s="22" t="n">
        <v>4.005</v>
      </c>
      <c r="Q970" s="177">
        <f>K970-P970</f>
        <v/>
      </c>
      <c r="R970" s="22" t="n">
        <v>99.52200000000001</v>
      </c>
      <c r="S970" s="177">
        <f>(O970*T970)</f>
        <v/>
      </c>
      <c r="T970" s="22" t="n">
        <v>5.36</v>
      </c>
      <c r="U970" s="22" t="n">
        <v>22420.1</v>
      </c>
      <c r="V970" s="22" t="n">
        <v>33.41</v>
      </c>
      <c r="W970" s="177">
        <f>U970/V970</f>
        <v/>
      </c>
      <c r="X970" s="177">
        <f>(W970/U970)*100</f>
        <v/>
      </c>
      <c r="Y970" s="22" t="n">
        <v>16770.05</v>
      </c>
      <c r="Z970" s="22" t="n">
        <v>29.25</v>
      </c>
      <c r="AA970" s="177">
        <f>Y970/Z970</f>
        <v/>
      </c>
      <c r="AB970" s="177">
        <f>(AA970/Y970)*100</f>
        <v/>
      </c>
    </row>
    <row r="971">
      <c r="A971" s="29" t="n">
        <v>970</v>
      </c>
      <c r="B971" s="185" t="n">
        <v>45989</v>
      </c>
      <c r="C971" s="186" t="n">
        <v>47532824.83</v>
      </c>
      <c r="D971" s="97">
        <f>C971/E971</f>
        <v/>
      </c>
      <c r="E971" s="187" t="n">
        <v>89.357</v>
      </c>
      <c r="F971" s="97">
        <f>D971/100000</f>
        <v/>
      </c>
      <c r="H971" s="92">
        <f>K971/I971</f>
        <v/>
      </c>
      <c r="I971" s="97">
        <f>(J971/L971)*100</f>
        <v/>
      </c>
      <c r="J971" s="97">
        <f>L971/O971</f>
        <v/>
      </c>
      <c r="K971" s="97" t="n">
        <v>6.53</v>
      </c>
      <c r="L971" s="22" t="n">
        <v>26202.95</v>
      </c>
      <c r="M971" s="22" t="n">
        <v>3.56</v>
      </c>
      <c r="N971" s="97">
        <f>K971-I971</f>
        <v/>
      </c>
      <c r="O971" s="22" t="n">
        <v>22.81</v>
      </c>
      <c r="P971" s="22" t="n">
        <v>4.019</v>
      </c>
      <c r="Q971" s="177">
        <f>K971-P971</f>
        <v/>
      </c>
      <c r="R971" s="22" t="n">
        <v>99.408</v>
      </c>
      <c r="S971" s="177">
        <f>(O971*T971)</f>
        <v/>
      </c>
      <c r="T971" s="22" t="n">
        <v>5.32</v>
      </c>
      <c r="U971" s="22" t="n">
        <v>22395.4</v>
      </c>
      <c r="V971" s="22" t="n">
        <v>33.41</v>
      </c>
      <c r="W971" s="177">
        <f>U971/V971</f>
        <v/>
      </c>
      <c r="X971" s="177">
        <f>(W971/U971)*100</f>
        <v/>
      </c>
      <c r="Y971" s="22" t="n">
        <v>16732.6</v>
      </c>
      <c r="Z971" s="22" t="n">
        <v>29.18</v>
      </c>
      <c r="AA971" s="177">
        <f>Y971/Z971</f>
        <v/>
      </c>
      <c r="AB971" s="177">
        <f>(AA971/Y971)*100</f>
        <v/>
      </c>
    </row>
    <row r="972">
      <c r="A972" s="29" t="n">
        <v>971</v>
      </c>
      <c r="B972" s="185" t="n">
        <v>45992</v>
      </c>
      <c r="C972" s="186" t="n">
        <v>47504467.15</v>
      </c>
      <c r="D972" s="97">
        <f>C972/E972</f>
        <v/>
      </c>
      <c r="E972" s="187" t="n">
        <v>89.613</v>
      </c>
      <c r="F972" s="97">
        <f>D972/100000</f>
        <v/>
      </c>
      <c r="H972" s="92">
        <f>K972/I972</f>
        <v/>
      </c>
      <c r="I972" s="97">
        <f>(J972/L972)*100</f>
        <v/>
      </c>
      <c r="J972" s="97">
        <f>L972/O972</f>
        <v/>
      </c>
      <c r="K972" s="97" t="n">
        <v>6.58</v>
      </c>
      <c r="L972" s="22" t="n">
        <v>26175.75</v>
      </c>
      <c r="M972" s="22" t="n">
        <v>3.56</v>
      </c>
      <c r="N972" s="97">
        <f>K972-I972</f>
        <v/>
      </c>
      <c r="O972" s="22" t="n">
        <v>22.79</v>
      </c>
      <c r="P972" s="22" t="n">
        <v>4.096</v>
      </c>
      <c r="Q972" s="177">
        <f>K972-P972</f>
        <v/>
      </c>
      <c r="R972" s="22" t="n">
        <v>99.36199999999999</v>
      </c>
      <c r="S972" s="177">
        <f>(O972*T972)</f>
        <v/>
      </c>
      <c r="T972" s="22" t="n">
        <v>5.38</v>
      </c>
      <c r="U972" s="22" t="n">
        <v>22372.3</v>
      </c>
      <c r="V972" s="22" t="n">
        <v>33.37</v>
      </c>
      <c r="W972" s="177">
        <f>U972/V972</f>
        <v/>
      </c>
      <c r="X972" s="177">
        <f>(W972/U972)*100</f>
        <v/>
      </c>
      <c r="Y972" s="22" t="n">
        <v>16770.6</v>
      </c>
      <c r="Z972" s="22" t="n">
        <v>29.24</v>
      </c>
      <c r="AA972" s="177">
        <f>Y972/Z972</f>
        <v/>
      </c>
      <c r="AB972" s="177">
        <f>(AA972/Y972)*100</f>
        <v/>
      </c>
    </row>
    <row r="973">
      <c r="A973" s="29" t="n">
        <v>972</v>
      </c>
      <c r="B973" s="185" t="n">
        <v>45993</v>
      </c>
      <c r="C973" s="186" t="n">
        <v>47329339.84</v>
      </c>
      <c r="D973" s="97">
        <f>C973/E973</f>
        <v/>
      </c>
      <c r="E973" s="187" t="n">
        <v>89.91800000000001</v>
      </c>
      <c r="F973" s="97">
        <f>D973/100000</f>
        <v/>
      </c>
      <c r="H973" s="92">
        <f>K973/I973</f>
        <v/>
      </c>
      <c r="I973" s="97">
        <f>(J973/L973)*100</f>
        <v/>
      </c>
      <c r="J973" s="97">
        <f>L973/O973</f>
        <v/>
      </c>
      <c r="K973" s="97" t="n">
        <v>6.5</v>
      </c>
      <c r="L973" s="22" t="n">
        <v>26032.2</v>
      </c>
      <c r="M973" s="22" t="n">
        <v>3.54</v>
      </c>
      <c r="N973" s="97">
        <f>K973-I973</f>
        <v/>
      </c>
      <c r="O973" s="22" t="n">
        <v>22.66</v>
      </c>
      <c r="P973" s="22" t="n">
        <v>4.088</v>
      </c>
      <c r="Q973" s="177">
        <f>K973-P973</f>
        <v/>
      </c>
      <c r="R973" s="22" t="n">
        <v>99.29600000000001</v>
      </c>
      <c r="S973" s="177">
        <f>(O973*T973)</f>
        <v/>
      </c>
      <c r="T973" s="22" t="n">
        <v>5.36</v>
      </c>
      <c r="U973" s="22" t="n">
        <v>22327.85</v>
      </c>
      <c r="V973" s="22" t="n">
        <v>33.31</v>
      </c>
      <c r="W973" s="177">
        <f>U973/V973</f>
        <v/>
      </c>
      <c r="X973" s="177">
        <f>(W973/U973)*100</f>
        <v/>
      </c>
      <c r="Y973" s="22" t="n">
        <v>16696.45</v>
      </c>
      <c r="Z973" s="22" t="n">
        <v>29.11</v>
      </c>
      <c r="AA973" s="177">
        <f>Y973/Z973</f>
        <v/>
      </c>
      <c r="AB973" s="177">
        <f>(AA973/Y973)*100</f>
        <v/>
      </c>
    </row>
    <row r="974">
      <c r="A974" s="29" t="n">
        <v>973</v>
      </c>
      <c r="B974" s="185" t="n">
        <v>45994</v>
      </c>
      <c r="C974" s="186" t="n">
        <v>47044713.75</v>
      </c>
      <c r="D974" s="97">
        <f>C974/E974</f>
        <v/>
      </c>
      <c r="E974" s="187" t="n">
        <v>90.17100000000001</v>
      </c>
      <c r="F974" s="97">
        <f>D974/100000</f>
        <v/>
      </c>
      <c r="H974" s="92">
        <f>K974/I974</f>
        <v/>
      </c>
      <c r="I974" s="97">
        <f>(J974/L974)*100</f>
        <v/>
      </c>
      <c r="J974" s="97">
        <f>L974/O974</f>
        <v/>
      </c>
      <c r="K974" s="97" t="n">
        <v>6.53</v>
      </c>
      <c r="L974" s="22" t="n">
        <v>25986</v>
      </c>
      <c r="M974" s="22" t="n">
        <v>3.53</v>
      </c>
      <c r="N974" s="97">
        <f>K974-I974</f>
        <v/>
      </c>
      <c r="O974" s="22" t="n">
        <v>22.62</v>
      </c>
      <c r="P974" s="22" t="n">
        <v>4.058</v>
      </c>
      <c r="Q974" s="177">
        <f>K974-P974</f>
        <v/>
      </c>
      <c r="R974" s="22" t="n">
        <v>98.79600000000001</v>
      </c>
      <c r="S974" s="177">
        <f>(O974*T974)</f>
        <v/>
      </c>
      <c r="T974" s="22" t="n">
        <v>5.32</v>
      </c>
      <c r="U974" s="22" t="n">
        <v>22130.15</v>
      </c>
      <c r="V974" s="22" t="n">
        <v>33.01</v>
      </c>
      <c r="W974" s="177">
        <f>U974/V974</f>
        <v/>
      </c>
      <c r="X974" s="177">
        <f>(W974/U974)*100</f>
        <v/>
      </c>
      <c r="Y974" s="22" t="n">
        <v>16622.65</v>
      </c>
      <c r="Z974" s="22" t="n">
        <v>28.98</v>
      </c>
      <c r="AA974" s="177">
        <f>Y974/Z974</f>
        <v/>
      </c>
      <c r="AB974" s="177">
        <f>(AA974/Y974)*100</f>
        <v/>
      </c>
    </row>
    <row r="975">
      <c r="A975" s="29" t="n">
        <v>974</v>
      </c>
      <c r="B975" s="185" t="n">
        <v>45995</v>
      </c>
      <c r="C975" s="186" t="n">
        <v>47061596.4</v>
      </c>
      <c r="D975" s="97">
        <f>C975/E975</f>
        <v/>
      </c>
      <c r="E975" s="187" t="n">
        <v>89.837</v>
      </c>
      <c r="F975" s="97">
        <f>D975/100000</f>
        <v/>
      </c>
      <c r="H975" s="92">
        <f>K975/I975</f>
        <v/>
      </c>
      <c r="I975" s="97">
        <f>(J975/L975)*100</f>
        <v/>
      </c>
      <c r="J975" s="97">
        <f>L975/O975</f>
        <v/>
      </c>
      <c r="K975" s="97" t="n">
        <v>6.53</v>
      </c>
      <c r="L975" s="22" t="n">
        <v>26033.75</v>
      </c>
      <c r="M975" s="22" t="n">
        <v>3.54</v>
      </c>
      <c r="N975" s="97">
        <f>K975-I975</f>
        <v/>
      </c>
      <c r="O975" s="22" t="n">
        <v>22.67</v>
      </c>
      <c r="P975" s="22" t="n">
        <v>4.108</v>
      </c>
      <c r="Q975" s="177">
        <f>K975-P975</f>
        <v/>
      </c>
      <c r="R975" s="22" t="n">
        <v>98.953</v>
      </c>
      <c r="S975" s="177">
        <f>(O975*T975)</f>
        <v/>
      </c>
      <c r="T975" s="22" t="n">
        <v>5.34</v>
      </c>
      <c r="U975" s="22" t="n">
        <v>22120.75</v>
      </c>
      <c r="V975" s="22" t="n">
        <v>33</v>
      </c>
      <c r="W975" s="177">
        <f>U975/V975</f>
        <v/>
      </c>
      <c r="X975" s="177">
        <f>(W975/U975)*100</f>
        <v/>
      </c>
      <c r="Y975" s="22" t="n">
        <v>16582.9</v>
      </c>
      <c r="Z975" s="22" t="n">
        <v>28.92</v>
      </c>
      <c r="AA975" s="177">
        <f>Y975/Z975</f>
        <v/>
      </c>
      <c r="AB975" s="177">
        <f>(AA975/Y975)*100</f>
        <v/>
      </c>
    </row>
    <row r="976">
      <c r="A976" s="29" t="n">
        <v>975</v>
      </c>
      <c r="B976" s="185" t="n">
        <v>45996</v>
      </c>
      <c r="C976" s="186" t="n">
        <v>47171042.81</v>
      </c>
      <c r="D976" s="97">
        <f>C976/E976</f>
        <v/>
      </c>
      <c r="E976" s="187" t="n">
        <v>89.94499999999999</v>
      </c>
      <c r="F976" s="97">
        <f>D976/100000</f>
        <v/>
      </c>
      <c r="H976" s="92">
        <f>K976/I976</f>
        <v/>
      </c>
      <c r="I976" s="97">
        <f>(J976/L976)*100</f>
        <v/>
      </c>
      <c r="J976" s="97">
        <f>L976/O976</f>
        <v/>
      </c>
      <c r="K976" s="97" t="n">
        <v>6.5</v>
      </c>
      <c r="L976" s="22" t="n">
        <v>26186.45</v>
      </c>
      <c r="M976" s="22" t="n">
        <v>3.56</v>
      </c>
      <c r="N976" s="97">
        <f>K976-I976</f>
        <v/>
      </c>
      <c r="O976" s="22" t="n">
        <v>22.8</v>
      </c>
      <c r="P976" s="22" t="n">
        <v>4.139</v>
      </c>
      <c r="Q976" s="177">
        <f>K976-P976</f>
        <v/>
      </c>
      <c r="R976" s="22" t="n">
        <v>98.648</v>
      </c>
      <c r="S976" s="177">
        <f>(O976*T976)</f>
        <v/>
      </c>
      <c r="T976" s="22" t="n">
        <v>5.31</v>
      </c>
      <c r="U976" s="22" t="n">
        <v>22207.9</v>
      </c>
      <c r="V976" s="22" t="n">
        <v>33.13</v>
      </c>
      <c r="W976" s="177">
        <f>U976/V976</f>
        <v/>
      </c>
      <c r="X976" s="177">
        <f>(W976/U976)*100</f>
        <v/>
      </c>
      <c r="Y976" s="22" t="n">
        <v>16494.9</v>
      </c>
      <c r="Z976" s="22" t="n">
        <v>28.76</v>
      </c>
      <c r="AA976" s="177">
        <f>Y976/Z976</f>
        <v/>
      </c>
      <c r="AB976" s="177">
        <f>(AA976/Y976)*100</f>
        <v/>
      </c>
    </row>
    <row r="977">
      <c r="A977" s="29" t="n">
        <v>976</v>
      </c>
      <c r="B977" s="185" t="n">
        <v>45999</v>
      </c>
      <c r="C977" s="186" t="n">
        <v>46455202.42</v>
      </c>
      <c r="D977" s="97">
        <f>C977/E977</f>
        <v/>
      </c>
      <c r="E977" s="187" t="n">
        <v>90.13</v>
      </c>
      <c r="F977" s="97">
        <f>D977/100000</f>
        <v/>
      </c>
      <c r="H977" s="92">
        <f>K977/I977</f>
        <v/>
      </c>
      <c r="I977" s="97">
        <f>(J977/L977)*100</f>
        <v/>
      </c>
      <c r="J977" s="97">
        <f>L977/O977</f>
        <v/>
      </c>
      <c r="K977" s="97" t="n">
        <v>6.57</v>
      </c>
      <c r="L977" s="22" t="n">
        <v>25960.55</v>
      </c>
      <c r="M977" s="22" t="n">
        <v>3.53</v>
      </c>
      <c r="N977" s="97">
        <f>K977-I977</f>
        <v/>
      </c>
      <c r="O977" s="22" t="n">
        <v>22.6</v>
      </c>
      <c r="P977" s="22" t="n">
        <v>4.172</v>
      </c>
      <c r="Q977" s="177">
        <f>K977-P977</f>
        <v/>
      </c>
      <c r="R977" s="22" t="n">
        <v>98.745</v>
      </c>
      <c r="S977" s="177">
        <f>(O977*T977)</f>
        <v/>
      </c>
      <c r="T977" s="22" t="n">
        <v>5.24</v>
      </c>
      <c r="U977" s="22" t="n">
        <v>21830</v>
      </c>
      <c r="V977" s="22" t="n">
        <v>32.56</v>
      </c>
      <c r="W977" s="177">
        <f>U977/V977</f>
        <v/>
      </c>
      <c r="X977" s="177">
        <f>(W977/U977)*100</f>
        <v/>
      </c>
      <c r="Y977" s="22" t="n">
        <v>16120</v>
      </c>
      <c r="Z977" s="22" t="n">
        <v>28.11</v>
      </c>
      <c r="AA977" s="177">
        <f>Y977/Z977</f>
        <v/>
      </c>
      <c r="AB977" s="177">
        <f>(AA977/Y977)*100</f>
        <v/>
      </c>
    </row>
    <row r="978">
      <c r="A978" s="29" t="n">
        <v>977</v>
      </c>
      <c r="B978" s="185" t="n">
        <v>46000</v>
      </c>
      <c r="C978" s="186" t="n">
        <v>46566604.87</v>
      </c>
      <c r="D978" s="97">
        <f>C978/E978</f>
        <v/>
      </c>
      <c r="E978" s="187" t="n">
        <v>89.917</v>
      </c>
      <c r="F978" s="97">
        <f>D978/100000</f>
        <v/>
      </c>
      <c r="H978" s="92">
        <f>K978/I978</f>
        <v/>
      </c>
      <c r="I978" s="97">
        <f>(J978/L978)*100</f>
        <v/>
      </c>
      <c r="J978" s="97">
        <f>L978/O978</f>
        <v/>
      </c>
      <c r="K978" s="97" t="n">
        <v>6.62</v>
      </c>
      <c r="L978" s="22" t="n">
        <v>25839.65</v>
      </c>
      <c r="M978" s="22" t="n">
        <v>3.51</v>
      </c>
      <c r="N978" s="97">
        <f>K978-I978</f>
        <v/>
      </c>
      <c r="O978" s="22" t="n">
        <v>22.5</v>
      </c>
      <c r="P978" s="22" t="n">
        <v>4.186</v>
      </c>
      <c r="Q978" s="177">
        <f>K978-P978</f>
        <v/>
      </c>
      <c r="R978" s="22" t="n">
        <v>98.848</v>
      </c>
      <c r="S978" s="177">
        <f>(O978*T978)</f>
        <v/>
      </c>
      <c r="T978" s="22" t="n">
        <v>5.25</v>
      </c>
      <c r="U978" s="22" t="n">
        <v>21911</v>
      </c>
      <c r="V978" s="22" t="n">
        <v>32.69</v>
      </c>
      <c r="W978" s="177">
        <f>U978/V978</f>
        <v/>
      </c>
      <c r="X978" s="177">
        <f>(W978/U978)*100</f>
        <v/>
      </c>
      <c r="Y978" s="22" t="n">
        <v>16283.65</v>
      </c>
      <c r="Z978" s="22" t="n">
        <v>28.39</v>
      </c>
      <c r="AA978" s="177">
        <f>Y978/Z978</f>
        <v/>
      </c>
      <c r="AB978" s="177">
        <f>(AA978/Y978)*100</f>
        <v/>
      </c>
    </row>
    <row r="979">
      <c r="A979" s="29" t="n">
        <v>978</v>
      </c>
      <c r="B979" s="185" t="n">
        <v>46001</v>
      </c>
      <c r="C979" s="186" t="n">
        <v>46487939.19</v>
      </c>
      <c r="D979" s="97">
        <f>C979/E979</f>
        <v/>
      </c>
      <c r="E979" s="187" t="n">
        <v>89.79300000000001</v>
      </c>
      <c r="F979" s="97">
        <f>D979/100000</f>
        <v/>
      </c>
      <c r="H979" s="92">
        <f>K979/I979</f>
        <v/>
      </c>
      <c r="I979" s="97">
        <f>(J979/L979)*100</f>
        <v/>
      </c>
      <c r="J979" s="97">
        <f>L979/O979</f>
        <v/>
      </c>
      <c r="K979" s="97" t="n">
        <v>6.66</v>
      </c>
      <c r="L979" s="22" t="n">
        <v>25758</v>
      </c>
      <c r="M979" s="22" t="n">
        <v>3.5</v>
      </c>
      <c r="N979" s="97">
        <f>K979-I979</f>
        <v/>
      </c>
      <c r="O979" s="22" t="n">
        <v>22.43</v>
      </c>
      <c r="P979" s="22" t="n">
        <v>4.164</v>
      </c>
      <c r="Q979" s="177">
        <f>K979-P979</f>
        <v/>
      </c>
      <c r="R979" s="22" t="n">
        <v>98.426</v>
      </c>
      <c r="S979" s="177">
        <f>(O979*T979)</f>
        <v/>
      </c>
      <c r="T979" s="22" t="n">
        <v>5.28</v>
      </c>
      <c r="U979" s="22" t="n">
        <v>21707.9</v>
      </c>
      <c r="V979" s="22" t="n">
        <v>32.37</v>
      </c>
      <c r="W979" s="177">
        <f>U979/V979</f>
        <v/>
      </c>
      <c r="X979" s="177">
        <f>(W979/U979)*100</f>
        <v/>
      </c>
      <c r="Y979" s="22" t="n">
        <v>16168</v>
      </c>
      <c r="Z979" s="22" t="n">
        <v>28.19</v>
      </c>
      <c r="AA979" s="177">
        <f>Y979/Z979</f>
        <v/>
      </c>
      <c r="AB979" s="177">
        <f>(AA979/Y979)*100</f>
        <v/>
      </c>
    </row>
    <row r="980">
      <c r="A980" s="29" t="n">
        <v>979</v>
      </c>
      <c r="B980" s="185" t="n">
        <v>46002</v>
      </c>
      <c r="C980" s="186" t="n">
        <v>46734773.46</v>
      </c>
      <c r="D980" s="97">
        <f>C980/E980</f>
        <v/>
      </c>
      <c r="E980" s="187" t="n">
        <v>90.251</v>
      </c>
      <c r="F980" s="97">
        <f>D980/100000</f>
        <v/>
      </c>
      <c r="H980" s="92">
        <f>K980/I980</f>
        <v/>
      </c>
      <c r="I980" s="97">
        <f>(J980/L980)*100</f>
        <v/>
      </c>
      <c r="J980" s="97">
        <f>L980/O980</f>
        <v/>
      </c>
      <c r="K980" s="97" t="n">
        <v>6.61</v>
      </c>
      <c r="L980" s="22" t="n">
        <v>25898.55</v>
      </c>
      <c r="M980" s="22" t="n">
        <v>3.52</v>
      </c>
      <c r="N980" s="97">
        <f>K980-I980</f>
        <v/>
      </c>
      <c r="O980" s="22" t="n">
        <v>22.55</v>
      </c>
      <c r="P980" s="22" t="n">
        <v>4.141</v>
      </c>
      <c r="Q980" s="177">
        <f>K980-P980</f>
        <v/>
      </c>
      <c r="R980" s="22" t="n">
        <v>98.34399999999999</v>
      </c>
      <c r="S980" s="177">
        <f>(O980*T980)</f>
        <v/>
      </c>
      <c r="T980" s="22" t="n">
        <v>5.27</v>
      </c>
      <c r="U980" s="22" t="n">
        <v>21893.25</v>
      </c>
      <c r="V980" s="22" t="n">
        <v>32.65</v>
      </c>
      <c r="W980" s="177">
        <f>U980/V980</f>
        <v/>
      </c>
      <c r="X980" s="177">
        <f>(W980/U980)*100</f>
        <v/>
      </c>
      <c r="Y980" s="22" t="n">
        <v>16261.35</v>
      </c>
      <c r="Z980" s="22" t="n">
        <v>28.35</v>
      </c>
      <c r="AA980" s="177">
        <f>Y980/Z980</f>
        <v/>
      </c>
      <c r="AB980" s="177">
        <f>(AA980/Y980)*100</f>
        <v/>
      </c>
    </row>
    <row r="981">
      <c r="A981" s="29" t="n">
        <v>980</v>
      </c>
      <c r="B981" s="185" t="n">
        <v>46003</v>
      </c>
      <c r="C981" s="186" t="n">
        <v>47101751.53</v>
      </c>
      <c r="D981" s="97">
        <f>C981/E981</f>
        <v/>
      </c>
      <c r="E981" s="187" t="n">
        <v>90.584</v>
      </c>
      <c r="F981" s="97">
        <f>D981/100000</f>
        <v/>
      </c>
      <c r="H981" s="92">
        <f>K981/I981</f>
        <v/>
      </c>
      <c r="I981" s="97">
        <f>(J981/L981)*100</f>
        <v/>
      </c>
      <c r="J981" s="97">
        <f>L981/O981</f>
        <v/>
      </c>
      <c r="K981" s="97" t="n">
        <v>6.6</v>
      </c>
      <c r="L981" s="22" t="n">
        <v>26046.95</v>
      </c>
      <c r="M981" s="22" t="n">
        <v>3.54</v>
      </c>
      <c r="N981" s="97">
        <f>K981-I981</f>
        <v/>
      </c>
      <c r="O981" s="22" t="n">
        <v>22.68</v>
      </c>
      <c r="P981" s="22" t="n">
        <v>4.196</v>
      </c>
      <c r="Q981" s="177">
        <f>K981-P981</f>
        <v/>
      </c>
      <c r="R981" s="22" t="n">
        <v>98.39400000000001</v>
      </c>
      <c r="S981" s="177">
        <f>(O981*T981)</f>
        <v/>
      </c>
      <c r="T981" s="22" t="n">
        <v>5.27</v>
      </c>
      <c r="U981" s="22" t="n">
        <v>22152.1</v>
      </c>
      <c r="V981" s="22" t="n">
        <v>33.04</v>
      </c>
      <c r="W981" s="177">
        <f>U981/V981</f>
        <v/>
      </c>
      <c r="X981" s="177">
        <f>(W981/U981)*100</f>
        <v/>
      </c>
      <c r="Y981" s="22" t="n">
        <v>16396.85</v>
      </c>
      <c r="Z981" s="22" t="n">
        <v>28.59</v>
      </c>
      <c r="AA981" s="177">
        <f>Y981/Z981</f>
        <v/>
      </c>
      <c r="AB981" s="177">
        <f>(AA981/Y981)*100</f>
        <v/>
      </c>
    </row>
    <row r="982">
      <c r="A982" s="29" t="n">
        <v>981</v>
      </c>
      <c r="B982" s="185" t="n">
        <v>46006</v>
      </c>
      <c r="C982" s="186" t="n">
        <v>47141731.78</v>
      </c>
      <c r="D982" s="97">
        <f>C982/E982</f>
        <v/>
      </c>
      <c r="E982" s="187" t="n">
        <v>90.77500000000001</v>
      </c>
      <c r="F982" s="97">
        <f>D982/100000</f>
        <v/>
      </c>
      <c r="H982" s="92">
        <f>K982/I982</f>
        <v/>
      </c>
      <c r="I982" s="97">
        <f>(J982/L982)*100</f>
        <v/>
      </c>
      <c r="J982" s="97">
        <f>L982/O982</f>
        <v/>
      </c>
      <c r="K982" s="97" t="n">
        <v>6.59</v>
      </c>
      <c r="L982" s="22" t="n">
        <v>26027.3</v>
      </c>
      <c r="M982" s="22" t="n">
        <v>3.54</v>
      </c>
      <c r="N982" s="97">
        <f>K982-I982</f>
        <v/>
      </c>
      <c r="O982" s="22" t="n">
        <v>22.66</v>
      </c>
      <c r="P982" s="22" t="n">
        <v>4.182</v>
      </c>
      <c r="Q982" s="177">
        <f>K982-P982</f>
        <v/>
      </c>
      <c r="R982" s="22" t="n">
        <v>98.16800000000001</v>
      </c>
      <c r="S982" s="177">
        <f>(O982*T982)</f>
        <v/>
      </c>
      <c r="T982" s="22" t="n">
        <v>5.34</v>
      </c>
      <c r="U982" s="22" t="n">
        <v>22136.8</v>
      </c>
      <c r="V982" s="22" t="n">
        <v>33.01</v>
      </c>
      <c r="W982" s="177">
        <f>U982/V982</f>
        <v/>
      </c>
      <c r="X982" s="177">
        <f>(W982/U982)*100</f>
        <v/>
      </c>
      <c r="Y982" s="22" t="n">
        <v>16455.45</v>
      </c>
      <c r="Z982" s="22" t="n">
        <v>28.59</v>
      </c>
      <c r="AA982" s="177">
        <f>Y982/Z982</f>
        <v/>
      </c>
      <c r="AB982" s="177">
        <f>(AA982/Y982)*100</f>
        <v/>
      </c>
    </row>
    <row r="983">
      <c r="A983" s="29" t="n">
        <v>982</v>
      </c>
      <c r="B983" s="185" t="n">
        <v>46007</v>
      </c>
      <c r="C983" s="186" t="n">
        <v>46836828.67</v>
      </c>
      <c r="D983" s="97">
        <f>C983/E983</f>
        <v/>
      </c>
      <c r="E983" s="187" t="n">
        <v>90.949</v>
      </c>
      <c r="F983" s="97">
        <f>D983/100000</f>
        <v/>
      </c>
      <c r="H983" s="92">
        <f>K983/I983</f>
        <v/>
      </c>
      <c r="I983" s="97">
        <f>(J983/L983)*100</f>
        <v/>
      </c>
      <c r="J983" s="97">
        <f>L983/O983</f>
        <v/>
      </c>
      <c r="K983" s="97" t="n">
        <v>6.57</v>
      </c>
      <c r="L983" s="22" t="n">
        <v>25860.1</v>
      </c>
      <c r="M983" s="22" t="n">
        <v>3.52</v>
      </c>
      <c r="N983" s="97">
        <f>K983-I983</f>
        <v/>
      </c>
      <c r="O983" s="22" t="n">
        <v>22.51</v>
      </c>
      <c r="P983" s="22" t="n">
        <v>4.149</v>
      </c>
      <c r="Q983" s="177">
        <f>K983-P983</f>
        <v/>
      </c>
      <c r="R983" s="22" t="n">
        <v>97.794</v>
      </c>
      <c r="S983" s="177">
        <f>(O983*T983)</f>
        <v/>
      </c>
      <c r="T983" s="22" t="n">
        <v>5.31</v>
      </c>
      <c r="U983" s="22" t="n">
        <v>21966.15</v>
      </c>
      <c r="V983" s="22" t="n">
        <v>32.76</v>
      </c>
      <c r="W983" s="177">
        <f>U983/V983</f>
        <v/>
      </c>
      <c r="X983" s="177">
        <f>(W983/U983)*100</f>
        <v/>
      </c>
      <c r="Y983" s="22" t="n">
        <v>16328.25</v>
      </c>
      <c r="Z983" s="22" t="n">
        <v>28.37</v>
      </c>
      <c r="AA983" s="177">
        <f>Y983/Z983</f>
        <v/>
      </c>
      <c r="AB983" s="177">
        <f>(AA983/Y983)*100</f>
        <v/>
      </c>
    </row>
    <row r="984">
      <c r="A984" s="29" t="n">
        <v>983</v>
      </c>
      <c r="B984" s="185" t="n">
        <v>46008</v>
      </c>
      <c r="C984" s="186" t="n">
        <v>46688200.53</v>
      </c>
      <c r="D984" s="97">
        <f>C984/E984</f>
        <v/>
      </c>
      <c r="E984" s="187" t="n">
        <v>90.40900000000001</v>
      </c>
      <c r="F984" s="97">
        <f>D984/100000</f>
        <v/>
      </c>
      <c r="H984" s="92">
        <f>K984/I984</f>
        <v/>
      </c>
      <c r="I984" s="97">
        <f>(J984/L984)*100</f>
        <v/>
      </c>
      <c r="J984" s="97">
        <f>L984/O984</f>
        <v/>
      </c>
      <c r="K984" s="97" t="n">
        <v>6.6</v>
      </c>
      <c r="L984" s="22" t="n">
        <v>25818.55</v>
      </c>
      <c r="M984" s="22" t="n">
        <v>3.51</v>
      </c>
      <c r="N984" s="97">
        <f>K984-I984</f>
        <v/>
      </c>
      <c r="O984" s="22" t="n">
        <v>22.48</v>
      </c>
      <c r="P984" s="22" t="n">
        <v>4.151</v>
      </c>
      <c r="Q984" s="177">
        <f>K984-P984</f>
        <v/>
      </c>
      <c r="R984" s="22" t="n">
        <v>98.002</v>
      </c>
      <c r="S984" s="177">
        <f>(O984*T984)</f>
        <v/>
      </c>
      <c r="T984" s="22" t="n">
        <v>5.27</v>
      </c>
      <c r="U984" s="22" t="n">
        <v>21846.25</v>
      </c>
      <c r="V984" s="22" t="n">
        <v>32.52</v>
      </c>
      <c r="W984" s="177">
        <f>U984/V984</f>
        <v/>
      </c>
      <c r="X984" s="177">
        <f>(W984/U984)*100</f>
        <v/>
      </c>
      <c r="Y984" s="22" t="n">
        <v>16210.7</v>
      </c>
      <c r="Z984" s="22" t="n">
        <v>28.17</v>
      </c>
      <c r="AA984" s="177">
        <f>Y984/Z984</f>
        <v/>
      </c>
      <c r="AB984" s="177">
        <f>(AA984/Y984)*100</f>
        <v/>
      </c>
    </row>
    <row r="985">
      <c r="A985" s="29" t="n">
        <v>984</v>
      </c>
      <c r="B985" s="185" t="n">
        <v>46009</v>
      </c>
      <c r="C985" s="186" t="n">
        <v>46651000.69</v>
      </c>
      <c r="D985" s="97">
        <f>C985/E985</f>
        <v/>
      </c>
      <c r="E985" s="187" t="n">
        <v>90.267</v>
      </c>
      <c r="F985" s="97">
        <f>D985/100000</f>
        <v/>
      </c>
      <c r="H985" s="92">
        <f>K985/I985</f>
        <v/>
      </c>
      <c r="I985" s="97">
        <f>(J985/L985)*100</f>
        <v/>
      </c>
      <c r="J985" s="97">
        <f>L985/O985</f>
        <v/>
      </c>
      <c r="K985" s="97" t="n">
        <v>6.57</v>
      </c>
      <c r="L985" s="22" t="n">
        <v>25815.55</v>
      </c>
      <c r="M985" s="22" t="n">
        <v>3.51</v>
      </c>
      <c r="N985" s="97">
        <f>K985-I985</f>
        <v/>
      </c>
      <c r="O985" s="22" t="n">
        <v>22.48</v>
      </c>
      <c r="P985" s="22" t="n">
        <v>4.116</v>
      </c>
      <c r="Q985" s="177">
        <f>K985-P985</f>
        <v/>
      </c>
      <c r="R985" s="22" t="n">
        <v>98.08799999999999</v>
      </c>
      <c r="S985" s="177">
        <f>(O985*T985)</f>
        <v/>
      </c>
      <c r="T985" s="22" t="n">
        <v>5.28</v>
      </c>
      <c r="U985" s="22" t="n">
        <v>21892.75</v>
      </c>
      <c r="V985" s="22" t="n">
        <v>32.59</v>
      </c>
      <c r="W985" s="177">
        <f>U985/V985</f>
        <v/>
      </c>
      <c r="X985" s="177">
        <f>(W985/U985)*100</f>
        <v/>
      </c>
      <c r="Y985" s="22" t="n">
        <v>16192.15</v>
      </c>
      <c r="Z985" s="22" t="n">
        <v>28.14</v>
      </c>
      <c r="AA985" s="177">
        <f>Y985/Z985</f>
        <v/>
      </c>
      <c r="AB985" s="177">
        <f>(AA985/Y985)*100</f>
        <v/>
      </c>
    </row>
    <row r="986">
      <c r="A986" s="29" t="n">
        <v>985</v>
      </c>
      <c r="B986" s="185" t="n">
        <v>46010</v>
      </c>
      <c r="C986" s="186" t="n">
        <v>47194825.63</v>
      </c>
      <c r="D986" s="97">
        <f>C986/E986</f>
        <v/>
      </c>
      <c r="E986" s="187" t="n">
        <v>89.577</v>
      </c>
      <c r="F986" s="97">
        <f>D986/100000</f>
        <v/>
      </c>
      <c r="H986" s="92">
        <f>K986/I986</f>
        <v/>
      </c>
      <c r="I986" s="97">
        <f>(J986/L986)*100</f>
        <v/>
      </c>
      <c r="J986" s="97">
        <f>L986/O986</f>
        <v/>
      </c>
      <c r="K986" s="97" t="n">
        <v>6.61</v>
      </c>
      <c r="L986" s="22" t="n">
        <v>25966.4</v>
      </c>
      <c r="M986" s="22" t="n">
        <v>3.53</v>
      </c>
      <c r="N986" s="97">
        <f>K986-I986</f>
        <v/>
      </c>
      <c r="O986" s="22" t="n">
        <v>22.61</v>
      </c>
      <c r="P986" s="22" t="n">
        <v>4.151</v>
      </c>
      <c r="Q986" s="177">
        <f>K986-P986</f>
        <v/>
      </c>
      <c r="R986" s="22" t="n">
        <v>98.252</v>
      </c>
      <c r="S986" s="177">
        <f>(O986*T986)</f>
        <v/>
      </c>
      <c r="T986" s="22" t="n">
        <v>5.26</v>
      </c>
      <c r="U986" s="22" t="n">
        <v>22146.15</v>
      </c>
      <c r="V986" s="22" t="n">
        <v>32.97</v>
      </c>
      <c r="W986" s="177">
        <f>U986/V986</f>
        <v/>
      </c>
      <c r="X986" s="177">
        <f>(W986/U986)*100</f>
        <v/>
      </c>
      <c r="Y986" s="22" t="n">
        <v>16407.7</v>
      </c>
      <c r="Z986" s="22" t="n">
        <v>28.51</v>
      </c>
      <c r="AA986" s="177">
        <f>Y986/Z986</f>
        <v/>
      </c>
      <c r="AB986" s="177">
        <f>(AA986/Y986)*100</f>
        <v/>
      </c>
    </row>
    <row r="987">
      <c r="A987" s="29" t="n">
        <v>986</v>
      </c>
      <c r="B987" s="185" t="n">
        <v>46013</v>
      </c>
      <c r="C987" s="186" t="n">
        <v>47580340.37</v>
      </c>
      <c r="D987" s="97">
        <f>C987/E987</f>
        <v/>
      </c>
      <c r="E987" s="187" t="n">
        <v>89.604</v>
      </c>
      <c r="F987" s="97">
        <f>D987/100000</f>
        <v/>
      </c>
      <c r="H987" s="92">
        <f>K987/I987</f>
        <v/>
      </c>
      <c r="I987" s="97">
        <f>(J987/L987)*100</f>
        <v/>
      </c>
      <c r="J987" s="97">
        <f>L987/O987</f>
        <v/>
      </c>
      <c r="K987" s="97" t="n">
        <v>6.67</v>
      </c>
      <c r="L987" s="22" t="n">
        <v>26172.4</v>
      </c>
      <c r="M987" s="22" t="n">
        <v>3.56</v>
      </c>
      <c r="N987" s="97">
        <f>K987-I987</f>
        <v/>
      </c>
      <c r="O987" s="22" t="n">
        <v>22.79</v>
      </c>
      <c r="P987" s="22" t="n">
        <v>4.171</v>
      </c>
      <c r="Q987" s="177">
        <f>K987-P987</f>
        <v/>
      </c>
      <c r="R987" s="22" t="n">
        <v>97.95399999999999</v>
      </c>
      <c r="S987" s="177">
        <f>(O987*T987)</f>
        <v/>
      </c>
      <c r="T987" s="22" t="n">
        <v>5.45</v>
      </c>
      <c r="U987" s="22" t="n">
        <v>22328.95</v>
      </c>
      <c r="V987" s="22" t="n">
        <v>33.24</v>
      </c>
      <c r="W987" s="177">
        <f>U987/V987</f>
        <v/>
      </c>
      <c r="X987" s="177">
        <f>(W987/U987)*100</f>
        <v/>
      </c>
      <c r="Y987" s="22" t="n">
        <v>16565.7</v>
      </c>
      <c r="Z987" s="22" t="n">
        <v>28.79</v>
      </c>
      <c r="AA987" s="177">
        <f>Y987/Z987</f>
        <v/>
      </c>
      <c r="AB987" s="177">
        <f>(AA987/Y987)*100</f>
        <v/>
      </c>
    </row>
    <row r="988">
      <c r="A988" s="29" t="n">
        <v>987</v>
      </c>
      <c r="B988" s="185" t="n">
        <v>46014</v>
      </c>
      <c r="C988" s="186" t="n">
        <v>47655341.89</v>
      </c>
      <c r="D988" s="97">
        <f>C988/E988</f>
        <v/>
      </c>
      <c r="E988" s="187" t="n">
        <v>89.43600000000001</v>
      </c>
      <c r="F988" s="97">
        <f>D988/100000</f>
        <v/>
      </c>
      <c r="H988" s="92">
        <f>K988/I988</f>
        <v/>
      </c>
      <c r="I988" s="97">
        <f>(J988/L988)*100</f>
        <v/>
      </c>
      <c r="J988" s="97">
        <f>L988/O988</f>
        <v/>
      </c>
      <c r="K988" s="97" t="n">
        <v>6.64</v>
      </c>
      <c r="L988" s="22" t="n">
        <v>26177.15</v>
      </c>
      <c r="M988" s="22" t="n">
        <v>3.56</v>
      </c>
      <c r="N988" s="97">
        <f>K988-I988</f>
        <v/>
      </c>
      <c r="O988" s="22" t="n">
        <v>22.79</v>
      </c>
      <c r="P988" s="22" t="n">
        <v>4.169</v>
      </c>
      <c r="Q988" s="177">
        <f>K988-P988</f>
        <v/>
      </c>
      <c r="R988" s="22" t="n">
        <v>97.613</v>
      </c>
      <c r="S988" s="177">
        <f>(O988*T988)</f>
        <v/>
      </c>
      <c r="T988" s="22" t="n">
        <v>5.25</v>
      </c>
      <c r="U988" s="22" t="n">
        <v>22353.5</v>
      </c>
      <c r="V988" s="22" t="n">
        <v>33.28</v>
      </c>
      <c r="W988" s="177">
        <f>U988/V988</f>
        <v/>
      </c>
      <c r="X988" s="177">
        <f>(W988/U988)*100</f>
        <v/>
      </c>
      <c r="Y988" s="22" t="n">
        <v>16635</v>
      </c>
      <c r="Z988" s="22" t="n">
        <v>28.91</v>
      </c>
      <c r="AA988" s="177">
        <f>Y988/Z988</f>
        <v/>
      </c>
      <c r="AB988" s="177">
        <f>(AA988/Y988)*100</f>
        <v/>
      </c>
    </row>
    <row r="989">
      <c r="A989" s="29" t="n">
        <v>988</v>
      </c>
      <c r="B989" s="185" t="n">
        <v>46015</v>
      </c>
      <c r="C989" s="186" t="n">
        <v>47582511.31</v>
      </c>
      <c r="D989" s="97">
        <f>C989/E989</f>
        <v/>
      </c>
      <c r="E989" s="187" t="n">
        <v>89.81399999999999</v>
      </c>
      <c r="F989" s="97">
        <f>D989/100000</f>
        <v/>
      </c>
      <c r="H989" s="92">
        <f>K989/I989</f>
        <v/>
      </c>
      <c r="I989" s="97">
        <f>(J989/L989)*100</f>
        <v/>
      </c>
      <c r="J989" s="97">
        <f>L989/O989</f>
        <v/>
      </c>
      <c r="K989" s="97" t="n">
        <v>6.54</v>
      </c>
      <c r="L989" s="22" t="n">
        <v>26142.1</v>
      </c>
      <c r="M989" s="22" t="n">
        <v>3.55</v>
      </c>
      <c r="N989" s="97">
        <f>K989-I989</f>
        <v/>
      </c>
      <c r="O989" s="22" t="n">
        <v>22.76</v>
      </c>
      <c r="P989" s="22" t="n">
        <v>4.134</v>
      </c>
      <c r="Q989" s="177">
        <f>K989-P989</f>
        <v/>
      </c>
      <c r="R989" s="22" t="n">
        <v>97.681</v>
      </c>
      <c r="S989" s="177">
        <f>(O989*T989)</f>
        <v/>
      </c>
      <c r="T989" s="22" t="n">
        <v>5.24</v>
      </c>
      <c r="U989" s="22" t="n">
        <v>22247.35</v>
      </c>
      <c r="V989" s="22" t="n">
        <v>33.12</v>
      </c>
      <c r="W989" s="177">
        <f>U989/V989</f>
        <v/>
      </c>
      <c r="X989" s="177">
        <f>(W989/U989)*100</f>
        <v/>
      </c>
      <c r="Y989" s="22" t="n">
        <v>16644.75</v>
      </c>
      <c r="Z989" s="22" t="n">
        <v>28.92</v>
      </c>
      <c r="AA989" s="177">
        <f>Y989/Z989</f>
        <v/>
      </c>
      <c r="AB989" s="177">
        <f>(AA989/Y989)*100</f>
        <v/>
      </c>
    </row>
    <row r="990">
      <c r="A990" s="29" t="n">
        <v>989</v>
      </c>
      <c r="B990" s="185" t="n">
        <v>46017</v>
      </c>
      <c r="C990" s="186" t="n">
        <v>47480489.48</v>
      </c>
      <c r="D990" s="97">
        <f>C990/E990</f>
        <v/>
      </c>
      <c r="E990" s="187" t="n">
        <v>89.79600000000001</v>
      </c>
      <c r="F990" s="97">
        <f>D990/100000</f>
        <v/>
      </c>
      <c r="H990" s="92">
        <f>K990/I990</f>
        <v/>
      </c>
      <c r="I990" s="97">
        <f>(J990/L990)*100</f>
        <v/>
      </c>
      <c r="J990" s="97">
        <f>L990/O990</f>
        <v/>
      </c>
      <c r="K990" s="97" t="n">
        <v>6.56</v>
      </c>
      <c r="L990" s="22" t="n">
        <v>26042.3</v>
      </c>
      <c r="M990" s="22" t="n">
        <v>3.54</v>
      </c>
      <c r="N990" s="97">
        <f>K990-I990</f>
        <v/>
      </c>
      <c r="O990" s="22" t="n">
        <v>22.67</v>
      </c>
      <c r="P990" s="22" t="n">
        <v>4.134</v>
      </c>
      <c r="Q990" s="177">
        <f>K990-P990</f>
        <v/>
      </c>
      <c r="R990" s="22" t="n">
        <v>97.69799999999999</v>
      </c>
      <c r="S990" s="177">
        <f>(O990*T990)</f>
        <v/>
      </c>
      <c r="T990" s="22" t="n">
        <v>5.29</v>
      </c>
      <c r="U990" s="22" t="n">
        <v>22190.75</v>
      </c>
      <c r="V990" s="22" t="n">
        <v>33.03</v>
      </c>
      <c r="W990" s="177">
        <f>U990/V990</f>
        <v/>
      </c>
      <c r="X990" s="177">
        <f>(W990/U990)*100</f>
        <v/>
      </c>
      <c r="Y990" s="22" t="n">
        <v>16614.05</v>
      </c>
      <c r="Z990" s="22" t="n">
        <v>28.87</v>
      </c>
      <c r="AA990" s="177">
        <f>Y990/Z990</f>
        <v/>
      </c>
      <c r="AB990" s="177">
        <f>(AA990/Y990)*100</f>
        <v/>
      </c>
    </row>
    <row r="991">
      <c r="A991" s="29" t="n">
        <v>990</v>
      </c>
      <c r="B991" s="185" t="n">
        <v>46020</v>
      </c>
      <c r="C991" s="186" t="n">
        <v>47253019.13</v>
      </c>
      <c r="D991" s="97">
        <f>C991/E991</f>
        <v/>
      </c>
      <c r="E991" s="187" t="n">
        <v>89.90000000000001</v>
      </c>
      <c r="F991" s="97">
        <f>D991/100000</f>
        <v/>
      </c>
      <c r="H991" s="92">
        <f>K991/I991</f>
        <v/>
      </c>
      <c r="I991" s="97">
        <f>(J991/L991)*100</f>
        <v/>
      </c>
      <c r="J991" s="97">
        <f>L991/O991</f>
        <v/>
      </c>
      <c r="K991" s="97" t="n">
        <v>6.6</v>
      </c>
      <c r="L991" s="22" t="n">
        <v>25942.1</v>
      </c>
      <c r="M991" s="22" t="n">
        <v>3.53</v>
      </c>
      <c r="N991" s="97">
        <f>K991-I991</f>
        <v/>
      </c>
      <c r="O991" s="22" t="n">
        <v>22.59</v>
      </c>
      <c r="P991" s="22" t="n">
        <v>4.116</v>
      </c>
      <c r="Q991" s="177">
        <f>K991-P991</f>
        <v/>
      </c>
      <c r="R991" s="22" t="n">
        <v>97.732</v>
      </c>
      <c r="S991" s="177">
        <f>(O991*T991)</f>
        <v/>
      </c>
      <c r="T991" s="22" t="n">
        <v>5.25</v>
      </c>
      <c r="U991" s="22" t="n">
        <v>22100.95</v>
      </c>
      <c r="V991" s="22" t="n">
        <v>32.9</v>
      </c>
      <c r="W991" s="177">
        <f>U991/V991</f>
        <v/>
      </c>
      <c r="X991" s="177">
        <f>(W991/U991)*100</f>
        <v/>
      </c>
      <c r="Y991" s="22" t="n">
        <v>16525.6</v>
      </c>
      <c r="Z991" s="22" t="n">
        <v>28.72</v>
      </c>
      <c r="AA991" s="177">
        <f>Y991/Z991</f>
        <v/>
      </c>
      <c r="AB991" s="177">
        <f>(AA991/Y991)*100</f>
        <v/>
      </c>
    </row>
    <row r="992">
      <c r="A992" s="29" t="n">
        <v>991</v>
      </c>
      <c r="B992" s="185" t="n">
        <v>46021</v>
      </c>
      <c r="C992" s="186" t="n">
        <v>47251136.88</v>
      </c>
      <c r="D992" s="97">
        <f>C992/E992</f>
        <v/>
      </c>
      <c r="E992" s="187" t="n">
        <v>89.77</v>
      </c>
      <c r="F992" s="97">
        <f>D992/100000</f>
        <v/>
      </c>
      <c r="H992" s="92">
        <f>K992/I992</f>
        <v/>
      </c>
      <c r="I992" s="97">
        <f>(J992/L992)*100</f>
        <v/>
      </c>
      <c r="J992" s="97">
        <f>L992/O992</f>
        <v/>
      </c>
      <c r="K992" s="97" t="n">
        <v>6.58</v>
      </c>
      <c r="L992" s="22" t="n">
        <v>25938.85</v>
      </c>
      <c r="M992" s="22" t="n">
        <v>3.53</v>
      </c>
      <c r="N992" s="97">
        <f>K992-I992</f>
        <v/>
      </c>
      <c r="O992" s="22" t="n">
        <v>22.58</v>
      </c>
      <c r="P992" s="22" t="n">
        <v>4.128</v>
      </c>
      <c r="Q992" s="177">
        <f>K992-P992</f>
        <v/>
      </c>
      <c r="R992" s="22" t="n">
        <v>97.955</v>
      </c>
      <c r="S992" s="177">
        <f>(O992*T992)</f>
        <v/>
      </c>
      <c r="T992" s="22" t="n">
        <v>5.3</v>
      </c>
      <c r="U992" s="22" t="n">
        <v>22061.9</v>
      </c>
      <c r="V992" s="22" t="n">
        <v>32.84</v>
      </c>
      <c r="W992" s="177">
        <f>U992/V992</f>
        <v/>
      </c>
      <c r="X992" s="177">
        <f>(W992/U992)*100</f>
        <v/>
      </c>
      <c r="Y992" s="22" t="n">
        <v>16491.9</v>
      </c>
      <c r="Z992" s="22" t="n">
        <v>28.66</v>
      </c>
      <c r="AA992" s="177">
        <f>Y992/Z992</f>
        <v/>
      </c>
      <c r="AB992" s="177">
        <f>(AA992/Y992)*100</f>
        <v/>
      </c>
    </row>
    <row r="993">
      <c r="A993" s="29" t="n">
        <v>992</v>
      </c>
      <c r="B993" s="185" t="n">
        <v>46022</v>
      </c>
      <c r="C993" s="186" t="n">
        <v>47668989.3</v>
      </c>
      <c r="D993" s="97">
        <f>C993/E993</f>
        <v/>
      </c>
      <c r="E993" s="187" t="n">
        <v>89.871</v>
      </c>
      <c r="F993" s="97">
        <f>D993/100000</f>
        <v/>
      </c>
      <c r="H993" s="92">
        <f>K993/I993</f>
        <v/>
      </c>
      <c r="I993" s="97">
        <f>(J993/L993)*100</f>
        <v/>
      </c>
      <c r="J993" s="97">
        <f>L993/O993</f>
        <v/>
      </c>
      <c r="K993" s="97" t="n">
        <v>6.59</v>
      </c>
      <c r="L993" s="22" t="n">
        <v>26129.6</v>
      </c>
      <c r="M993" s="22" t="n">
        <v>3.55</v>
      </c>
      <c r="N993" s="97">
        <f>K993-I993</f>
        <v/>
      </c>
      <c r="O993" s="22" t="n">
        <v>22.75</v>
      </c>
      <c r="P993" s="22" t="n">
        <v>4.153</v>
      </c>
      <c r="Q993" s="177">
        <f>K993-P993</f>
        <v/>
      </c>
      <c r="R993" s="22" t="n">
        <v>98.047</v>
      </c>
      <c r="S993" s="177">
        <f>(O993*T993)</f>
        <v/>
      </c>
      <c r="T993" s="22" t="n">
        <v>5.29</v>
      </c>
      <c r="U993" s="22" t="n">
        <v>22276.9</v>
      </c>
      <c r="V993" s="22" t="n">
        <v>33.56</v>
      </c>
      <c r="W993" s="177">
        <f>U993/V993</f>
        <v/>
      </c>
      <c r="X993" s="177">
        <f>(W993/U993)*100</f>
        <v/>
      </c>
      <c r="Y993" s="22" t="n">
        <v>16684.75</v>
      </c>
      <c r="Z993" s="22" t="n">
        <v>29.38</v>
      </c>
      <c r="AA993" s="177">
        <f>Y993/Z993</f>
        <v/>
      </c>
      <c r="AB993" s="177">
        <f>(AA993/Y993)*100</f>
        <v/>
      </c>
    </row>
    <row r="994">
      <c r="A994" s="29" t="n">
        <v>993</v>
      </c>
      <c r="B994" s="185" t="n">
        <v>46023</v>
      </c>
      <c r="C994" s="186" t="n">
        <v>47771819.3</v>
      </c>
      <c r="D994" s="97">
        <f>C994/E994</f>
        <v/>
      </c>
      <c r="E994" s="187" t="n">
        <v>89.968</v>
      </c>
      <c r="F994" s="97">
        <f>D994/100000</f>
        <v/>
      </c>
      <c r="H994" s="92">
        <f>K994/I994</f>
        <v/>
      </c>
      <c r="I994" s="97">
        <f>(J994/L994)*100</f>
        <v/>
      </c>
      <c r="J994" s="97">
        <f>L994/O994</f>
        <v/>
      </c>
      <c r="K994" s="97" t="n">
        <v>6.58</v>
      </c>
      <c r="L994" s="22" t="n">
        <v>26146.55</v>
      </c>
      <c r="M994" s="22" t="n">
        <v>3.56</v>
      </c>
      <c r="N994" s="97">
        <f>K994-I994</f>
        <v/>
      </c>
      <c r="O994" s="22" t="n">
        <v>22.76</v>
      </c>
      <c r="P994" s="22" t="n">
        <v>4.175</v>
      </c>
      <c r="Q994" s="177">
        <f>K994-P994</f>
        <v/>
      </c>
      <c r="R994" s="22" t="n">
        <v>98.158</v>
      </c>
      <c r="S994" s="177">
        <f>(O994*T994)</f>
        <v/>
      </c>
      <c r="T994" s="22" t="n">
        <v>5.25</v>
      </c>
      <c r="U994" s="22" t="n">
        <v>22369.15</v>
      </c>
      <c r="V994" s="22" t="n">
        <v>33.7</v>
      </c>
      <c r="W994" s="177">
        <f>U994/V994</f>
        <v/>
      </c>
      <c r="X994" s="177">
        <f>(W994/U994)*100</f>
        <v/>
      </c>
      <c r="Y994" s="22" t="n">
        <v>16667.9</v>
      </c>
      <c r="Z994" s="22" t="n">
        <v>29.35</v>
      </c>
      <c r="AA994" s="177">
        <f>Y994/Z994</f>
        <v/>
      </c>
      <c r="AB994" s="177">
        <f>(AA994/Y994)*100</f>
        <v/>
      </c>
    </row>
    <row r="995">
      <c r="A995" s="29" t="n">
        <v>994</v>
      </c>
      <c r="B995" s="185" t="n">
        <v>46024</v>
      </c>
      <c r="C995" s="186" t="n">
        <v>48201715.67</v>
      </c>
      <c r="D995" s="97">
        <f>C995/E995</f>
        <v/>
      </c>
      <c r="E995" s="187" t="n">
        <v>90.014</v>
      </c>
      <c r="F995" s="97">
        <f>D995/100000</f>
        <v/>
      </c>
      <c r="H995" s="92">
        <f>K995/I995</f>
        <v/>
      </c>
      <c r="I995" s="97">
        <f>(J995/L995)*100</f>
        <v/>
      </c>
      <c r="J995" s="97">
        <f>L995/O995</f>
        <v/>
      </c>
      <c r="K995" s="97" t="n">
        <v>6.61</v>
      </c>
      <c r="L995" s="22" t="n">
        <v>26328.55</v>
      </c>
      <c r="M995" s="22" t="n">
        <v>3.58</v>
      </c>
      <c r="N995" s="97">
        <f>K995-I995</f>
        <v/>
      </c>
      <c r="O995" s="22" t="n">
        <v>22.92</v>
      </c>
      <c r="P995" s="22" t="n">
        <v>4.189</v>
      </c>
      <c r="Q995" s="177">
        <f>K995-P995</f>
        <v/>
      </c>
      <c r="R995" s="22" t="n">
        <v>97.982</v>
      </c>
      <c r="S995" s="177">
        <f>(O995*T995)</f>
        <v/>
      </c>
      <c r="T995" s="22" t="n">
        <v>5.21</v>
      </c>
      <c r="U995" s="22" t="n">
        <v>22579.05</v>
      </c>
      <c r="V995" s="22" t="n">
        <v>34.02</v>
      </c>
      <c r="W995" s="177">
        <f>U995/V995</f>
        <v/>
      </c>
      <c r="X995" s="177">
        <f>(W995/U995)*100</f>
        <v/>
      </c>
      <c r="Y995" s="22" t="n">
        <v>16795.75</v>
      </c>
      <c r="Z995" s="22" t="n">
        <v>29.57</v>
      </c>
      <c r="AA995" s="177">
        <f>Y995/Z995</f>
        <v/>
      </c>
      <c r="AB995" s="177">
        <f>(AA995/Y995)*100</f>
        <v/>
      </c>
    </row>
    <row r="996">
      <c r="A996" s="29" t="n">
        <v>995</v>
      </c>
      <c r="B996" s="185" t="n">
        <v>46027</v>
      </c>
      <c r="C996" s="186" t="n">
        <v>48122636.46</v>
      </c>
      <c r="D996" s="97">
        <f>C996/E996</f>
        <v/>
      </c>
      <c r="E996" s="187" t="n">
        <v>90.233</v>
      </c>
      <c r="F996" s="97">
        <f>D996/100000</f>
        <v/>
      </c>
      <c r="H996" s="92">
        <f>K996/I996</f>
        <v/>
      </c>
      <c r="I996" s="97">
        <f>(J996/L996)*100</f>
        <v/>
      </c>
      <c r="J996" s="97">
        <f>L996/O996</f>
        <v/>
      </c>
      <c r="K996" s="97" t="n">
        <v>6.63</v>
      </c>
      <c r="L996" s="22" t="n">
        <v>26250.3</v>
      </c>
      <c r="M996" s="22" t="n">
        <v>3.57</v>
      </c>
      <c r="N996" s="97">
        <f>K996-I996</f>
        <v/>
      </c>
      <c r="O996" s="22" t="n">
        <v>22.85</v>
      </c>
      <c r="P996" s="22" t="n">
        <v>4.163</v>
      </c>
      <c r="Q996" s="177">
        <f>K996-P996</f>
        <v/>
      </c>
      <c r="R996" s="22" t="n">
        <v>98.31699999999999</v>
      </c>
      <c r="S996" s="177">
        <f>(O996*T996)</f>
        <v/>
      </c>
      <c r="T996" s="22" t="n">
        <v>5.25</v>
      </c>
      <c r="U996" s="22" t="n">
        <v>22555.45</v>
      </c>
      <c r="V996" s="22" t="n">
        <v>33.98</v>
      </c>
      <c r="W996" s="177">
        <f>U996/V996</f>
        <v/>
      </c>
      <c r="X996" s="177">
        <f>(W996/U996)*100</f>
        <v/>
      </c>
      <c r="Y996" s="22" t="n">
        <v>16843.35</v>
      </c>
      <c r="Z996" s="22" t="n">
        <v>29.66</v>
      </c>
      <c r="AA996" s="177">
        <f>Y996/Z996</f>
        <v/>
      </c>
      <c r="AB996" s="177">
        <f>(AA996/Y996)*100</f>
        <v/>
      </c>
    </row>
    <row r="997">
      <c r="A997" s="29" t="n">
        <v>996</v>
      </c>
      <c r="B997" s="185" t="n">
        <v>46028</v>
      </c>
      <c r="C997" s="186" t="n">
        <v>48034435.53</v>
      </c>
      <c r="D997" s="97">
        <f>C997/E997</f>
        <v/>
      </c>
      <c r="E997" s="187" t="n">
        <v>90.108</v>
      </c>
      <c r="F997" s="97">
        <f>D997/100000</f>
        <v/>
      </c>
      <c r="H997" s="92">
        <f>K997/I997</f>
        <v/>
      </c>
      <c r="I997" s="97">
        <f>(J997/L997)*100</f>
        <v/>
      </c>
      <c r="J997" s="97">
        <f>L997/O997</f>
        <v/>
      </c>
      <c r="K997" s="97" t="n">
        <v>6.61</v>
      </c>
      <c r="L997" s="22" t="n">
        <v>26178.7</v>
      </c>
      <c r="M997" s="22" t="n">
        <v>3.56</v>
      </c>
      <c r="N997" s="97">
        <f>K997-I997</f>
        <v/>
      </c>
      <c r="O997" s="22" t="n">
        <v>22.79</v>
      </c>
      <c r="P997" s="22" t="n">
        <v>4.179</v>
      </c>
      <c r="Q997" s="177">
        <f>K997-P997</f>
        <v/>
      </c>
      <c r="R997" s="22" t="n">
        <v>98.422</v>
      </c>
      <c r="S997" s="177">
        <f>(O997*T997)</f>
        <v/>
      </c>
      <c r="T997" s="22" t="n">
        <v>5.3</v>
      </c>
      <c r="U997" s="22" t="n">
        <v>22510.6</v>
      </c>
      <c r="V997" s="22" t="n">
        <v>33.91</v>
      </c>
      <c r="W997" s="177">
        <f>U997/V997</f>
        <v/>
      </c>
      <c r="X997" s="177">
        <f>(W997/U997)*100</f>
        <v/>
      </c>
      <c r="Y997" s="22" t="n">
        <v>16791.5</v>
      </c>
      <c r="Z997" s="22" t="n">
        <v>29.57</v>
      </c>
      <c r="AA997" s="177">
        <f>Y997/Z997</f>
        <v/>
      </c>
      <c r="AB997" s="177">
        <f>(AA997/Y997)*100</f>
        <v/>
      </c>
    </row>
    <row r="998">
      <c r="A998" s="29" t="n">
        <v>997</v>
      </c>
      <c r="B998" s="185" t="n">
        <v>46029</v>
      </c>
      <c r="C998" s="186" t="n">
        <v>48067120.21</v>
      </c>
      <c r="D998" s="97">
        <f>C998/E998</f>
        <v/>
      </c>
      <c r="E998" s="187" t="n">
        <v>89.864</v>
      </c>
      <c r="F998" s="97">
        <f>D998/100000</f>
        <v/>
      </c>
      <c r="H998" s="92">
        <f>K998/I998</f>
        <v/>
      </c>
      <c r="I998" s="97">
        <f>(J998/L998)*100</f>
        <v/>
      </c>
      <c r="J998" s="97">
        <f>L998/O998</f>
        <v/>
      </c>
      <c r="K998" s="97" t="n">
        <v>6.61</v>
      </c>
      <c r="L998" s="22" t="n">
        <v>26140.75</v>
      </c>
      <c r="M998" s="22" t="n">
        <v>3.55</v>
      </c>
      <c r="N998" s="97">
        <f>K998-I998</f>
        <v/>
      </c>
      <c r="O998" s="22" t="n">
        <v>22.76</v>
      </c>
      <c r="P998" s="22" t="n">
        <v>4.138</v>
      </c>
      <c r="Q998" s="177">
        <f>K998-P998</f>
        <v/>
      </c>
      <c r="R998" s="22" t="n">
        <v>98.688</v>
      </c>
      <c r="S998" s="177">
        <f>(O998*T998)</f>
        <v/>
      </c>
      <c r="T998" s="22" t="n">
        <v>5.24</v>
      </c>
      <c r="U998" s="22" t="n">
        <v>22606.5</v>
      </c>
      <c r="V998" s="22" t="n">
        <v>34.06</v>
      </c>
      <c r="W998" s="177">
        <f>U998/V998</f>
        <v/>
      </c>
      <c r="X998" s="177">
        <f>(W998/U998)*100</f>
        <v/>
      </c>
      <c r="Y998" s="22" t="n">
        <v>16816</v>
      </c>
      <c r="Z998" s="22" t="n">
        <v>29.61</v>
      </c>
      <c r="AA998" s="177">
        <f>Y998/Z998</f>
        <v/>
      </c>
      <c r="AB998" s="177">
        <f>(AA998/Y998)*100</f>
        <v/>
      </c>
    </row>
    <row r="999">
      <c r="A999" s="29" t="n">
        <v>998</v>
      </c>
      <c r="B999" s="185" t="n">
        <v>46030</v>
      </c>
      <c r="C999" s="186" t="n">
        <v>47295303.79</v>
      </c>
      <c r="D999" s="97">
        <f>C999/E999</f>
        <v/>
      </c>
      <c r="E999" s="187" t="n">
        <v>89.905</v>
      </c>
      <c r="F999" s="97">
        <f>D999/100000</f>
        <v/>
      </c>
      <c r="H999" s="92">
        <f>K999/I999</f>
        <v/>
      </c>
      <c r="I999" s="97">
        <f>(J999/L999)*100</f>
        <v/>
      </c>
      <c r="J999" s="97">
        <f>L999/O999</f>
        <v/>
      </c>
      <c r="K999" s="97" t="n">
        <v>6.63</v>
      </c>
      <c r="L999" s="22" t="n">
        <v>25876.85</v>
      </c>
      <c r="M999" s="22" t="n">
        <v>3.52</v>
      </c>
      <c r="N999" s="97">
        <f>K999-I999</f>
        <v/>
      </c>
      <c r="O999" s="22" t="n">
        <v>22.53</v>
      </c>
      <c r="P999" s="22" t="n">
        <v>4.183</v>
      </c>
      <c r="Q999" s="177">
        <f>K999-P999</f>
        <v/>
      </c>
      <c r="R999" s="22" t="n">
        <v>98.89</v>
      </c>
      <c r="S999" s="177">
        <f>(O999*T999)</f>
        <v/>
      </c>
      <c r="T999" s="22" t="n">
        <v>5.3</v>
      </c>
      <c r="U999" s="22" t="n">
        <v>22180.55</v>
      </c>
      <c r="V999" s="22" t="n">
        <v>33.42</v>
      </c>
      <c r="W999" s="177">
        <f>U999/V999</f>
        <v/>
      </c>
      <c r="X999" s="177">
        <f>(W999/U999)*100</f>
        <v/>
      </c>
      <c r="Y999" s="22" t="n">
        <v>16489.05</v>
      </c>
      <c r="Z999" s="22" t="n">
        <v>29.03</v>
      </c>
      <c r="AA999" s="177">
        <f>Y999/Z999</f>
        <v/>
      </c>
      <c r="AB999" s="177">
        <f>(AA999/Y999)*100</f>
        <v/>
      </c>
    </row>
    <row r="1000">
      <c r="A1000" s="29" t="n">
        <v>999</v>
      </c>
      <c r="B1000" s="185" t="n">
        <v>46031</v>
      </c>
      <c r="C1000" s="186" t="n">
        <v>46850471.44</v>
      </c>
      <c r="D1000" s="97">
        <f>C1000/E1000</f>
        <v/>
      </c>
      <c r="E1000" s="187" t="n">
        <v>90.244</v>
      </c>
      <c r="F1000" s="97">
        <f>D1000/100000</f>
        <v/>
      </c>
      <c r="H1000" s="92">
        <f>K1000/I1000</f>
        <v/>
      </c>
      <c r="I1000" s="97">
        <f>(J1000/L1000)*100</f>
        <v/>
      </c>
      <c r="J1000" s="97">
        <f>L1000/O1000</f>
        <v/>
      </c>
      <c r="K1000" s="97" t="n">
        <v>6.64</v>
      </c>
      <c r="L1000" s="22" t="n">
        <v>25683.3</v>
      </c>
      <c r="M1000" s="22" t="n">
        <v>3.49</v>
      </c>
      <c r="N1000" s="97">
        <f>K1000-I1000</f>
        <v/>
      </c>
      <c r="O1000" s="22" t="n">
        <v>22.36</v>
      </c>
      <c r="P1000" s="22" t="n">
        <v>4.171</v>
      </c>
      <c r="Q1000" s="177">
        <f>K1000-P1000</f>
        <v/>
      </c>
      <c r="R1000" s="22" t="n">
        <v>98.626</v>
      </c>
      <c r="S1000" s="177">
        <f>(O1000*T1000)</f>
        <v/>
      </c>
      <c r="T1000" s="22" t="n">
        <v>5.32</v>
      </c>
      <c r="U1000" s="22" t="n">
        <v>21985.9</v>
      </c>
      <c r="V1000" s="22" t="n">
        <v>33.12</v>
      </c>
      <c r="W1000" s="177">
        <f>U1000/V1000</f>
        <v/>
      </c>
      <c r="X1000" s="177">
        <f>(W1000/U1000)*100</f>
        <v/>
      </c>
      <c r="Y1000" s="22" t="n">
        <v>16209.45</v>
      </c>
      <c r="Z1000" s="22" t="n">
        <v>28.54</v>
      </c>
      <c r="AA1000" s="177">
        <f>Y1000/Z1000</f>
        <v/>
      </c>
      <c r="AB1000" s="177">
        <f>(AA1000/Y1000)*100</f>
        <v/>
      </c>
    </row>
    <row r="1001">
      <c r="A1001" s="29" t="n">
        <v>1000</v>
      </c>
      <c r="B1001" s="185" t="n">
        <v>46034</v>
      </c>
      <c r="C1001" s="186" t="n">
        <v>46902125.21</v>
      </c>
      <c r="D1001" s="97">
        <f>C1001/E1001</f>
        <v/>
      </c>
      <c r="E1001" s="187" t="n">
        <v>90.13200000000001</v>
      </c>
      <c r="F1001" s="97">
        <f>D1001/100000</f>
        <v/>
      </c>
      <c r="H1001" s="92">
        <f>K1001/I1001</f>
        <v/>
      </c>
      <c r="I1001" s="97">
        <f>(J1001/L1001)*100</f>
        <v/>
      </c>
      <c r="J1001" s="97">
        <f>L1001/O1001</f>
        <v/>
      </c>
      <c r="K1001" s="97" t="n">
        <v>6.61</v>
      </c>
      <c r="L1001" s="22" t="n">
        <v>25790.25</v>
      </c>
      <c r="M1001" s="22" t="n">
        <v>3.51</v>
      </c>
      <c r="N1001" s="97">
        <f>K1001-I1001</f>
        <v/>
      </c>
      <c r="O1001" s="22" t="n">
        <v>22.45</v>
      </c>
      <c r="P1001" s="22" t="n">
        <v>4.187</v>
      </c>
      <c r="Q1001" s="177">
        <f>K1001-P1001</f>
        <v/>
      </c>
      <c r="R1001" s="22" t="n">
        <v>98.90900000000001</v>
      </c>
      <c r="S1001" s="177">
        <f>(O1001*T1001)</f>
        <v/>
      </c>
      <c r="T1001" s="22" t="n">
        <v>5.35</v>
      </c>
      <c r="U1001" s="22" t="n">
        <v>21948.85</v>
      </c>
      <c r="V1001" s="22" t="n">
        <v>33.07</v>
      </c>
      <c r="W1001" s="177">
        <f>U1001/V1001</f>
        <v/>
      </c>
      <c r="X1001" s="177">
        <f>(W1001/U1001)*100</f>
        <v/>
      </c>
      <c r="Y1001" s="22" t="n">
        <v>16101.4</v>
      </c>
      <c r="Z1001" s="22" t="n">
        <v>28.35</v>
      </c>
      <c r="AA1001" s="177">
        <f>Y1001/Z1001</f>
        <v/>
      </c>
      <c r="AB1001" s="177">
        <f>(AA1001/Y1001)*100</f>
        <v/>
      </c>
    </row>
    <row r="1002">
      <c r="A1002" s="29" t="n">
        <v>1001</v>
      </c>
      <c r="B1002" s="185" t="n">
        <v>46035</v>
      </c>
      <c r="C1002" s="186" t="n">
        <v>46858229.26</v>
      </c>
      <c r="D1002" s="97">
        <f>C1002/E1002</f>
        <v/>
      </c>
      <c r="E1002" s="187" t="n">
        <v>90.282</v>
      </c>
      <c r="F1002" s="97">
        <f>D1002/100000</f>
        <v/>
      </c>
      <c r="H1002" s="92">
        <f>K1002/I1002</f>
        <v/>
      </c>
      <c r="I1002" s="97">
        <f>(J1002/L1002)*100</f>
        <v/>
      </c>
      <c r="J1002" s="97">
        <f>L1002/O1002</f>
        <v/>
      </c>
      <c r="K1002" s="97" t="n">
        <v>6.63</v>
      </c>
      <c r="L1002" s="22" t="n">
        <v>25732.3</v>
      </c>
      <c r="M1002" s="22" t="n">
        <v>3.5</v>
      </c>
      <c r="N1002" s="97">
        <f>K1002-I1002</f>
        <v/>
      </c>
      <c r="O1002" s="22" t="n">
        <v>22.4</v>
      </c>
      <c r="P1002" s="22" t="n">
        <v>4.171</v>
      </c>
      <c r="Q1002" s="177">
        <f>K1002-P1002</f>
        <v/>
      </c>
      <c r="R1002" s="22" t="n">
        <v>98.907</v>
      </c>
      <c r="S1002" s="177">
        <f>(O1002*T1002)</f>
        <v/>
      </c>
      <c r="T1002" s="22" t="n">
        <v>5.3</v>
      </c>
      <c r="U1002" s="22" t="n">
        <v>21918.7</v>
      </c>
      <c r="V1002" s="22" t="n">
        <v>32.88</v>
      </c>
      <c r="W1002" s="177">
        <f>U1002/V1002</f>
        <v/>
      </c>
      <c r="X1002" s="177">
        <f>(W1002/U1002)*100</f>
        <v/>
      </c>
      <c r="Y1002" s="22" t="n">
        <v>16205.25</v>
      </c>
      <c r="Z1002" s="22" t="n">
        <v>28.57</v>
      </c>
      <c r="AA1002" s="177">
        <f>Y1002/Z1002</f>
        <v/>
      </c>
      <c r="AB1002" s="177">
        <f>(AA1002/Y1002)*100</f>
        <v/>
      </c>
    </row>
    <row r="1003">
      <c r="A1003" s="29" t="n">
        <v>1002</v>
      </c>
      <c r="B1003" s="185" t="n">
        <v>46036</v>
      </c>
      <c r="C1003" s="186" t="n">
        <v>47315921.54</v>
      </c>
      <c r="D1003" s="97">
        <f>C1003/E1003</f>
        <v/>
      </c>
      <c r="E1003" s="187" t="n">
        <v>90.248</v>
      </c>
      <c r="F1003" s="97">
        <f>D1003/100000</f>
        <v/>
      </c>
      <c r="H1003" s="92">
        <f>K1003/I1003</f>
        <v/>
      </c>
      <c r="I1003" s="97">
        <f>(J1003/L1003)*100</f>
        <v/>
      </c>
      <c r="J1003" s="97">
        <f>L1003/O1003</f>
        <v/>
      </c>
      <c r="K1003" s="97" t="n">
        <v>6.65</v>
      </c>
      <c r="L1003" s="22" t="n">
        <v>25665.6</v>
      </c>
      <c r="M1003" s="22" t="n">
        <v>3.49</v>
      </c>
      <c r="N1003" s="97">
        <f>K1003-I1003</f>
        <v/>
      </c>
      <c r="O1003" s="22" t="n">
        <v>22.38</v>
      </c>
      <c r="P1003" s="22" t="n">
        <v>4.14</v>
      </c>
      <c r="Q1003" s="177">
        <f>K1003-P1003</f>
        <v/>
      </c>
      <c r="R1003" s="22" t="n">
        <v>99.122</v>
      </c>
      <c r="S1003" s="177">
        <f>(O1003*T1003)</f>
        <v/>
      </c>
      <c r="T1003" s="22" t="n">
        <v>5.3</v>
      </c>
      <c r="U1003" s="22" t="n">
        <v>21965.45</v>
      </c>
      <c r="V1003" s="22" t="n">
        <v>32.95</v>
      </c>
      <c r="W1003" s="177">
        <f>U1003/V1003</f>
        <v/>
      </c>
      <c r="X1003" s="177">
        <f>(W1003/U1003)*100</f>
        <v/>
      </c>
      <c r="Y1003" s="22" t="n">
        <v>16283.6</v>
      </c>
      <c r="Z1003" s="22" t="n">
        <v>28.7</v>
      </c>
      <c r="AA1003" s="177">
        <f>Y1003/Z1003</f>
        <v/>
      </c>
      <c r="AB1003" s="177">
        <f>(AA1003/Y1003)*100</f>
        <v/>
      </c>
    </row>
    <row r="1004">
      <c r="A1004" s="29" t="n">
        <v>1003</v>
      </c>
      <c r="B1004" s="185" t="n">
        <v>46038</v>
      </c>
      <c r="C1004" s="186" t="n">
        <v>46781995.52</v>
      </c>
      <c r="D1004" s="97">
        <f>C1004/E1004</f>
        <v/>
      </c>
      <c r="E1004" s="187" t="n">
        <v>90.709</v>
      </c>
      <c r="F1004" s="97">
        <f>D1004/100000</f>
        <v/>
      </c>
      <c r="H1004" s="92">
        <f>K1004/I1004</f>
        <v/>
      </c>
      <c r="I1004" s="97">
        <f>(J1004/L1004)*100</f>
        <v/>
      </c>
      <c r="J1004" s="97">
        <f>L1004/O1004</f>
        <v/>
      </c>
      <c r="K1004" s="97" t="n">
        <v>6.68</v>
      </c>
      <c r="L1004" s="22" t="n">
        <v>25694.35</v>
      </c>
      <c r="M1004" s="22" t="n">
        <v>3.49</v>
      </c>
      <c r="N1004" s="97">
        <f>K1004-I1004</f>
        <v/>
      </c>
      <c r="O1004" s="22" t="n">
        <v>22.4</v>
      </c>
      <c r="P1004" s="22" t="n">
        <v>4.231</v>
      </c>
      <c r="Q1004" s="177">
        <f>K1004-P1004</f>
        <v/>
      </c>
      <c r="R1004" s="22" t="n">
        <v>99.20099999999999</v>
      </c>
      <c r="S1004" s="177">
        <f>(O1004*T1004)</f>
        <v/>
      </c>
      <c r="T1004" s="22" t="n">
        <v>5.37</v>
      </c>
      <c r="U1004" s="22" t="n">
        <v>21975.1</v>
      </c>
      <c r="V1004" s="22" t="n">
        <v>32.95</v>
      </c>
      <c r="W1004" s="177">
        <f>U1004/V1004</f>
        <v/>
      </c>
      <c r="X1004" s="177">
        <f>(W1004/U1004)*100</f>
        <v/>
      </c>
      <c r="Y1004" s="22" t="n">
        <v>16207.3</v>
      </c>
      <c r="Z1004" s="22" t="n">
        <v>28.57</v>
      </c>
      <c r="AA1004" s="177">
        <f>Y1004/Z1004</f>
        <v/>
      </c>
      <c r="AB1004" s="177">
        <f>(AA1004/Y1004)*100</f>
        <v/>
      </c>
    </row>
    <row r="1005">
      <c r="A1005" s="29" t="n">
        <v>1004</v>
      </c>
      <c r="B1005" s="185" t="n">
        <v>46041</v>
      </c>
      <c r="C1005" s="186" t="n">
        <v>46519796.63</v>
      </c>
      <c r="D1005" s="97">
        <f>C1005/E1005</f>
        <v/>
      </c>
      <c r="E1005" s="187" t="n">
        <v>90.902</v>
      </c>
      <c r="F1005" s="97">
        <f>D1005/100000</f>
        <v/>
      </c>
      <c r="H1005" s="92">
        <f>K1005/I1005</f>
        <v/>
      </c>
      <c r="I1005" s="97">
        <f>(J1005/L1005)*100</f>
        <v/>
      </c>
      <c r="J1005" s="97">
        <f>L1005/O1005</f>
        <v/>
      </c>
      <c r="K1005" s="97" t="n">
        <v>6.68</v>
      </c>
      <c r="L1005" s="22" t="n">
        <v>25585.5</v>
      </c>
      <c r="M1005" s="22" t="n">
        <v>3.48</v>
      </c>
      <c r="N1005" s="97">
        <f>K1005-I1005</f>
        <v/>
      </c>
      <c r="O1005" s="22" t="n">
        <v>22.31</v>
      </c>
      <c r="P1005" s="22" t="n">
        <v>4.263</v>
      </c>
      <c r="Q1005" s="177">
        <f>K1005-P1005</f>
        <v/>
      </c>
      <c r="R1005" s="22" t="n">
        <v>99.20099999999999</v>
      </c>
      <c r="S1005" s="177">
        <f>(O1005*T1005)</f>
        <v/>
      </c>
      <c r="T1005" s="22" t="n">
        <v>5.37</v>
      </c>
      <c r="U1005" s="22" t="n">
        <v>21878.45</v>
      </c>
      <c r="V1005" s="22" t="n">
        <v>32.74</v>
      </c>
      <c r="W1005" s="177">
        <f>U1005/V1005</f>
        <v/>
      </c>
      <c r="X1005" s="177">
        <f>(W1005/U1005)*100</f>
        <v/>
      </c>
      <c r="Y1005" s="22" t="n">
        <v>16024.05</v>
      </c>
      <c r="Z1005" s="22" t="n">
        <v>28.18</v>
      </c>
      <c r="AA1005" s="177">
        <f>Y1005/Z1005</f>
        <v/>
      </c>
      <c r="AB1005" s="177">
        <f>(AA1005/Y1005)*100</f>
        <v/>
      </c>
    </row>
    <row r="1006">
      <c r="A1006" s="29" t="n">
        <v>1005</v>
      </c>
      <c r="B1006" s="185" t="n">
        <v>46042</v>
      </c>
      <c r="C1006" s="186" t="n">
        <v>45576003.89</v>
      </c>
      <c r="D1006" s="97">
        <f>C1006/E1006</f>
        <v/>
      </c>
      <c r="E1006" s="187" t="n">
        <v>91.119</v>
      </c>
      <c r="F1006" s="97">
        <f>D1006/100000</f>
        <v/>
      </c>
      <c r="H1006" s="92">
        <f>K1006/I1006</f>
        <v/>
      </c>
      <c r="I1006" s="97">
        <f>(J1006/L1006)*100</f>
        <v/>
      </c>
      <c r="J1006" s="97">
        <f>L1006/O1006</f>
        <v/>
      </c>
      <c r="K1006" s="97" t="n">
        <v>6.67</v>
      </c>
      <c r="L1006" s="22" t="n">
        <v>25232.5</v>
      </c>
      <c r="M1006" s="22" t="n">
        <v>3.43</v>
      </c>
      <c r="N1006" s="97">
        <f>K1006-I1006</f>
        <v/>
      </c>
      <c r="O1006" s="22" t="n">
        <v>21.91</v>
      </c>
      <c r="P1006" s="22" t="n">
        <v>4.295</v>
      </c>
      <c r="Q1006" s="177">
        <f>K1006-P1006</f>
        <v/>
      </c>
      <c r="R1006" s="22" t="n">
        <v>98.43899999999999</v>
      </c>
      <c r="S1006" s="177">
        <f>(O1006*T1006)</f>
        <v/>
      </c>
      <c r="T1006" s="22" t="n">
        <v>5.4</v>
      </c>
      <c r="U1006" s="22" t="n">
        <v>21334.6</v>
      </c>
      <c r="V1006" s="22" t="n">
        <v>31.87</v>
      </c>
      <c r="W1006" s="177">
        <f>U1006/V1006</f>
        <v/>
      </c>
      <c r="X1006" s="177">
        <f>(W1006/U1006)*100</f>
        <v/>
      </c>
      <c r="Y1006" s="22" t="n">
        <v>15595.2</v>
      </c>
      <c r="Z1006" s="22" t="n">
        <v>27.32</v>
      </c>
      <c r="AA1006" s="177">
        <f>Y1006/Z1006</f>
        <v/>
      </c>
      <c r="AB1006" s="177">
        <f>(AA1006/Y1006)*100</f>
        <v/>
      </c>
    </row>
    <row r="1007">
      <c r="A1007" s="29" t="n">
        <v>1006</v>
      </c>
      <c r="B1007" s="185" t="n">
        <v>46043</v>
      </c>
      <c r="C1007" s="186" t="n">
        <v>45397852.16</v>
      </c>
      <c r="D1007" s="97">
        <f>C1007/E1007</f>
        <v/>
      </c>
      <c r="E1007" s="187" t="n">
        <v>91.54600000000001</v>
      </c>
      <c r="F1007" s="97">
        <f>D1007/100000</f>
        <v/>
      </c>
      <c r="H1007" s="92">
        <f>K1007/I1007</f>
        <v/>
      </c>
      <c r="I1007" s="97">
        <f>(J1007/L1007)*100</f>
        <v/>
      </c>
      <c r="J1007" s="97">
        <f>L1007/O1007</f>
        <v/>
      </c>
      <c r="K1007" s="97" t="n">
        <v>6.66</v>
      </c>
      <c r="L1007" s="22" t="n">
        <v>25157.5</v>
      </c>
      <c r="M1007" s="22" t="n">
        <v>3.42</v>
      </c>
      <c r="N1007" s="97">
        <f>K1007-I1007</f>
        <v/>
      </c>
      <c r="O1007" s="22" t="n">
        <v>21.85</v>
      </c>
      <c r="P1007" s="22" t="n">
        <v>4.253</v>
      </c>
      <c r="Q1007" s="177">
        <f>K1007-P1007</f>
        <v/>
      </c>
      <c r="R1007" s="22" t="n">
        <v>98.563</v>
      </c>
      <c r="S1007" s="177">
        <f>(O1007*T1007)</f>
        <v/>
      </c>
      <c r="T1007" s="22" t="n">
        <v>5.45</v>
      </c>
      <c r="U1007" s="22" t="n">
        <v>21118.45</v>
      </c>
      <c r="V1007" s="22" t="n">
        <v>31.47</v>
      </c>
      <c r="W1007" s="177">
        <f>U1007/V1007</f>
        <v/>
      </c>
      <c r="X1007" s="177">
        <f>(W1007/U1007)*100</f>
        <v/>
      </c>
      <c r="Y1007" s="22" t="n">
        <v>15478.8</v>
      </c>
      <c r="Z1007" s="22" t="n">
        <v>27.1</v>
      </c>
      <c r="AA1007" s="177">
        <f>Y1007/Z1007</f>
        <v/>
      </c>
      <c r="AB1007" s="177">
        <f>(AA1007/Y1007)*100</f>
        <v/>
      </c>
    </row>
    <row r="1008">
      <c r="A1008" s="29" t="n">
        <v>1007</v>
      </c>
      <c r="B1008" s="185" t="n">
        <v>46044</v>
      </c>
      <c r="C1008" s="186" t="n">
        <v>45842842.61</v>
      </c>
      <c r="D1008" s="97">
        <f>C1008/E1008</f>
        <v/>
      </c>
      <c r="E1008" s="187" t="n">
        <v>91.56999999999999</v>
      </c>
      <c r="F1008" s="97">
        <f>D1008/100000</f>
        <v/>
      </c>
      <c r="H1008" s="92">
        <f>K1008/I1008</f>
        <v/>
      </c>
      <c r="I1008" s="97">
        <f>(J1008/L1008)*100</f>
        <v/>
      </c>
      <c r="J1008" s="97">
        <f>L1008/O1008</f>
        <v/>
      </c>
      <c r="K1008" s="97" t="n">
        <v>6.64</v>
      </c>
      <c r="L1008" s="22" t="n">
        <v>25289.9</v>
      </c>
      <c r="M1008" s="22" t="n">
        <v>3.44</v>
      </c>
      <c r="N1008" s="97">
        <f>K1008-I1008</f>
        <v/>
      </c>
      <c r="O1008" s="22" t="n">
        <v>21.97</v>
      </c>
      <c r="P1008" s="22" t="n">
        <v>4.251</v>
      </c>
      <c r="Q1008" s="177">
        <f>K1008-P1008</f>
        <v/>
      </c>
      <c r="R1008" s="22" t="n">
        <v>98.176</v>
      </c>
      <c r="S1008" s="177">
        <f>(O1008*T1008)</f>
        <v/>
      </c>
      <c r="T1008" s="22" t="n">
        <v>5.46</v>
      </c>
      <c r="U1008" s="22" t="n">
        <v>21376</v>
      </c>
      <c r="V1008" s="22" t="n">
        <v>31.42</v>
      </c>
      <c r="W1008" s="177">
        <f>U1008/V1008</f>
        <v/>
      </c>
      <c r="X1008" s="177">
        <f>(W1008/U1008)*100</f>
        <v/>
      </c>
      <c r="Y1008" s="22" t="n">
        <v>15618.8</v>
      </c>
      <c r="Z1008" s="22" t="n">
        <v>27.26</v>
      </c>
      <c r="AA1008" s="177">
        <f>Y1008/Z1008</f>
        <v/>
      </c>
      <c r="AB1008" s="177">
        <f>(AA1008/Y1008)*100</f>
        <v/>
      </c>
    </row>
    <row r="1009">
      <c r="A1009" s="29" t="n">
        <v>1008</v>
      </c>
      <c r="B1009" s="185" t="n">
        <v>46045</v>
      </c>
      <c r="C1009" s="186" t="n">
        <v>45142552.3</v>
      </c>
      <c r="D1009" s="97">
        <f>C1009/E1009</f>
        <v/>
      </c>
      <c r="E1009" s="187" t="n">
        <v>91.675</v>
      </c>
      <c r="F1009" s="97">
        <f>D1009/100000</f>
        <v/>
      </c>
      <c r="H1009" s="92">
        <f>K1009/I1009</f>
        <v/>
      </c>
      <c r="I1009" s="97">
        <f>(J1009/L1009)*100</f>
        <v/>
      </c>
      <c r="J1009" s="97">
        <f>L1009/O1009</f>
        <v/>
      </c>
      <c r="K1009" s="97" t="n">
        <v>6.66</v>
      </c>
      <c r="L1009" s="22" t="n">
        <v>25048.65</v>
      </c>
      <c r="M1009" s="22" t="n">
        <v>3.41</v>
      </c>
      <c r="N1009" s="97">
        <f>K1009-I1009</f>
        <v/>
      </c>
      <c r="O1009" s="22" t="n">
        <v>21.76</v>
      </c>
      <c r="P1009" s="22" t="n">
        <v>4.239</v>
      </c>
      <c r="Q1009" s="177">
        <f>K1009-P1009</f>
        <v/>
      </c>
      <c r="R1009" s="22" t="n">
        <v>97.404</v>
      </c>
      <c r="S1009" s="177">
        <f>(O1009*T1009)</f>
        <v/>
      </c>
      <c r="T1009" s="22" t="n">
        <v>5.45</v>
      </c>
      <c r="U1009" s="22" t="n">
        <v>21008.55</v>
      </c>
      <c r="V1009" s="22" t="n">
        <v>30.88</v>
      </c>
      <c r="W1009" s="177">
        <f>U1009/V1009</f>
        <v/>
      </c>
      <c r="X1009" s="177">
        <f>(W1009/U1009)*100</f>
        <v/>
      </c>
      <c r="Y1009" s="22" t="n">
        <v>15314.6</v>
      </c>
      <c r="Z1009" s="22" t="n">
        <v>26.73</v>
      </c>
      <c r="AA1009" s="177">
        <f>Y1009/Z1009</f>
        <v/>
      </c>
      <c r="AB1009" s="177">
        <f>(AA1009/Y1009)*100</f>
        <v/>
      </c>
    </row>
    <row r="1010">
      <c r="A1010" s="29" t="n">
        <v>1009</v>
      </c>
      <c r="B1010" s="185" t="n">
        <v>46049</v>
      </c>
      <c r="C1010" s="186" t="n">
        <v>45305150.79</v>
      </c>
      <c r="D1010" s="97">
        <f>C1010/E1010</f>
        <v/>
      </c>
      <c r="E1010" s="187" t="n">
        <v>91.474</v>
      </c>
      <c r="F1010" s="97">
        <f>D1010/100000</f>
        <v/>
      </c>
      <c r="H1010" s="92">
        <f>K1010/I1010</f>
        <v/>
      </c>
      <c r="I1010" s="97">
        <f>(J1010/L1010)*100</f>
        <v/>
      </c>
      <c r="J1010" s="97">
        <f>L1010/O1010</f>
        <v/>
      </c>
      <c r="K1010" s="97" t="n">
        <v>6.72</v>
      </c>
      <c r="L1010" s="22" t="n">
        <v>25175.4</v>
      </c>
      <c r="M1010" s="22" t="n">
        <v>3.42</v>
      </c>
      <c r="N1010" s="97">
        <f>K1010-I1010</f>
        <v/>
      </c>
      <c r="O1010" s="22" t="n">
        <v>21.91</v>
      </c>
      <c r="P1010" s="22" t="n">
        <v>4.223</v>
      </c>
      <c r="Q1010" s="177">
        <f>K1010-P1010</f>
        <v/>
      </c>
      <c r="R1010" s="22" t="n">
        <v>96.857</v>
      </c>
      <c r="S1010" s="177">
        <f>(O1010*T1010)</f>
        <v/>
      </c>
      <c r="T1010" s="22" t="n">
        <v>5.45</v>
      </c>
      <c r="U1010" s="22" t="n">
        <v>21119.1</v>
      </c>
      <c r="V1010" s="22" t="n">
        <v>31.01</v>
      </c>
      <c r="W1010" s="177">
        <f>U1010/V1010</f>
        <v/>
      </c>
      <c r="X1010" s="177">
        <f>(W1010/U1010)*100</f>
        <v/>
      </c>
      <c r="Y1010" s="22" t="n">
        <v>15345.5</v>
      </c>
      <c r="Z1010" s="22" t="n">
        <v>26.72</v>
      </c>
      <c r="AA1010" s="177">
        <f>Y1010/Z1010</f>
        <v/>
      </c>
      <c r="AB1010" s="177">
        <f>(AA1010/Y1010)*100</f>
        <v/>
      </c>
    </row>
    <row r="1011">
      <c r="A1011" s="29" t="n">
        <v>1010</v>
      </c>
      <c r="B1011" s="185" t="n">
        <v>46050</v>
      </c>
      <c r="C1011" s="186" t="n">
        <v>45942373.51</v>
      </c>
      <c r="D1011" s="97">
        <f>C1011/E1011</f>
        <v/>
      </c>
      <c r="E1011" s="187" t="n">
        <v>92.04300000000001</v>
      </c>
      <c r="F1011" s="97">
        <f>D1011/100000</f>
        <v/>
      </c>
      <c r="H1011" s="92">
        <f>K1011/I1011</f>
        <v/>
      </c>
      <c r="I1011" s="97">
        <f>(J1011/L1011)*100</f>
        <v/>
      </c>
      <c r="J1011" s="97">
        <f>L1011/O1011</f>
        <v/>
      </c>
      <c r="K1011" s="97" t="n">
        <v>6.7</v>
      </c>
      <c r="L1011" s="22" t="n">
        <v>25342.75</v>
      </c>
      <c r="M1011" s="22" t="n">
        <v>3.45</v>
      </c>
      <c r="N1011" s="97">
        <f>K1011-I1011</f>
        <v/>
      </c>
      <c r="O1011" s="22" t="n">
        <v>22.07</v>
      </c>
      <c r="P1011" s="22" t="n">
        <v>4.251</v>
      </c>
      <c r="Q1011" s="177">
        <f>K1011-P1011</f>
        <v/>
      </c>
      <c r="R1011" s="22" t="n">
        <v>96.051</v>
      </c>
      <c r="S1011" s="177">
        <f>(O1011*T1011)</f>
        <v/>
      </c>
      <c r="T1011" s="22" t="n">
        <v>5.45</v>
      </c>
      <c r="U1011" s="22" t="n">
        <v>21460.95</v>
      </c>
      <c r="V1011" s="22" t="n">
        <v>31.79</v>
      </c>
      <c r="W1011" s="177">
        <f>U1011/V1011</f>
        <v/>
      </c>
      <c r="X1011" s="177">
        <f>(W1011/U1011)*100</f>
        <v/>
      </c>
      <c r="Y1011" s="22" t="n">
        <v>15639.55</v>
      </c>
      <c r="Z1011" s="22" t="n">
        <v>26.98</v>
      </c>
      <c r="AA1011" s="177">
        <f>Y1011/Z1011</f>
        <v/>
      </c>
      <c r="AB1011" s="177">
        <f>(AA1011/Y1011)*100</f>
        <v/>
      </c>
    </row>
    <row r="1012">
      <c r="A1012" s="29" t="n">
        <v>1011</v>
      </c>
      <c r="B1012" s="185" t="n">
        <v>46051</v>
      </c>
      <c r="C1012" s="186" t="n">
        <v>45982989.71</v>
      </c>
      <c r="D1012" s="97">
        <f>C1012/E1012</f>
        <v/>
      </c>
      <c r="E1012" s="187" t="n">
        <v>91.782</v>
      </c>
      <c r="F1012" s="97">
        <f>D1012/100000</f>
        <v/>
      </c>
      <c r="G1012" s="190" t="n">
        <v>145.5158</v>
      </c>
      <c r="H1012" s="92">
        <f>K1012/I1012</f>
        <v/>
      </c>
      <c r="I1012" s="97">
        <f>(J1012/L1012)*100</f>
        <v/>
      </c>
      <c r="J1012" s="97">
        <f>L1012/O1012</f>
        <v/>
      </c>
      <c r="K1012" s="97" t="n">
        <v>6.7</v>
      </c>
      <c r="L1012" s="22" t="n">
        <v>25418.9</v>
      </c>
      <c r="M1012" s="22" t="n">
        <v>3.46</v>
      </c>
      <c r="N1012" s="97">
        <f>K1012-I1012</f>
        <v/>
      </c>
      <c r="O1012" s="22" t="n">
        <v>22.12</v>
      </c>
      <c r="P1012" s="22" t="n">
        <v>4.227</v>
      </c>
      <c r="Q1012" s="177">
        <f>K1012-P1012</f>
        <v/>
      </c>
      <c r="R1012" s="22" t="n">
        <v>96.274</v>
      </c>
      <c r="S1012" s="177">
        <f>(O1012*T1012)</f>
        <v/>
      </c>
      <c r="T1012" s="22" t="n">
        <v>5.44</v>
      </c>
      <c r="U1012" s="22" t="n">
        <v>21483.65</v>
      </c>
      <c r="V1012" s="22" t="n">
        <v>31.72</v>
      </c>
      <c r="W1012" s="177">
        <f>U1012/V1012</f>
        <v/>
      </c>
      <c r="X1012" s="177">
        <f>(W1012/U1012)*100</f>
        <v/>
      </c>
      <c r="Y1012" s="22" t="n">
        <v>15630.3</v>
      </c>
      <c r="Z1012" s="22" t="n">
        <v>26.98</v>
      </c>
      <c r="AA1012" s="177">
        <f>Y1012/Z1012</f>
        <v/>
      </c>
      <c r="AB1012" s="177">
        <f>(AA1012/Y1012)*100</f>
        <v/>
      </c>
    </row>
    <row r="1013">
      <c r="A1013" s="29" t="n">
        <v>1012</v>
      </c>
      <c r="B1013" s="185" t="n">
        <v>46052</v>
      </c>
      <c r="C1013" s="186" t="n">
        <v>45988009.84</v>
      </c>
      <c r="D1013" s="97">
        <f>C1013/E1013</f>
        <v/>
      </c>
      <c r="E1013" s="187" t="n">
        <v>91.694</v>
      </c>
      <c r="F1013" s="97">
        <f>D1013/100000</f>
        <v/>
      </c>
      <c r="G1013" s="190" t="n">
        <v>145.5317</v>
      </c>
      <c r="H1013" s="92">
        <f>K1013/I1013</f>
        <v/>
      </c>
      <c r="I1013" s="97">
        <f>(J1013/L1013)*100</f>
        <v/>
      </c>
      <c r="J1013" s="97">
        <f>L1013/O1013</f>
        <v/>
      </c>
      <c r="K1013" s="97" t="n">
        <v>6.7</v>
      </c>
      <c r="L1013" s="22" t="n">
        <v>25320.65</v>
      </c>
      <c r="M1013" s="22" t="n">
        <v>3.44</v>
      </c>
      <c r="N1013" s="97">
        <f>K1013-I1013</f>
        <v/>
      </c>
      <c r="O1013" s="22" t="n">
        <v>22.04</v>
      </c>
      <c r="P1013" s="22" t="n">
        <v>4.241</v>
      </c>
      <c r="Q1013" s="177">
        <f>K1013-P1013</f>
        <v/>
      </c>
      <c r="R1013" s="22" t="n">
        <v>96.137</v>
      </c>
      <c r="S1013" s="177">
        <f>(O1013*T1013)</f>
        <v/>
      </c>
      <c r="T1013" s="22" t="n">
        <v>5.45</v>
      </c>
      <c r="U1013" s="22" t="n">
        <v>21490.9</v>
      </c>
      <c r="V1013" s="22" t="n">
        <v>31.81</v>
      </c>
      <c r="W1013" s="177">
        <f>U1013/V1013</f>
        <v/>
      </c>
      <c r="X1013" s="177">
        <f>(W1013/U1013)*100</f>
        <v/>
      </c>
      <c r="Y1013" s="22" t="n">
        <v>15763.45</v>
      </c>
      <c r="Z1013" s="22" t="n">
        <v>27.14</v>
      </c>
      <c r="AA1013" s="177">
        <f>Y1013/Z1013</f>
        <v/>
      </c>
      <c r="AB1013" s="177">
        <f>(AA1013/Y1013)*100</f>
        <v/>
      </c>
    </row>
    <row r="1014">
      <c r="A1014" s="29" t="n">
        <v>1013</v>
      </c>
      <c r="B1014" s="185" t="n">
        <v>46054</v>
      </c>
      <c r="C1014" s="186" t="n">
        <v>45040389.91</v>
      </c>
      <c r="D1014" s="97">
        <f>C1014/E1014</f>
        <v/>
      </c>
      <c r="E1014" s="187" t="n">
        <v>91.694</v>
      </c>
      <c r="F1014" s="97">
        <f>D1014/100000</f>
        <v/>
      </c>
      <c r="G1014" s="190" t="n">
        <v>142.5329</v>
      </c>
      <c r="H1014" s="92">
        <f>K1014/I1014</f>
        <v/>
      </c>
      <c r="I1014" s="97">
        <f>(J1014/L1014)*100</f>
        <v/>
      </c>
      <c r="J1014" s="97">
        <f>L1014/O1014</f>
        <v/>
      </c>
      <c r="K1014" s="97" t="n">
        <v>6.7</v>
      </c>
      <c r="L1014" s="22" t="n">
        <v>24825.45</v>
      </c>
      <c r="M1014" s="22" t="n">
        <v>3.38</v>
      </c>
      <c r="N1014" s="97">
        <f>K1014-I1014</f>
        <v/>
      </c>
      <c r="O1014" s="22" t="n">
        <v>21.57</v>
      </c>
      <c r="P1014" s="22" t="n">
        <v>4.241</v>
      </c>
      <c r="Q1014" s="177">
        <f>K1014-P1014</f>
        <v/>
      </c>
      <c r="R1014" s="22" t="n">
        <v>96.85899999999999</v>
      </c>
      <c r="S1014" s="177">
        <f>(O1014*T1014)</f>
        <v/>
      </c>
      <c r="T1014" s="22" t="n">
        <v>5.42</v>
      </c>
      <c r="U1014" s="22" t="n">
        <v>21041.8</v>
      </c>
      <c r="V1014" s="22" t="n">
        <v>31.02</v>
      </c>
      <c r="W1014" s="177">
        <f>U1014/V1014</f>
        <v/>
      </c>
      <c r="X1014" s="177">
        <f>(W1014/U1014)*100</f>
        <v/>
      </c>
      <c r="Y1014" s="22" t="n">
        <v>15421.05</v>
      </c>
      <c r="Z1014" s="22" t="n">
        <v>26.57</v>
      </c>
      <c r="AA1014" s="177">
        <f>Y1014/Z1014</f>
        <v/>
      </c>
      <c r="AB1014" s="177">
        <f>(AA1014/Y1014)*100</f>
        <v/>
      </c>
    </row>
    <row r="1015">
      <c r="A1015" s="29" t="n">
        <v>1014</v>
      </c>
      <c r="B1015" s="185" t="n">
        <v>46055</v>
      </c>
      <c r="C1015" s="186" t="n">
        <v>45435628.1</v>
      </c>
      <c r="D1015" s="97">
        <f>C1015/E1015</f>
        <v/>
      </c>
      <c r="E1015" s="187" t="n">
        <v>91.285</v>
      </c>
      <c r="F1015" s="97">
        <f>D1015/100000</f>
        <v/>
      </c>
      <c r="G1015" s="190" t="n">
        <v>143.7836</v>
      </c>
      <c r="H1015" s="92">
        <f>K1015/I1015</f>
        <v/>
      </c>
      <c r="I1015" s="97">
        <f>(J1015/L1015)*100</f>
        <v/>
      </c>
      <c r="J1015" s="97">
        <f>L1015/O1015</f>
        <v/>
      </c>
      <c r="K1015" s="97" t="n">
        <v>6.77</v>
      </c>
      <c r="L1015" s="22" t="n">
        <v>25088.4</v>
      </c>
      <c r="M1015" s="22" t="n">
        <v>3.41</v>
      </c>
      <c r="N1015" s="97">
        <f>K1015-I1015</f>
        <v/>
      </c>
      <c r="O1015" s="22" t="n">
        <v>21.8</v>
      </c>
      <c r="P1015" s="22" t="n">
        <v>4.277</v>
      </c>
      <c r="Q1015" s="177">
        <f>K1015-P1015</f>
        <v/>
      </c>
      <c r="R1015" s="22" t="n">
        <v>97.492</v>
      </c>
      <c r="S1015" s="177">
        <f>(O1015*T1015)</f>
        <v/>
      </c>
      <c r="T1015" s="22" t="n">
        <v>5.37</v>
      </c>
      <c r="U1015" s="22" t="n">
        <v>21249.35</v>
      </c>
      <c r="V1015" s="22" t="n">
        <v>31.33</v>
      </c>
      <c r="W1015" s="177">
        <f>U1015/V1015</f>
        <v/>
      </c>
      <c r="X1015" s="177">
        <f>(W1015/U1015)*100</f>
        <v/>
      </c>
      <c r="Y1015" s="22" t="n">
        <v>15507.15</v>
      </c>
      <c r="Z1015" s="22" t="n">
        <v>26.72</v>
      </c>
      <c r="AA1015" s="177">
        <f>Y1015/Z1015</f>
        <v/>
      </c>
      <c r="AB1015" s="177">
        <f>(AA1015/Y1015)*100</f>
        <v/>
      </c>
    </row>
    <row r="1016">
      <c r="A1016" s="29" t="n">
        <v>1015</v>
      </c>
      <c r="B1016" s="185" t="n">
        <v>46056</v>
      </c>
      <c r="C1016" s="186" t="n">
        <v>46703438.91</v>
      </c>
      <c r="D1016" s="97">
        <f>C1016/E1016</f>
        <v/>
      </c>
      <c r="E1016" s="187" t="n">
        <v>90.423</v>
      </c>
      <c r="F1016" s="97">
        <f>D1016/100000</f>
        <v/>
      </c>
      <c r="G1016" s="190" t="n">
        <v>147.7957</v>
      </c>
      <c r="H1016" s="92">
        <f>K1016/I1016</f>
        <v/>
      </c>
      <c r="I1016" s="97">
        <f>(J1016/L1016)*100</f>
        <v/>
      </c>
      <c r="J1016" s="97">
        <f>L1016/O1016</f>
        <v/>
      </c>
      <c r="K1016" s="97" t="n">
        <v>6.72</v>
      </c>
      <c r="L1016" s="22" t="n">
        <v>25727.55</v>
      </c>
      <c r="M1016" s="22" t="n">
        <v>3.5</v>
      </c>
      <c r="N1016" s="97">
        <f>K1016-I1016</f>
        <v/>
      </c>
      <c r="O1016" s="22" t="n">
        <v>22.35</v>
      </c>
      <c r="P1016" s="22" t="n">
        <v>4.273</v>
      </c>
      <c r="Q1016" s="177">
        <f>K1016-P1016</f>
        <v/>
      </c>
      <c r="R1016" s="22" t="n">
        <v>97.301</v>
      </c>
      <c r="S1016" s="177">
        <f>(O1016*T1016)</f>
        <v/>
      </c>
      <c r="T1016" s="22" t="n">
        <v>5.32</v>
      </c>
      <c r="U1016" s="22" t="n">
        <v>21869.85</v>
      </c>
      <c r="V1016" s="22" t="n">
        <v>32.24</v>
      </c>
      <c r="W1016" s="177">
        <f>U1016/V1016</f>
        <v/>
      </c>
      <c r="X1016" s="177">
        <f>(W1016/U1016)*100</f>
        <v/>
      </c>
      <c r="Y1016" s="22" t="n">
        <v>15962.45</v>
      </c>
      <c r="Z1016" s="22" t="n">
        <v>27.5</v>
      </c>
      <c r="AA1016" s="177">
        <f>Y1016/Z1016</f>
        <v/>
      </c>
      <c r="AB1016" s="177">
        <f>(AA1016/Y1016)*100</f>
        <v/>
      </c>
    </row>
    <row r="1017">
      <c r="A1017" s="190" t="n">
        <v>1016</v>
      </c>
      <c r="B1017" s="191" t="n">
        <v>46057</v>
      </c>
      <c r="C1017" s="190" t="n">
        <v>46662700</v>
      </c>
      <c r="D1017" s="190" t="n">
        <v>515792.3244</v>
      </c>
      <c r="E1017" s="190" t="n">
        <v>90.468</v>
      </c>
      <c r="F1017" s="190" t="n">
        <v>5.157923</v>
      </c>
      <c r="G1017" s="190" t="n">
        <v>144.0207</v>
      </c>
      <c r="H1017" s="190" t="n">
        <v>0.667405</v>
      </c>
      <c r="I1017" s="190" t="n">
        <v>4.482295</v>
      </c>
      <c r="J1017" s="190" t="n">
        <v>1152.04</v>
      </c>
      <c r="K1017" s="190" t="n">
        <v>6.716</v>
      </c>
      <c r="L1017" s="190" t="n">
        <v>25701.9</v>
      </c>
      <c r="M1017" s="190" t="n">
        <v>3.49</v>
      </c>
      <c r="N1017" s="190" t="n">
        <v>-2.233705</v>
      </c>
      <c r="O1017" s="190" t="n">
        <v>22.31</v>
      </c>
      <c r="P1017" s="190" t="n">
        <v>4.2747</v>
      </c>
      <c r="Q1017" s="190" t="n">
        <v>2.4413</v>
      </c>
      <c r="R1017" s="190" t="n">
        <v>97.33</v>
      </c>
      <c r="S1017" s="190" t="n">
        <v>6012.5635</v>
      </c>
      <c r="T1017" s="190" t="n">
        <v>5.22</v>
      </c>
      <c r="U1017" s="190" t="n">
        <v>21832.86</v>
      </c>
      <c r="V1017" s="190" t="n">
        <v>32.21</v>
      </c>
      <c r="W1017" s="190" t="n">
        <v>677.8286000000001</v>
      </c>
      <c r="X1017" s="190" t="n">
        <v>3.105011</v>
      </c>
      <c r="Y1017" s="190" t="n">
        <v>15936.2</v>
      </c>
      <c r="Z1017" s="190" t="n">
        <v>27.46</v>
      </c>
      <c r="AA1017" s="190" t="n">
        <v>580.3423</v>
      </c>
      <c r="AB1017" s="190" t="n">
        <v>3.641661</v>
      </c>
    </row>
    <row r="1018">
      <c r="A1018" s="190" t="n">
        <v>1017</v>
      </c>
      <c r="B1018" s="191" t="n">
        <v>46058</v>
      </c>
      <c r="C1018" s="190" t="n">
        <v>46622400</v>
      </c>
      <c r="D1018" s="190" t="n">
        <v>515073.5782</v>
      </c>
      <c r="E1018" s="190" t="n">
        <v>90.51600000000001</v>
      </c>
      <c r="F1018" s="190" t="n">
        <v>5.150736</v>
      </c>
      <c r="G1018" s="190" t="n">
        <v>143.8963</v>
      </c>
      <c r="H1018" s="190" t="n">
        <v>0.669003</v>
      </c>
      <c r="I1018" s="190" t="n">
        <v>4.490346</v>
      </c>
      <c r="J1018" s="190" t="n">
        <v>1152.95</v>
      </c>
      <c r="K1018" s="190" t="n">
        <v>6.712</v>
      </c>
      <c r="L1018" s="190" t="n">
        <v>25676.26</v>
      </c>
      <c r="M1018" s="190" t="n">
        <v>3.49</v>
      </c>
      <c r="N1018" s="190" t="n">
        <v>-2.221654</v>
      </c>
      <c r="O1018" s="190" t="n">
        <v>22.27</v>
      </c>
      <c r="P1018" s="190" t="n">
        <v>4.2764</v>
      </c>
      <c r="Q1018" s="190" t="n">
        <v>2.4356</v>
      </c>
      <c r="R1018" s="190" t="n">
        <v>97.36</v>
      </c>
      <c r="S1018" s="190" t="n">
        <v>6004.1764</v>
      </c>
      <c r="T1018" s="190" t="n">
        <v>5.21</v>
      </c>
      <c r="U1018" s="190" t="n">
        <v>21795.88</v>
      </c>
      <c r="V1018" s="190" t="n">
        <v>32.17</v>
      </c>
      <c r="W1018" s="190" t="n">
        <v>677.5219</v>
      </c>
      <c r="X1018" s="190" t="n">
        <v>3.108293</v>
      </c>
      <c r="Y1018" s="190" t="n">
        <v>15909.96</v>
      </c>
      <c r="Z1018" s="190" t="n">
        <v>27.42</v>
      </c>
      <c r="AA1018" s="190" t="n">
        <v>580.2319</v>
      </c>
      <c r="AB1018" s="190" t="n">
        <v>3.646973</v>
      </c>
    </row>
    <row r="1019">
      <c r="A1019" s="190" t="n">
        <v>1018</v>
      </c>
      <c r="B1019" s="191" t="n">
        <v>46059</v>
      </c>
      <c r="C1019" s="190" t="n">
        <v>46582100</v>
      </c>
      <c r="D1019" s="190" t="n">
        <v>514355.5938</v>
      </c>
      <c r="E1019" s="190" t="n">
        <v>90.56399999999999</v>
      </c>
      <c r="F1019" s="190" t="n">
        <v>5.143556</v>
      </c>
      <c r="G1019" s="190" t="n">
        <v>143.7719</v>
      </c>
      <c r="H1019" s="190" t="n">
        <v>0.670606</v>
      </c>
      <c r="I1019" s="190" t="n">
        <v>4.498426</v>
      </c>
      <c r="J1019" s="190" t="n">
        <v>1153.87</v>
      </c>
      <c r="K1019" s="190" t="n">
        <v>6.708</v>
      </c>
      <c r="L1019" s="190" t="n">
        <v>25650.61</v>
      </c>
      <c r="M1019" s="190" t="n">
        <v>3.48</v>
      </c>
      <c r="N1019" s="190" t="n">
        <v>-2.209574</v>
      </c>
      <c r="O1019" s="190" t="n">
        <v>22.23</v>
      </c>
      <c r="P1019" s="190" t="n">
        <v>4.2781</v>
      </c>
      <c r="Q1019" s="190" t="n">
        <v>2.4299</v>
      </c>
      <c r="R1019" s="190" t="n">
        <v>97.39</v>
      </c>
      <c r="S1019" s="190" t="n">
        <v>5995.796</v>
      </c>
      <c r="T1019" s="190" t="n">
        <v>5.21</v>
      </c>
      <c r="U1019" s="190" t="n">
        <v>21758.9</v>
      </c>
      <c r="V1019" s="190" t="n">
        <v>32.14</v>
      </c>
      <c r="W1019" s="190" t="n">
        <v>677.0037</v>
      </c>
      <c r="X1019" s="190" t="n">
        <v>3.111581</v>
      </c>
      <c r="Y1019" s="190" t="n">
        <v>15883.72</v>
      </c>
      <c r="Z1019" s="190" t="n">
        <v>27.38</v>
      </c>
      <c r="AA1019" s="190" t="n">
        <v>580.1213</v>
      </c>
      <c r="AB1019" s="190" t="n">
        <v>3.652301</v>
      </c>
    </row>
    <row r="1020">
      <c r="A1020" s="190" t="n">
        <v>1019</v>
      </c>
      <c r="B1020" s="191" t="n">
        <v>46062</v>
      </c>
      <c r="C1020" s="190" t="n">
        <v>46461200</v>
      </c>
      <c r="D1020" s="190" t="n">
        <v>512206.2001</v>
      </c>
      <c r="E1020" s="190" t="n">
        <v>90.708</v>
      </c>
      <c r="F1020" s="190" t="n">
        <v>5.122062</v>
      </c>
      <c r="G1020" s="190" t="n">
        <v>143.3988</v>
      </c>
      <c r="H1020" s="190" t="n">
        <v>0.675454</v>
      </c>
      <c r="I1020" s="190" t="n">
        <v>4.52284</v>
      </c>
      <c r="J1020" s="190" t="n">
        <v>1156.66</v>
      </c>
      <c r="K1020" s="190" t="n">
        <v>6.696</v>
      </c>
      <c r="L1020" s="190" t="n">
        <v>25573.68</v>
      </c>
      <c r="M1020" s="190" t="n">
        <v>3.46</v>
      </c>
      <c r="N1020" s="190" t="n">
        <v>-2.17316</v>
      </c>
      <c r="O1020" s="190" t="n">
        <v>22.11</v>
      </c>
      <c r="P1020" s="190" t="n">
        <v>4.2832</v>
      </c>
      <c r="Q1020" s="190" t="n">
        <v>2.4128</v>
      </c>
      <c r="R1020" s="190" t="n">
        <v>97.48</v>
      </c>
      <c r="S1020" s="190" t="n">
        <v>5970.6948</v>
      </c>
      <c r="T1020" s="190" t="n">
        <v>5.2</v>
      </c>
      <c r="U1020" s="190" t="n">
        <v>21647.94</v>
      </c>
      <c r="V1020" s="190" t="n">
        <v>32.04</v>
      </c>
      <c r="W1020" s="190" t="n">
        <v>675.6536</v>
      </c>
      <c r="X1020" s="190" t="n">
        <v>3.121488</v>
      </c>
      <c r="Y1020" s="190" t="n">
        <v>15804.98</v>
      </c>
      <c r="Z1020" s="190" t="n">
        <v>27.26</v>
      </c>
      <c r="AA1020" s="190" t="n">
        <v>579.7865</v>
      </c>
      <c r="AB1020" s="190" t="n">
        <v>3.668379</v>
      </c>
    </row>
    <row r="1021">
      <c r="A1021" s="190" t="n">
        <v>1020</v>
      </c>
      <c r="B1021" s="191" t="n">
        <v>46063</v>
      </c>
      <c r="C1021" s="190" t="n">
        <v>46420900</v>
      </c>
      <c r="D1021" s="190" t="n">
        <v>511491.2513</v>
      </c>
      <c r="E1021" s="190" t="n">
        <v>90.756</v>
      </c>
      <c r="F1021" s="190" t="n">
        <v>5.114913</v>
      </c>
      <c r="G1021" s="190" t="n">
        <v>143.2744</v>
      </c>
      <c r="H1021" s="190" t="n">
        <v>0.677083</v>
      </c>
      <c r="I1021" s="190" t="n">
        <v>4.531038</v>
      </c>
      <c r="J1021" s="190" t="n">
        <v>1157.59</v>
      </c>
      <c r="K1021" s="190" t="n">
        <v>6.692</v>
      </c>
      <c r="L1021" s="190" t="n">
        <v>25548.03</v>
      </c>
      <c r="M1021" s="190" t="n">
        <v>3.46</v>
      </c>
      <c r="N1021" s="190" t="n">
        <v>-2.160962</v>
      </c>
      <c r="O1021" s="190" t="n">
        <v>22.07</v>
      </c>
      <c r="P1021" s="190" t="n">
        <v>4.2849</v>
      </c>
      <c r="Q1021" s="190" t="n">
        <v>2.4071</v>
      </c>
      <c r="R1021" s="190" t="n">
        <v>97.51000000000001</v>
      </c>
      <c r="S1021" s="190" t="n">
        <v>5962.341</v>
      </c>
      <c r="T1021" s="190" t="n">
        <v>5.19</v>
      </c>
      <c r="U1021" s="190" t="n">
        <v>21610.95</v>
      </c>
      <c r="V1021" s="190" t="n">
        <v>32</v>
      </c>
      <c r="W1021" s="190" t="n">
        <v>675.3422</v>
      </c>
      <c r="X1021" s="190" t="n">
        <v>3.124805</v>
      </c>
      <c r="Y1021" s="190" t="n">
        <v>15778.74</v>
      </c>
      <c r="Z1021" s="190" t="n">
        <v>27.22</v>
      </c>
      <c r="AA1021" s="190" t="n">
        <v>579.6745</v>
      </c>
      <c r="AB1021" s="190" t="n">
        <v>3.673769</v>
      </c>
    </row>
    <row r="1022">
      <c r="A1022" s="190" t="n">
        <v>1021</v>
      </c>
      <c r="B1022" s="191" t="n">
        <v>46064</v>
      </c>
      <c r="C1022" s="190" t="n">
        <v>46380600</v>
      </c>
      <c r="D1022" s="190" t="n">
        <v>510777.0583</v>
      </c>
      <c r="E1022" s="190" t="n">
        <v>90.804</v>
      </c>
      <c r="F1022" s="190" t="n">
        <v>5.107771</v>
      </c>
      <c r="G1022" s="190" t="n">
        <v>143.15</v>
      </c>
      <c r="H1022" s="190" t="n">
        <v>0.678718</v>
      </c>
      <c r="I1022" s="190" t="n">
        <v>4.539265</v>
      </c>
      <c r="J1022" s="190" t="n">
        <v>1158.53</v>
      </c>
      <c r="K1022" s="190" t="n">
        <v>6.688</v>
      </c>
      <c r="L1022" s="190" t="n">
        <v>25522.39</v>
      </c>
      <c r="M1022" s="190" t="n">
        <v>3.45</v>
      </c>
      <c r="N1022" s="190" t="n">
        <v>-2.148735</v>
      </c>
      <c r="O1022" s="190" t="n">
        <v>22.03</v>
      </c>
      <c r="P1022" s="190" t="n">
        <v>4.2866</v>
      </c>
      <c r="Q1022" s="190" t="n">
        <v>2.4014</v>
      </c>
      <c r="R1022" s="190" t="n">
        <v>97.54000000000001</v>
      </c>
      <c r="S1022" s="190" t="n">
        <v>5953.9938</v>
      </c>
      <c r="T1022" s="190" t="n">
        <v>5.19</v>
      </c>
      <c r="U1022" s="190" t="n">
        <v>21573.97</v>
      </c>
      <c r="V1022" s="190" t="n">
        <v>31.97</v>
      </c>
      <c r="W1022" s="190" t="n">
        <v>674.8192</v>
      </c>
      <c r="X1022" s="190" t="n">
        <v>3.128128</v>
      </c>
      <c r="Y1022" s="190" t="n">
        <v>15752.49</v>
      </c>
      <c r="Z1022" s="190" t="n">
        <v>27.18</v>
      </c>
      <c r="AA1022" s="190" t="n">
        <v>579.5617999999999</v>
      </c>
      <c r="AB1022" s="190" t="n">
        <v>3.679176</v>
      </c>
    </row>
    <row r="1023">
      <c r="A1023" s="190" t="n">
        <v>1022</v>
      </c>
      <c r="B1023" s="191" t="n">
        <v>46065</v>
      </c>
      <c r="C1023" s="190" t="n">
        <v>46340300</v>
      </c>
      <c r="D1023" s="190" t="n">
        <v>510063.62</v>
      </c>
      <c r="E1023" s="190" t="n">
        <v>90.852</v>
      </c>
      <c r="F1023" s="190" t="n">
        <v>5.100636</v>
      </c>
      <c r="G1023" s="190" t="n">
        <v>143.0256</v>
      </c>
      <c r="H1023" s="190" t="n">
        <v>0.680359</v>
      </c>
      <c r="I1023" s="190" t="n">
        <v>4.547522</v>
      </c>
      <c r="J1023" s="190" t="n">
        <v>1159.47</v>
      </c>
      <c r="K1023" s="190" t="n">
        <v>6.684</v>
      </c>
      <c r="L1023" s="190" t="n">
        <v>25496.74</v>
      </c>
      <c r="M1023" s="190" t="n">
        <v>3.45</v>
      </c>
      <c r="N1023" s="190" t="n">
        <v>-2.136478</v>
      </c>
      <c r="O1023" s="190" t="n">
        <v>21.99</v>
      </c>
      <c r="P1023" s="190" t="n">
        <v>4.2883</v>
      </c>
      <c r="Q1023" s="190" t="n">
        <v>2.3957</v>
      </c>
      <c r="R1023" s="190" t="n">
        <v>97.56999999999999</v>
      </c>
      <c r="S1023" s="190" t="n">
        <v>5945.6533</v>
      </c>
      <c r="T1023" s="190" t="n">
        <v>5.18</v>
      </c>
      <c r="U1023" s="190" t="n">
        <v>21536.99</v>
      </c>
      <c r="V1023" s="190" t="n">
        <v>31.93</v>
      </c>
      <c r="W1023" s="190" t="n">
        <v>674.5064</v>
      </c>
      <c r="X1023" s="190" t="n">
        <v>3.131459</v>
      </c>
      <c r="Y1023" s="190" t="n">
        <v>15726.25</v>
      </c>
      <c r="Z1023" s="190" t="n">
        <v>27.14</v>
      </c>
      <c r="AA1023" s="190" t="n">
        <v>579.4492</v>
      </c>
      <c r="AB1023" s="190" t="n">
        <v>3.684598</v>
      </c>
    </row>
    <row r="1024">
      <c r="A1024" s="190" t="n">
        <v>1023</v>
      </c>
      <c r="B1024" s="191" t="n">
        <v>46066</v>
      </c>
      <c r="C1024" s="190" t="n">
        <v>46300000</v>
      </c>
      <c r="D1024" s="190" t="n">
        <v>509350.9351</v>
      </c>
      <c r="E1024" s="190" t="n">
        <v>90.90000000000001</v>
      </c>
      <c r="F1024" s="190" t="n">
        <v>5.093509</v>
      </c>
      <c r="G1024" s="190" t="n">
        <v>142.9012</v>
      </c>
      <c r="H1024" s="190" t="n">
        <v>0.682007</v>
      </c>
      <c r="I1024" s="190" t="n">
        <v>4.555809</v>
      </c>
      <c r="J1024" s="190" t="n">
        <v>1160.41</v>
      </c>
      <c r="K1024" s="190" t="n">
        <v>6.68</v>
      </c>
      <c r="L1024" s="190" t="n">
        <v>25471.1</v>
      </c>
      <c r="M1024" s="190" t="n">
        <v>3.44</v>
      </c>
      <c r="N1024" s="190" t="n">
        <v>-2.124191</v>
      </c>
      <c r="O1024" s="190" t="n">
        <v>21.95</v>
      </c>
      <c r="P1024" s="190" t="n">
        <v>4.29</v>
      </c>
      <c r="Q1024" s="190" t="n">
        <v>2.39</v>
      </c>
      <c r="R1024" s="190" t="n">
        <v>97.59999999999999</v>
      </c>
      <c r="S1024" s="190" t="n">
        <v>5937.3193</v>
      </c>
      <c r="T1024" s="190" t="n">
        <v>5.18</v>
      </c>
      <c r="U1024" s="190" t="n">
        <v>21500</v>
      </c>
      <c r="V1024" s="190" t="n">
        <v>31.9</v>
      </c>
      <c r="W1024" s="190" t="n">
        <v>673.9811999999999</v>
      </c>
      <c r="X1024" s="190" t="n">
        <v>3.134796</v>
      </c>
      <c r="Y1024" s="190" t="n">
        <v>15700</v>
      </c>
      <c r="Z1024" s="190" t="n">
        <v>27.1</v>
      </c>
      <c r="AA1024" s="190" t="n">
        <v>579.3357999999999</v>
      </c>
      <c r="AB1024" s="190" t="n">
        <v>3.690037</v>
      </c>
    </row>
    <row r="1025">
      <c r="A1025" s="190" t="n">
        <v>1024</v>
      </c>
      <c r="B1025" s="191" t="n">
        <v>46069</v>
      </c>
      <c r="C1025" s="190" t="n">
        <v>46088235.29</v>
      </c>
      <c r="D1025" s="190" t="n">
        <v>506725.8396</v>
      </c>
      <c r="E1025" s="190" t="n">
        <v>90.953</v>
      </c>
      <c r="F1025" s="190" t="n">
        <v>5.067258</v>
      </c>
      <c r="G1025" s="190" t="n">
        <v>142.2476</v>
      </c>
      <c r="H1025" s="190" t="n">
        <v>0.6843129999999999</v>
      </c>
      <c r="I1025" s="190" t="n">
        <v>4.576043</v>
      </c>
      <c r="J1025" s="190" t="n">
        <v>1160.15</v>
      </c>
      <c r="K1025" s="190" t="n">
        <v>6.6871</v>
      </c>
      <c r="L1025" s="190" t="n">
        <v>25352.67</v>
      </c>
      <c r="M1025" s="190" t="n">
        <v>3.42</v>
      </c>
      <c r="N1025" s="190" t="n">
        <v>-2.111016</v>
      </c>
      <c r="O1025" s="190" t="n">
        <v>21.85</v>
      </c>
      <c r="P1025" s="190" t="n">
        <v>4.3006</v>
      </c>
      <c r="Q1025" s="190" t="n">
        <v>2.3865</v>
      </c>
      <c r="R1025" s="190" t="n">
        <v>97.706</v>
      </c>
      <c r="S1025" s="190" t="n">
        <v>5895.1635</v>
      </c>
      <c r="T1025" s="190" t="n">
        <v>5.19</v>
      </c>
      <c r="U1025" s="190" t="n">
        <v>21495.76</v>
      </c>
      <c r="V1025" s="190" t="n">
        <v>31.92</v>
      </c>
      <c r="W1025" s="190" t="n">
        <v>673.4261</v>
      </c>
      <c r="X1025" s="190" t="n">
        <v>3.13289</v>
      </c>
      <c r="Y1025" s="190" t="n">
        <v>15647.06</v>
      </c>
      <c r="Z1025" s="190" t="n">
        <v>27.05</v>
      </c>
      <c r="AA1025" s="190" t="n">
        <v>578.4494999999999</v>
      </c>
      <c r="AB1025" s="190" t="n">
        <v>3.69726</v>
      </c>
    </row>
    <row r="1026">
      <c r="A1026" s="190" t="n">
        <v>1025</v>
      </c>
      <c r="B1026" s="191" t="n">
        <v>46070</v>
      </c>
      <c r="C1026" s="190" t="n">
        <v>46017647.06</v>
      </c>
      <c r="D1026" s="190" t="n">
        <v>505849.6341</v>
      </c>
      <c r="E1026" s="190" t="n">
        <v>90.971</v>
      </c>
      <c r="F1026" s="190" t="n">
        <v>5.058496</v>
      </c>
      <c r="G1026" s="190" t="n">
        <v>142.0298</v>
      </c>
      <c r="H1026" s="190" t="n">
        <v>0.685087</v>
      </c>
      <c r="I1026" s="190" t="n">
        <v>4.582828</v>
      </c>
      <c r="J1026" s="190" t="n">
        <v>1160.06</v>
      </c>
      <c r="K1026" s="190" t="n">
        <v>6.6894</v>
      </c>
      <c r="L1026" s="190" t="n">
        <v>25313.19</v>
      </c>
      <c r="M1026" s="190" t="n">
        <v>3.42</v>
      </c>
      <c r="N1026" s="190" t="n">
        <v>-2.106584</v>
      </c>
      <c r="O1026" s="190" t="n">
        <v>21.82</v>
      </c>
      <c r="P1026" s="190" t="n">
        <v>4.3041</v>
      </c>
      <c r="Q1026" s="190" t="n">
        <v>2.3853</v>
      </c>
      <c r="R1026" s="190" t="n">
        <v>97.741</v>
      </c>
      <c r="S1026" s="190" t="n">
        <v>5881.1576</v>
      </c>
      <c r="T1026" s="190" t="n">
        <v>5.19</v>
      </c>
      <c r="U1026" s="190" t="n">
        <v>21494.35</v>
      </c>
      <c r="V1026" s="190" t="n">
        <v>31.93</v>
      </c>
      <c r="W1026" s="190" t="n">
        <v>673.171</v>
      </c>
      <c r="X1026" s="190" t="n">
        <v>3.132255</v>
      </c>
      <c r="Y1026" s="190" t="n">
        <v>15629.41</v>
      </c>
      <c r="Z1026" s="190" t="n">
        <v>27.03</v>
      </c>
      <c r="AA1026" s="190" t="n">
        <v>578.2246</v>
      </c>
      <c r="AB1026" s="190" t="n">
        <v>3.699674</v>
      </c>
    </row>
    <row r="1027">
      <c r="A1027" s="190" t="n">
        <v>1026</v>
      </c>
      <c r="B1027" s="191" t="n">
        <v>46071</v>
      </c>
      <c r="C1027" s="190" t="n">
        <v>45947058.82</v>
      </c>
      <c r="D1027" s="190" t="n">
        <v>504979.325</v>
      </c>
      <c r="E1027" s="190" t="n">
        <v>90.988</v>
      </c>
      <c r="F1027" s="190" t="n">
        <v>5.049793</v>
      </c>
      <c r="G1027" s="190" t="n">
        <v>141.8119</v>
      </c>
      <c r="H1027" s="190" t="n">
        <v>0.685863</v>
      </c>
      <c r="I1027" s="190" t="n">
        <v>4.589633</v>
      </c>
      <c r="J1027" s="190" t="n">
        <v>1159.97</v>
      </c>
      <c r="K1027" s="190" t="n">
        <v>6.6918</v>
      </c>
      <c r="L1027" s="190" t="n">
        <v>25273.72</v>
      </c>
      <c r="M1027" s="190" t="n">
        <v>3.41</v>
      </c>
      <c r="N1027" s="190" t="n">
        <v>-2.102132</v>
      </c>
      <c r="O1027" s="190" t="n">
        <v>21.79</v>
      </c>
      <c r="P1027" s="190" t="n">
        <v>4.3076</v>
      </c>
      <c r="Q1027" s="190" t="n">
        <v>2.3842</v>
      </c>
      <c r="R1027" s="190" t="n">
        <v>97.776</v>
      </c>
      <c r="S1027" s="190" t="n">
        <v>5867.1747</v>
      </c>
      <c r="T1027" s="190" t="n">
        <v>5.19</v>
      </c>
      <c r="U1027" s="190" t="n">
        <v>21492.94</v>
      </c>
      <c r="V1027" s="190" t="n">
        <v>31.93</v>
      </c>
      <c r="W1027" s="190" t="n">
        <v>673.1268</v>
      </c>
      <c r="X1027" s="190" t="n">
        <v>3.13162</v>
      </c>
      <c r="Y1027" s="190" t="n">
        <v>15611.76</v>
      </c>
      <c r="Z1027" s="190" t="n">
        <v>27.01</v>
      </c>
      <c r="AA1027" s="190" t="n">
        <v>577.9992999999999</v>
      </c>
      <c r="AB1027" s="190" t="n">
        <v>3.702091</v>
      </c>
    </row>
    <row r="1028">
      <c r="A1028" s="190" t="n">
        <v>1027</v>
      </c>
      <c r="B1028" s="191" t="n">
        <v>46073</v>
      </c>
      <c r="C1028" s="190" t="n">
        <v>45805882.35</v>
      </c>
      <c r="D1028" s="190" t="n">
        <v>503228.6249</v>
      </c>
      <c r="E1028" s="190" t="n">
        <v>91.024</v>
      </c>
      <c r="F1028" s="190" t="n">
        <v>5.032286</v>
      </c>
      <c r="G1028" s="190" t="n">
        <v>141.3762</v>
      </c>
      <c r="H1028" s="190" t="n">
        <v>0.687422</v>
      </c>
      <c r="I1028" s="190" t="n">
        <v>4.603304</v>
      </c>
      <c r="J1028" s="190" t="n">
        <v>1159.79</v>
      </c>
      <c r="K1028" s="190" t="n">
        <v>6.6965</v>
      </c>
      <c r="L1028" s="190" t="n">
        <v>25194.76</v>
      </c>
      <c r="M1028" s="190" t="n">
        <v>3.4</v>
      </c>
      <c r="N1028" s="190" t="n">
        <v>-2.093167</v>
      </c>
      <c r="O1028" s="190" t="n">
        <v>21.72</v>
      </c>
      <c r="P1028" s="190" t="n">
        <v>4.3147</v>
      </c>
      <c r="Q1028" s="190" t="n">
        <v>2.3818</v>
      </c>
      <c r="R1028" s="190" t="n">
        <v>97.84699999999999</v>
      </c>
      <c r="S1028" s="190" t="n">
        <v>5839.2774</v>
      </c>
      <c r="T1028" s="190" t="n">
        <v>5.2</v>
      </c>
      <c r="U1028" s="190" t="n">
        <v>21490.12</v>
      </c>
      <c r="V1028" s="190" t="n">
        <v>31.95</v>
      </c>
      <c r="W1028" s="190" t="n">
        <v>672.6172</v>
      </c>
      <c r="X1028" s="190" t="n">
        <v>3.130352</v>
      </c>
      <c r="Y1028" s="190" t="n">
        <v>15576.47</v>
      </c>
      <c r="Z1028" s="190" t="n">
        <v>26.98</v>
      </c>
      <c r="AA1028" s="190" t="n">
        <v>577.3339999999999</v>
      </c>
      <c r="AB1028" s="190" t="n">
        <v>3.706934</v>
      </c>
    </row>
    <row r="1029">
      <c r="A1029" s="190" t="n">
        <v>1028</v>
      </c>
      <c r="B1029" s="191" t="n">
        <v>46076</v>
      </c>
      <c r="C1029" s="190" t="n">
        <v>45594117.65</v>
      </c>
      <c r="D1029" s="190" t="n">
        <v>500616.1629</v>
      </c>
      <c r="E1029" s="190" t="n">
        <v>91.07599999999999</v>
      </c>
      <c r="F1029" s="190" t="n">
        <v>5.006162</v>
      </c>
      <c r="G1029" s="190" t="n">
        <v>140.7226</v>
      </c>
      <c r="H1029" s="190" t="n">
        <v>0.6897799999999999</v>
      </c>
      <c r="I1029" s="190" t="n">
        <v>4.623963</v>
      </c>
      <c r="J1029" s="190" t="n">
        <v>1159.52</v>
      </c>
      <c r="K1029" s="190" t="n">
        <v>6.7035</v>
      </c>
      <c r="L1029" s="190" t="n">
        <v>25076.34</v>
      </c>
      <c r="M1029" s="190" t="n">
        <v>3.39</v>
      </c>
      <c r="N1029" s="190" t="n">
        <v>-2.079566</v>
      </c>
      <c r="O1029" s="190" t="n">
        <v>21.63</v>
      </c>
      <c r="P1029" s="190" t="n">
        <v>4.3253</v>
      </c>
      <c r="Q1029" s="190" t="n">
        <v>2.3782</v>
      </c>
      <c r="R1029" s="190" t="n">
        <v>97.953</v>
      </c>
      <c r="S1029" s="190" t="n">
        <v>5797.6023</v>
      </c>
      <c r="T1029" s="190" t="n">
        <v>5.2</v>
      </c>
      <c r="U1029" s="190" t="n">
        <v>21485.88</v>
      </c>
      <c r="V1029" s="190" t="n">
        <v>31.96</v>
      </c>
      <c r="W1029" s="190" t="n">
        <v>672.2741</v>
      </c>
      <c r="X1029" s="190" t="n">
        <v>3.12845</v>
      </c>
      <c r="Y1029" s="190" t="n">
        <v>15523.53</v>
      </c>
      <c r="Z1029" s="190" t="n">
        <v>26.92</v>
      </c>
      <c r="AA1029" s="190" t="n">
        <v>576.6541999999999</v>
      </c>
      <c r="AB1029" s="190" t="n">
        <v>3.714223</v>
      </c>
    </row>
    <row r="1030">
      <c r="A1030" s="190" t="n">
        <v>1029</v>
      </c>
      <c r="B1030" s="191" t="n">
        <v>46077</v>
      </c>
      <c r="C1030" s="190" t="n">
        <v>45523529.41</v>
      </c>
      <c r="D1030" s="190" t="n">
        <v>499742.3476</v>
      </c>
      <c r="E1030" s="190" t="n">
        <v>91.09399999999999</v>
      </c>
      <c r="F1030" s="190" t="n">
        <v>4.997423</v>
      </c>
      <c r="G1030" s="190" t="n">
        <v>140.5047</v>
      </c>
      <c r="H1030" s="190" t="n">
        <v>0.690571</v>
      </c>
      <c r="I1030" s="190" t="n">
        <v>4.630891</v>
      </c>
      <c r="J1030" s="190" t="n">
        <v>1159.43</v>
      </c>
      <c r="K1030" s="190" t="n">
        <v>6.7059</v>
      </c>
      <c r="L1030" s="190" t="n">
        <v>25036.86</v>
      </c>
      <c r="M1030" s="190" t="n">
        <v>3.38</v>
      </c>
      <c r="N1030" s="190" t="n">
        <v>-2.074992</v>
      </c>
      <c r="O1030" s="190" t="n">
        <v>21.59</v>
      </c>
      <c r="P1030" s="190" t="n">
        <v>4.3288</v>
      </c>
      <c r="Q1030" s="190" t="n">
        <v>2.3771</v>
      </c>
      <c r="R1030" s="190" t="n">
        <v>97.988</v>
      </c>
      <c r="S1030" s="190" t="n">
        <v>5783.7559</v>
      </c>
      <c r="T1030" s="190" t="n">
        <v>5.21</v>
      </c>
      <c r="U1030" s="190" t="n">
        <v>21484.47</v>
      </c>
      <c r="V1030" s="190" t="n">
        <v>31.97</v>
      </c>
      <c r="W1030" s="190" t="n">
        <v>672.0196999999999</v>
      </c>
      <c r="X1030" s="190" t="n">
        <v>3.127817</v>
      </c>
      <c r="Y1030" s="190" t="n">
        <v>15505.88</v>
      </c>
      <c r="Z1030" s="190" t="n">
        <v>26.91</v>
      </c>
      <c r="AA1030" s="190" t="n">
        <v>576.2126</v>
      </c>
      <c r="AB1030" s="190" t="n">
        <v>3.716659</v>
      </c>
    </row>
    <row r="1031">
      <c r="A1031" s="190" t="n">
        <v>1030</v>
      </c>
      <c r="B1031" s="191" t="n">
        <v>46078</v>
      </c>
      <c r="C1031" s="190" t="n">
        <v>45452941.18</v>
      </c>
      <c r="D1031" s="190" t="n">
        <v>498868.8776</v>
      </c>
      <c r="E1031" s="190" t="n">
        <v>91.11199999999999</v>
      </c>
      <c r="F1031" s="190" t="n">
        <v>4.988689</v>
      </c>
      <c r="G1031" s="190" t="n">
        <v>140.2869</v>
      </c>
      <c r="H1031" s="190" t="n">
        <v>0.691365</v>
      </c>
      <c r="I1031" s="190" t="n">
        <v>4.637839</v>
      </c>
      <c r="J1031" s="190" t="n">
        <v>1159.34</v>
      </c>
      <c r="K1031" s="190" t="n">
        <v>6.7082</v>
      </c>
      <c r="L1031" s="190" t="n">
        <v>24997.38</v>
      </c>
      <c r="M1031" s="190" t="n">
        <v>3.38</v>
      </c>
      <c r="N1031" s="190" t="n">
        <v>-2.070396</v>
      </c>
      <c r="O1031" s="190" t="n">
        <v>21.56</v>
      </c>
      <c r="P1031" s="190" t="n">
        <v>4.3324</v>
      </c>
      <c r="Q1031" s="190" t="n">
        <v>2.3758</v>
      </c>
      <c r="R1031" s="190" t="n">
        <v>98.024</v>
      </c>
      <c r="S1031" s="190" t="n">
        <v>5769.9321</v>
      </c>
      <c r="T1031" s="190" t="n">
        <v>5.21</v>
      </c>
      <c r="U1031" s="190" t="n">
        <v>21483.06</v>
      </c>
      <c r="V1031" s="190" t="n">
        <v>31.98</v>
      </c>
      <c r="W1031" s="190" t="n">
        <v>671.7655</v>
      </c>
      <c r="X1031" s="190" t="n">
        <v>3.127184</v>
      </c>
      <c r="Y1031" s="190" t="n">
        <v>15488.24</v>
      </c>
      <c r="Z1031" s="190" t="n">
        <v>26.89</v>
      </c>
      <c r="AA1031" s="190" t="n">
        <v>575.9851</v>
      </c>
      <c r="AB1031" s="190" t="n">
        <v>3.719099</v>
      </c>
    </row>
    <row r="1032">
      <c r="A1032" s="190" t="n">
        <v>1031</v>
      </c>
      <c r="B1032" s="191" t="n">
        <v>46079</v>
      </c>
      <c r="C1032" s="190" t="n">
        <v>45382352.94</v>
      </c>
      <c r="D1032" s="190" t="n">
        <v>498001.2174</v>
      </c>
      <c r="E1032" s="190" t="n">
        <v>91.129</v>
      </c>
      <c r="F1032" s="190" t="n">
        <v>4.980012</v>
      </c>
      <c r="G1032" s="190" t="n">
        <v>140.069</v>
      </c>
      <c r="H1032" s="190" t="n">
        <v>0.692161</v>
      </c>
      <c r="I1032" s="190" t="n">
        <v>4.644809</v>
      </c>
      <c r="J1032" s="190" t="n">
        <v>1159.25</v>
      </c>
      <c r="K1032" s="190" t="n">
        <v>6.7106</v>
      </c>
      <c r="L1032" s="190" t="n">
        <v>24957.91</v>
      </c>
      <c r="M1032" s="190" t="n">
        <v>3.37</v>
      </c>
      <c r="N1032" s="190" t="n">
        <v>-2.065779</v>
      </c>
      <c r="O1032" s="190" t="n">
        <v>21.53</v>
      </c>
      <c r="P1032" s="190" t="n">
        <v>4.3359</v>
      </c>
      <c r="Q1032" s="190" t="n">
        <v>2.3747</v>
      </c>
      <c r="R1032" s="190" t="n">
        <v>98.059</v>
      </c>
      <c r="S1032" s="190" t="n">
        <v>5756.1308</v>
      </c>
      <c r="T1032" s="190" t="n">
        <v>5.21</v>
      </c>
      <c r="U1032" s="190" t="n">
        <v>21481.65</v>
      </c>
      <c r="V1032" s="190" t="n">
        <v>31.98</v>
      </c>
      <c r="W1032" s="190" t="n">
        <v>671.7214</v>
      </c>
      <c r="X1032" s="190" t="n">
        <v>3.126552</v>
      </c>
      <c r="Y1032" s="190" t="n">
        <v>15470.59</v>
      </c>
      <c r="Z1032" s="190" t="n">
        <v>26.87</v>
      </c>
      <c r="AA1032" s="190" t="n">
        <v>575.7569999999999</v>
      </c>
      <c r="AB1032" s="190" t="n">
        <v>3.721541</v>
      </c>
    </row>
    <row r="1033">
      <c r="A1033" s="190" t="n">
        <v>1032</v>
      </c>
      <c r="B1033" s="191" t="n">
        <v>46080</v>
      </c>
      <c r="C1033" s="190" t="n">
        <v>45311764.71</v>
      </c>
      <c r="D1033" s="190" t="n">
        <v>497128.4267</v>
      </c>
      <c r="E1033" s="190" t="n">
        <v>91.14700000000001</v>
      </c>
      <c r="F1033" s="190" t="n">
        <v>4.971284</v>
      </c>
      <c r="G1033" s="190" t="n">
        <v>139.8511</v>
      </c>
      <c r="H1033" s="190" t="n">
        <v>0.69296</v>
      </c>
      <c r="I1033" s="190" t="n">
        <v>4.651799</v>
      </c>
      <c r="J1033" s="190" t="n">
        <v>1159.16</v>
      </c>
      <c r="K1033" s="190" t="n">
        <v>6.7129</v>
      </c>
      <c r="L1033" s="190" t="n">
        <v>24918.43</v>
      </c>
      <c r="M1033" s="190" t="n">
        <v>3.37</v>
      </c>
      <c r="N1033" s="190" t="n">
        <v>-2.061142</v>
      </c>
      <c r="O1033" s="190" t="n">
        <v>21.5</v>
      </c>
      <c r="P1033" s="190" t="n">
        <v>4.3394</v>
      </c>
      <c r="Q1033" s="190" t="n">
        <v>2.3735</v>
      </c>
      <c r="R1033" s="190" t="n">
        <v>98.09399999999999</v>
      </c>
      <c r="S1033" s="190" t="n">
        <v>5742.3519</v>
      </c>
      <c r="T1033" s="190" t="n">
        <v>5.21</v>
      </c>
      <c r="U1033" s="190" t="n">
        <v>21480.24</v>
      </c>
      <c r="V1033" s="190" t="n">
        <v>31.99</v>
      </c>
      <c r="W1033" s="190" t="n">
        <v>671.4673</v>
      </c>
      <c r="X1033" s="190" t="n">
        <v>3.125919</v>
      </c>
      <c r="Y1033" s="190" t="n">
        <v>15452.94</v>
      </c>
      <c r="Z1033" s="190" t="n">
        <v>26.85</v>
      </c>
      <c r="AA1033" s="190" t="n">
        <v>575.5285</v>
      </c>
      <c r="AB1033" s="190" t="n">
        <v>3.723987</v>
      </c>
    </row>
    <row r="1034">
      <c r="A1034" s="190" t="n">
        <v>1033</v>
      </c>
      <c r="B1034" s="191" t="n">
        <v>46083</v>
      </c>
      <c r="C1034" s="190" t="n">
        <v>45100000</v>
      </c>
      <c r="D1034" s="190" t="n">
        <v>494517.5439</v>
      </c>
      <c r="E1034" s="190" t="n">
        <v>91.2</v>
      </c>
      <c r="F1034" s="190" t="n">
        <v>4.945175</v>
      </c>
      <c r="G1034" s="190" t="n">
        <v>139.1975</v>
      </c>
      <c r="H1034" s="190" t="n">
        <v>0.695372</v>
      </c>
      <c r="I1034" s="190" t="n">
        <v>4.672897</v>
      </c>
      <c r="J1034" s="190" t="n">
        <v>1158.88</v>
      </c>
      <c r="K1034" s="190" t="n">
        <v>6.72</v>
      </c>
      <c r="L1034" s="190" t="n">
        <v>24800</v>
      </c>
      <c r="M1034" s="190" t="n">
        <v>3.35</v>
      </c>
      <c r="N1034" s="190" t="n">
        <v>-2.047103</v>
      </c>
      <c r="O1034" s="190" t="n">
        <v>21.4</v>
      </c>
      <c r="P1034" s="190" t="n">
        <v>4.35</v>
      </c>
      <c r="Q1034" s="190" t="n">
        <v>2.37</v>
      </c>
      <c r="R1034" s="190" t="n">
        <v>98.2</v>
      </c>
      <c r="S1034" s="190" t="n">
        <v>5701.1494</v>
      </c>
      <c r="T1034" s="190" t="n">
        <v>5.22</v>
      </c>
      <c r="U1034" s="190" t="n">
        <v>21476</v>
      </c>
      <c r="V1034" s="190" t="n">
        <v>32.01</v>
      </c>
      <c r="W1034" s="190" t="n">
        <v>670.9153</v>
      </c>
      <c r="X1034" s="190" t="n">
        <v>3.124024</v>
      </c>
      <c r="Y1034" s="190" t="n">
        <v>15400</v>
      </c>
      <c r="Z1034" s="190" t="n">
        <v>26.8</v>
      </c>
      <c r="AA1034" s="190" t="n">
        <v>574.6269</v>
      </c>
      <c r="AB1034" s="190" t="n">
        <v>3.731343</v>
      </c>
    </row>
    <row r="1035">
      <c r="A1035" s="190" t="n">
        <v>1034</v>
      </c>
      <c r="B1035" s="191" t="n">
        <v>46084</v>
      </c>
      <c r="C1035" s="190" t="n">
        <v>44950000</v>
      </c>
      <c r="D1035" s="190" t="n">
        <v>492467.817</v>
      </c>
      <c r="E1035" s="190" t="n">
        <v>91.27500000000001</v>
      </c>
      <c r="F1035" s="190" t="n">
        <v>4.924678</v>
      </c>
      <c r="G1035" s="190" t="n">
        <v>138.7346</v>
      </c>
      <c r="H1035" s="190" t="n">
        <v>0.697298</v>
      </c>
      <c r="I1035" s="190" t="n">
        <v>4.689332</v>
      </c>
      <c r="J1035" s="190" t="n">
        <v>1158.86</v>
      </c>
      <c r="K1035" s="190" t="n">
        <v>6.725</v>
      </c>
      <c r="L1035" s="190" t="n">
        <v>24712.61</v>
      </c>
      <c r="M1035" s="190" t="n">
        <v>3.33</v>
      </c>
      <c r="N1035" s="190" t="n">
        <v>-2.035668</v>
      </c>
      <c r="O1035" s="190" t="n">
        <v>21.32</v>
      </c>
      <c r="P1035" s="190" t="n">
        <v>4.3575</v>
      </c>
      <c r="Q1035" s="190" t="n">
        <v>2.3675</v>
      </c>
      <c r="R1035" s="190" t="n">
        <v>98.34999999999999</v>
      </c>
      <c r="S1035" s="190" t="n">
        <v>5671.2823</v>
      </c>
      <c r="T1035" s="190" t="n">
        <v>5.22</v>
      </c>
      <c r="U1035" s="190" t="n">
        <v>21382</v>
      </c>
      <c r="V1035" s="190" t="n">
        <v>31.91</v>
      </c>
      <c r="W1035" s="190" t="n">
        <v>670.0721</v>
      </c>
      <c r="X1035" s="190" t="n">
        <v>3.134059</v>
      </c>
      <c r="Y1035" s="190" t="n">
        <v>15325</v>
      </c>
      <c r="Z1035" s="190" t="n">
        <v>26.73</v>
      </c>
      <c r="AA1035" s="190" t="n">
        <v>573.3259</v>
      </c>
      <c r="AB1035" s="190" t="n">
        <v>3.741815</v>
      </c>
    </row>
    <row r="1036">
      <c r="A1036" s="190" t="n">
        <v>1035</v>
      </c>
      <c r="B1036" s="191" t="n">
        <v>46085</v>
      </c>
      <c r="C1036" s="190" t="n">
        <v>44800000</v>
      </c>
      <c r="D1036" s="190" t="n">
        <v>490421.4559</v>
      </c>
      <c r="E1036" s="190" t="n">
        <v>91.34999999999999</v>
      </c>
      <c r="F1036" s="190" t="n">
        <v>4.904215</v>
      </c>
      <c r="G1036" s="190" t="n">
        <v>138.2716</v>
      </c>
      <c r="H1036" s="190" t="n">
        <v>0.69924</v>
      </c>
      <c r="I1036" s="190" t="n">
        <v>4.705882</v>
      </c>
      <c r="J1036" s="190" t="n">
        <v>1158.83</v>
      </c>
      <c r="K1036" s="190" t="n">
        <v>6.73</v>
      </c>
      <c r="L1036" s="190" t="n">
        <v>24625.22</v>
      </c>
      <c r="M1036" s="190" t="n">
        <v>3.31</v>
      </c>
      <c r="N1036" s="190" t="n">
        <v>-2.024118</v>
      </c>
      <c r="O1036" s="190" t="n">
        <v>21.25</v>
      </c>
      <c r="P1036" s="190" t="n">
        <v>4.365</v>
      </c>
      <c r="Q1036" s="190" t="n">
        <v>2.365</v>
      </c>
      <c r="R1036" s="190" t="n">
        <v>98.5</v>
      </c>
      <c r="S1036" s="190" t="n">
        <v>5641.5178</v>
      </c>
      <c r="T1036" s="190" t="n">
        <v>5.23</v>
      </c>
      <c r="U1036" s="190" t="n">
        <v>21288</v>
      </c>
      <c r="V1036" s="190" t="n">
        <v>31.8</v>
      </c>
      <c r="W1036" s="190" t="n">
        <v>669.434</v>
      </c>
      <c r="X1036" s="190" t="n">
        <v>3.14416</v>
      </c>
      <c r="Y1036" s="190" t="n">
        <v>15250</v>
      </c>
      <c r="Z1036" s="190" t="n">
        <v>26.65</v>
      </c>
      <c r="AA1036" s="190" t="n">
        <v>572.2326</v>
      </c>
      <c r="AB1036" s="190" t="n">
        <v>3.752345</v>
      </c>
    </row>
    <row r="1037">
      <c r="A1037" s="190" t="n">
        <v>1036</v>
      </c>
      <c r="B1037" s="191" t="n">
        <v>46086</v>
      </c>
      <c r="C1037" s="190" t="n">
        <v>44650000</v>
      </c>
      <c r="D1037" s="190" t="n">
        <v>488378.4523</v>
      </c>
      <c r="E1037" s="190" t="n">
        <v>91.425</v>
      </c>
      <c r="F1037" s="190" t="n">
        <v>4.883785</v>
      </c>
      <c r="G1037" s="190" t="n">
        <v>137.8086</v>
      </c>
      <c r="H1037" s="190" t="n">
        <v>0.701195</v>
      </c>
      <c r="I1037" s="190" t="n">
        <v>4.72255</v>
      </c>
      <c r="J1037" s="190" t="n">
        <v>1158.81</v>
      </c>
      <c r="K1037" s="190" t="n">
        <v>6.735</v>
      </c>
      <c r="L1037" s="190" t="n">
        <v>24537.84</v>
      </c>
      <c r="M1037" s="190" t="n">
        <v>3.3</v>
      </c>
      <c r="N1037" s="190" t="n">
        <v>-2.01245</v>
      </c>
      <c r="O1037" s="190" t="n">
        <v>21.18</v>
      </c>
      <c r="P1037" s="190" t="n">
        <v>4.3725</v>
      </c>
      <c r="Q1037" s="190" t="n">
        <v>2.3625</v>
      </c>
      <c r="R1037" s="190" t="n">
        <v>98.65000000000001</v>
      </c>
      <c r="S1037" s="190" t="n">
        <v>5611.8553</v>
      </c>
      <c r="T1037" s="190" t="n">
        <v>5.24</v>
      </c>
      <c r="U1037" s="190" t="n">
        <v>21194</v>
      </c>
      <c r="V1037" s="190" t="n">
        <v>31.7</v>
      </c>
      <c r="W1037" s="190" t="n">
        <v>668.5804000000001</v>
      </c>
      <c r="X1037" s="190" t="n">
        <v>3.154325</v>
      </c>
      <c r="Y1037" s="190" t="n">
        <v>15175</v>
      </c>
      <c r="Z1037" s="190" t="n">
        <v>26.57</v>
      </c>
      <c r="AA1037" s="190" t="n">
        <v>571.1328999999999</v>
      </c>
      <c r="AB1037" s="190" t="n">
        <v>3.762935</v>
      </c>
    </row>
    <row r="1038">
      <c r="A1038" s="190" t="n">
        <v>1037</v>
      </c>
      <c r="B1038" s="191" t="n">
        <v>46087</v>
      </c>
      <c r="C1038" s="190" t="n">
        <v>44500000</v>
      </c>
      <c r="D1038" s="190" t="n">
        <v>486338.7978</v>
      </c>
      <c r="E1038" s="190" t="n">
        <v>91.5</v>
      </c>
      <c r="F1038" s="190" t="n">
        <v>4.863388</v>
      </c>
      <c r="G1038" s="190" t="n">
        <v>137.3457</v>
      </c>
      <c r="H1038" s="190" t="n">
        <v>0.703166</v>
      </c>
      <c r="I1038" s="190" t="n">
        <v>4.739336</v>
      </c>
      <c r="J1038" s="190" t="n">
        <v>1158.79</v>
      </c>
      <c r="K1038" s="190" t="n">
        <v>6.74</v>
      </c>
      <c r="L1038" s="190" t="n">
        <v>24450.45</v>
      </c>
      <c r="M1038" s="190" t="n">
        <v>3.28</v>
      </c>
      <c r="N1038" s="190" t="n">
        <v>-2.000664</v>
      </c>
      <c r="O1038" s="190" t="n">
        <v>21.1</v>
      </c>
      <c r="P1038" s="190" t="n">
        <v>4.38</v>
      </c>
      <c r="Q1038" s="190" t="n">
        <v>2.36</v>
      </c>
      <c r="R1038" s="190" t="n">
        <v>98.8</v>
      </c>
      <c r="S1038" s="190" t="n">
        <v>5582.2945</v>
      </c>
      <c r="T1038" s="190" t="n">
        <v>5.24</v>
      </c>
      <c r="U1038" s="190" t="n">
        <v>21100</v>
      </c>
      <c r="V1038" s="190" t="n">
        <v>31.6</v>
      </c>
      <c r="W1038" s="190" t="n">
        <v>667.7215</v>
      </c>
      <c r="X1038" s="190" t="n">
        <v>3.164557</v>
      </c>
      <c r="Y1038" s="190" t="n">
        <v>15100</v>
      </c>
      <c r="Z1038" s="190" t="n">
        <v>26.5</v>
      </c>
      <c r="AA1038" s="190" t="n">
        <v>569.8113</v>
      </c>
      <c r="AB1038" s="190" t="n">
        <v>3.773585</v>
      </c>
    </row>
    <row r="1039">
      <c r="A1039" s="190" t="n">
        <v>1038</v>
      </c>
      <c r="B1039" s="191" t="n">
        <v>46090</v>
      </c>
      <c r="C1039" s="190" t="n">
        <v>44221428.57</v>
      </c>
      <c r="D1039" s="190" t="n">
        <v>481604.7372</v>
      </c>
      <c r="E1039" s="190" t="n">
        <v>91.821</v>
      </c>
      <c r="F1039" s="190" t="n">
        <v>4.816047</v>
      </c>
      <c r="G1039" s="190" t="n">
        <v>136.4859</v>
      </c>
      <c r="H1039" s="190" t="n">
        <v>0.708112</v>
      </c>
      <c r="I1039" s="190" t="n">
        <v>4.775712</v>
      </c>
      <c r="J1039" s="190" t="n">
        <v>1156.93</v>
      </c>
      <c r="K1039" s="190" t="n">
        <v>6.7443</v>
      </c>
      <c r="L1039" s="190" t="n">
        <v>24225.35</v>
      </c>
      <c r="M1039" s="190" t="n">
        <v>3.26</v>
      </c>
      <c r="N1039" s="190" t="n">
        <v>-1.968574</v>
      </c>
      <c r="O1039" s="190" t="n">
        <v>20.94</v>
      </c>
      <c r="P1039" s="190" t="n">
        <v>4.3886</v>
      </c>
      <c r="Q1039" s="190" t="n">
        <v>2.3557</v>
      </c>
      <c r="R1039" s="190" t="n">
        <v>98.886</v>
      </c>
      <c r="S1039" s="190" t="n">
        <v>5520.1001</v>
      </c>
      <c r="T1039" s="190" t="n">
        <v>5.24</v>
      </c>
      <c r="U1039" s="190" t="n">
        <v>20971.43</v>
      </c>
      <c r="V1039" s="190" t="n">
        <v>31.43</v>
      </c>
      <c r="W1039" s="190" t="n">
        <v>667.2424</v>
      </c>
      <c r="X1039" s="190" t="n">
        <v>3.181818</v>
      </c>
      <c r="Y1039" s="190" t="n">
        <v>14992.86</v>
      </c>
      <c r="Z1039" s="190" t="n">
        <v>26.33</v>
      </c>
      <c r="AA1039" s="190" t="n">
        <v>569.4212</v>
      </c>
      <c r="AB1039" s="190" t="n">
        <v>3.798155</v>
      </c>
    </row>
    <row r="1040">
      <c r="A1040" s="190" t="n">
        <v>1039</v>
      </c>
      <c r="B1040" s="191" t="n">
        <v>46091</v>
      </c>
      <c r="C1040" s="190" t="n">
        <v>44128571.43</v>
      </c>
      <c r="D1040" s="190" t="n">
        <v>480028.8421</v>
      </c>
      <c r="E1040" s="190" t="n">
        <v>91.929</v>
      </c>
      <c r="F1040" s="190" t="n">
        <v>4.800288</v>
      </c>
      <c r="G1040" s="190" t="n">
        <v>136.1993</v>
      </c>
      <c r="H1040" s="190" t="n">
        <v>0.709778</v>
      </c>
      <c r="I1040" s="190" t="n">
        <v>4.787962</v>
      </c>
      <c r="J1040" s="190" t="n">
        <v>1156.31</v>
      </c>
      <c r="K1040" s="190" t="n">
        <v>6.7457</v>
      </c>
      <c r="L1040" s="190" t="n">
        <v>24150.32</v>
      </c>
      <c r="M1040" s="190" t="n">
        <v>3.26</v>
      </c>
      <c r="N1040" s="190" t="n">
        <v>-1.957753</v>
      </c>
      <c r="O1040" s="190" t="n">
        <v>20.89</v>
      </c>
      <c r="P1040" s="190" t="n">
        <v>4.3914</v>
      </c>
      <c r="Q1040" s="190" t="n">
        <v>2.3543</v>
      </c>
      <c r="R1040" s="190" t="n">
        <v>98.914</v>
      </c>
      <c r="S1040" s="190" t="n">
        <v>5499.4226</v>
      </c>
      <c r="T1040" s="190" t="n">
        <v>5.25</v>
      </c>
      <c r="U1040" s="190" t="n">
        <v>20928.57</v>
      </c>
      <c r="V1040" s="190" t="n">
        <v>31.37</v>
      </c>
      <c r="W1040" s="190" t="n">
        <v>667.1523999999999</v>
      </c>
      <c r="X1040" s="190" t="n">
        <v>3.187614</v>
      </c>
      <c r="Y1040" s="190" t="n">
        <v>14957.14</v>
      </c>
      <c r="Z1040" s="190" t="n">
        <v>26.27</v>
      </c>
      <c r="AA1040" s="190" t="n">
        <v>569.362</v>
      </c>
      <c r="AB1040" s="190" t="n">
        <v>3.806417</v>
      </c>
    </row>
    <row r="1041">
      <c r="A1041" s="190" t="n">
        <v>1040</v>
      </c>
      <c r="B1041" s="191" t="n">
        <v>46092</v>
      </c>
      <c r="C1041" s="190" t="n">
        <v>44035714.29</v>
      </c>
      <c r="D1041" s="190" t="n">
        <v>478461.8442</v>
      </c>
      <c r="E1041" s="190" t="n">
        <v>92.036</v>
      </c>
      <c r="F1041" s="190" t="n">
        <v>4.784618</v>
      </c>
      <c r="G1041" s="190" t="n">
        <v>135.9127</v>
      </c>
      <c r="H1041" s="190" t="n">
        <v>0.711453</v>
      </c>
      <c r="I1041" s="190" t="n">
        <v>4.800274</v>
      </c>
      <c r="J1041" s="190" t="n">
        <v>1155.68</v>
      </c>
      <c r="K1041" s="190" t="n">
        <v>6.7471</v>
      </c>
      <c r="L1041" s="190" t="n">
        <v>24075.29</v>
      </c>
      <c r="M1041" s="190" t="n">
        <v>3.25</v>
      </c>
      <c r="N1041" s="190" t="n">
        <v>-1.946869</v>
      </c>
      <c r="O1041" s="190" t="n">
        <v>20.83</v>
      </c>
      <c r="P1041" s="190" t="n">
        <v>4.3943</v>
      </c>
      <c r="Q1041" s="190" t="n">
        <v>2.3528</v>
      </c>
      <c r="R1041" s="190" t="n">
        <v>98.943</v>
      </c>
      <c r="S1041" s="190" t="n">
        <v>5478.7719</v>
      </c>
      <c r="T1041" s="190" t="n">
        <v>5.25</v>
      </c>
      <c r="U1041" s="190" t="n">
        <v>20885.71</v>
      </c>
      <c r="V1041" s="190" t="n">
        <v>31.31</v>
      </c>
      <c r="W1041" s="190" t="n">
        <v>667.062</v>
      </c>
      <c r="X1041" s="190" t="n">
        <v>3.193431</v>
      </c>
      <c r="Y1041" s="190" t="n">
        <v>14921.43</v>
      </c>
      <c r="Z1041" s="190" t="n">
        <v>26.21</v>
      </c>
      <c r="AA1041" s="190" t="n">
        <v>569.3029</v>
      </c>
      <c r="AB1041" s="190" t="n">
        <v>3.814714</v>
      </c>
    </row>
    <row r="1042">
      <c r="A1042" s="190" t="n">
        <v>1041</v>
      </c>
      <c r="B1042" s="191" t="n">
        <v>46093</v>
      </c>
      <c r="C1042" s="190" t="n">
        <v>43942857.14</v>
      </c>
      <c r="D1042" s="190" t="n">
        <v>476898.4854</v>
      </c>
      <c r="E1042" s="190" t="n">
        <v>92.143</v>
      </c>
      <c r="F1042" s="190" t="n">
        <v>4.768985</v>
      </c>
      <c r="G1042" s="190" t="n">
        <v>135.6261</v>
      </c>
      <c r="H1042" s="190" t="n">
        <v>0.713136</v>
      </c>
      <c r="I1042" s="190" t="n">
        <v>4.81265</v>
      </c>
      <c r="J1042" s="190" t="n">
        <v>1155.05</v>
      </c>
      <c r="K1042" s="190" t="n">
        <v>6.7486</v>
      </c>
      <c r="L1042" s="190" t="n">
        <v>24000.26</v>
      </c>
      <c r="M1042" s="190" t="n">
        <v>3.25</v>
      </c>
      <c r="N1042" s="190" t="n">
        <v>-1.935921</v>
      </c>
      <c r="O1042" s="190" t="n">
        <v>20.78</v>
      </c>
      <c r="P1042" s="190" t="n">
        <v>4.3971</v>
      </c>
      <c r="Q1042" s="190" t="n">
        <v>2.3515</v>
      </c>
      <c r="R1042" s="190" t="n">
        <v>98.971</v>
      </c>
      <c r="S1042" s="190" t="n">
        <v>5458.1481</v>
      </c>
      <c r="T1042" s="190" t="n">
        <v>5.25</v>
      </c>
      <c r="U1042" s="190" t="n">
        <v>20842.86</v>
      </c>
      <c r="V1042" s="190" t="n">
        <v>31.26</v>
      </c>
      <c r="W1042" s="190" t="n">
        <v>666.7582</v>
      </c>
      <c r="X1042" s="190" t="n">
        <v>3.199269</v>
      </c>
      <c r="Y1042" s="190" t="n">
        <v>14885.71</v>
      </c>
      <c r="Z1042" s="190" t="n">
        <v>26.16</v>
      </c>
      <c r="AA1042" s="190" t="n">
        <v>569.0256000000001</v>
      </c>
      <c r="AB1042" s="190" t="n">
        <v>3.823048</v>
      </c>
    </row>
    <row r="1043">
      <c r="A1043" s="190" t="n">
        <v>1042</v>
      </c>
      <c r="B1043" s="191" t="n">
        <v>46094</v>
      </c>
      <c r="C1043" s="190" t="n">
        <v>43850000</v>
      </c>
      <c r="D1043" s="190" t="n">
        <v>475338.7534</v>
      </c>
      <c r="E1043" s="190" t="n">
        <v>92.25</v>
      </c>
      <c r="F1043" s="190" t="n">
        <v>4.753388</v>
      </c>
      <c r="G1043" s="190" t="n">
        <v>135.3395</v>
      </c>
      <c r="H1043" s="190" t="n">
        <v>0.714828</v>
      </c>
      <c r="I1043" s="190" t="n">
        <v>4.82509</v>
      </c>
      <c r="J1043" s="190" t="n">
        <v>1154.41</v>
      </c>
      <c r="K1043" s="190" t="n">
        <v>6.75</v>
      </c>
      <c r="L1043" s="190" t="n">
        <v>23925.22</v>
      </c>
      <c r="M1043" s="190" t="n">
        <v>3.24</v>
      </c>
      <c r="N1043" s="190" t="n">
        <v>-1.92491</v>
      </c>
      <c r="O1043" s="190" t="n">
        <v>20.73</v>
      </c>
      <c r="P1043" s="190" t="n">
        <v>4.4</v>
      </c>
      <c r="Q1043" s="190" t="n">
        <v>2.35</v>
      </c>
      <c r="R1043" s="190" t="n">
        <v>99</v>
      </c>
      <c r="S1043" s="190" t="n">
        <v>5437.5511</v>
      </c>
      <c r="T1043" s="190" t="n">
        <v>5.25</v>
      </c>
      <c r="U1043" s="190" t="n">
        <v>20800</v>
      </c>
      <c r="V1043" s="190" t="n">
        <v>31.2</v>
      </c>
      <c r="W1043" s="190" t="n">
        <v>666.6667</v>
      </c>
      <c r="X1043" s="190" t="n">
        <v>3.205128</v>
      </c>
      <c r="Y1043" s="190" t="n">
        <v>14850</v>
      </c>
      <c r="Z1043" s="190" t="n">
        <v>26.1</v>
      </c>
      <c r="AA1043" s="190" t="n">
        <v>568.9655</v>
      </c>
      <c r="AB1043" s="190" t="n">
        <v>3.831418</v>
      </c>
    </row>
    <row r="1044">
      <c r="A1044" s="190" t="n">
        <v>1043</v>
      </c>
      <c r="B1044" s="191" t="n">
        <v>46097</v>
      </c>
      <c r="C1044" s="190" t="n">
        <v>43571428.57</v>
      </c>
      <c r="D1044" s="190" t="n">
        <v>470681.1914</v>
      </c>
      <c r="E1044" s="190" t="n">
        <v>92.571</v>
      </c>
      <c r="F1044" s="190" t="n">
        <v>4.706812</v>
      </c>
      <c r="G1044" s="190" t="n">
        <v>134.4797</v>
      </c>
      <c r="H1044" s="190" t="n">
        <v>0.719958</v>
      </c>
      <c r="I1044" s="190" t="n">
        <v>4.8628</v>
      </c>
      <c r="J1044" s="190" t="n">
        <v>1152.49</v>
      </c>
      <c r="K1044" s="190" t="n">
        <v>6.7543</v>
      </c>
      <c r="L1044" s="190" t="n">
        <v>23700.13</v>
      </c>
      <c r="M1044" s="190" t="n">
        <v>3.22</v>
      </c>
      <c r="N1044" s="190" t="n">
        <v>-1.891486</v>
      </c>
      <c r="O1044" s="190" t="n">
        <v>20.56</v>
      </c>
      <c r="P1044" s="190" t="n">
        <v>4.4086</v>
      </c>
      <c r="Q1044" s="190" t="n">
        <v>2.3457</v>
      </c>
      <c r="R1044" s="190" t="n">
        <v>99.086</v>
      </c>
      <c r="S1044" s="190" t="n">
        <v>5375.9203</v>
      </c>
      <c r="T1044" s="190" t="n">
        <v>5.25</v>
      </c>
      <c r="U1044" s="190" t="n">
        <v>20671.43</v>
      </c>
      <c r="V1044" s="190" t="n">
        <v>31.03</v>
      </c>
      <c r="W1044" s="190" t="n">
        <v>666.1756</v>
      </c>
      <c r="X1044" s="190" t="n">
        <v>3.222836</v>
      </c>
      <c r="Y1044" s="190" t="n">
        <v>14742.86</v>
      </c>
      <c r="Z1044" s="190" t="n">
        <v>25.93</v>
      </c>
      <c r="AA1044" s="190" t="n">
        <v>568.5638</v>
      </c>
      <c r="AB1044" s="190" t="n">
        <v>3.856749</v>
      </c>
    </row>
    <row r="1045">
      <c r="A1045" s="190" t="n">
        <v>1044</v>
      </c>
      <c r="B1045" s="191" t="n">
        <v>46098</v>
      </c>
      <c r="C1045" s="190" t="n">
        <v>43478571.43</v>
      </c>
      <c r="D1045" s="190" t="n">
        <v>469130.7786</v>
      </c>
      <c r="E1045" s="190" t="n">
        <v>92.679</v>
      </c>
      <c r="F1045" s="190" t="n">
        <v>4.691308</v>
      </c>
      <c r="G1045" s="190" t="n">
        <v>134.1931</v>
      </c>
      <c r="H1045" s="190" t="n">
        <v>0.721685</v>
      </c>
      <c r="I1045" s="190" t="n">
        <v>4.875501</v>
      </c>
      <c r="J1045" s="190" t="n">
        <v>1151.84</v>
      </c>
      <c r="K1045" s="190" t="n">
        <v>6.7557</v>
      </c>
      <c r="L1045" s="190" t="n">
        <v>23625.1</v>
      </c>
      <c r="M1045" s="190" t="n">
        <v>3.22</v>
      </c>
      <c r="N1045" s="190" t="n">
        <v>-1.880214</v>
      </c>
      <c r="O1045" s="190" t="n">
        <v>20.51</v>
      </c>
      <c r="P1045" s="190" t="n">
        <v>4.4114</v>
      </c>
      <c r="Q1045" s="190" t="n">
        <v>2.3443</v>
      </c>
      <c r="R1045" s="190" t="n">
        <v>99.114</v>
      </c>
      <c r="S1045" s="190" t="n">
        <v>5355.4299</v>
      </c>
      <c r="T1045" s="190" t="n">
        <v>5.26</v>
      </c>
      <c r="U1045" s="190" t="n">
        <v>20628.57</v>
      </c>
      <c r="V1045" s="190" t="n">
        <v>30.97</v>
      </c>
      <c r="W1045" s="190" t="n">
        <v>666.0823</v>
      </c>
      <c r="X1045" s="190" t="n">
        <v>3.228782</v>
      </c>
      <c r="Y1045" s="190" t="n">
        <v>14707.14</v>
      </c>
      <c r="Z1045" s="190" t="n">
        <v>25.87</v>
      </c>
      <c r="AA1045" s="190" t="n">
        <v>568.5017</v>
      </c>
      <c r="AB1045" s="190" t="n">
        <v>3.865268</v>
      </c>
    </row>
    <row r="1046">
      <c r="A1046" s="190" t="n">
        <v>1045</v>
      </c>
      <c r="B1046" s="191" t="n">
        <v>46099</v>
      </c>
      <c r="C1046" s="190" t="n">
        <v>43385714.29</v>
      </c>
      <c r="D1046" s="190" t="n">
        <v>467589.0144</v>
      </c>
      <c r="E1046" s="190" t="n">
        <v>92.786</v>
      </c>
      <c r="F1046" s="190" t="n">
        <v>4.67589</v>
      </c>
      <c r="G1046" s="190" t="n">
        <v>133.9065</v>
      </c>
      <c r="H1046" s="190" t="n">
        <v>0.723422</v>
      </c>
      <c r="I1046" s="190" t="n">
        <v>4.888268</v>
      </c>
      <c r="J1046" s="190" t="n">
        <v>1151.19</v>
      </c>
      <c r="K1046" s="190" t="n">
        <v>6.7571</v>
      </c>
      <c r="L1046" s="190" t="n">
        <v>23550.06</v>
      </c>
      <c r="M1046" s="190" t="n">
        <v>3.21</v>
      </c>
      <c r="N1046" s="190" t="n">
        <v>-1.868875</v>
      </c>
      <c r="O1046" s="190" t="n">
        <v>20.46</v>
      </c>
      <c r="P1046" s="190" t="n">
        <v>4.4143</v>
      </c>
      <c r="Q1046" s="190" t="n">
        <v>2.3428</v>
      </c>
      <c r="R1046" s="190" t="n">
        <v>99.143</v>
      </c>
      <c r="S1046" s="190" t="n">
        <v>5334.966</v>
      </c>
      <c r="T1046" s="190" t="n">
        <v>5.26</v>
      </c>
      <c r="U1046" s="190" t="n">
        <v>20585.71</v>
      </c>
      <c r="V1046" s="190" t="n">
        <v>30.91</v>
      </c>
      <c r="W1046" s="190" t="n">
        <v>665.9887</v>
      </c>
      <c r="X1046" s="190" t="n">
        <v>3.23475</v>
      </c>
      <c r="Y1046" s="190" t="n">
        <v>14671.43</v>
      </c>
      <c r="Z1046" s="190" t="n">
        <v>25.81</v>
      </c>
      <c r="AA1046" s="190" t="n">
        <v>568.4398</v>
      </c>
      <c r="AB1046" s="190" t="n">
        <v>3.873824</v>
      </c>
    </row>
    <row r="1047">
      <c r="A1047" s="190" t="n">
        <v>1046</v>
      </c>
      <c r="B1047" s="191" t="n">
        <v>46100</v>
      </c>
      <c r="C1047" s="190" t="n">
        <v>43292857.14</v>
      </c>
      <c r="D1047" s="190" t="n">
        <v>466050.8019</v>
      </c>
      <c r="E1047" s="190" t="n">
        <v>92.893</v>
      </c>
      <c r="F1047" s="190" t="n">
        <v>4.660508</v>
      </c>
      <c r="G1047" s="190" t="n">
        <v>133.6199</v>
      </c>
      <c r="H1047" s="190" t="n">
        <v>0.725168</v>
      </c>
      <c r="I1047" s="190" t="n">
        <v>4.901103</v>
      </c>
      <c r="J1047" s="190" t="n">
        <v>1150.54</v>
      </c>
      <c r="K1047" s="190" t="n">
        <v>6.7586</v>
      </c>
      <c r="L1047" s="190" t="n">
        <v>23475.03</v>
      </c>
      <c r="M1047" s="190" t="n">
        <v>3.21</v>
      </c>
      <c r="N1047" s="190" t="n">
        <v>-1.857469</v>
      </c>
      <c r="O1047" s="190" t="n">
        <v>20.4</v>
      </c>
      <c r="P1047" s="190" t="n">
        <v>4.4171</v>
      </c>
      <c r="Q1047" s="190" t="n">
        <v>2.3415</v>
      </c>
      <c r="R1047" s="190" t="n">
        <v>99.17100000000001</v>
      </c>
      <c r="S1047" s="190" t="n">
        <v>5314.5286</v>
      </c>
      <c r="T1047" s="190" t="n">
        <v>5.26</v>
      </c>
      <c r="U1047" s="190" t="n">
        <v>20542.86</v>
      </c>
      <c r="V1047" s="190" t="n">
        <v>30.86</v>
      </c>
      <c r="W1047" s="190" t="n">
        <v>665.6792</v>
      </c>
      <c r="X1047" s="190" t="n">
        <v>3.240741</v>
      </c>
      <c r="Y1047" s="190" t="n">
        <v>14635.71</v>
      </c>
      <c r="Z1047" s="190" t="n">
        <v>25.76</v>
      </c>
      <c r="AA1047" s="190" t="n">
        <v>568.1564</v>
      </c>
      <c r="AB1047" s="190" t="n">
        <v>3.882418</v>
      </c>
    </row>
    <row r="1048">
      <c r="A1048" s="190" t="n">
        <v>1047</v>
      </c>
      <c r="B1048" s="191" t="n">
        <v>46101</v>
      </c>
      <c r="C1048" s="190" t="n">
        <v>43200000</v>
      </c>
      <c r="D1048" s="190" t="n">
        <v>464516.129</v>
      </c>
      <c r="E1048" s="190" t="n">
        <v>93</v>
      </c>
      <c r="F1048" s="190" t="n">
        <v>4.645161</v>
      </c>
      <c r="G1048" s="190" t="n">
        <v>133.3333</v>
      </c>
      <c r="H1048" s="190" t="n">
        <v>0.726924</v>
      </c>
      <c r="I1048" s="190" t="n">
        <v>4.914005</v>
      </c>
      <c r="J1048" s="190" t="n">
        <v>1149.88</v>
      </c>
      <c r="K1048" s="190" t="n">
        <v>6.76</v>
      </c>
      <c r="L1048" s="190" t="n">
        <v>23400</v>
      </c>
      <c r="M1048" s="190" t="n">
        <v>3.2</v>
      </c>
      <c r="N1048" s="190" t="n">
        <v>-1.845995</v>
      </c>
      <c r="O1048" s="190" t="n">
        <v>20.35</v>
      </c>
      <c r="P1048" s="190" t="n">
        <v>4.42</v>
      </c>
      <c r="Q1048" s="190" t="n">
        <v>2.34</v>
      </c>
      <c r="R1048" s="190" t="n">
        <v>99.2</v>
      </c>
      <c r="S1048" s="190" t="n">
        <v>5294.1176</v>
      </c>
      <c r="T1048" s="190" t="n">
        <v>5.26</v>
      </c>
      <c r="U1048" s="190" t="n">
        <v>20500</v>
      </c>
      <c r="V1048" s="190" t="n">
        <v>30.8</v>
      </c>
      <c r="W1048" s="190" t="n">
        <v>665.5844</v>
      </c>
      <c r="X1048" s="190" t="n">
        <v>3.246753</v>
      </c>
      <c r="Y1048" s="190" t="n">
        <v>14600</v>
      </c>
      <c r="Z1048" s="190" t="n">
        <v>25.7</v>
      </c>
      <c r="AA1048" s="190" t="n">
        <v>568.0934</v>
      </c>
      <c r="AB1048" s="190" t="n">
        <v>3.891051</v>
      </c>
    </row>
    <row r="1049">
      <c r="A1049" s="190" t="n">
        <v>1048</v>
      </c>
      <c r="B1049" s="191" t="n">
        <v>46104</v>
      </c>
      <c r="C1049" s="190" t="n">
        <v>42700714.29</v>
      </c>
      <c r="D1049" s="190" t="n">
        <v>456204.2125</v>
      </c>
      <c r="E1049" s="190" t="n">
        <v>93.59999999999999</v>
      </c>
      <c r="F1049" s="190" t="n">
        <v>4.562042</v>
      </c>
      <c r="G1049" s="190" t="n">
        <v>131.7923</v>
      </c>
      <c r="H1049" s="190" t="n">
        <v>0.724975</v>
      </c>
      <c r="I1049" s="190" t="n">
        <v>4.953648</v>
      </c>
      <c r="J1049" s="190" t="n">
        <v>1146.83</v>
      </c>
      <c r="K1049" s="190" t="n">
        <v>6.8329</v>
      </c>
      <c r="L1049" s="190" t="n">
        <v>23151.26</v>
      </c>
      <c r="M1049" s="190" t="n">
        <v>3.16</v>
      </c>
      <c r="N1049" s="190" t="n">
        <v>-1.879209</v>
      </c>
      <c r="O1049" s="190" t="n">
        <v>20.19</v>
      </c>
      <c r="P1049" s="190" t="n">
        <v>4.4286</v>
      </c>
      <c r="Q1049" s="190" t="n">
        <v>2.4043</v>
      </c>
      <c r="R1049" s="190" t="n">
        <v>99.393</v>
      </c>
      <c r="S1049" s="190" t="n">
        <v>5227.7032</v>
      </c>
      <c r="T1049" s="190" t="n">
        <v>5.33</v>
      </c>
      <c r="U1049" s="190" t="n">
        <v>20371.43</v>
      </c>
      <c r="V1049" s="190" t="n">
        <v>30.63</v>
      </c>
      <c r="W1049" s="190" t="n">
        <v>665.081</v>
      </c>
      <c r="X1049" s="190" t="n">
        <v>3.264925</v>
      </c>
      <c r="Y1049" s="190" t="n">
        <v>14471.43</v>
      </c>
      <c r="Z1049" s="190" t="n">
        <v>25.49</v>
      </c>
      <c r="AA1049" s="190" t="n">
        <v>567.7297</v>
      </c>
      <c r="AB1049" s="190" t="n">
        <v>3.923767</v>
      </c>
    </row>
    <row r="1050">
      <c r="A1050" s="190" t="n">
        <v>1049</v>
      </c>
      <c r="B1050" s="191" t="n">
        <v>46105</v>
      </c>
      <c r="C1050" s="190" t="n">
        <v>42534285.71</v>
      </c>
      <c r="D1050" s="190" t="n">
        <v>453457.2037</v>
      </c>
      <c r="E1050" s="190" t="n">
        <v>93.8</v>
      </c>
      <c r="F1050" s="190" t="n">
        <v>4.534572</v>
      </c>
      <c r="G1050" s="190" t="n">
        <v>131.2787</v>
      </c>
      <c r="H1050" s="190" t="n">
        <v>0.724355</v>
      </c>
      <c r="I1050" s="190" t="n">
        <v>4.967005</v>
      </c>
      <c r="J1050" s="190" t="n">
        <v>1145.81</v>
      </c>
      <c r="K1050" s="190" t="n">
        <v>6.8571</v>
      </c>
      <c r="L1050" s="190" t="n">
        <v>23068.34</v>
      </c>
      <c r="M1050" s="190" t="n">
        <v>3.14</v>
      </c>
      <c r="N1050" s="190" t="n">
        <v>-1.890138</v>
      </c>
      <c r="O1050" s="190" t="n">
        <v>20.13</v>
      </c>
      <c r="P1050" s="190" t="n">
        <v>4.4314</v>
      </c>
      <c r="Q1050" s="190" t="n">
        <v>2.4257</v>
      </c>
      <c r="R1050" s="190" t="n">
        <v>99.45699999999999</v>
      </c>
      <c r="S1050" s="190" t="n">
        <v>5205.6222</v>
      </c>
      <c r="T1050" s="190" t="n">
        <v>5.36</v>
      </c>
      <c r="U1050" s="190" t="n">
        <v>20328.57</v>
      </c>
      <c r="V1050" s="190" t="n">
        <v>30.57</v>
      </c>
      <c r="W1050" s="190" t="n">
        <v>664.9843</v>
      </c>
      <c r="X1050" s="190" t="n">
        <v>3.271028</v>
      </c>
      <c r="Y1050" s="190" t="n">
        <v>14428.57</v>
      </c>
      <c r="Z1050" s="190" t="n">
        <v>25.41</v>
      </c>
      <c r="AA1050" s="190" t="n">
        <v>567.8304000000001</v>
      </c>
      <c r="AB1050" s="190" t="n">
        <v>3.934795</v>
      </c>
    </row>
    <row r="1051">
      <c r="A1051" s="190" t="n">
        <v>1050</v>
      </c>
      <c r="B1051" s="191" t="n">
        <v>46107</v>
      </c>
      <c r="C1051" s="190" t="n">
        <v>42201428.57</v>
      </c>
      <c r="D1051" s="190" t="n">
        <v>447998.1801</v>
      </c>
      <c r="E1051" s="190" t="n">
        <v>94.2</v>
      </c>
      <c r="F1051" s="190" t="n">
        <v>4.479982</v>
      </c>
      <c r="G1051" s="190" t="n">
        <v>130.2513</v>
      </c>
      <c r="H1051" s="190" t="n">
        <v>0.72316</v>
      </c>
      <c r="I1051" s="190" t="n">
        <v>4.993936</v>
      </c>
      <c r="J1051" s="190" t="n">
        <v>1143.74</v>
      </c>
      <c r="K1051" s="190" t="n">
        <v>6.9057</v>
      </c>
      <c r="L1051" s="190" t="n">
        <v>22902.51</v>
      </c>
      <c r="M1051" s="190" t="n">
        <v>3.11</v>
      </c>
      <c r="N1051" s="190" t="n">
        <v>-1.911778</v>
      </c>
      <c r="O1051" s="190" t="n">
        <v>20.02</v>
      </c>
      <c r="P1051" s="190" t="n">
        <v>4.4371</v>
      </c>
      <c r="Q1051" s="190" t="n">
        <v>2.4686</v>
      </c>
      <c r="R1051" s="190" t="n">
        <v>99.586</v>
      </c>
      <c r="S1051" s="190" t="n">
        <v>5161.5454</v>
      </c>
      <c r="T1051" s="190" t="n">
        <v>5.41</v>
      </c>
      <c r="U1051" s="190" t="n">
        <v>20242.86</v>
      </c>
      <c r="V1051" s="190" t="n">
        <v>30.46</v>
      </c>
      <c r="W1051" s="190" t="n">
        <v>664.5719</v>
      </c>
      <c r="X1051" s="190" t="n">
        <v>3.283302</v>
      </c>
      <c r="Y1051" s="190" t="n">
        <v>14342.86</v>
      </c>
      <c r="Z1051" s="190" t="n">
        <v>25.27</v>
      </c>
      <c r="AA1051" s="190" t="n">
        <v>567.5845</v>
      </c>
      <c r="AB1051" s="190" t="n">
        <v>3.957038</v>
      </c>
    </row>
    <row r="1052">
      <c r="A1052" s="190" t="n">
        <v>1051</v>
      </c>
      <c r="B1052" s="191" t="n">
        <v>46108</v>
      </c>
      <c r="C1052" s="190" t="n">
        <v>42035000</v>
      </c>
      <c r="D1052" s="190" t="n">
        <v>445286.0169</v>
      </c>
      <c r="E1052" s="190" t="n">
        <v>94.40000000000001</v>
      </c>
      <c r="F1052" s="190" t="n">
        <v>4.45286</v>
      </c>
      <c r="G1052" s="190" t="n">
        <v>129.7377</v>
      </c>
      <c r="H1052" s="190" t="n">
        <v>0.722585</v>
      </c>
      <c r="I1052" s="190" t="n">
        <v>5.007511</v>
      </c>
      <c r="J1052" s="190" t="n">
        <v>1142.69</v>
      </c>
      <c r="K1052" s="190" t="n">
        <v>6.93</v>
      </c>
      <c r="L1052" s="190" t="n">
        <v>22819.6</v>
      </c>
      <c r="M1052" s="190" t="n">
        <v>3.1</v>
      </c>
      <c r="N1052" s="190" t="n">
        <v>-1.922489</v>
      </c>
      <c r="O1052" s="190" t="n">
        <v>19.97</v>
      </c>
      <c r="P1052" s="190" t="n">
        <v>4.44</v>
      </c>
      <c r="Q1052" s="190" t="n">
        <v>2.49</v>
      </c>
      <c r="R1052" s="190" t="n">
        <v>99.65000000000001</v>
      </c>
      <c r="S1052" s="190" t="n">
        <v>5139.5495</v>
      </c>
      <c r="T1052" s="190" t="n">
        <v>5.43</v>
      </c>
      <c r="U1052" s="190" t="n">
        <v>20200</v>
      </c>
      <c r="V1052" s="190" t="n">
        <v>30.4</v>
      </c>
      <c r="W1052" s="190" t="n">
        <v>664.4737</v>
      </c>
      <c r="X1052" s="190" t="n">
        <v>3.289474</v>
      </c>
      <c r="Y1052" s="190" t="n">
        <v>14300</v>
      </c>
      <c r="Z1052" s="190" t="n">
        <v>25.2</v>
      </c>
      <c r="AA1052" s="190" t="n">
        <v>567.4603</v>
      </c>
      <c r="AB1052" s="190" t="n">
        <v>3.968254</v>
      </c>
    </row>
  </sheetData>
  <conditionalFormatting sqref="E1:E827 E965:E1048576">
    <cfRule type="top10" rank="10" priority="22" dxfId="1" percent="1"/>
    <cfRule type="top10" rank="10" priority="23" dxfId="0" percent="1" bottom="1"/>
  </conditionalFormatting>
  <conditionalFormatting sqref="H862:H964">
    <cfRule type="top10" rank="16" priority="67" dxfId="0" bottom="1"/>
  </conditionalFormatting>
  <conditionalFormatting sqref="H1:H861 H965:H1048576">
    <cfRule type="top10" rank="16" priority="48" dxfId="0" bottom="1"/>
  </conditionalFormatting>
  <conditionalFormatting sqref="I862:I964">
    <cfRule type="top10" rank="16" priority="71" dxfId="0"/>
    <cfRule type="top10" rank="16" priority="70" dxfId="1" bottom="1"/>
  </conditionalFormatting>
  <conditionalFormatting sqref="I1:I861 I965:I1048576">
    <cfRule type="top10" rank="16" priority="46" dxfId="1" bottom="1"/>
    <cfRule type="top10" rank="16" priority="47" dxfId="0"/>
  </conditionalFormatting>
  <conditionalFormatting sqref="K1:K861 K965:K1048576">
    <cfRule type="top10" rank="16" priority="44" dxfId="1"/>
    <cfRule type="top10" rank="16" priority="45" dxfId="0" bottom="1"/>
  </conditionalFormatting>
  <conditionalFormatting sqref="L1:L861 L950:L1048576">
    <cfRule type="top10" rank="16" priority="42" dxfId="1" bottom="1"/>
    <cfRule type="top10" rank="16" priority="43" dxfId="0"/>
  </conditionalFormatting>
  <conditionalFormatting sqref="M1:M861 M965:M1048576">
    <cfRule type="top10" rank="16" priority="40" dxfId="1"/>
    <cfRule type="top10" rank="16" priority="41" dxfId="0" bottom="1"/>
  </conditionalFormatting>
  <conditionalFormatting sqref="M862:M900">
    <cfRule type="top10" rank="16" priority="18" dxfId="0" bottom="1"/>
    <cfRule type="top10" rank="16" priority="17" dxfId="1"/>
  </conditionalFormatting>
  <conditionalFormatting sqref="N862:N964">
    <cfRule type="top10" rank="16" priority="92" dxfId="1"/>
    <cfRule type="top10" rank="16" priority="93" dxfId="0" bottom="1"/>
  </conditionalFormatting>
  <conditionalFormatting sqref="N1:N861 N965:N1048576">
    <cfRule type="top10" rank="16" priority="38" dxfId="1"/>
    <cfRule type="top10" rank="16" priority="39" dxfId="0" bottom="1"/>
  </conditionalFormatting>
  <conditionalFormatting sqref="O1:O861 O965:O1048576">
    <cfRule type="top10" rank="10" priority="36" dxfId="1" percent="1"/>
    <cfRule type="top10" rank="10" priority="37" dxfId="0" percent="1" bottom="1"/>
  </conditionalFormatting>
  <conditionalFormatting sqref="O862:O900">
    <cfRule type="top10" rank="10" priority="14" dxfId="0" percent="1" bottom="1"/>
    <cfRule type="top10" rank="10" priority="13" dxfId="1" percent="1"/>
  </conditionalFormatting>
  <conditionalFormatting sqref="R1:R861 R965:R1048576">
    <cfRule type="top10" rank="10" priority="34" dxfId="1" percent="1"/>
    <cfRule type="top10" rank="10" priority="35" dxfId="0" percent="1" bottom="1"/>
  </conditionalFormatting>
  <conditionalFormatting sqref="R862">
    <cfRule type="top10" rank="10" priority="12" dxfId="0" percent="1" bottom="1"/>
    <cfRule type="top10" rank="10" priority="11" dxfId="1" percent="1"/>
  </conditionalFormatting>
  <conditionalFormatting sqref="S862:S1016">
    <cfRule type="top10" rank="16" priority="108" dxfId="1"/>
    <cfRule type="top10" rank="16" priority="109" dxfId="0" bottom="1"/>
  </conditionalFormatting>
  <conditionalFormatting sqref="S1:S861 S1017:S1048576">
    <cfRule type="top10" rank="16" priority="32" dxfId="1"/>
    <cfRule type="top10" rank="16" priority="33" dxfId="0" bottom="1"/>
  </conditionalFormatting>
  <conditionalFormatting sqref="V1:V861 V965:V1048576">
    <cfRule type="top10" rank="10" priority="31" dxfId="0" percent="1" bottom="1"/>
    <cfRule type="top10" rank="10" priority="30" dxfId="1" percent="1"/>
  </conditionalFormatting>
  <conditionalFormatting sqref="V862:V900">
    <cfRule type="top10" rank="10" priority="8" dxfId="0" percent="1" bottom="1"/>
    <cfRule type="top10" rank="10" priority="7" dxfId="1" percent="1"/>
  </conditionalFormatting>
  <conditionalFormatting sqref="X862:X1016">
    <cfRule type="top10" rank="16" priority="118" dxfId="1" bottom="1"/>
    <cfRule type="top10" rank="16" priority="119" dxfId="0"/>
  </conditionalFormatting>
  <conditionalFormatting sqref="X1:X861 X1017:X1048576">
    <cfRule type="top10" rank="16" priority="29" dxfId="0"/>
    <cfRule type="top10" rank="16" priority="28" dxfId="1" bottom="1"/>
  </conditionalFormatting>
  <conditionalFormatting sqref="Z1:Z861 Z965:Z1048576">
    <cfRule type="top10" rank="10" priority="27" dxfId="0" percent="1" bottom="1"/>
    <cfRule type="top10" rank="10" priority="26" dxfId="1" percent="1"/>
  </conditionalFormatting>
  <conditionalFormatting sqref="Z862:Z900">
    <cfRule type="top10" rank="10" priority="3" dxfId="1" percent="1"/>
    <cfRule type="top10" rank="10" priority="4" dxfId="0" percent="1" bottom="1"/>
  </conditionalFormatting>
  <conditionalFormatting sqref="AB862:AB1016">
    <cfRule type="top10" rank="16" priority="128" dxfId="1" bottom="1"/>
    <cfRule type="top10" rank="16" priority="129" dxfId="0"/>
  </conditionalFormatting>
  <conditionalFormatting sqref="AB1:AB861 AB1017:AB1048576">
    <cfRule type="top10" rank="16" priority="25" dxfId="0"/>
    <cfRule type="top10" rank="16" priority="24" dxfId="1" bottom="1"/>
  </conditionalFormatting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D12" sqref="D12"/>
    </sheetView>
  </sheetViews>
  <sheetFormatPr baseColWidth="8" defaultColWidth="11.42578125" defaultRowHeight="15"/>
  <cols>
    <col width="20.7109375" bestFit="1" customWidth="1" min="1" max="1"/>
    <col width="13.28515625" bestFit="1" customWidth="1" min="5" max="5"/>
    <col width="22" bestFit="1" customWidth="1" min="6" max="6"/>
    <col width="15.42578125" bestFit="1" customWidth="1" min="7" max="7"/>
    <col width="16.7109375" bestFit="1" customWidth="1" min="8" max="8"/>
    <col width="21.85546875" bestFit="1" customWidth="1" min="9" max="9"/>
    <col width="28.140625" bestFit="1" customWidth="1" min="10" max="10"/>
    <col width="28.140625" customWidth="1" min="11" max="11"/>
    <col width="21.7109375" bestFit="1" customWidth="1" min="12" max="12"/>
    <col width="20.140625" bestFit="1" customWidth="1" min="13" max="13"/>
    <col width="14.85546875" bestFit="1" customWidth="1" min="14" max="14"/>
  </cols>
  <sheetData>
    <row r="1" ht="18.95" customHeight="1">
      <c r="A1" s="76" t="inlineStr">
        <is>
          <t>Calender Year Decemebr</t>
        </is>
      </c>
      <c r="B1" s="76" t="inlineStr">
        <is>
          <t>GDP</t>
        </is>
      </c>
      <c r="C1" s="76" t="inlineStr">
        <is>
          <t>Trillion</t>
        </is>
      </c>
      <c r="D1" s="76" t="inlineStr">
        <is>
          <t>CY Change</t>
        </is>
      </c>
      <c r="E1" s="25" t="inlineStr">
        <is>
          <t>Median USDINR</t>
        </is>
      </c>
      <c r="F1" s="25" t="inlineStr">
        <is>
          <t>Median MarketCap to GDP</t>
        </is>
      </c>
      <c r="G1" s="25" t="inlineStr">
        <is>
          <t>Median BEER Ratio</t>
        </is>
      </c>
      <c r="H1" s="25" t="inlineStr">
        <is>
          <t>Median Preity Ratio</t>
        </is>
      </c>
      <c r="I1" s="25" t="inlineStr">
        <is>
          <t>Median Nifty Earning Yield</t>
        </is>
      </c>
      <c r="J1" s="25" t="inlineStr">
        <is>
          <t>Median Nifty Midcap Earning Yield</t>
        </is>
      </c>
      <c r="K1" s="25" t="inlineStr">
        <is>
          <t>Median Nifty Smallcap Yield</t>
        </is>
      </c>
      <c r="L1" s="25" t="inlineStr">
        <is>
          <t>Median India 10Year Yield</t>
        </is>
      </c>
      <c r="M1" s="25" t="inlineStr">
        <is>
          <t>Median 10 Year US Yield</t>
        </is>
      </c>
      <c r="N1" s="25" t="inlineStr">
        <is>
          <t>Median Yield Gap</t>
        </is>
      </c>
    </row>
    <row r="2" ht="18.95" customHeight="1">
      <c r="A2" s="76" t="n">
        <v>2014</v>
      </c>
      <c r="B2" s="76" t="n">
        <v>2040</v>
      </c>
      <c r="C2" s="77">
        <f>B2/1000</f>
        <v/>
      </c>
      <c r="D2" s="76" t="n"/>
      <c r="E2" s="74">
        <f>MEDIAN('EVI 2025 Workings'!E2:E1048576)</f>
        <v/>
      </c>
      <c r="F2" s="74">
        <f>MEDIAN('EVI 2025 Workings'!G2:G1048576)</f>
        <v/>
      </c>
      <c r="G2" s="74">
        <f>MEDIAN('EVI 2025 Workings'!H2:H1048576)</f>
        <v/>
      </c>
      <c r="H2" s="74">
        <f>MEDIAN('EVI 2025 Workings'!S2:S1048576)</f>
        <v/>
      </c>
      <c r="I2" s="74">
        <f>MEDIAN('EVI 2025 Workings'!I2:I1048576)</f>
        <v/>
      </c>
      <c r="J2" s="74">
        <f>MEDIAN('EVI 2025 Workings'!X2:X1048576)</f>
        <v/>
      </c>
      <c r="K2" s="74">
        <f>MEDIAN('EVI 2025 Workings'!AB2:AB1048576)</f>
        <v/>
      </c>
      <c r="L2" s="74">
        <f>MEDIAN('EVI 2025 Workings'!K2:K1048576)</f>
        <v/>
      </c>
      <c r="M2" s="74">
        <f>MEDIAN('EVI 2025 Workings'!P2:P1048576)</f>
        <v/>
      </c>
      <c r="N2" s="75">
        <f>MEDIAN('EVI 2025 Workings'!N2:N1048576)</f>
        <v/>
      </c>
    </row>
    <row r="3" ht="18.95" customHeight="1">
      <c r="A3" s="76" t="n">
        <v>2015</v>
      </c>
      <c r="B3" s="76" t="n">
        <v>2100</v>
      </c>
      <c r="C3" s="77">
        <f>B3/1000</f>
        <v/>
      </c>
      <c r="D3" s="78">
        <f>((B3-B2)/B2)</f>
        <v/>
      </c>
      <c r="E3" s="76" t="n"/>
      <c r="F3" s="76" t="n"/>
      <c r="G3" s="76" t="n"/>
      <c r="H3" s="76" t="n"/>
      <c r="I3" s="76" t="n"/>
      <c r="J3" s="76" t="n"/>
      <c r="K3" s="76" t="n"/>
      <c r="L3" s="76" t="n"/>
      <c r="M3" s="76" t="n"/>
      <c r="N3" s="76" t="n"/>
    </row>
    <row r="4" ht="18.95" customHeight="1">
      <c r="A4" s="76" t="n">
        <v>2016</v>
      </c>
      <c r="B4" s="76" t="n">
        <v>2290</v>
      </c>
      <c r="C4" s="77">
        <f>B4/1000</f>
        <v/>
      </c>
      <c r="D4" s="78">
        <f>((B4-B3)/B3)</f>
        <v/>
      </c>
      <c r="E4" s="76" t="n"/>
      <c r="F4" s="76" t="n"/>
      <c r="G4" s="76" t="n"/>
      <c r="H4" s="76" t="n"/>
      <c r="I4" s="76" t="n"/>
      <c r="J4" s="76" t="n"/>
      <c r="K4" s="76" t="n"/>
      <c r="L4" s="76" t="n"/>
      <c r="M4" s="76" t="n"/>
      <c r="N4" s="76" t="n"/>
    </row>
    <row r="5" ht="18.95" customHeight="1">
      <c r="A5" s="76" t="n">
        <v>2017</v>
      </c>
      <c r="B5" s="76" t="n">
        <v>2650</v>
      </c>
      <c r="C5" s="77">
        <f>B5/1000</f>
        <v/>
      </c>
      <c r="D5" s="78">
        <f>((B5-B4)/B4)</f>
        <v/>
      </c>
      <c r="E5" s="76" t="n"/>
      <c r="F5" s="76" t="n"/>
      <c r="G5" s="76" t="n"/>
      <c r="H5" s="76" t="n"/>
      <c r="I5" s="76" t="n"/>
      <c r="J5" s="76" t="n"/>
      <c r="K5" s="76" t="n"/>
      <c r="L5" s="76" t="n"/>
      <c r="M5" s="76" t="n"/>
      <c r="N5" s="76" t="n"/>
    </row>
    <row r="6" ht="18.95" customHeight="1">
      <c r="A6" s="76" t="n">
        <v>2018</v>
      </c>
      <c r="B6" s="76" t="n">
        <v>2700</v>
      </c>
      <c r="C6" s="77">
        <f>B6/1000</f>
        <v/>
      </c>
      <c r="D6" s="78">
        <f>((B6-B5)/B5)</f>
        <v/>
      </c>
      <c r="E6" s="76" t="n"/>
      <c r="F6" s="76" t="n"/>
      <c r="G6" s="76" t="n"/>
      <c r="H6" s="76" t="n"/>
      <c r="I6" s="76" t="n"/>
      <c r="J6" s="76" t="n"/>
      <c r="K6" s="76" t="n"/>
      <c r="L6" s="76" t="n"/>
      <c r="M6" s="76" t="n"/>
      <c r="N6" s="76" t="n"/>
    </row>
    <row r="7" ht="18.95" customHeight="1">
      <c r="A7" s="76" t="n">
        <v>2019</v>
      </c>
      <c r="B7" s="76" t="n">
        <v>2840</v>
      </c>
      <c r="C7" s="77">
        <f>B7/1000</f>
        <v/>
      </c>
      <c r="D7" s="78">
        <f>((B7-B6)/B6)</f>
        <v/>
      </c>
      <c r="E7" s="76" t="n"/>
      <c r="F7" s="76" t="n"/>
      <c r="G7" s="76" t="n"/>
      <c r="H7" s="76" t="n"/>
      <c r="I7" s="76" t="n"/>
      <c r="J7" s="76" t="n"/>
      <c r="K7" s="76" t="n"/>
      <c r="L7" s="76" t="n"/>
      <c r="M7" s="76" t="n"/>
      <c r="N7" s="76" t="n"/>
    </row>
    <row r="8" ht="18.95" customHeight="1">
      <c r="A8" s="76" t="n">
        <v>2020</v>
      </c>
      <c r="B8" s="76" t="n">
        <v>2670</v>
      </c>
      <c r="C8" s="77">
        <f>B8/1000</f>
        <v/>
      </c>
      <c r="D8" s="78">
        <f>((B8-B7)/B7)</f>
        <v/>
      </c>
      <c r="E8" s="76" t="n"/>
      <c r="F8" s="76" t="n"/>
      <c r="G8" s="76" t="n"/>
      <c r="H8" s="76" t="n"/>
      <c r="I8" s="76" t="n"/>
      <c r="J8" s="76" t="n"/>
      <c r="K8" s="76" t="n"/>
      <c r="L8" s="76" t="n"/>
      <c r="M8" s="76" t="n"/>
      <c r="N8" s="76" t="n"/>
    </row>
    <row r="9" ht="18.95" customHeight="1">
      <c r="A9" s="76" t="n">
        <v>2021</v>
      </c>
      <c r="B9" s="76" t="n">
        <v>3170</v>
      </c>
      <c r="C9" s="77">
        <f>B9/1000</f>
        <v/>
      </c>
      <c r="D9" s="78">
        <f>((B9-B8)/B8)</f>
        <v/>
      </c>
      <c r="E9" s="76" t="n"/>
      <c r="F9" s="76" t="n"/>
      <c r="G9" s="76" t="n"/>
      <c r="H9" s="76" t="n"/>
      <c r="I9" s="76" t="n"/>
      <c r="J9" s="76" t="n"/>
      <c r="K9" s="76" t="n"/>
      <c r="L9" s="76" t="n"/>
      <c r="M9" s="76" t="n"/>
      <c r="N9" s="76" t="n"/>
    </row>
    <row r="10" ht="18.95" customHeight="1">
      <c r="A10" s="76" t="n">
        <v>2022</v>
      </c>
      <c r="B10" s="76" t="n">
        <v>3350</v>
      </c>
      <c r="C10" s="77">
        <f>B10/1000</f>
        <v/>
      </c>
      <c r="D10" s="78">
        <f>((B10-B9)/B9)</f>
        <v/>
      </c>
      <c r="E10" s="77" t="n">
        <v>82.70999999999999</v>
      </c>
      <c r="F10" s="77" t="n">
        <v>108.03</v>
      </c>
      <c r="G10" s="77" t="n">
        <v>1.6</v>
      </c>
      <c r="H10" s="77" t="n">
        <v>1.38</v>
      </c>
      <c r="I10" s="77" t="n">
        <v>4.59</v>
      </c>
      <c r="J10" s="77" t="n">
        <v>3.83</v>
      </c>
      <c r="K10" s="77" t="n">
        <v>5.25</v>
      </c>
      <c r="L10" s="77" t="n">
        <v>7.32</v>
      </c>
      <c r="M10" s="77" t="n">
        <v>3.87</v>
      </c>
      <c r="N10" s="77" t="n">
        <v>3.45</v>
      </c>
    </row>
    <row r="11" ht="18.95" customHeight="1">
      <c r="A11" s="76" t="n">
        <v>2023</v>
      </c>
      <c r="B11" s="76" t="n">
        <v>3570</v>
      </c>
      <c r="C11" s="77">
        <f>B11/1000</f>
        <v/>
      </c>
      <c r="D11" s="78">
        <f>((B11-B10)/B10)</f>
        <v/>
      </c>
      <c r="E11" s="77" t="n">
        <v>83.19</v>
      </c>
      <c r="F11" s="77" t="n">
        <v>132.54</v>
      </c>
      <c r="G11" s="77" t="n">
        <v>1.66</v>
      </c>
      <c r="H11" s="77" t="n">
        <v>1.6</v>
      </c>
      <c r="I11" s="77" t="n">
        <v>4.32</v>
      </c>
      <c r="J11" s="77" t="n">
        <v>3.77</v>
      </c>
      <c r="K11" s="77" t="n">
        <v>3.65</v>
      </c>
      <c r="L11" s="77" t="n">
        <v>7.17</v>
      </c>
      <c r="M11" s="77" t="n">
        <v>3.86</v>
      </c>
      <c r="N11" s="77" t="n">
        <v>3.31</v>
      </c>
    </row>
    <row r="12" ht="18.95" customHeight="1">
      <c r="A12" s="76" t="n">
        <v>2024</v>
      </c>
      <c r="B12" s="76" t="n">
        <v>3680</v>
      </c>
      <c r="C12" s="77">
        <f>B12/1000</f>
        <v/>
      </c>
      <c r="D12" s="78">
        <f>((B12-B11)/B11)</f>
        <v/>
      </c>
      <c r="E12" s="77" t="n">
        <v>85.55</v>
      </c>
      <c r="F12" s="77" t="n">
        <v>145.2</v>
      </c>
      <c r="G12" s="77" t="n">
        <v>1.47</v>
      </c>
      <c r="H12" s="77" t="n">
        <v>1.43</v>
      </c>
      <c r="I12" s="77" t="n">
        <v>4.59</v>
      </c>
      <c r="J12" s="77" t="n">
        <v>2.31</v>
      </c>
      <c r="K12" s="77" t="n">
        <v>2.91</v>
      </c>
      <c r="L12" s="77" t="n">
        <v>6.76</v>
      </c>
      <c r="M12" s="77" t="n">
        <v>4.57</v>
      </c>
      <c r="N12" s="77" t="n">
        <v>2.19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861"/>
  <sheetViews>
    <sheetView workbookViewId="0">
      <pane ySplit="1" topLeftCell="A233" activePane="bottomLeft" state="frozen"/>
      <selection pane="bottomLeft" activeCell="D129" sqref="D129"/>
    </sheetView>
  </sheetViews>
  <sheetFormatPr baseColWidth="8" defaultColWidth="10.85546875" defaultRowHeight="12.75"/>
  <cols>
    <col width="11" bestFit="1" customWidth="1" style="166" min="1" max="1"/>
    <col width="21.7109375" bestFit="1" customWidth="1" style="166" min="2" max="2"/>
    <col width="19.42578125" customWidth="1" style="166" min="3" max="3"/>
    <col width="16.7109375" customWidth="1" style="166" min="4" max="4"/>
    <col width="11" bestFit="1" customWidth="1" style="166" min="5" max="6"/>
    <col width="15.85546875" bestFit="1" customWidth="1" style="166" min="7" max="7"/>
    <col width="5.28515625" bestFit="1" customWidth="1" style="166" min="8" max="8"/>
    <col width="17.85546875" bestFit="1" customWidth="1" style="166" min="9" max="9"/>
    <col width="11" bestFit="1" customWidth="1" style="166" min="10" max="10"/>
    <col width="13.42578125" bestFit="1" customWidth="1" style="166" min="11" max="11"/>
    <col width="11" bestFit="1" customWidth="1" style="166" min="12" max="16"/>
    <col width="14" bestFit="1" customWidth="1" style="166" min="17" max="17"/>
    <col width="11" bestFit="1" customWidth="1" style="166" min="18" max="20"/>
    <col width="14.42578125" bestFit="1" customWidth="1" style="166" min="21" max="21"/>
    <col width="12.7109375" bestFit="1" customWidth="1" style="166" min="22" max="22"/>
    <col width="11" bestFit="1" customWidth="1" style="166" min="23" max="23"/>
    <col width="17.7109375" bestFit="1" customWidth="1" style="166" min="24" max="24"/>
    <col width="15.42578125" bestFit="1" customWidth="1" style="166" min="25" max="25"/>
    <col width="13.7109375" bestFit="1" customWidth="1" style="166" min="26" max="26"/>
    <col width="11.140625" bestFit="1" customWidth="1" style="166" min="27" max="27"/>
    <col width="18.7109375" bestFit="1" customWidth="1" style="166" min="28" max="28"/>
    <col width="10.85546875" customWidth="1" style="166" min="29" max="16384"/>
  </cols>
  <sheetData>
    <row r="1" ht="12.95" customHeight="1">
      <c r="A1" s="150" t="inlineStr">
        <is>
          <t>S.no</t>
        </is>
      </c>
      <c r="B1" s="150" t="inlineStr">
        <is>
          <t xml:space="preserve">Date </t>
        </is>
      </c>
      <c r="C1" s="150" t="inlineStr">
        <is>
          <t xml:space="preserve">Market Cap </t>
        </is>
      </c>
      <c r="D1" s="150" t="inlineStr">
        <is>
          <t>US $</t>
        </is>
      </c>
      <c r="E1" s="150" t="inlineStr">
        <is>
          <t>USD/INR</t>
        </is>
      </c>
      <c r="F1" s="150" t="inlineStr">
        <is>
          <t>Trillion</t>
        </is>
      </c>
      <c r="G1" s="150" t="inlineStr">
        <is>
          <t>Market Cap to GDP</t>
        </is>
      </c>
      <c r="H1" s="150" t="inlineStr">
        <is>
          <t>BEER</t>
        </is>
      </c>
      <c r="I1" s="150" t="inlineStr">
        <is>
          <t>Nifty 50 Earning Yield</t>
        </is>
      </c>
      <c r="J1" s="150" t="inlineStr">
        <is>
          <t>NIFTY 50 EPS</t>
        </is>
      </c>
      <c r="K1" s="150" t="inlineStr">
        <is>
          <t>India 10Yr Yield</t>
        </is>
      </c>
      <c r="L1" s="150" t="inlineStr">
        <is>
          <t>Nifty 50</t>
        </is>
      </c>
      <c r="M1" s="151" t="inlineStr">
        <is>
          <t>Price to Book</t>
        </is>
      </c>
      <c r="N1" s="150" t="inlineStr">
        <is>
          <t>Yield Gap</t>
        </is>
      </c>
      <c r="O1" s="150" t="inlineStr">
        <is>
          <t>Nifty 50 pe</t>
        </is>
      </c>
      <c r="P1" s="150" t="inlineStr">
        <is>
          <t>US 10yr Bond</t>
        </is>
      </c>
      <c r="Q1" s="150" t="inlineStr">
        <is>
          <t xml:space="preserve">India yr- US 10yr </t>
        </is>
      </c>
      <c r="R1" s="150" t="inlineStr">
        <is>
          <t>Dollar index</t>
        </is>
      </c>
      <c r="S1" s="150" t="inlineStr">
        <is>
          <t>PREITY Ratio</t>
        </is>
      </c>
      <c r="T1" s="150" t="inlineStr">
        <is>
          <t>91 day T Bill</t>
        </is>
      </c>
      <c r="U1" s="150" t="inlineStr">
        <is>
          <t>Nifty Midcap 150</t>
        </is>
      </c>
      <c r="V1" s="150" t="inlineStr">
        <is>
          <t>Midcap 150 PE</t>
        </is>
      </c>
      <c r="W1" s="150" t="inlineStr">
        <is>
          <t>Midcap EPS</t>
        </is>
      </c>
      <c r="X1" s="150" t="inlineStr">
        <is>
          <t>Midcap Earning Yield</t>
        </is>
      </c>
      <c r="Y1" s="150" t="inlineStr">
        <is>
          <t>Nifty Smallcap 250</t>
        </is>
      </c>
      <c r="Z1" s="150" t="inlineStr">
        <is>
          <t>Smallcap 250 PE</t>
        </is>
      </c>
      <c r="AA1" s="150" t="inlineStr">
        <is>
          <t>Smallcap EPS</t>
        </is>
      </c>
      <c r="AB1" s="150" t="inlineStr">
        <is>
          <t>Smallcap Earning Yield</t>
        </is>
      </c>
    </row>
    <row r="2" ht="12.95" customFormat="1" customHeight="1" s="167">
      <c r="A2" s="152" t="n">
        <v>1</v>
      </c>
      <c r="B2" s="153" t="n">
        <v>44564</v>
      </c>
      <c r="C2" s="154" t="n">
        <v>26941904.91</v>
      </c>
      <c r="D2" s="172">
        <f>C2/E2</f>
        <v/>
      </c>
      <c r="E2" s="154" t="n">
        <v>74.40000000000001</v>
      </c>
      <c r="F2" s="154">
        <f>D2/100000</f>
        <v/>
      </c>
      <c r="G2" s="154">
        <f>(F2/DataSheet!$C$9*100)</f>
        <v/>
      </c>
      <c r="H2" s="154">
        <f>K2/I2</f>
        <v/>
      </c>
      <c r="I2" s="154">
        <f>(J2/L2)*100</f>
        <v/>
      </c>
      <c r="J2" s="154">
        <f>L2/O2</f>
        <v/>
      </c>
      <c r="K2" s="154" t="n">
        <v>6.46</v>
      </c>
      <c r="L2" s="154" t="n">
        <v>17625.7</v>
      </c>
      <c r="M2" s="154" t="n">
        <v>4.44</v>
      </c>
      <c r="N2" s="154">
        <f>K2-I2</f>
        <v/>
      </c>
      <c r="O2" s="154" t="n">
        <v>24.49</v>
      </c>
      <c r="P2" s="154" t="n">
        <v>1.637</v>
      </c>
      <c r="Q2" s="154">
        <f>K2-P2</f>
        <v/>
      </c>
      <c r="R2" s="154" t="n">
        <v>96.211</v>
      </c>
      <c r="S2" s="154">
        <f>(O2*T2)/100</f>
        <v/>
      </c>
      <c r="T2" s="154" t="n">
        <v>3.59</v>
      </c>
      <c r="U2" s="154" t="n">
        <v>30788</v>
      </c>
      <c r="V2" s="154" t="n">
        <v>30.88</v>
      </c>
      <c r="W2" s="154">
        <f>U2/V2</f>
        <v/>
      </c>
      <c r="X2" s="154">
        <f>(W2/U2)*100</f>
        <v/>
      </c>
      <c r="Y2" s="154" t="n">
        <v>9966.35</v>
      </c>
      <c r="Z2" s="154" t="n">
        <v>31.44</v>
      </c>
      <c r="AA2" s="154">
        <f>Y2/Z2</f>
        <v/>
      </c>
      <c r="AB2" s="154">
        <f>(AA2/Y2)*100</f>
        <v/>
      </c>
    </row>
    <row r="3" ht="12.95" customHeight="1">
      <c r="A3" s="155" t="n">
        <v>2</v>
      </c>
      <c r="B3" s="156" t="n">
        <v>44565</v>
      </c>
      <c r="C3" s="157" t="n">
        <v>27136806.51</v>
      </c>
      <c r="D3" s="174">
        <f>C3/E3</f>
        <v/>
      </c>
      <c r="E3" s="157" t="n">
        <v>74.53</v>
      </c>
      <c r="F3" s="159">
        <f>D3/100000</f>
        <v/>
      </c>
      <c r="G3" s="159">
        <f>(F3/DataSheet!$C$9*100)</f>
        <v/>
      </c>
      <c r="H3" s="159">
        <f>K3/I3</f>
        <v/>
      </c>
      <c r="I3" s="159">
        <f>(J3/L3)*100</f>
        <v/>
      </c>
      <c r="J3" s="159">
        <f>L3/O3</f>
        <v/>
      </c>
      <c r="K3" s="157" t="n">
        <v>6.518</v>
      </c>
      <c r="L3" s="157" t="n">
        <v>17805.25</v>
      </c>
      <c r="M3" s="157" t="n">
        <v>4.49</v>
      </c>
      <c r="N3" s="159">
        <f>K3-I3</f>
        <v/>
      </c>
      <c r="O3" s="157" t="n">
        <v>24.74</v>
      </c>
      <c r="P3" s="157" t="n">
        <v>1.649</v>
      </c>
      <c r="Q3" s="159">
        <f>K3-P3</f>
        <v/>
      </c>
      <c r="R3" s="157" t="n">
        <v>96.274</v>
      </c>
      <c r="S3" s="159">
        <f>(O3*T3)/100</f>
        <v/>
      </c>
      <c r="T3" s="157" t="n">
        <v>3.6</v>
      </c>
      <c r="U3" s="157" t="n">
        <v>30870.35</v>
      </c>
      <c r="V3" s="157" t="n">
        <v>30.96</v>
      </c>
      <c r="W3" s="159">
        <f>U3/V3</f>
        <v/>
      </c>
      <c r="X3" s="159">
        <f>(W3/U3)*100</f>
        <v/>
      </c>
      <c r="Y3" s="157" t="n">
        <v>10018.45</v>
      </c>
      <c r="Z3" s="157" t="n">
        <v>31.61</v>
      </c>
      <c r="AA3" s="159">
        <f>Y3/Z3</f>
        <v/>
      </c>
      <c r="AB3" s="159">
        <f>(AA3/Y3)*100</f>
        <v/>
      </c>
    </row>
    <row r="4" ht="12.95" customHeight="1">
      <c r="A4" s="155" t="n">
        <v>3</v>
      </c>
      <c r="B4" s="156" t="n">
        <v>44566</v>
      </c>
      <c r="C4" s="157" t="n">
        <v>27008660.06</v>
      </c>
      <c r="D4" s="174">
        <f>C4/E4</f>
        <v/>
      </c>
      <c r="E4" s="157" t="n">
        <v>74.285</v>
      </c>
      <c r="F4" s="159">
        <f>D4/100000</f>
        <v/>
      </c>
      <c r="G4" s="159">
        <f>(F4/DataSheet!$C$9*100)</f>
        <v/>
      </c>
      <c r="H4" s="159">
        <f>K4/I4</f>
        <v/>
      </c>
      <c r="I4" s="159">
        <f>(J4/L4)*100</f>
        <v/>
      </c>
      <c r="J4" s="159">
        <f>L4/O4</f>
        <v/>
      </c>
      <c r="K4" s="157" t="n">
        <v>6.508</v>
      </c>
      <c r="L4" s="157" t="n">
        <v>17925.25</v>
      </c>
      <c r="M4" s="157" t="n">
        <v>4.52</v>
      </c>
      <c r="N4" s="159">
        <f>K4-I4</f>
        <v/>
      </c>
      <c r="O4" s="157" t="n">
        <v>24.91</v>
      </c>
      <c r="P4" s="157" t="n">
        <v>1.7</v>
      </c>
      <c r="Q4" s="159">
        <f>K4-P4</f>
        <v/>
      </c>
      <c r="R4" s="157" t="n">
        <v>96.182</v>
      </c>
      <c r="S4" s="159">
        <f>(O4*T4)/100</f>
        <v/>
      </c>
      <c r="T4" s="157" t="n">
        <v>3.58</v>
      </c>
      <c r="U4" s="157" t="n">
        <v>30917.55</v>
      </c>
      <c r="V4" s="157" t="n">
        <v>30.97</v>
      </c>
      <c r="W4" s="159">
        <f>U4/V4</f>
        <v/>
      </c>
      <c r="X4" s="159">
        <f>(W4/U4)*100</f>
        <v/>
      </c>
      <c r="Y4" s="157" t="n">
        <v>10024.3</v>
      </c>
      <c r="Z4" s="157" t="n">
        <v>31.62</v>
      </c>
      <c r="AA4" s="159">
        <f>Y4/Z4</f>
        <v/>
      </c>
      <c r="AB4" s="159">
        <f>(AA4/Y4)*100</f>
        <v/>
      </c>
    </row>
    <row r="5" ht="12.95" customHeight="1">
      <c r="A5" s="155" t="n">
        <v>4</v>
      </c>
      <c r="B5" s="156" t="n">
        <v>44567</v>
      </c>
      <c r="C5" s="157" t="n">
        <v>27117001.28</v>
      </c>
      <c r="D5" s="174">
        <f>C5/E5</f>
        <v/>
      </c>
      <c r="E5" s="157" t="n">
        <v>74.38500000000001</v>
      </c>
      <c r="F5" s="159">
        <f>D5/100000</f>
        <v/>
      </c>
      <c r="G5" s="159">
        <f>(F5/DataSheet!$C$9*100)</f>
        <v/>
      </c>
      <c r="H5" s="159">
        <f>K5/I5</f>
        <v/>
      </c>
      <c r="I5" s="159">
        <f>(J5/L5)*100</f>
        <v/>
      </c>
      <c r="J5" s="159">
        <f>L5/O5</f>
        <v/>
      </c>
      <c r="K5" s="157" t="n">
        <v>6.525</v>
      </c>
      <c r="L5" s="157" t="n">
        <v>17745.9</v>
      </c>
      <c r="M5" s="157" t="n">
        <v>4.47</v>
      </c>
      <c r="N5" s="159">
        <f>K5-I5</f>
        <v/>
      </c>
      <c r="O5" s="157" t="n">
        <v>24.66</v>
      </c>
      <c r="P5" s="157" t="n">
        <v>1.728</v>
      </c>
      <c r="Q5" s="159">
        <f>K5-P5</f>
        <v/>
      </c>
      <c r="R5" s="157" t="n">
        <v>96.32599999999999</v>
      </c>
      <c r="S5" s="159">
        <f>(O5*T5)/100</f>
        <v/>
      </c>
      <c r="T5" s="157" t="n">
        <v>3.57</v>
      </c>
      <c r="U5" s="157" t="n">
        <v>30956.85</v>
      </c>
      <c r="V5" s="157" t="n">
        <v>30.95</v>
      </c>
      <c r="W5" s="159">
        <f>U5/V5</f>
        <v/>
      </c>
      <c r="X5" s="159">
        <f>(W5/U5)*100</f>
        <v/>
      </c>
      <c r="Y5" s="157" t="n">
        <v>10034.95</v>
      </c>
      <c r="Z5" s="157" t="n">
        <v>31.66</v>
      </c>
      <c r="AA5" s="159">
        <f>Y5/Z5</f>
        <v/>
      </c>
      <c r="AB5" s="159">
        <f>(AA5/Y5)*100</f>
        <v/>
      </c>
    </row>
    <row r="6" ht="12.95" customHeight="1">
      <c r="A6" s="155" t="n">
        <v>5</v>
      </c>
      <c r="B6" s="156" t="n">
        <v>44568</v>
      </c>
      <c r="C6" s="157" t="n">
        <v>27237049.3</v>
      </c>
      <c r="D6" s="174">
        <f>C6/E6</f>
        <v/>
      </c>
      <c r="E6" s="157" t="n">
        <v>74.27800000000001</v>
      </c>
      <c r="F6" s="159">
        <f>D6/100000</f>
        <v/>
      </c>
      <c r="G6" s="159">
        <f>(F6/DataSheet!$C$9*100)</f>
        <v/>
      </c>
      <c r="H6" s="159">
        <f>K6/I6</f>
        <v/>
      </c>
      <c r="I6" s="159">
        <f>(J6/L6)*100</f>
        <v/>
      </c>
      <c r="J6" s="159">
        <f>L6/O6</f>
        <v/>
      </c>
      <c r="K6" s="157" t="n">
        <v>6.542</v>
      </c>
      <c r="L6" s="157" t="n">
        <v>17812.7</v>
      </c>
      <c r="M6" s="157" t="n">
        <v>4.49</v>
      </c>
      <c r="N6" s="159">
        <f>K6-I6</f>
        <v/>
      </c>
      <c r="O6" s="157" t="n">
        <v>24.75</v>
      </c>
      <c r="P6" s="157" t="n">
        <v>1.765</v>
      </c>
      <c r="Q6" s="159">
        <f>K6-P6</f>
        <v/>
      </c>
      <c r="R6" s="157" t="n">
        <v>95.72199999999999</v>
      </c>
      <c r="S6" s="159">
        <f>(O6*T6)/100</f>
        <v/>
      </c>
      <c r="T6" s="157" t="n">
        <v>3.6</v>
      </c>
      <c r="U6" s="157" t="n">
        <v>31111.55</v>
      </c>
      <c r="V6" s="157" t="n">
        <v>31.06</v>
      </c>
      <c r="W6" s="159">
        <f>U6/V6</f>
        <v/>
      </c>
      <c r="X6" s="159">
        <f>(W6/U6)*100</f>
        <v/>
      </c>
      <c r="Y6" s="157" t="n">
        <v>10076.6</v>
      </c>
      <c r="Z6" s="157" t="n">
        <v>31.79</v>
      </c>
      <c r="AA6" s="159">
        <f>Y6/Z6</f>
        <v/>
      </c>
      <c r="AB6" s="159">
        <f>(AA6/Y6)*100</f>
        <v/>
      </c>
    </row>
    <row r="7" ht="12.95" customHeight="1">
      <c r="A7" s="155" t="n">
        <v>6</v>
      </c>
      <c r="B7" s="156" t="n">
        <v>44571</v>
      </c>
      <c r="C7" s="157" t="n">
        <v>27464163.57</v>
      </c>
      <c r="D7" s="174">
        <f>C7/E7</f>
        <v/>
      </c>
      <c r="E7" s="157" t="n">
        <v>74.02500000000001</v>
      </c>
      <c r="F7" s="159">
        <f>D7/100000</f>
        <v/>
      </c>
      <c r="G7" s="159">
        <f>(F7/DataSheet!$C$9*100)</f>
        <v/>
      </c>
      <c r="H7" s="159">
        <f>K7/I7</f>
        <v/>
      </c>
      <c r="I7" s="159">
        <f>(J7/L7)*100</f>
        <v/>
      </c>
      <c r="J7" s="159">
        <f>L7/O7</f>
        <v/>
      </c>
      <c r="K7" s="157" t="n">
        <v>6.59</v>
      </c>
      <c r="L7" s="157" t="n">
        <v>18003.3</v>
      </c>
      <c r="M7" s="157" t="n">
        <v>4.54</v>
      </c>
      <c r="N7" s="159">
        <f>K7-I7</f>
        <v/>
      </c>
      <c r="O7" s="157" t="n">
        <v>25.01</v>
      </c>
      <c r="P7" s="157" t="n">
        <v>1.755</v>
      </c>
      <c r="Q7" s="159">
        <f>K7-P7</f>
        <v/>
      </c>
      <c r="R7" s="157" t="n">
        <v>95.98999999999999</v>
      </c>
      <c r="S7" s="159">
        <f>(O7*T7)/100</f>
        <v/>
      </c>
      <c r="T7" s="157" t="n">
        <v>3.59</v>
      </c>
      <c r="U7" s="157" t="n">
        <v>31371.65</v>
      </c>
      <c r="V7" s="157" t="n">
        <v>31.27</v>
      </c>
      <c r="W7" s="159">
        <f>U7/V7</f>
        <v/>
      </c>
      <c r="X7" s="159">
        <f>(W7/U7)*100</f>
        <v/>
      </c>
      <c r="Y7" s="157" t="n">
        <v>10218.3</v>
      </c>
      <c r="Z7" s="157" t="n">
        <v>32.28</v>
      </c>
      <c r="AA7" s="159">
        <f>Y7/Z7</f>
        <v/>
      </c>
      <c r="AB7" s="159">
        <f>(AA7/Y7)*100</f>
        <v/>
      </c>
    </row>
    <row r="8" ht="12.95" customHeight="1">
      <c r="A8" s="155" t="n">
        <v>7</v>
      </c>
      <c r="B8" s="156" t="n">
        <v>44572</v>
      </c>
      <c r="C8" s="157" t="n">
        <v>27523205.64</v>
      </c>
      <c r="D8" s="174">
        <f>C8/E8</f>
        <v/>
      </c>
      <c r="E8" s="157" t="n">
        <v>73.81699999999999</v>
      </c>
      <c r="F8" s="159">
        <f>D8/100000</f>
        <v/>
      </c>
      <c r="G8" s="159">
        <f>(F8/DataSheet!$C$9*100)</f>
        <v/>
      </c>
      <c r="H8" s="159">
        <f>K8/I8</f>
        <v/>
      </c>
      <c r="I8" s="159">
        <f>(J8/L8)*100</f>
        <v/>
      </c>
      <c r="J8" s="159">
        <f>L8/O8</f>
        <v/>
      </c>
      <c r="K8" s="157" t="n">
        <v>6.57</v>
      </c>
      <c r="L8" s="157" t="n">
        <v>18055.75</v>
      </c>
      <c r="M8" s="157" t="n">
        <v>4.55</v>
      </c>
      <c r="N8" s="159">
        <f>K8-I8</f>
        <v/>
      </c>
      <c r="O8" s="157" t="n">
        <v>25.09</v>
      </c>
      <c r="P8" s="157" t="n">
        <v>1.746</v>
      </c>
      <c r="Q8" s="159">
        <f>K8-P8</f>
        <v/>
      </c>
      <c r="R8" s="157" t="n">
        <v>95.625</v>
      </c>
      <c r="S8" s="159">
        <f>(O8*T8)/100</f>
        <v/>
      </c>
      <c r="T8" s="157" t="n">
        <v>3.58</v>
      </c>
      <c r="U8" s="157" t="n">
        <v>31400.4</v>
      </c>
      <c r="V8" s="157" t="n">
        <v>31.32</v>
      </c>
      <c r="W8" s="159">
        <f>U8/V8</f>
        <v/>
      </c>
      <c r="X8" s="159">
        <f>(W8/U8)*100</f>
        <v/>
      </c>
      <c r="Y8" s="157" t="n">
        <v>10228.8</v>
      </c>
      <c r="Z8" s="157" t="n">
        <v>32.31</v>
      </c>
      <c r="AA8" s="159">
        <f>Y8/Z8</f>
        <v/>
      </c>
      <c r="AB8" s="159">
        <f>(AA8/Y8)*100</f>
        <v/>
      </c>
    </row>
    <row r="9" ht="12.95" customHeight="1">
      <c r="A9" s="155" t="n">
        <v>8</v>
      </c>
      <c r="B9" s="156" t="n">
        <v>44573</v>
      </c>
      <c r="C9" s="157" t="n">
        <v>27726856.16</v>
      </c>
      <c r="D9" s="174">
        <f>C9/E9</f>
        <v/>
      </c>
      <c r="E9" s="157" t="n">
        <v>73.797</v>
      </c>
      <c r="F9" s="159">
        <f>D9/100000</f>
        <v/>
      </c>
      <c r="G9" s="159">
        <f>(F9/DataSheet!$C$9*100)</f>
        <v/>
      </c>
      <c r="H9" s="159">
        <f>K9/I9</f>
        <v/>
      </c>
      <c r="I9" s="159">
        <f>(J9/L9)*100</f>
        <v/>
      </c>
      <c r="J9" s="159">
        <f>L9/O9</f>
        <v/>
      </c>
      <c r="K9" s="157" t="n">
        <v>6.593</v>
      </c>
      <c r="L9" s="157" t="n">
        <v>18212.35</v>
      </c>
      <c r="M9" s="157" t="n">
        <v>4.59</v>
      </c>
      <c r="N9" s="159">
        <f>K9-I9</f>
        <v/>
      </c>
      <c r="O9" s="157" t="n">
        <v>25.3</v>
      </c>
      <c r="P9" s="157" t="n">
        <v>1.752</v>
      </c>
      <c r="Q9" s="159">
        <f>K9-P9</f>
        <v/>
      </c>
      <c r="R9" s="157" t="n">
        <v>94.901</v>
      </c>
      <c r="S9" s="159">
        <f>(O9*T9)/100</f>
        <v/>
      </c>
      <c r="T9" s="157" t="n">
        <v>3.57</v>
      </c>
      <c r="U9" s="157" t="n">
        <v>31791.55</v>
      </c>
      <c r="V9" s="157" t="n">
        <v>31.69</v>
      </c>
      <c r="W9" s="159">
        <f>U9/V9</f>
        <v/>
      </c>
      <c r="X9" s="159">
        <f>(W9/U9)*100</f>
        <v/>
      </c>
      <c r="Y9" s="157" t="n">
        <v>10292.35</v>
      </c>
      <c r="Z9" s="157" t="n">
        <v>32.51</v>
      </c>
      <c r="AA9" s="159">
        <f>Y9/Z9</f>
        <v/>
      </c>
      <c r="AB9" s="159">
        <f>(AA9/Y9)*100</f>
        <v/>
      </c>
    </row>
    <row r="10" ht="12.95" customHeight="1">
      <c r="A10" s="155" t="n">
        <v>9</v>
      </c>
      <c r="B10" s="156" t="n">
        <v>44574</v>
      </c>
      <c r="C10" s="157" t="n">
        <v>27818875.21</v>
      </c>
      <c r="D10" s="174">
        <f>C10/E10</f>
        <v/>
      </c>
      <c r="E10" s="157" t="n">
        <v>73.97199999999999</v>
      </c>
      <c r="F10" s="159">
        <f>D10/100000</f>
        <v/>
      </c>
      <c r="G10" s="159">
        <f>(F10/DataSheet!$C$9*100)</f>
        <v/>
      </c>
      <c r="H10" s="159">
        <f>K10/I10</f>
        <v/>
      </c>
      <c r="I10" s="159">
        <f>(J10/L10)*100</f>
        <v/>
      </c>
      <c r="J10" s="159">
        <f>L10/O10</f>
        <v/>
      </c>
      <c r="K10" s="157" t="n">
        <v>6.561</v>
      </c>
      <c r="L10" s="157" t="n">
        <v>18257.8</v>
      </c>
      <c r="M10" s="157" t="n">
        <v>4.6</v>
      </c>
      <c r="N10" s="159">
        <f>K10-I10</f>
        <v/>
      </c>
      <c r="O10" s="157" t="n">
        <v>25.37</v>
      </c>
      <c r="P10" s="157" t="n">
        <v>1.701</v>
      </c>
      <c r="Q10" s="159">
        <f>K10-P10</f>
        <v/>
      </c>
      <c r="R10" s="157" t="n">
        <v>94.77500000000001</v>
      </c>
      <c r="S10" s="159">
        <f>(O10*T10)/100</f>
        <v/>
      </c>
      <c r="T10" s="157" t="n">
        <v>3.58</v>
      </c>
      <c r="U10" s="157" t="n">
        <v>31997.2</v>
      </c>
      <c r="V10" s="157" t="n">
        <v>31.85</v>
      </c>
      <c r="W10" s="159">
        <f>U10/V10</f>
        <v/>
      </c>
      <c r="X10" s="159">
        <f>(W10/U10)*100</f>
        <v/>
      </c>
      <c r="Y10" s="157" t="n">
        <v>10352.6</v>
      </c>
      <c r="Z10" s="157" t="n">
        <v>32.64</v>
      </c>
      <c r="AA10" s="159">
        <f>Y10/Z10</f>
        <v/>
      </c>
      <c r="AB10" s="159">
        <f>(AA10/Y10)*100</f>
        <v/>
      </c>
    </row>
    <row r="11" ht="12.95" customHeight="1">
      <c r="A11" s="155" t="n">
        <v>10</v>
      </c>
      <c r="B11" s="156" t="n">
        <v>44575</v>
      </c>
      <c r="C11" s="157" t="n">
        <v>27857090.01</v>
      </c>
      <c r="D11" s="174">
        <f>C11/E11</f>
        <v/>
      </c>
      <c r="E11" s="157" t="n">
        <v>74.15600000000001</v>
      </c>
      <c r="F11" s="159">
        <f>D11/100000</f>
        <v/>
      </c>
      <c r="G11" s="159">
        <f>(F11/DataSheet!$C$9*100)</f>
        <v/>
      </c>
      <c r="H11" s="159">
        <f>K11/I11</f>
        <v/>
      </c>
      <c r="I11" s="159">
        <f>(J11/L11)*100</f>
        <v/>
      </c>
      <c r="J11" s="159">
        <f>L11/O11</f>
        <v/>
      </c>
      <c r="K11" s="157" t="n">
        <v>6.582</v>
      </c>
      <c r="L11" s="157" t="n">
        <v>18255.75</v>
      </c>
      <c r="M11" s="157" t="n">
        <v>4.6</v>
      </c>
      <c r="N11" s="159">
        <f>K11-I11</f>
        <v/>
      </c>
      <c r="O11" s="157" t="n">
        <v>25.3</v>
      </c>
      <c r="P11" s="157" t="n">
        <v>1.793</v>
      </c>
      <c r="Q11" s="159">
        <f>K11-P11</f>
        <v/>
      </c>
      <c r="R11" s="157" t="n">
        <v>95.161</v>
      </c>
      <c r="S11" s="159">
        <f>(O11*T11)/100</f>
        <v/>
      </c>
      <c r="T11" s="157" t="n">
        <v>3.59</v>
      </c>
      <c r="U11" s="157" t="n">
        <v>31989.65</v>
      </c>
      <c r="V11" s="157" t="n">
        <v>31.84</v>
      </c>
      <c r="W11" s="159">
        <f>U11/V11</f>
        <v/>
      </c>
      <c r="X11" s="159">
        <f>(W11/U11)*100</f>
        <v/>
      </c>
      <c r="Y11" s="157" t="n">
        <v>10424</v>
      </c>
      <c r="Z11" s="157" t="n">
        <v>32.87</v>
      </c>
      <c r="AA11" s="159">
        <f>Y11/Z11</f>
        <v/>
      </c>
      <c r="AB11" s="159">
        <f>(AA11/Y11)*100</f>
        <v/>
      </c>
    </row>
    <row r="12" ht="12.95" customHeight="1">
      <c r="A12" s="155" t="n">
        <v>11</v>
      </c>
      <c r="B12" s="156" t="n">
        <v>44578</v>
      </c>
      <c r="C12" s="157" t="n">
        <v>28010581.57</v>
      </c>
      <c r="D12" s="174">
        <f>C12/E12</f>
        <v/>
      </c>
      <c r="E12" s="157" t="n">
        <v>74.255</v>
      </c>
      <c r="F12" s="159">
        <f>D12/100000</f>
        <v/>
      </c>
      <c r="G12" s="159">
        <f>(F12/DataSheet!$C$9*100)</f>
        <v/>
      </c>
      <c r="H12" s="159">
        <f>K12/I12</f>
        <v/>
      </c>
      <c r="I12" s="159">
        <f>(J12/L12)*100</f>
        <v/>
      </c>
      <c r="J12" s="159">
        <f>L12/O12</f>
        <v/>
      </c>
      <c r="K12" s="157" t="n">
        <v>6.636</v>
      </c>
      <c r="L12" s="157" t="n">
        <v>18308.1</v>
      </c>
      <c r="M12" s="157" t="n">
        <v>4.61</v>
      </c>
      <c r="N12" s="159">
        <f>K12-I12</f>
        <v/>
      </c>
      <c r="O12" s="157" t="n">
        <v>25.37</v>
      </c>
      <c r="P12" s="157" t="n">
        <v>1.809</v>
      </c>
      <c r="Q12" s="159">
        <f>K12-P12</f>
        <v/>
      </c>
      <c r="R12" s="157" t="n">
        <v>95.161</v>
      </c>
      <c r="S12" s="159">
        <f>(O12*T12)/100</f>
        <v/>
      </c>
      <c r="T12" s="157" t="n">
        <v>3.6</v>
      </c>
      <c r="U12" s="157" t="n">
        <v>32040.6</v>
      </c>
      <c r="V12" s="157" t="n">
        <v>31.92</v>
      </c>
      <c r="W12" s="159">
        <f>U12/V12</f>
        <v/>
      </c>
      <c r="X12" s="159">
        <f>(W12/U12)*100</f>
        <v/>
      </c>
      <c r="Y12" s="157" t="n">
        <v>10471.85</v>
      </c>
      <c r="Z12" s="157" t="n">
        <v>33.01</v>
      </c>
      <c r="AA12" s="159">
        <f>Y12/Z12</f>
        <v/>
      </c>
      <c r="AB12" s="159">
        <f>(AA12/Y12)*100</f>
        <v/>
      </c>
    </row>
    <row r="13" ht="12.95" customHeight="1">
      <c r="A13" s="155" t="n">
        <v>12</v>
      </c>
      <c r="B13" s="156" t="n">
        <v>44579</v>
      </c>
      <c r="C13" s="157" t="n">
        <v>27634598.15</v>
      </c>
      <c r="D13" s="174">
        <f>C13/E13</f>
        <v/>
      </c>
      <c r="E13" s="157" t="n">
        <v>74.565</v>
      </c>
      <c r="F13" s="159">
        <f>D13/100000</f>
        <v/>
      </c>
      <c r="G13" s="159">
        <f>(F13/DataSheet!$C$9*100)</f>
        <v/>
      </c>
      <c r="H13" s="159">
        <f>K13/I13</f>
        <v/>
      </c>
      <c r="I13" s="159">
        <f>(J13/L13)*100</f>
        <v/>
      </c>
      <c r="J13" s="159">
        <f>L13/O13</f>
        <v/>
      </c>
      <c r="K13" s="157" t="n">
        <v>6.627</v>
      </c>
      <c r="L13" s="157" t="n">
        <v>18113.05</v>
      </c>
      <c r="M13" s="157" t="n">
        <v>4.56</v>
      </c>
      <c r="N13" s="159">
        <f>K13-I13</f>
        <v/>
      </c>
      <c r="O13" s="157" t="n">
        <v>25</v>
      </c>
      <c r="P13" s="157" t="n">
        <v>1.875</v>
      </c>
      <c r="Q13" s="159">
        <f>K13-P13</f>
        <v/>
      </c>
      <c r="R13" s="157" t="n">
        <v>95.723</v>
      </c>
      <c r="S13" s="159">
        <f>(O13*T13)/100</f>
        <v/>
      </c>
      <c r="T13" s="157" t="n">
        <v>3.6</v>
      </c>
      <c r="U13" s="157" t="n">
        <v>31381.45</v>
      </c>
      <c r="V13" s="157" t="n">
        <v>31.32</v>
      </c>
      <c r="W13" s="159">
        <f>U13/V13</f>
        <v/>
      </c>
      <c r="X13" s="159">
        <f>(W13/U13)*100</f>
        <v/>
      </c>
      <c r="Y13" s="157" t="n">
        <v>10257.8</v>
      </c>
      <c r="Z13" s="157" t="n">
        <v>32.34</v>
      </c>
      <c r="AA13" s="159">
        <f>Y13/Z13</f>
        <v/>
      </c>
      <c r="AB13" s="159">
        <f>(AA13/Y13)*100</f>
        <v/>
      </c>
    </row>
    <row r="14" ht="12.95" customHeight="1">
      <c r="A14" s="155" t="n">
        <v>13</v>
      </c>
      <c r="B14" s="156" t="n">
        <v>44580</v>
      </c>
      <c r="C14" s="157" t="n">
        <v>27491933.18</v>
      </c>
      <c r="D14" s="174">
        <f>C14/E14</f>
        <v/>
      </c>
      <c r="E14" s="157" t="n">
        <v>74.455</v>
      </c>
      <c r="F14" s="159">
        <f>D14/100000</f>
        <v/>
      </c>
      <c r="G14" s="159">
        <f>(F14/DataSheet!$C$9*100)</f>
        <v/>
      </c>
      <c r="H14" s="159">
        <f>K14/I14</f>
        <v/>
      </c>
      <c r="I14" s="159">
        <f>(J14/L14)*100</f>
        <v/>
      </c>
      <c r="J14" s="159">
        <f>L14/O14</f>
        <v/>
      </c>
      <c r="K14" s="157" t="n">
        <v>6.598</v>
      </c>
      <c r="L14" s="157" t="n">
        <v>17938.4</v>
      </c>
      <c r="M14" s="157" t="n">
        <v>4.52</v>
      </c>
      <c r="N14" s="159">
        <f>K14-I14</f>
        <v/>
      </c>
      <c r="O14" s="157" t="n">
        <v>24.76</v>
      </c>
      <c r="P14" s="157" t="n">
        <v>1.854</v>
      </c>
      <c r="Q14" s="159">
        <f>K14-P14</f>
        <v/>
      </c>
      <c r="R14" s="157" t="n">
        <v>95.5</v>
      </c>
      <c r="S14" s="159">
        <f>(O14*T14)/100</f>
        <v/>
      </c>
      <c r="T14" s="157" t="n">
        <v>3.68</v>
      </c>
      <c r="U14" s="157" t="n">
        <v>31363.3</v>
      </c>
      <c r="V14" s="157" t="n">
        <v>31.27</v>
      </c>
      <c r="W14" s="159">
        <f>U14/V14</f>
        <v/>
      </c>
      <c r="X14" s="159">
        <f>(W14/U14)*100</f>
        <v/>
      </c>
      <c r="Y14" s="157" t="n">
        <v>10281.15</v>
      </c>
      <c r="Z14" s="157" t="n">
        <v>32.34</v>
      </c>
      <c r="AA14" s="159">
        <f>Y14/Z14</f>
        <v/>
      </c>
      <c r="AB14" s="159">
        <f>(AA14/Y14)*100</f>
        <v/>
      </c>
    </row>
    <row r="15" ht="12.95" customHeight="1">
      <c r="A15" s="155" t="n">
        <v>14</v>
      </c>
      <c r="B15" s="156" t="n">
        <v>44581</v>
      </c>
      <c r="C15" s="157" t="n">
        <v>27334730.32</v>
      </c>
      <c r="D15" s="174">
        <f>C15/E15</f>
        <v/>
      </c>
      <c r="E15" s="157" t="n">
        <v>74.468</v>
      </c>
      <c r="F15" s="159">
        <f>D15/100000</f>
        <v/>
      </c>
      <c r="G15" s="159">
        <f>(F15/DataSheet!$C$9*100)</f>
        <v/>
      </c>
      <c r="H15" s="159">
        <f>K15/I15</f>
        <v/>
      </c>
      <c r="I15" s="159">
        <f>(J15/L15)*100</f>
        <v/>
      </c>
      <c r="J15" s="159">
        <f>L15/O15</f>
        <v/>
      </c>
      <c r="K15" s="157" t="n">
        <v>6.608</v>
      </c>
      <c r="L15" s="157" t="n">
        <v>17757</v>
      </c>
      <c r="M15" s="157" t="n">
        <v>4.47</v>
      </c>
      <c r="N15" s="159">
        <f>K15-I15</f>
        <v/>
      </c>
      <c r="O15" s="157" t="n">
        <v>24.47</v>
      </c>
      <c r="P15" s="157" t="n">
        <v>1.811</v>
      </c>
      <c r="Q15" s="159">
        <f>K15-P15</f>
        <v/>
      </c>
      <c r="R15" s="157" t="n">
        <v>95.72499999999999</v>
      </c>
      <c r="S15" s="159">
        <f>(O15*T15)/100</f>
        <v/>
      </c>
      <c r="T15" s="157" t="n">
        <v>3.73</v>
      </c>
      <c r="U15" s="157" t="n">
        <v>31312.05</v>
      </c>
      <c r="V15" s="157" t="n">
        <v>31.16</v>
      </c>
      <c r="W15" s="159">
        <f>U15/V15</f>
        <v/>
      </c>
      <c r="X15" s="159">
        <f>(W15/U15)*100</f>
        <v/>
      </c>
      <c r="Y15" s="157" t="n">
        <v>10269.25</v>
      </c>
      <c r="Z15" s="157" t="n">
        <v>32.28</v>
      </c>
      <c r="AA15" s="159">
        <f>Y15/Z15</f>
        <v/>
      </c>
      <c r="AB15" s="159">
        <f>(AA15/Y15)*100</f>
        <v/>
      </c>
    </row>
    <row r="16" ht="12.95" customHeight="1">
      <c r="A16" s="155" t="n">
        <v>15</v>
      </c>
      <c r="B16" s="156" t="n">
        <v>44582</v>
      </c>
      <c r="C16" s="157" t="n">
        <v>26978357.68</v>
      </c>
      <c r="D16" s="174">
        <f>C16/E16</f>
        <v/>
      </c>
      <c r="E16" s="157" t="n">
        <v>74.40900000000001</v>
      </c>
      <c r="F16" s="159">
        <f>D16/100000</f>
        <v/>
      </c>
      <c r="G16" s="159">
        <f>(F16/DataSheet!$C$9*100)</f>
        <v/>
      </c>
      <c r="H16" s="159">
        <f>K16/I16</f>
        <v/>
      </c>
      <c r="I16" s="159">
        <f>(J16/L16)*100</f>
        <v/>
      </c>
      <c r="J16" s="159">
        <f>L16/O16</f>
        <v/>
      </c>
      <c r="K16" s="157" t="n">
        <v>6.62</v>
      </c>
      <c r="L16" s="157" t="n">
        <v>17617.15</v>
      </c>
      <c r="M16" s="157" t="n">
        <v>4.44</v>
      </c>
      <c r="N16" s="159">
        <f>K16-I16</f>
        <v/>
      </c>
      <c r="O16" s="157" t="n">
        <v>24.29</v>
      </c>
      <c r="P16" s="157" t="n">
        <v>1.77</v>
      </c>
      <c r="Q16" s="159">
        <f>K16-P16</f>
        <v/>
      </c>
      <c r="R16" s="157" t="n">
        <v>95.636</v>
      </c>
      <c r="S16" s="159">
        <f>(O16*T16)/100</f>
        <v/>
      </c>
      <c r="T16" s="157" t="n">
        <v>3.73</v>
      </c>
      <c r="U16" s="157" t="n">
        <v>30563.6</v>
      </c>
      <c r="V16" s="157" t="n">
        <v>30.46</v>
      </c>
      <c r="W16" s="159">
        <f>U16/V16</f>
        <v/>
      </c>
      <c r="X16" s="159">
        <f>(W16/U16)*100</f>
        <v/>
      </c>
      <c r="Y16" s="157" t="n">
        <v>10076.85</v>
      </c>
      <c r="Z16" s="157" t="n">
        <v>31.89</v>
      </c>
      <c r="AA16" s="159">
        <f>Y16/Z16</f>
        <v/>
      </c>
      <c r="AB16" s="159">
        <f>(AA16/Y16)*100</f>
        <v/>
      </c>
    </row>
    <row r="17" ht="12.95" customHeight="1">
      <c r="A17" s="155" t="n">
        <v>16</v>
      </c>
      <c r="B17" s="156" t="n">
        <v>44585</v>
      </c>
      <c r="C17" s="157" t="n">
        <v>26057735.06</v>
      </c>
      <c r="D17" s="174">
        <f>C17/E17</f>
        <v/>
      </c>
      <c r="E17" s="157" t="n">
        <v>74.642</v>
      </c>
      <c r="F17" s="159">
        <f>D17/100000</f>
        <v/>
      </c>
      <c r="G17" s="159">
        <f>(F17/DataSheet!$C$9*100)</f>
        <v/>
      </c>
      <c r="H17" s="159">
        <f>K17/I17</f>
        <v/>
      </c>
      <c r="I17" s="159">
        <f>(J17/L17)*100</f>
        <v/>
      </c>
      <c r="J17" s="159">
        <f>L17/O17</f>
        <v/>
      </c>
      <c r="K17" s="157" t="n">
        <v>6.652</v>
      </c>
      <c r="L17" s="157" t="n">
        <v>17149.1</v>
      </c>
      <c r="M17" s="157" t="n">
        <v>4.32</v>
      </c>
      <c r="N17" s="159">
        <f>K17-I17</f>
        <v/>
      </c>
      <c r="O17" s="157" t="n">
        <v>23.63</v>
      </c>
      <c r="P17" s="157" t="n">
        <v>1.776</v>
      </c>
      <c r="Q17" s="159">
        <f>K17-P17</f>
        <v/>
      </c>
      <c r="R17" s="157" t="n">
        <v>95.901</v>
      </c>
      <c r="S17" s="159">
        <f>(O17*T17)/100</f>
        <v/>
      </c>
      <c r="T17" s="157" t="n">
        <v>3.73</v>
      </c>
      <c r="U17" s="157" t="n">
        <v>29383</v>
      </c>
      <c r="V17" s="157" t="n">
        <v>29.31</v>
      </c>
      <c r="W17" s="159">
        <f>U17/V17</f>
        <v/>
      </c>
      <c r="X17" s="159">
        <f>(W17/U17)*100</f>
        <v/>
      </c>
      <c r="Y17" s="157" t="n">
        <v>9611.5</v>
      </c>
      <c r="Z17" s="157" t="n">
        <v>30.41</v>
      </c>
      <c r="AA17" s="159">
        <f>Y17/Z17</f>
        <v/>
      </c>
      <c r="AB17" s="159">
        <f>(AA17/Y17)*100</f>
        <v/>
      </c>
    </row>
    <row r="18" ht="12.95" customHeight="1">
      <c r="A18" s="155" t="n">
        <v>17</v>
      </c>
      <c r="B18" s="156" t="n">
        <v>44586</v>
      </c>
      <c r="C18" s="157" t="n">
        <v>26286510.58</v>
      </c>
      <c r="D18" s="174">
        <f>C18/E18</f>
        <v/>
      </c>
      <c r="E18" s="157" t="n">
        <v>74.78700000000001</v>
      </c>
      <c r="F18" s="159">
        <f>D18/100000</f>
        <v/>
      </c>
      <c r="G18" s="159">
        <f>(F18/DataSheet!$C$9*100)</f>
        <v/>
      </c>
      <c r="H18" s="159">
        <f>K18/I18</f>
        <v/>
      </c>
      <c r="I18" s="159">
        <f>(J18/L18)*100</f>
        <v/>
      </c>
      <c r="J18" s="159">
        <f>L18/O18</f>
        <v/>
      </c>
      <c r="K18" s="157" t="n">
        <v>6.662</v>
      </c>
      <c r="L18" s="157" t="n">
        <v>17277.95</v>
      </c>
      <c r="M18" s="157" t="n">
        <v>4.35</v>
      </c>
      <c r="N18" s="159">
        <f>K18-I18</f>
        <v/>
      </c>
      <c r="O18" s="157" t="n">
        <v>23.47</v>
      </c>
      <c r="P18" s="157" t="n">
        <v>1.776</v>
      </c>
      <c r="Q18" s="159">
        <f>K18-P18</f>
        <v/>
      </c>
      <c r="R18" s="157" t="n">
        <v>95.928</v>
      </c>
      <c r="S18" s="159">
        <f>(O18*T18)/100</f>
        <v/>
      </c>
      <c r="T18" s="157" t="n">
        <v>3.71</v>
      </c>
      <c r="U18" s="157" t="n">
        <v>29676.9</v>
      </c>
      <c r="V18" s="157" t="n">
        <v>29.92</v>
      </c>
      <c r="W18" s="159">
        <f>U18/V18</f>
        <v/>
      </c>
      <c r="X18" s="159">
        <f>(W18/U18)*100</f>
        <v/>
      </c>
      <c r="Y18" s="157" t="n">
        <v>9713.450000000001</v>
      </c>
      <c r="Z18" s="157" t="n">
        <v>30.41</v>
      </c>
      <c r="AA18" s="159">
        <f>Y18/Z18</f>
        <v/>
      </c>
      <c r="AB18" s="159">
        <f>(AA18/Y18)*100</f>
        <v/>
      </c>
    </row>
    <row r="19" ht="12.95" customHeight="1">
      <c r="A19" s="155" t="n">
        <v>18</v>
      </c>
      <c r="B19" s="156" t="n">
        <v>44588</v>
      </c>
      <c r="C19" s="157" t="n">
        <v>26006898.93</v>
      </c>
      <c r="D19" s="174">
        <f>C19/E19</f>
        <v/>
      </c>
      <c r="E19" s="157" t="n">
        <v>75.209</v>
      </c>
      <c r="F19" s="159">
        <f>D19/100000</f>
        <v/>
      </c>
      <c r="G19" s="159">
        <f>(F19/DataSheet!$C$9*100)</f>
        <v/>
      </c>
      <c r="H19" s="159">
        <f>K19/I19</f>
        <v/>
      </c>
      <c r="I19" s="159">
        <f>(J19/L19)*100</f>
        <v/>
      </c>
      <c r="J19" s="159">
        <f>L19/O19</f>
        <v/>
      </c>
      <c r="K19" s="157" t="n">
        <v>6.746</v>
      </c>
      <c r="L19" s="157" t="n">
        <v>17110.15</v>
      </c>
      <c r="M19" s="157" t="n">
        <v>4.31</v>
      </c>
      <c r="N19" s="159">
        <f>K19-I19</f>
        <v/>
      </c>
      <c r="O19" s="157" t="n">
        <v>23.09</v>
      </c>
      <c r="P19" s="157" t="n">
        <v>1.803</v>
      </c>
      <c r="Q19" s="159">
        <f>K19-P19</f>
        <v/>
      </c>
      <c r="R19" s="157" t="n">
        <v>97.242</v>
      </c>
      <c r="S19" s="159">
        <f>(O19*T19)/100</f>
        <v/>
      </c>
      <c r="T19" s="157" t="n">
        <v>3.76</v>
      </c>
      <c r="U19" s="157" t="n">
        <v>29364.7</v>
      </c>
      <c r="V19" s="157" t="n">
        <v>29.65</v>
      </c>
      <c r="W19" s="159">
        <f>U19/V19</f>
        <v/>
      </c>
      <c r="X19" s="159">
        <f>(W19/U19)*100</f>
        <v/>
      </c>
      <c r="Y19" s="157" t="n">
        <v>9668.549999999999</v>
      </c>
      <c r="Z19" s="157" t="n">
        <v>30.26</v>
      </c>
      <c r="AA19" s="159">
        <f>Y19/Z19</f>
        <v/>
      </c>
      <c r="AB19" s="159">
        <f>(AA19/Y19)*100</f>
        <v/>
      </c>
    </row>
    <row r="20" ht="12.95" customHeight="1">
      <c r="A20" s="155" t="n">
        <v>19</v>
      </c>
      <c r="B20" s="156" t="n">
        <v>44589</v>
      </c>
      <c r="C20" s="157" t="n">
        <v>26118525.02</v>
      </c>
      <c r="D20" s="174">
        <f>C20/E20</f>
        <v/>
      </c>
      <c r="E20" s="157" t="n">
        <v>75.04600000000001</v>
      </c>
      <c r="F20" s="159">
        <f>D20/100000</f>
        <v/>
      </c>
      <c r="G20" s="159">
        <f>(F20/DataSheet!$C$9*100)</f>
        <v/>
      </c>
      <c r="H20" s="159">
        <f>K20/I20</f>
        <v/>
      </c>
      <c r="I20" s="159">
        <f>(J20/L20)*100</f>
        <v/>
      </c>
      <c r="J20" s="159">
        <f>L20/O20</f>
        <v/>
      </c>
      <c r="K20" s="157" t="n">
        <v>6.768</v>
      </c>
      <c r="L20" s="157" t="n">
        <v>17101.95</v>
      </c>
      <c r="M20" s="157" t="n">
        <v>4.31</v>
      </c>
      <c r="N20" s="159">
        <f>K20-I20</f>
        <v/>
      </c>
      <c r="O20" s="157" t="n">
        <v>23.1</v>
      </c>
      <c r="P20" s="157" t="n">
        <v>1.778</v>
      </c>
      <c r="Q20" s="159">
        <f>K20-P20</f>
        <v/>
      </c>
      <c r="R20" s="157" t="n">
        <v>97.26600000000001</v>
      </c>
      <c r="S20" s="159">
        <f>(O20*T20)/100</f>
        <v/>
      </c>
      <c r="T20" s="157" t="n">
        <v>3.76</v>
      </c>
      <c r="U20" s="157" t="n">
        <v>29804.9</v>
      </c>
      <c r="V20" s="157" t="n">
        <v>29.94</v>
      </c>
      <c r="W20" s="159">
        <f>U20/V20</f>
        <v/>
      </c>
      <c r="X20" s="159">
        <f>(W20/U20)*100</f>
        <v/>
      </c>
      <c r="Y20" s="157" t="n">
        <v>9719.700000000001</v>
      </c>
      <c r="Z20" s="157" t="n">
        <v>30.61</v>
      </c>
      <c r="AA20" s="159">
        <f>Y20/Z20</f>
        <v/>
      </c>
      <c r="AB20" s="159">
        <f>(AA20/Y20)*100</f>
        <v/>
      </c>
    </row>
    <row r="21" ht="12.95" customHeight="1">
      <c r="A21" s="155" t="n">
        <v>20</v>
      </c>
      <c r="B21" s="156" t="n">
        <v>44592</v>
      </c>
      <c r="C21" s="157" t="n">
        <v>26441508.2</v>
      </c>
      <c r="D21" s="174">
        <f>C21/E21</f>
        <v/>
      </c>
      <c r="E21" s="157" t="n">
        <v>74.556</v>
      </c>
      <c r="F21" s="159">
        <f>D21/100000</f>
        <v/>
      </c>
      <c r="G21" s="159">
        <f>(F21/DataSheet!$C$9*100)</f>
        <v/>
      </c>
      <c r="H21" s="159">
        <f>K21/I21</f>
        <v/>
      </c>
      <c r="I21" s="159">
        <f>(J21/L21)*100</f>
        <v/>
      </c>
      <c r="J21" s="159">
        <f>L21/O21</f>
        <v/>
      </c>
      <c r="K21" s="157" t="n">
        <v>6.684</v>
      </c>
      <c r="L21" s="157" t="n">
        <v>17339.85</v>
      </c>
      <c r="M21" s="157" t="n">
        <v>4.37</v>
      </c>
      <c r="N21" s="159">
        <f>K21-I21</f>
        <v/>
      </c>
      <c r="O21" s="157" t="n">
        <v>23.42</v>
      </c>
      <c r="P21" s="157" t="n">
        <v>1.784</v>
      </c>
      <c r="Q21" s="159">
        <f>K21-P21</f>
        <v/>
      </c>
      <c r="R21" s="157" t="n">
        <v>96.53700000000001</v>
      </c>
      <c r="S21" s="159">
        <f>(O21*T21)/100</f>
        <v/>
      </c>
      <c r="T21" s="157" t="n">
        <v>3.76</v>
      </c>
      <c r="U21" s="157" t="n">
        <v>30273.95</v>
      </c>
      <c r="V21" s="157" t="n">
        <v>30.24</v>
      </c>
      <c r="W21" s="159">
        <f>U21/V21</f>
        <v/>
      </c>
      <c r="X21" s="159">
        <f>(W21/U21)*100</f>
        <v/>
      </c>
      <c r="Y21" s="157" t="n">
        <v>9813.1</v>
      </c>
      <c r="Z21" s="157" t="n">
        <v>30.31</v>
      </c>
      <c r="AA21" s="159">
        <f>Y21/Z21</f>
        <v/>
      </c>
      <c r="AB21" s="159">
        <f>(AA21/Y21)*100</f>
        <v/>
      </c>
    </row>
    <row r="22" ht="12.95" customHeight="1">
      <c r="A22" s="155" t="n">
        <v>21</v>
      </c>
      <c r="B22" s="156" t="n">
        <v>44593</v>
      </c>
      <c r="C22" s="157" t="n">
        <v>26747570.96</v>
      </c>
      <c r="D22" s="174">
        <f>C22/E22</f>
        <v/>
      </c>
      <c r="E22" s="157" t="n">
        <v>74.751</v>
      </c>
      <c r="F22" s="159">
        <f>D22/100000</f>
        <v/>
      </c>
      <c r="G22" s="159">
        <f>(F22/DataSheet!$C$9*100)</f>
        <v/>
      </c>
      <c r="H22" s="159">
        <f>K22/I22</f>
        <v/>
      </c>
      <c r="I22" s="159">
        <f>(J22/L22)*100</f>
        <v/>
      </c>
      <c r="J22" s="159">
        <f>L22/O22</f>
        <v/>
      </c>
      <c r="K22" s="157" t="n">
        <v>6.828</v>
      </c>
      <c r="L22" s="157" t="n">
        <v>17576.85</v>
      </c>
      <c r="M22" s="157" t="n">
        <v>4.43</v>
      </c>
      <c r="N22" s="159">
        <f>K22-I22</f>
        <v/>
      </c>
      <c r="O22" s="157" t="n">
        <v>23.62</v>
      </c>
      <c r="P22" s="157" t="n">
        <v>1.795</v>
      </c>
      <c r="Q22" s="159">
        <f>K22-P22</f>
        <v/>
      </c>
      <c r="R22" s="157" t="n">
        <v>96.375</v>
      </c>
      <c r="S22" s="159">
        <f>(O22*T22)/100</f>
        <v/>
      </c>
      <c r="T22" s="157" t="n">
        <v>3.77</v>
      </c>
      <c r="U22" s="157" t="n">
        <v>30611.6</v>
      </c>
      <c r="V22" s="157" t="n">
        <v>30.55</v>
      </c>
      <c r="W22" s="159">
        <f>U22/V22</f>
        <v/>
      </c>
      <c r="X22" s="159">
        <f>(W22/U22)*100</f>
        <v/>
      </c>
      <c r="Y22" s="157" t="n">
        <v>9886.6</v>
      </c>
      <c r="Z22" s="157" t="n">
        <v>29.96</v>
      </c>
      <c r="AA22" s="159">
        <f>Y22/Z22</f>
        <v/>
      </c>
      <c r="AB22" s="159">
        <f>(AA22/Y22)*100</f>
        <v/>
      </c>
    </row>
    <row r="23" ht="12.95" customHeight="1">
      <c r="A23" s="155" t="n">
        <v>22</v>
      </c>
      <c r="B23" s="156" t="n">
        <v>44594</v>
      </c>
      <c r="C23" s="157" t="n">
        <v>27076524.3</v>
      </c>
      <c r="D23" s="174">
        <f>C23/E23</f>
        <v/>
      </c>
      <c r="E23" s="157" t="n">
        <v>74.82299999999999</v>
      </c>
      <c r="F23" s="159">
        <f>D23/100000</f>
        <v/>
      </c>
      <c r="G23" s="159">
        <f>(F23/DataSheet!$C$9*100)</f>
        <v/>
      </c>
      <c r="H23" s="159">
        <f>K23/I23</f>
        <v/>
      </c>
      <c r="I23" s="159">
        <f>(J23/L23)*100</f>
        <v/>
      </c>
      <c r="J23" s="159">
        <f>L23/O23</f>
        <v/>
      </c>
      <c r="K23" s="157" t="n">
        <v>6.88</v>
      </c>
      <c r="L23" s="157" t="n">
        <v>17780</v>
      </c>
      <c r="M23" s="157" t="n">
        <v>4.48</v>
      </c>
      <c r="N23" s="159">
        <f>K23-I23</f>
        <v/>
      </c>
      <c r="O23" s="157" t="n">
        <v>23.95</v>
      </c>
      <c r="P23" s="157" t="n">
        <v>1.771</v>
      </c>
      <c r="Q23" s="159">
        <f>K23-P23</f>
        <v/>
      </c>
      <c r="R23" s="157" t="n">
        <v>95.935</v>
      </c>
      <c r="S23" s="159">
        <f>(O23*T23)/100</f>
        <v/>
      </c>
      <c r="T23" s="157" t="n">
        <v>3.84</v>
      </c>
      <c r="U23" s="157" t="n">
        <v>30971.55</v>
      </c>
      <c r="V23" s="157" t="n">
        <v>30.9</v>
      </c>
      <c r="W23" s="159">
        <f>U23/V23</f>
        <v/>
      </c>
      <c r="X23" s="159">
        <f>(W23/U23)*100</f>
        <v/>
      </c>
      <c r="Y23" s="157" t="n">
        <v>10051.3</v>
      </c>
      <c r="Z23" s="157" t="n">
        <v>30.19</v>
      </c>
      <c r="AA23" s="159">
        <f>Y23/Z23</f>
        <v/>
      </c>
      <c r="AB23" s="159">
        <f>(AA23/Y23)*100</f>
        <v/>
      </c>
    </row>
    <row r="24" ht="12.95" customHeight="1">
      <c r="A24" s="155" t="n">
        <v>23</v>
      </c>
      <c r="B24" s="156" t="n">
        <v>44595</v>
      </c>
      <c r="C24" s="157" t="n">
        <v>26859756.72</v>
      </c>
      <c r="D24" s="174">
        <f>C24/E24</f>
        <v/>
      </c>
      <c r="E24" s="157" t="n">
        <v>74.64400000000001</v>
      </c>
      <c r="F24" s="159">
        <f>D24/100000</f>
        <v/>
      </c>
      <c r="G24" s="159">
        <f>(F24/DataSheet!$C$9*100)</f>
        <v/>
      </c>
      <c r="H24" s="159">
        <f>K24/I24</f>
        <v/>
      </c>
      <c r="I24" s="159">
        <f>(J24/L24)*100</f>
        <v/>
      </c>
      <c r="J24" s="159">
        <f>L24/O24</f>
        <v/>
      </c>
      <c r="K24" s="157" t="n">
        <v>6.889</v>
      </c>
      <c r="L24" s="157" t="n">
        <v>17560.2</v>
      </c>
      <c r="M24" s="157" t="n">
        <v>4.42</v>
      </c>
      <c r="N24" s="159">
        <f>K24-I24</f>
        <v/>
      </c>
      <c r="O24" s="157" t="n">
        <v>23.65</v>
      </c>
      <c r="P24" s="157" t="n">
        <v>1.836</v>
      </c>
      <c r="Q24" s="159">
        <f>K24-P24</f>
        <v/>
      </c>
      <c r="R24" s="157" t="n">
        <v>95.379</v>
      </c>
      <c r="S24" s="159">
        <f>(O24*T24)/100</f>
        <v/>
      </c>
      <c r="T24" s="157" t="n">
        <v>3.83</v>
      </c>
      <c r="U24" s="157" t="n">
        <v>30673.9</v>
      </c>
      <c r="V24" s="157" t="n">
        <v>30.54</v>
      </c>
      <c r="W24" s="159">
        <f>U24/V24</f>
        <v/>
      </c>
      <c r="X24" s="159">
        <f>(W24/U24)*100</f>
        <v/>
      </c>
      <c r="Y24" s="157" t="n">
        <v>10050.15</v>
      </c>
      <c r="Z24" s="157" t="n">
        <v>30.11</v>
      </c>
      <c r="AA24" s="159">
        <f>Y24/Z24</f>
        <v/>
      </c>
      <c r="AB24" s="159">
        <f>(AA24/Y24)*100</f>
        <v/>
      </c>
    </row>
    <row r="25" ht="12.95" customHeight="1">
      <c r="A25" s="155" t="n">
        <v>24</v>
      </c>
      <c r="B25" s="156" t="n">
        <v>44596</v>
      </c>
      <c r="C25" s="157" t="n">
        <v>26781891.47</v>
      </c>
      <c r="D25" s="174">
        <f>C25/E25</f>
        <v/>
      </c>
      <c r="E25" s="157" t="n">
        <v>74.645</v>
      </c>
      <c r="F25" s="159">
        <f>D25/100000</f>
        <v/>
      </c>
      <c r="G25" s="159">
        <f>(F25/DataSheet!$C$9*100)</f>
        <v/>
      </c>
      <c r="H25" s="159">
        <f>K25/I25</f>
        <v/>
      </c>
      <c r="I25" s="159">
        <f>(J25/L25)*100</f>
        <v/>
      </c>
      <c r="J25" s="159">
        <f>L25/O25</f>
        <v/>
      </c>
      <c r="K25" s="157" t="n">
        <v>6.879</v>
      </c>
      <c r="L25" s="157" t="n">
        <v>17516.3</v>
      </c>
      <c r="M25" s="157" t="n">
        <v>4.41</v>
      </c>
      <c r="N25" s="159">
        <f>K25-I25</f>
        <v/>
      </c>
      <c r="O25" s="157" t="n">
        <v>23.56</v>
      </c>
      <c r="P25" s="157" t="n">
        <v>1.916</v>
      </c>
      <c r="Q25" s="159">
        <f>K25-P25</f>
        <v/>
      </c>
      <c r="R25" s="157" t="n">
        <v>95.48</v>
      </c>
      <c r="S25" s="159">
        <f>(O25*T25)/100</f>
        <v/>
      </c>
      <c r="T25" s="157" t="n">
        <v>3.86</v>
      </c>
      <c r="U25" s="157" t="n">
        <v>30441.55</v>
      </c>
      <c r="V25" s="157" t="n">
        <v>30.12</v>
      </c>
      <c r="W25" s="159">
        <f>U25/V25</f>
        <v/>
      </c>
      <c r="X25" s="159">
        <f>(W25/U25)*100</f>
        <v/>
      </c>
      <c r="Y25" s="157" t="n">
        <v>9991.299999999999</v>
      </c>
      <c r="Z25" s="157" t="n">
        <v>29.87</v>
      </c>
      <c r="AA25" s="159">
        <f>Y25/Z25</f>
        <v/>
      </c>
      <c r="AB25" s="159">
        <f>(AA25/Y25)*100</f>
        <v/>
      </c>
    </row>
    <row r="26" ht="12.95" customHeight="1">
      <c r="A26" s="155" t="n">
        <v>25</v>
      </c>
      <c r="B26" s="156" t="n">
        <v>44599</v>
      </c>
      <c r="C26" s="157" t="n">
        <v>26485014.35</v>
      </c>
      <c r="D26" s="174">
        <f>C26/E26</f>
        <v/>
      </c>
      <c r="E26" s="157" t="n">
        <v>74.655</v>
      </c>
      <c r="F26" s="159">
        <f>D26/100000</f>
        <v/>
      </c>
      <c r="G26" s="159">
        <f>(F26/DataSheet!$C$9*100)</f>
        <v/>
      </c>
      <c r="H26" s="159">
        <f>K26/I26</f>
        <v/>
      </c>
      <c r="I26" s="159">
        <f>(J26/L26)*100</f>
        <v/>
      </c>
      <c r="J26" s="159">
        <f>L26/O26</f>
        <v/>
      </c>
      <c r="K26" s="157" t="n">
        <v>6.879</v>
      </c>
      <c r="L26" s="157" t="n">
        <v>17213.6</v>
      </c>
      <c r="M26" s="157" t="n">
        <v>4.34</v>
      </c>
      <c r="N26" s="159">
        <f>K26-I26</f>
        <v/>
      </c>
      <c r="O26" s="157" t="n">
        <v>23.11</v>
      </c>
      <c r="P26" s="157" t="n">
        <v>1.919</v>
      </c>
      <c r="Q26" s="159">
        <f>K26-P26</f>
        <v/>
      </c>
      <c r="R26" s="157" t="n">
        <v>95.392</v>
      </c>
      <c r="S26" s="159">
        <f>(O26*T26)/100</f>
        <v/>
      </c>
      <c r="T26" s="157" t="n">
        <v>3.86</v>
      </c>
      <c r="U26" s="157" t="n">
        <v>30129.25</v>
      </c>
      <c r="V26" s="157" t="n">
        <v>29.77</v>
      </c>
      <c r="W26" s="159">
        <f>U26/V26</f>
        <v/>
      </c>
      <c r="X26" s="159">
        <f>(W26/U26)*100</f>
        <v/>
      </c>
      <c r="Y26" s="157" t="n">
        <v>9882.299999999999</v>
      </c>
      <c r="Z26" s="157" t="n">
        <v>29.53</v>
      </c>
      <c r="AA26" s="159">
        <f>Y26/Z26</f>
        <v/>
      </c>
      <c r="AB26" s="159">
        <f>(AA26/Y26)*100</f>
        <v/>
      </c>
    </row>
    <row r="27" ht="12.95" customHeight="1">
      <c r="A27" s="155" t="n">
        <v>26</v>
      </c>
      <c r="B27" s="156" t="n">
        <v>44600</v>
      </c>
      <c r="C27" s="157" t="n">
        <v>26451334.95</v>
      </c>
      <c r="D27" s="174">
        <f>C27/E27</f>
        <v/>
      </c>
      <c r="E27" s="157" t="n">
        <v>74.71899999999999</v>
      </c>
      <c r="F27" s="159">
        <f>D27/100000</f>
        <v/>
      </c>
      <c r="G27" s="159">
        <f>(F27/DataSheet!$C$9*100)</f>
        <v/>
      </c>
      <c r="H27" s="159">
        <f>K27/I27</f>
        <v/>
      </c>
      <c r="I27" s="159">
        <f>(J27/L27)*100</f>
        <v/>
      </c>
      <c r="J27" s="159">
        <f>L27/O27</f>
        <v/>
      </c>
      <c r="K27" s="157" t="n">
        <v>6.81</v>
      </c>
      <c r="L27" s="157" t="n">
        <v>17266.75</v>
      </c>
      <c r="M27" s="157" t="n">
        <v>4.35</v>
      </c>
      <c r="N27" s="159">
        <f>K27-I27</f>
        <v/>
      </c>
      <c r="O27" s="157" t="n">
        <v>22.83</v>
      </c>
      <c r="P27" s="157" t="n">
        <v>1.965</v>
      </c>
      <c r="Q27" s="159">
        <f>K27-P27</f>
        <v/>
      </c>
      <c r="R27" s="157" t="n">
        <v>95.64100000000001</v>
      </c>
      <c r="S27" s="159">
        <f>(O27*T27)/100</f>
        <v/>
      </c>
      <c r="T27" s="157" t="n">
        <v>3.9</v>
      </c>
      <c r="U27" s="157" t="n">
        <v>29916.85</v>
      </c>
      <c r="V27" s="157" t="n">
        <v>29.16</v>
      </c>
      <c r="W27" s="159">
        <f>U27/V27</f>
        <v/>
      </c>
      <c r="X27" s="159">
        <f>(W27/U27)*100</f>
        <v/>
      </c>
      <c r="Y27" s="157" t="n">
        <v>9732.9</v>
      </c>
      <c r="Z27" s="157" t="n">
        <v>28.9</v>
      </c>
      <c r="AA27" s="159">
        <f>Y27/Z27</f>
        <v/>
      </c>
      <c r="AB27" s="159">
        <f>(AA27/Y27)*100</f>
        <v/>
      </c>
    </row>
    <row r="28" ht="12.95" customHeight="1">
      <c r="A28" s="155" t="n">
        <v>27</v>
      </c>
      <c r="B28" s="156" t="n">
        <v>44601</v>
      </c>
      <c r="C28" s="157" t="n">
        <v>26670651.89</v>
      </c>
      <c r="D28" s="174">
        <f>C28/E28</f>
        <v/>
      </c>
      <c r="E28" s="157" t="n">
        <v>74.80800000000001</v>
      </c>
      <c r="F28" s="159">
        <f>D28/100000</f>
        <v/>
      </c>
      <c r="G28" s="159">
        <f>(F28/DataSheet!$C$9*100)</f>
        <v/>
      </c>
      <c r="H28" s="159">
        <f>K28/I28</f>
        <v/>
      </c>
      <c r="I28" s="159">
        <f>(J28/L28)*100</f>
        <v/>
      </c>
      <c r="J28" s="159">
        <f>L28/O28</f>
        <v/>
      </c>
      <c r="K28" s="157" t="n">
        <v>6.798</v>
      </c>
      <c r="L28" s="157" t="n">
        <v>17463.8</v>
      </c>
      <c r="M28" s="157" t="n">
        <v>4.4</v>
      </c>
      <c r="N28" s="159">
        <f>K28-I28</f>
        <v/>
      </c>
      <c r="O28" s="157" t="n">
        <v>23.09</v>
      </c>
      <c r="P28" s="157" t="n">
        <v>1.945</v>
      </c>
      <c r="Q28" s="159">
        <f>K28-P28</f>
        <v/>
      </c>
      <c r="R28" s="157" t="n">
        <v>95.494</v>
      </c>
      <c r="S28" s="159">
        <f>(O28*T28)/100</f>
        <v/>
      </c>
      <c r="T28" s="157" t="n">
        <v>3.88</v>
      </c>
      <c r="U28" s="157" t="n">
        <v>30257.1</v>
      </c>
      <c r="V28" s="157" t="n">
        <v>29.11</v>
      </c>
      <c r="W28" s="159">
        <f>U28/V28</f>
        <v/>
      </c>
      <c r="X28" s="159">
        <f>(W28/U28)*100</f>
        <v/>
      </c>
      <c r="Y28" s="157" t="n">
        <v>9766.049999999999</v>
      </c>
      <c r="Z28" s="157" t="n">
        <v>28.9</v>
      </c>
      <c r="AA28" s="159">
        <f>Y28/Z28</f>
        <v/>
      </c>
      <c r="AB28" s="159">
        <f>(AA28/Y28)*100</f>
        <v/>
      </c>
    </row>
    <row r="29" ht="12.95" customHeight="1">
      <c r="A29" s="155" t="n">
        <v>28</v>
      </c>
      <c r="B29" s="156" t="n">
        <v>44602</v>
      </c>
      <c r="C29" s="157" t="n">
        <v>26799142.03</v>
      </c>
      <c r="D29" s="174">
        <f>C29/E29</f>
        <v/>
      </c>
      <c r="E29" s="157" t="n">
        <v>75.102</v>
      </c>
      <c r="F29" s="159">
        <f>D29/100000</f>
        <v/>
      </c>
      <c r="G29" s="159">
        <f>(F29/DataSheet!$C$9*100)</f>
        <v/>
      </c>
      <c r="H29" s="159">
        <f>K29/I29</f>
        <v/>
      </c>
      <c r="I29" s="159">
        <f>(J29/L29)*100</f>
        <v/>
      </c>
      <c r="J29" s="159">
        <f>L29/O29</f>
        <v/>
      </c>
      <c r="K29" s="157" t="n">
        <v>6.725</v>
      </c>
      <c r="L29" s="157" t="n">
        <v>17605.85</v>
      </c>
      <c r="M29" s="157" t="n">
        <v>4.44</v>
      </c>
      <c r="N29" s="159">
        <f>K29-I29</f>
        <v/>
      </c>
      <c r="O29" s="157" t="n">
        <v>22.98</v>
      </c>
      <c r="P29" s="157" t="n">
        <v>2.043</v>
      </c>
      <c r="Q29" s="159">
        <f>K29-P29</f>
        <v/>
      </c>
      <c r="R29" s="157" t="n">
        <v>95.548</v>
      </c>
      <c r="S29" s="159">
        <f>(O29*T29)/100</f>
        <v/>
      </c>
      <c r="T29" s="157" t="n">
        <v>3.76</v>
      </c>
      <c r="U29" s="157" t="n">
        <v>30343.45</v>
      </c>
      <c r="V29" s="157" t="n">
        <v>29.24</v>
      </c>
      <c r="W29" s="159">
        <f>U29/V29</f>
        <v/>
      </c>
      <c r="X29" s="159">
        <f>(W29/U29)*100</f>
        <v/>
      </c>
      <c r="Y29" s="157" t="n">
        <v>9781.049999999999</v>
      </c>
      <c r="Z29" s="157" t="n">
        <v>28.66</v>
      </c>
      <c r="AA29" s="159">
        <f>Y29/Z29</f>
        <v/>
      </c>
      <c r="AB29" s="159">
        <f>(AA29/Y29)*100</f>
        <v/>
      </c>
    </row>
    <row r="30" ht="12.95" customHeight="1">
      <c r="A30" s="155" t="n">
        <v>29</v>
      </c>
      <c r="B30" s="156" t="n">
        <v>44603</v>
      </c>
      <c r="C30" s="157" t="n">
        <v>26400831.79</v>
      </c>
      <c r="D30" s="174">
        <f>C30/E30</f>
        <v/>
      </c>
      <c r="E30" s="157" t="n">
        <v>75.348</v>
      </c>
      <c r="F30" s="159">
        <f>D30/100000</f>
        <v/>
      </c>
      <c r="G30" s="159">
        <f>(F30/DataSheet!$C$9*100)</f>
        <v/>
      </c>
      <c r="H30" s="159">
        <f>K30/I30</f>
        <v/>
      </c>
      <c r="I30" s="159">
        <f>(J30/L30)*100</f>
        <v/>
      </c>
      <c r="J30" s="159">
        <f>L30/O30</f>
        <v/>
      </c>
      <c r="K30" s="157" t="n">
        <v>6.698</v>
      </c>
      <c r="L30" s="157" t="n">
        <v>17374.75</v>
      </c>
      <c r="M30" s="157" t="n">
        <v>4.38</v>
      </c>
      <c r="N30" s="159">
        <f>K30-I30</f>
        <v/>
      </c>
      <c r="O30" s="157" t="n">
        <v>22.68</v>
      </c>
      <c r="P30" s="157" t="n">
        <v>1.918</v>
      </c>
      <c r="Q30" s="159">
        <f>K30-P30</f>
        <v/>
      </c>
      <c r="R30" s="157" t="n">
        <v>96.07299999999999</v>
      </c>
      <c r="S30" s="159">
        <f>(O30*T30)/100</f>
        <v/>
      </c>
      <c r="T30" s="157" t="n">
        <v>3.75</v>
      </c>
      <c r="U30" s="157" t="n">
        <v>29729.4</v>
      </c>
      <c r="V30" s="157" t="n">
        <v>28.53</v>
      </c>
      <c r="W30" s="159">
        <f>U30/V30</f>
        <v/>
      </c>
      <c r="X30" s="159">
        <f>(W30/U30)*100</f>
        <v/>
      </c>
      <c r="Y30" s="157" t="n">
        <v>9596.15</v>
      </c>
      <c r="Z30" s="157" t="n">
        <v>28.15</v>
      </c>
      <c r="AA30" s="159">
        <f>Y30/Z30</f>
        <v/>
      </c>
      <c r="AB30" s="159">
        <f>(AA30/Y30)*100</f>
        <v/>
      </c>
    </row>
    <row r="31" ht="12.95" customHeight="1">
      <c r="A31" s="155" t="n">
        <v>30</v>
      </c>
      <c r="B31" s="156" t="n">
        <v>44606</v>
      </c>
      <c r="C31" s="157" t="n">
        <v>25543624.91</v>
      </c>
      <c r="D31" s="174">
        <f>C31/E31</f>
        <v/>
      </c>
      <c r="E31" s="157" t="n">
        <v>75.68600000000001</v>
      </c>
      <c r="F31" s="159">
        <f>D31/100000</f>
        <v/>
      </c>
      <c r="G31" s="159">
        <f>(F31/DataSheet!$C$9*100)</f>
        <v/>
      </c>
      <c r="H31" s="159">
        <f>K31/I31</f>
        <v/>
      </c>
      <c r="I31" s="159">
        <f>(J31/L31)*100</f>
        <v/>
      </c>
      <c r="J31" s="159">
        <f>L31/O31</f>
        <v/>
      </c>
      <c r="K31" s="157" t="n">
        <v>6.667</v>
      </c>
      <c r="L31" s="157" t="n">
        <v>16842.8</v>
      </c>
      <c r="M31" s="157" t="n">
        <v>4.24</v>
      </c>
      <c r="N31" s="159">
        <f>K31-I31</f>
        <v/>
      </c>
      <c r="O31" s="157" t="n">
        <v>21.85</v>
      </c>
      <c r="P31" s="157" t="n">
        <v>1.986</v>
      </c>
      <c r="Q31" s="159">
        <f>K31-P31</f>
        <v/>
      </c>
      <c r="R31" s="157" t="n">
        <v>96.35599999999999</v>
      </c>
      <c r="S31" s="159">
        <f>(O31*T31)/100</f>
        <v/>
      </c>
      <c r="T31" s="157" t="n">
        <v>3.76</v>
      </c>
      <c r="U31" s="157" t="n">
        <v>28558.75</v>
      </c>
      <c r="V31" s="157" t="n">
        <v>27.37</v>
      </c>
      <c r="W31" s="159">
        <f>U31/V31</f>
        <v/>
      </c>
      <c r="X31" s="159">
        <f>(W31/U31)*100</f>
        <v/>
      </c>
      <c r="Y31" s="157" t="n">
        <v>9187.6</v>
      </c>
      <c r="Z31" s="157" t="n">
        <v>27.02</v>
      </c>
      <c r="AA31" s="159">
        <f>Y31/Z31</f>
        <v/>
      </c>
      <c r="AB31" s="159">
        <f>(AA31/Y31)*100</f>
        <v/>
      </c>
    </row>
    <row r="32" ht="12.95" customHeight="1">
      <c r="A32" s="155" t="n">
        <v>31</v>
      </c>
      <c r="B32" s="156" t="n">
        <v>44607</v>
      </c>
      <c r="C32" s="157" t="n">
        <v>26188470.05</v>
      </c>
      <c r="D32" s="174">
        <f>C32/E32</f>
        <v/>
      </c>
      <c r="E32" s="157" t="n">
        <v>75.17700000000001</v>
      </c>
      <c r="F32" s="159">
        <f>D32/100000</f>
        <v/>
      </c>
      <c r="G32" s="159">
        <f>(F32/DataSheet!$C$9*100)</f>
        <v/>
      </c>
      <c r="H32" s="159">
        <f>K32/I32</f>
        <v/>
      </c>
      <c r="I32" s="159">
        <f>(J32/L32)*100</f>
        <v/>
      </c>
      <c r="J32" s="159">
        <f>L32/O32</f>
        <v/>
      </c>
      <c r="K32" s="157" t="n">
        <v>6.673</v>
      </c>
      <c r="L32" s="157" t="n">
        <v>17352.45</v>
      </c>
      <c r="M32" s="157" t="n">
        <v>4.37</v>
      </c>
      <c r="N32" s="159">
        <f>K32-I32</f>
        <v/>
      </c>
      <c r="O32" s="157" t="n">
        <v>22.36</v>
      </c>
      <c r="P32" s="157" t="n">
        <v>2.043</v>
      </c>
      <c r="Q32" s="159">
        <f>K32-P32</f>
        <v/>
      </c>
      <c r="R32" s="157" t="n">
        <v>95.99299999999999</v>
      </c>
      <c r="S32" s="159">
        <f>(O32*T32)/100</f>
        <v/>
      </c>
      <c r="T32" s="157" t="n">
        <v>3.77</v>
      </c>
      <c r="U32" s="157" t="n">
        <v>29375.3</v>
      </c>
      <c r="V32" s="157" t="n">
        <v>27.82</v>
      </c>
      <c r="W32" s="159">
        <f>U32/V32</f>
        <v/>
      </c>
      <c r="X32" s="159">
        <f>(W32/U32)*100</f>
        <v/>
      </c>
      <c r="Y32" s="157" t="n">
        <v>9370.049999999999</v>
      </c>
      <c r="Z32" s="157" t="n">
        <v>27.13</v>
      </c>
      <c r="AA32" s="159">
        <f>Y32/Z32</f>
        <v/>
      </c>
      <c r="AB32" s="159">
        <f>(AA32/Y32)*100</f>
        <v/>
      </c>
    </row>
    <row r="33" ht="12.95" customHeight="1">
      <c r="A33" s="155" t="n">
        <v>32</v>
      </c>
      <c r="B33" s="156" t="n">
        <v>44608</v>
      </c>
      <c r="C33" s="157" t="n">
        <v>26224670.46</v>
      </c>
      <c r="D33" s="174">
        <f>C33/E33</f>
        <v/>
      </c>
      <c r="E33" s="157" t="n">
        <v>75.05</v>
      </c>
      <c r="F33" s="159">
        <f>D33/100000</f>
        <v/>
      </c>
      <c r="G33" s="159">
        <f>(F33/DataSheet!$C$9*100)</f>
        <v/>
      </c>
      <c r="H33" s="159">
        <f>K33/I33</f>
        <v/>
      </c>
      <c r="I33" s="159">
        <f>(J33/L33)*100</f>
        <v/>
      </c>
      <c r="J33" s="159">
        <f>L33/O33</f>
        <v/>
      </c>
      <c r="K33" s="157" t="n">
        <v>6.686</v>
      </c>
      <c r="L33" s="157" t="n">
        <v>17322.2</v>
      </c>
      <c r="M33" s="157" t="n">
        <v>4.36</v>
      </c>
      <c r="N33" s="159">
        <f>K33-I33</f>
        <v/>
      </c>
      <c r="O33" s="157" t="n">
        <v>22.27</v>
      </c>
      <c r="P33" s="157" t="n">
        <v>2.04</v>
      </c>
      <c r="Q33" s="159">
        <f>K33-P33</f>
        <v/>
      </c>
      <c r="R33" s="157" t="n">
        <v>95.697</v>
      </c>
      <c r="S33" s="159">
        <f>(O33*T33)/100</f>
        <v/>
      </c>
      <c r="T33" s="157" t="n">
        <v>3.73</v>
      </c>
      <c r="U33" s="157" t="n">
        <v>29289.95</v>
      </c>
      <c r="V33" s="157" t="n">
        <v>27.84</v>
      </c>
      <c r="W33" s="159">
        <f>U33/V33</f>
        <v/>
      </c>
      <c r="X33" s="159">
        <f>(W33/U33)*100</f>
        <v/>
      </c>
      <c r="Y33" s="157" t="n">
        <v>9440.799999999999</v>
      </c>
      <c r="Z33" s="157" t="n">
        <v>27.56</v>
      </c>
      <c r="AA33" s="159">
        <f>Y33/Z33</f>
        <v/>
      </c>
      <c r="AB33" s="159">
        <f>(AA33/Y33)*100</f>
        <v/>
      </c>
    </row>
    <row r="34" ht="12.95" customHeight="1">
      <c r="A34" s="155" t="n">
        <v>33</v>
      </c>
      <c r="B34" s="156" t="n">
        <v>44609</v>
      </c>
      <c r="C34" s="157" t="n">
        <v>26196516.79</v>
      </c>
      <c r="D34" s="174">
        <f>C34/E34</f>
        <v/>
      </c>
      <c r="E34" s="157" t="n">
        <v>75.105</v>
      </c>
      <c r="F34" s="159">
        <f>D34/100000</f>
        <v/>
      </c>
      <c r="G34" s="159">
        <f>(F34/DataSheet!$C$9*100)</f>
        <v/>
      </c>
      <c r="H34" s="159">
        <f>K34/I34</f>
        <v/>
      </c>
      <c r="I34" s="159">
        <f>(J34/L34)*100</f>
        <v/>
      </c>
      <c r="J34" s="159">
        <f>L34/O34</f>
        <v/>
      </c>
      <c r="K34" s="157" t="n">
        <v>6.674</v>
      </c>
      <c r="L34" s="157" t="n">
        <v>17304.6</v>
      </c>
      <c r="M34" s="157" t="n">
        <v>4.36</v>
      </c>
      <c r="N34" s="159">
        <f>K34-I34</f>
        <v/>
      </c>
      <c r="O34" s="157" t="n">
        <v>22.25</v>
      </c>
      <c r="P34" s="157" t="n">
        <v>1.968</v>
      </c>
      <c r="Q34" s="159">
        <f>K34-P34</f>
        <v/>
      </c>
      <c r="R34" s="157" t="n">
        <v>95.803</v>
      </c>
      <c r="S34" s="159">
        <f>(O34*T34)/100</f>
        <v/>
      </c>
      <c r="T34" s="157" t="n">
        <v>3.66</v>
      </c>
      <c r="U34" s="157" t="n">
        <v>29201.3</v>
      </c>
      <c r="V34" s="157" t="n">
        <v>27.79</v>
      </c>
      <c r="W34" s="159">
        <f>U34/V34</f>
        <v/>
      </c>
      <c r="X34" s="159">
        <f>(W34/U34)*100</f>
        <v/>
      </c>
      <c r="Y34" s="157" t="n">
        <v>9370.299999999999</v>
      </c>
      <c r="Z34" s="157" t="n">
        <v>27.52</v>
      </c>
      <c r="AA34" s="159">
        <f>Y34/Z34</f>
        <v/>
      </c>
      <c r="AB34" s="159">
        <f>(AA34/Y34)*100</f>
        <v/>
      </c>
    </row>
    <row r="35" ht="12.95" customHeight="1">
      <c r="A35" s="155" t="n">
        <v>34</v>
      </c>
      <c r="B35" s="156" t="n">
        <v>44610</v>
      </c>
      <c r="C35" s="157" t="n">
        <v>26053840.49</v>
      </c>
      <c r="D35" s="174">
        <f>C35/E35</f>
        <v/>
      </c>
      <c r="E35" s="157" t="n">
        <v>74.687</v>
      </c>
      <c r="F35" s="159">
        <f>D35/100000</f>
        <v/>
      </c>
      <c r="G35" s="159">
        <f>(F35/DataSheet!$C$9*100)</f>
        <v/>
      </c>
      <c r="H35" s="159">
        <f>K35/I35</f>
        <v/>
      </c>
      <c r="I35" s="159">
        <f>(J35/L35)*100</f>
        <v/>
      </c>
      <c r="J35" s="159">
        <f>L35/O35</f>
        <v/>
      </c>
      <c r="K35" s="157" t="n">
        <v>6.663</v>
      </c>
      <c r="L35" s="157" t="n">
        <v>17276.3</v>
      </c>
      <c r="M35" s="157" t="n">
        <v>4.35</v>
      </c>
      <c r="N35" s="159">
        <f>K35-I35</f>
        <v/>
      </c>
      <c r="O35" s="157" t="n">
        <v>22.21</v>
      </c>
      <c r="P35" s="157" t="n">
        <v>1.927</v>
      </c>
      <c r="Q35" s="159">
        <f>K35-P35</f>
        <v/>
      </c>
      <c r="R35" s="157" t="n">
        <v>96.02200000000001</v>
      </c>
      <c r="S35" s="159">
        <f>(O35*T35)/100</f>
        <v/>
      </c>
      <c r="T35" s="157" t="n">
        <v>3.72</v>
      </c>
      <c r="U35" s="157" t="n">
        <v>28934.35</v>
      </c>
      <c r="V35" s="157" t="n">
        <v>27.55</v>
      </c>
      <c r="W35" s="159">
        <f>U35/V35</f>
        <v/>
      </c>
      <c r="X35" s="159">
        <f>(W35/U35)*100</f>
        <v/>
      </c>
      <c r="Y35" s="157" t="n">
        <v>9293.549999999999</v>
      </c>
      <c r="Z35" s="157" t="n">
        <v>27.29</v>
      </c>
      <c r="AA35" s="159">
        <f>Y35/Z35</f>
        <v/>
      </c>
      <c r="AB35" s="159">
        <f>(AA35/Y35)*100</f>
        <v/>
      </c>
    </row>
    <row r="36" ht="12.95" customHeight="1">
      <c r="A36" s="155" t="n">
        <v>35</v>
      </c>
      <c r="B36" s="156" t="n">
        <v>44613</v>
      </c>
      <c r="C36" s="157" t="n">
        <v>25741781.36</v>
      </c>
      <c r="D36" s="174">
        <f>C36/E36</f>
        <v/>
      </c>
      <c r="E36" s="157" t="n">
        <v>74.524</v>
      </c>
      <c r="F36" s="159">
        <f>D36/100000</f>
        <v/>
      </c>
      <c r="G36" s="159">
        <f>(F36/DataSheet!$C$9*100)</f>
        <v/>
      </c>
      <c r="H36" s="159">
        <f>K36/I36</f>
        <v/>
      </c>
      <c r="I36" s="159">
        <f>(J36/L36)*100</f>
        <v/>
      </c>
      <c r="J36" s="159">
        <f>L36/O36</f>
        <v/>
      </c>
      <c r="K36" s="157" t="n">
        <v>6.693</v>
      </c>
      <c r="L36" s="157" t="n">
        <v>17206.65</v>
      </c>
      <c r="M36" s="157" t="n">
        <v>4.34</v>
      </c>
      <c r="N36" s="159">
        <f>K36-I36</f>
        <v/>
      </c>
      <c r="O36" s="157" t="n">
        <v>22.12</v>
      </c>
      <c r="P36" s="157" t="n">
        <v>1.873</v>
      </c>
      <c r="Q36" s="159">
        <f>K36-P36</f>
        <v/>
      </c>
      <c r="R36" s="157" t="n">
        <v>96.02</v>
      </c>
      <c r="S36" s="159">
        <f>(O36*T36)/100</f>
        <v/>
      </c>
      <c r="T36" s="157" t="n">
        <v>3.71</v>
      </c>
      <c r="U36" s="157" t="n">
        <v>28575.75</v>
      </c>
      <c r="V36" s="157" t="n">
        <v>27.23</v>
      </c>
      <c r="W36" s="159">
        <f>U36/V36</f>
        <v/>
      </c>
      <c r="X36" s="159">
        <f>(W36/U36)*100</f>
        <v/>
      </c>
      <c r="Y36" s="157" t="n">
        <v>9052.950000000001</v>
      </c>
      <c r="Z36" s="157" t="n">
        <v>26.59</v>
      </c>
      <c r="AA36" s="159">
        <f>Y36/Z36</f>
        <v/>
      </c>
      <c r="AB36" s="159">
        <f>(AA36/Y36)*100</f>
        <v/>
      </c>
    </row>
    <row r="37" ht="12.95" customHeight="1">
      <c r="A37" s="155" t="n">
        <v>36</v>
      </c>
      <c r="B37" s="156" t="n">
        <v>44614</v>
      </c>
      <c r="C37" s="157" t="n">
        <v>25483641.96</v>
      </c>
      <c r="D37" s="174">
        <f>C37/E37</f>
        <v/>
      </c>
      <c r="E37" s="157" t="n">
        <v>74.63</v>
      </c>
      <c r="F37" s="159">
        <f>D37/100000</f>
        <v/>
      </c>
      <c r="G37" s="159">
        <f>(F37/DataSheet!$C$9*100)</f>
        <v/>
      </c>
      <c r="H37" s="159">
        <f>K37/I37</f>
        <v/>
      </c>
      <c r="I37" s="159">
        <f>(J37/L37)*100</f>
        <v/>
      </c>
      <c r="J37" s="159">
        <f>L37/O37</f>
        <v/>
      </c>
      <c r="K37" s="157" t="n">
        <v>6.749</v>
      </c>
      <c r="L37" s="157" t="n">
        <v>17092.2</v>
      </c>
      <c r="M37" s="157" t="n">
        <v>4.31</v>
      </c>
      <c r="N37" s="159">
        <f>K37-I37</f>
        <v/>
      </c>
      <c r="O37" s="157" t="n">
        <v>21.97</v>
      </c>
      <c r="P37" s="157" t="n">
        <v>1.944</v>
      </c>
      <c r="Q37" s="159">
        <f>K37-P37</f>
        <v/>
      </c>
      <c r="R37" s="157" t="n">
        <v>96.011</v>
      </c>
      <c r="S37" s="159">
        <f>(O37*T37)/100</f>
        <v/>
      </c>
      <c r="T37" s="157" t="n">
        <v>3.72</v>
      </c>
      <c r="U37" s="157" t="n">
        <v>28284.9</v>
      </c>
      <c r="V37" s="157" t="n">
        <v>26.97</v>
      </c>
      <c r="W37" s="159">
        <f>U37/V37</f>
        <v/>
      </c>
      <c r="X37" s="159">
        <f>(W37/U37)*100</f>
        <v/>
      </c>
      <c r="Y37" s="157" t="n">
        <v>8877.549999999999</v>
      </c>
      <c r="Z37" s="157" t="n">
        <v>26.07</v>
      </c>
      <c r="AA37" s="159">
        <f>Y37/Z37</f>
        <v/>
      </c>
      <c r="AB37" s="159">
        <f>(AA37/Y37)*100</f>
        <v/>
      </c>
    </row>
    <row r="38" ht="12.95" customHeight="1">
      <c r="A38" s="155" t="n">
        <v>37</v>
      </c>
      <c r="B38" s="156" t="n">
        <v>44615</v>
      </c>
      <c r="C38" s="157" t="n">
        <v>25572583.22</v>
      </c>
      <c r="D38" s="174">
        <f>C38/E38</f>
        <v/>
      </c>
      <c r="E38" s="157" t="n">
        <v>74.64</v>
      </c>
      <c r="F38" s="159">
        <f>D38/100000</f>
        <v/>
      </c>
      <c r="G38" s="159">
        <f>(F38/DataSheet!$C$9*100)</f>
        <v/>
      </c>
      <c r="H38" s="159">
        <f>K38/I38</f>
        <v/>
      </c>
      <c r="I38" s="159">
        <f>(J38/L38)*100</f>
        <v/>
      </c>
      <c r="J38" s="159">
        <f>L38/O38</f>
        <v/>
      </c>
      <c r="K38" s="157" t="n">
        <v>6.739</v>
      </c>
      <c r="L38" s="157" t="n">
        <v>17063.25</v>
      </c>
      <c r="M38" s="157" t="n">
        <v>4.3</v>
      </c>
      <c r="N38" s="159">
        <f>K38-I38</f>
        <v/>
      </c>
      <c r="O38" s="157" t="n">
        <v>21.94</v>
      </c>
      <c r="P38" s="157" t="n">
        <v>1.998</v>
      </c>
      <c r="Q38" s="159">
        <f>K38-P38</f>
        <v/>
      </c>
      <c r="R38" s="157" t="n">
        <v>96.188</v>
      </c>
      <c r="S38" s="159">
        <f>(O38*T38)/100</f>
        <v/>
      </c>
      <c r="T38" s="157" t="n">
        <v>3.71</v>
      </c>
      <c r="U38" s="157" t="n">
        <v>28467</v>
      </c>
      <c r="V38" s="157" t="n">
        <v>27.07</v>
      </c>
      <c r="W38" s="159">
        <f>U38/V38</f>
        <v/>
      </c>
      <c r="X38" s="159">
        <f>(W38/U38)*100</f>
        <v/>
      </c>
      <c r="Y38" s="157" t="n">
        <v>8982.9</v>
      </c>
      <c r="Z38" s="157" t="n">
        <v>26.38</v>
      </c>
      <c r="AA38" s="159">
        <f>Y38/Z38</f>
        <v/>
      </c>
      <c r="AB38" s="159">
        <f>(AA38/Y38)*100</f>
        <v/>
      </c>
    </row>
    <row r="39" ht="12.95" customHeight="1">
      <c r="A39" s="155" t="n">
        <v>38</v>
      </c>
      <c r="B39" s="156" t="n">
        <v>44616</v>
      </c>
      <c r="C39" s="157" t="n">
        <v>24229385.4</v>
      </c>
      <c r="D39" s="174">
        <f>C39/E39</f>
        <v/>
      </c>
      <c r="E39" s="157" t="n">
        <v>75.61499999999999</v>
      </c>
      <c r="F39" s="159">
        <f>D39/100000</f>
        <v/>
      </c>
      <c r="G39" s="159">
        <f>(F39/DataSheet!$C$9*100)</f>
        <v/>
      </c>
      <c r="H39" s="159">
        <f>K39/I39</f>
        <v/>
      </c>
      <c r="I39" s="159">
        <f>(J39/L39)*100</f>
        <v/>
      </c>
      <c r="J39" s="159">
        <f>L39/O39</f>
        <v/>
      </c>
      <c r="K39" s="157" t="n">
        <v>6.759</v>
      </c>
      <c r="L39" s="157" t="n">
        <v>16247.95</v>
      </c>
      <c r="M39" s="157" t="n">
        <v>4.09</v>
      </c>
      <c r="N39" s="159">
        <f>K39-I39</f>
        <v/>
      </c>
      <c r="O39" s="157" t="n">
        <v>20.89</v>
      </c>
      <c r="P39" s="157" t="n">
        <v>1.97</v>
      </c>
      <c r="Q39" s="159">
        <f>K39-P39</f>
        <v/>
      </c>
      <c r="R39" s="157" t="n">
        <v>97.11799999999999</v>
      </c>
      <c r="S39" s="159">
        <f>(O39*T39)/100</f>
        <v/>
      </c>
      <c r="T39" s="157" t="n">
        <v>3.74</v>
      </c>
      <c r="U39" s="157" t="n">
        <v>26832.65</v>
      </c>
      <c r="V39" s="157" t="n">
        <v>25.61</v>
      </c>
      <c r="W39" s="159">
        <f>U39/V39</f>
        <v/>
      </c>
      <c r="X39" s="159">
        <f>(W39/U39)*100</f>
        <v/>
      </c>
      <c r="Y39" s="157" t="n">
        <v>8454.950000000001</v>
      </c>
      <c r="Z39" s="157" t="n">
        <v>24.84</v>
      </c>
      <c r="AA39" s="159">
        <f>Y39/Z39</f>
        <v/>
      </c>
      <c r="AB39" s="159">
        <f>(AA39/Y39)*100</f>
        <v/>
      </c>
    </row>
    <row r="40" ht="12.95" customHeight="1">
      <c r="A40" s="155" t="n">
        <v>39</v>
      </c>
      <c r="B40" s="156" t="n">
        <v>44617</v>
      </c>
      <c r="C40" s="157" t="n">
        <v>25001482.48</v>
      </c>
      <c r="D40" s="174">
        <f>C40/E40</f>
        <v/>
      </c>
      <c r="E40" s="157" t="n">
        <v>75.075</v>
      </c>
      <c r="F40" s="159">
        <f>D40/100000</f>
        <v/>
      </c>
      <c r="G40" s="159">
        <f>(F40/DataSheet!$C$9*100)</f>
        <v/>
      </c>
      <c r="H40" s="159">
        <f>K40/I40</f>
        <v/>
      </c>
      <c r="I40" s="159">
        <f>(J40/L40)*100</f>
        <v/>
      </c>
      <c r="J40" s="159">
        <f>L40/O40</f>
        <v/>
      </c>
      <c r="K40" s="157" t="n">
        <v>6.749</v>
      </c>
      <c r="L40" s="157" t="n">
        <v>16658.4</v>
      </c>
      <c r="M40" s="157" t="n">
        <v>4.2</v>
      </c>
      <c r="N40" s="159">
        <f>K40-I40</f>
        <v/>
      </c>
      <c r="O40" s="157" t="n">
        <v>21.42</v>
      </c>
      <c r="P40" s="157" t="n">
        <v>1.97</v>
      </c>
      <c r="Q40" s="159">
        <f>K40-P40</f>
        <v/>
      </c>
      <c r="R40" s="157" t="n">
        <v>96.619</v>
      </c>
      <c r="S40" s="159">
        <f>(O40*T40)/100</f>
        <v/>
      </c>
      <c r="T40" s="157" t="n">
        <v>3.74</v>
      </c>
      <c r="U40" s="157" t="n">
        <v>27953.3</v>
      </c>
      <c r="V40" s="157" t="n">
        <v>26.61</v>
      </c>
      <c r="W40" s="159">
        <f>U40/V40</f>
        <v/>
      </c>
      <c r="X40" s="159">
        <f>(W40/U40)*100</f>
        <v/>
      </c>
      <c r="Y40" s="157" t="n">
        <v>8815.200000000001</v>
      </c>
      <c r="Z40" s="157" t="n">
        <v>25.89</v>
      </c>
      <c r="AA40" s="159">
        <f>Y40/Z40</f>
        <v/>
      </c>
      <c r="AB40" s="159">
        <f>(AA40/Y40)*100</f>
        <v/>
      </c>
    </row>
    <row r="41" ht="12.95" customHeight="1">
      <c r="A41" s="155" t="n">
        <v>40</v>
      </c>
      <c r="B41" s="156" t="n">
        <v>44620</v>
      </c>
      <c r="C41" s="157" t="n">
        <v>25238889.67</v>
      </c>
      <c r="D41" s="174">
        <f>C41/E41</f>
        <v/>
      </c>
      <c r="E41" s="157" t="n">
        <v>75.52</v>
      </c>
      <c r="F41" s="159">
        <f>D41/100000</f>
        <v/>
      </c>
      <c r="G41" s="159">
        <f>(F41/DataSheet!$C$9*100)</f>
        <v/>
      </c>
      <c r="H41" s="159">
        <f>K41/I41</f>
        <v/>
      </c>
      <c r="I41" s="159">
        <f>(J41/L41)*100</f>
        <v/>
      </c>
      <c r="J41" s="159">
        <f>L41/O41</f>
        <v/>
      </c>
      <c r="K41" s="157" t="n">
        <v>6.77</v>
      </c>
      <c r="L41" s="157" t="n">
        <v>16793.9</v>
      </c>
      <c r="M41" s="157" t="n">
        <v>4.23</v>
      </c>
      <c r="N41" s="159">
        <f>K41-I41</f>
        <v/>
      </c>
      <c r="O41" s="157" t="n">
        <v>21.59</v>
      </c>
      <c r="P41" s="157" t="n">
        <v>1.822</v>
      </c>
      <c r="Q41" s="159">
        <f>K41-P41</f>
        <v/>
      </c>
      <c r="R41" s="157" t="n">
        <v>96.694</v>
      </c>
      <c r="S41" s="159">
        <f>(O41*T41)/100</f>
        <v/>
      </c>
      <c r="T41" s="157" t="n">
        <v>3.73</v>
      </c>
      <c r="U41" s="157" t="n">
        <v>28223.45</v>
      </c>
      <c r="V41" s="157" t="n">
        <v>26.83</v>
      </c>
      <c r="W41" s="159">
        <f>U41/V41</f>
        <v/>
      </c>
      <c r="X41" s="159">
        <f>(W41/U41)*100</f>
        <v/>
      </c>
      <c r="Y41" s="157" t="n">
        <v>8887.65</v>
      </c>
      <c r="Z41" s="157" t="n">
        <v>26.16</v>
      </c>
      <c r="AA41" s="159">
        <f>Y41/Z41</f>
        <v/>
      </c>
      <c r="AB41" s="159">
        <f>(AA41/Y41)*100</f>
        <v/>
      </c>
    </row>
    <row r="42" ht="12.95" customHeight="1">
      <c r="A42" s="155" t="n">
        <v>41</v>
      </c>
      <c r="B42" s="156" t="n">
        <v>44622</v>
      </c>
      <c r="C42" s="157" t="n">
        <v>25159755.27</v>
      </c>
      <c r="D42" s="174">
        <f>C42/E42</f>
        <v/>
      </c>
      <c r="E42" s="157" t="n">
        <v>75.782</v>
      </c>
      <c r="F42" s="159">
        <f>D42/100000</f>
        <v/>
      </c>
      <c r="G42" s="159">
        <f>(F42/DataSheet!$C$9*100)</f>
        <v/>
      </c>
      <c r="H42" s="159">
        <f>K42/I42</f>
        <v/>
      </c>
      <c r="I42" s="159">
        <f>(J42/L42)*100</f>
        <v/>
      </c>
      <c r="J42" s="159">
        <f>L42/O42</f>
        <v/>
      </c>
      <c r="K42" s="157" t="n">
        <v>6.814</v>
      </c>
      <c r="L42" s="157" t="n">
        <v>16605.95</v>
      </c>
      <c r="M42" s="157" t="n">
        <v>4.18</v>
      </c>
      <c r="N42" s="159">
        <f>K42-I42</f>
        <v/>
      </c>
      <c r="O42" s="157" t="n">
        <v>21.35</v>
      </c>
      <c r="P42" s="157" t="n">
        <v>1.878</v>
      </c>
      <c r="Q42" s="159">
        <f>K42-P42</f>
        <v/>
      </c>
      <c r="R42" s="157" t="n">
        <v>97.414</v>
      </c>
      <c r="S42" s="159">
        <f>(O42*T42)/100</f>
        <v/>
      </c>
      <c r="T42" s="157" t="n">
        <v>3.78</v>
      </c>
      <c r="U42" s="157" t="n">
        <v>28217.1</v>
      </c>
      <c r="V42" s="157" t="n">
        <v>26.77</v>
      </c>
      <c r="W42" s="159">
        <f>U42/V42</f>
        <v/>
      </c>
      <c r="X42" s="159">
        <f>(W42/U42)*100</f>
        <v/>
      </c>
      <c r="Y42" s="157" t="n">
        <v>8911.1</v>
      </c>
      <c r="Z42" s="157" t="n">
        <v>26.43</v>
      </c>
      <c r="AA42" s="159">
        <f>Y42/Z42</f>
        <v/>
      </c>
      <c r="AB42" s="159">
        <f>(AA42/Y42)*100</f>
        <v/>
      </c>
    </row>
    <row r="43" ht="12.95" customHeight="1">
      <c r="A43" s="155" t="n">
        <v>42</v>
      </c>
      <c r="B43" s="156" t="n">
        <v>44623</v>
      </c>
      <c r="C43" s="157" t="n">
        <v>25113773.86</v>
      </c>
      <c r="D43" s="174">
        <f>C43/E43</f>
        <v/>
      </c>
      <c r="E43" s="157" t="n">
        <v>75.971</v>
      </c>
      <c r="F43" s="159">
        <f>D43/100000</f>
        <v/>
      </c>
      <c r="G43" s="159">
        <f>(F43/DataSheet!$C$9*100)</f>
        <v/>
      </c>
      <c r="H43" s="159">
        <f>K43/I43</f>
        <v/>
      </c>
      <c r="I43" s="159">
        <f>(J43/L43)*100</f>
        <v/>
      </c>
      <c r="J43" s="159">
        <f>L43/O43</f>
        <v/>
      </c>
      <c r="K43" s="157" t="n">
        <v>6.826</v>
      </c>
      <c r="L43" s="157" t="n">
        <v>16498.05</v>
      </c>
      <c r="M43" s="157" t="n">
        <v>4.16</v>
      </c>
      <c r="N43" s="159">
        <f>K43-I43</f>
        <v/>
      </c>
      <c r="O43" s="157" t="n">
        <v>21.21</v>
      </c>
      <c r="P43" s="157" t="n">
        <v>1.84</v>
      </c>
      <c r="Q43" s="159">
        <f>K43-P43</f>
        <v/>
      </c>
      <c r="R43" s="157" t="n">
        <v>97.791</v>
      </c>
      <c r="S43" s="159">
        <f>(O43*T43)/100</f>
        <v/>
      </c>
      <c r="T43" s="157" t="n">
        <v>3.79</v>
      </c>
      <c r="U43" s="157" t="n">
        <v>28102.9</v>
      </c>
      <c r="V43" s="157" t="n">
        <v>26.7</v>
      </c>
      <c r="W43" s="159">
        <f>U43/V43</f>
        <v/>
      </c>
      <c r="X43" s="159">
        <f>(W43/U43)*100</f>
        <v/>
      </c>
      <c r="Y43" s="157" t="n">
        <v>8945.299999999999</v>
      </c>
      <c r="Z43" s="157" t="n">
        <v>26.53</v>
      </c>
      <c r="AA43" s="159">
        <f>Y43/Z43</f>
        <v/>
      </c>
      <c r="AB43" s="159">
        <f>(AA43/Y43)*100</f>
        <v/>
      </c>
    </row>
    <row r="44" ht="12.95" customHeight="1">
      <c r="A44" s="155" t="n">
        <v>43</v>
      </c>
      <c r="B44" s="156" t="n">
        <v>44624</v>
      </c>
      <c r="C44" s="157" t="n">
        <v>24683626.32</v>
      </c>
      <c r="D44" s="174">
        <f>C44/E44</f>
        <v/>
      </c>
      <c r="E44" s="157" t="n">
        <v>76.425</v>
      </c>
      <c r="F44" s="159">
        <f>D44/100000</f>
        <v/>
      </c>
      <c r="G44" s="159">
        <f>(F44/DataSheet!$C$9*100)</f>
        <v/>
      </c>
      <c r="H44" s="159">
        <f>K44/I44</f>
        <v/>
      </c>
      <c r="I44" s="159">
        <f>(J44/L44)*100</f>
        <v/>
      </c>
      <c r="J44" s="159">
        <f>L44/O44</f>
        <v/>
      </c>
      <c r="K44" s="157" t="n">
        <v>6.813</v>
      </c>
      <c r="L44" s="157" t="n">
        <v>16245.35</v>
      </c>
      <c r="M44" s="157" t="n">
        <v>4.09</v>
      </c>
      <c r="N44" s="159">
        <f>K44-I44</f>
        <v/>
      </c>
      <c r="O44" s="157" t="n">
        <v>20.89</v>
      </c>
      <c r="P44" s="157" t="n">
        <v>1.737</v>
      </c>
      <c r="Q44" s="159">
        <f>K44-P44</f>
        <v/>
      </c>
      <c r="R44" s="157" t="n">
        <v>98.67100000000001</v>
      </c>
      <c r="S44" s="159">
        <f>(O44*T44)/100</f>
        <v/>
      </c>
      <c r="T44" s="157" t="n">
        <v>3.8</v>
      </c>
      <c r="U44" s="157" t="n">
        <v>27517.1</v>
      </c>
      <c r="V44" s="157" t="n">
        <v>26.15</v>
      </c>
      <c r="W44" s="159">
        <f>U44/V44</f>
        <v/>
      </c>
      <c r="X44" s="159">
        <f>(W44/U44)*100</f>
        <v/>
      </c>
      <c r="Y44" s="157" t="n">
        <v>8804.1</v>
      </c>
      <c r="Z44" s="157" t="n">
        <v>26.11</v>
      </c>
      <c r="AA44" s="159">
        <f>Y44/Z44</f>
        <v/>
      </c>
      <c r="AB44" s="159">
        <f>(AA44/Y44)*100</f>
        <v/>
      </c>
    </row>
    <row r="45" ht="12.95" customHeight="1">
      <c r="A45" s="155" t="n">
        <v>44</v>
      </c>
      <c r="B45" s="156" t="n">
        <v>44627</v>
      </c>
      <c r="C45" s="157" t="n">
        <v>24112172.19</v>
      </c>
      <c r="D45" s="174">
        <f>C45/E45</f>
        <v/>
      </c>
      <c r="E45" s="157" t="n">
        <v>76.97499999999999</v>
      </c>
      <c r="F45" s="159">
        <f>D45/100000</f>
        <v/>
      </c>
      <c r="G45" s="159">
        <f>(F45/DataSheet!$C$9*100)</f>
        <v/>
      </c>
      <c r="H45" s="159">
        <f>K45/I45</f>
        <v/>
      </c>
      <c r="I45" s="159">
        <f>(J45/L45)*100</f>
        <v/>
      </c>
      <c r="J45" s="159">
        <f>L45/O45</f>
        <v/>
      </c>
      <c r="K45" s="157" t="n">
        <v>6.888</v>
      </c>
      <c r="L45" s="157" t="n">
        <v>15863.15</v>
      </c>
      <c r="M45" s="157" t="n">
        <v>4</v>
      </c>
      <c r="N45" s="159">
        <f>K45-I45</f>
        <v/>
      </c>
      <c r="O45" s="157" t="n">
        <v>20.39</v>
      </c>
      <c r="P45" s="157" t="n">
        <v>1.777</v>
      </c>
      <c r="Q45" s="159">
        <f>K45-P45</f>
        <v/>
      </c>
      <c r="R45" s="157" t="n">
        <v>99.295</v>
      </c>
      <c r="S45" s="159">
        <f>(O45*T45)/100</f>
        <v/>
      </c>
      <c r="T45" s="157" t="n">
        <v>3.83</v>
      </c>
      <c r="U45" s="157" t="n">
        <v>26865.9</v>
      </c>
      <c r="V45" s="157" t="n">
        <v>25.58</v>
      </c>
      <c r="W45" s="159">
        <f>U45/V45</f>
        <v/>
      </c>
      <c r="X45" s="159">
        <f>(W45/U45)*100</f>
        <v/>
      </c>
      <c r="Y45" s="157" t="n">
        <v>8599.35</v>
      </c>
      <c r="Z45" s="157" t="n">
        <v>25.51</v>
      </c>
      <c r="AA45" s="159">
        <f>Y45/Z45</f>
        <v/>
      </c>
      <c r="AB45" s="159">
        <f>(AA45/Y45)*100</f>
        <v/>
      </c>
    </row>
    <row r="46" ht="12.95" customHeight="1">
      <c r="A46" s="155" t="n">
        <v>45</v>
      </c>
      <c r="B46" s="156" t="n">
        <v>44628</v>
      </c>
      <c r="C46" s="157" t="n">
        <v>24371987.02</v>
      </c>
      <c r="D46" s="174">
        <f>C46/E46</f>
        <v/>
      </c>
      <c r="E46" s="157" t="n">
        <v>76.905</v>
      </c>
      <c r="F46" s="159">
        <f>D46/100000</f>
        <v/>
      </c>
      <c r="G46" s="159">
        <f>(F46/DataSheet!$C$9*100)</f>
        <v/>
      </c>
      <c r="H46" s="159">
        <f>K46/I46</f>
        <v/>
      </c>
      <c r="I46" s="159">
        <f>(J46/L46)*100</f>
        <v/>
      </c>
      <c r="J46" s="159">
        <f>L46/O46</f>
        <v/>
      </c>
      <c r="K46" s="157" t="n">
        <v>6.895</v>
      </c>
      <c r="L46" s="157" t="n">
        <v>16013.45</v>
      </c>
      <c r="M46" s="157" t="n">
        <v>4.03</v>
      </c>
      <c r="N46" s="159">
        <f>K46-I46</f>
        <v/>
      </c>
      <c r="O46" s="157" t="n">
        <v>20.59</v>
      </c>
      <c r="P46" s="157" t="n">
        <v>1.84</v>
      </c>
      <c r="Q46" s="159">
        <f>K46-P46</f>
        <v/>
      </c>
      <c r="R46" s="157" t="n">
        <v>99.08</v>
      </c>
      <c r="S46" s="159">
        <f>(O46*T46)/100</f>
        <v/>
      </c>
      <c r="T46" s="157" t="n">
        <v>3.84</v>
      </c>
      <c r="U46" s="157" t="n">
        <v>27198.55</v>
      </c>
      <c r="V46" s="157" t="n">
        <v>25.85</v>
      </c>
      <c r="W46" s="159">
        <f>U46/V46</f>
        <v/>
      </c>
      <c r="X46" s="159">
        <f>(W46/U46)*100</f>
        <v/>
      </c>
      <c r="Y46" s="157" t="n">
        <v>8717.049999999999</v>
      </c>
      <c r="Z46" s="157" t="n">
        <v>25.86</v>
      </c>
      <c r="AA46" s="159">
        <f>Y46/Z46</f>
        <v/>
      </c>
      <c r="AB46" s="159">
        <f>(AA46/Y46)*100</f>
        <v/>
      </c>
    </row>
    <row r="47" ht="12.95" customHeight="1">
      <c r="A47" s="155" t="n">
        <v>46</v>
      </c>
      <c r="B47" s="156" t="n">
        <v>44629</v>
      </c>
      <c r="C47" s="157" t="n">
        <v>24839544.84</v>
      </c>
      <c r="D47" s="174">
        <f>C47/E47</f>
        <v/>
      </c>
      <c r="E47" s="157" t="n">
        <v>76.38200000000001</v>
      </c>
      <c r="F47" s="159">
        <f>D47/100000</f>
        <v/>
      </c>
      <c r="G47" s="159">
        <f>(F47/DataSheet!$C$9*100)</f>
        <v/>
      </c>
      <c r="H47" s="159">
        <f>K47/I47</f>
        <v/>
      </c>
      <c r="I47" s="159">
        <f>(J47/L47)*100</f>
        <v/>
      </c>
      <c r="J47" s="159">
        <f>L47/O47</f>
        <v/>
      </c>
      <c r="K47" s="157" t="n">
        <v>6.845</v>
      </c>
      <c r="L47" s="157" t="n">
        <v>16345.35</v>
      </c>
      <c r="M47" s="157" t="n">
        <v>4.12</v>
      </c>
      <c r="N47" s="159">
        <f>K47-I47</f>
        <v/>
      </c>
      <c r="O47" s="157" t="n">
        <v>21.01</v>
      </c>
      <c r="P47" s="157" t="n">
        <v>1.951</v>
      </c>
      <c r="Q47" s="159">
        <f>K47-P47</f>
        <v/>
      </c>
      <c r="R47" s="157" t="n">
        <v>97.953</v>
      </c>
      <c r="S47" s="159">
        <f>(O47*T47)/100</f>
        <v/>
      </c>
      <c r="T47" s="157" t="n">
        <v>3.78</v>
      </c>
      <c r="U47" s="157" t="n">
        <v>27785.5</v>
      </c>
      <c r="V47" s="157" t="n">
        <v>26.37</v>
      </c>
      <c r="W47" s="159">
        <f>U47/V47</f>
        <v/>
      </c>
      <c r="X47" s="159">
        <f>(W47/U47)*100</f>
        <v/>
      </c>
      <c r="Y47" s="157" t="n">
        <v>8899.85</v>
      </c>
      <c r="Z47" s="157" t="n">
        <v>26.41</v>
      </c>
      <c r="AA47" s="159">
        <f>Y47/Z47</f>
        <v/>
      </c>
      <c r="AB47" s="159">
        <f>(AA47/Y47)*100</f>
        <v/>
      </c>
    </row>
    <row r="48" ht="12.95" customHeight="1">
      <c r="A48" s="155" t="n">
        <v>47</v>
      </c>
      <c r="B48" s="156" t="n">
        <v>44630</v>
      </c>
      <c r="C48" s="157" t="n">
        <v>25206243.15</v>
      </c>
      <c r="D48" s="174">
        <f>C48/E48</f>
        <v/>
      </c>
      <c r="E48" s="157" t="n">
        <v>76.31</v>
      </c>
      <c r="F48" s="159">
        <f>D48/100000</f>
        <v/>
      </c>
      <c r="G48" s="159">
        <f>(F48/DataSheet!$C$9*100)</f>
        <v/>
      </c>
      <c r="H48" s="159">
        <f>K48/I48</f>
        <v/>
      </c>
      <c r="I48" s="159">
        <f>(J48/L48)*100</f>
        <v/>
      </c>
      <c r="J48" s="159">
        <f>L48/O48</f>
        <v/>
      </c>
      <c r="K48" s="157" t="n">
        <v>6.809</v>
      </c>
      <c r="L48" s="157" t="n">
        <v>16594.9</v>
      </c>
      <c r="M48" s="157" t="n">
        <v>4.18</v>
      </c>
      <c r="N48" s="159">
        <f>K48-I48</f>
        <v/>
      </c>
      <c r="O48" s="157" t="n">
        <v>21.34</v>
      </c>
      <c r="P48" s="157" t="n">
        <v>1.993</v>
      </c>
      <c r="Q48" s="159">
        <f>K48-P48</f>
        <v/>
      </c>
      <c r="R48" s="157" t="n">
        <v>98.504</v>
      </c>
      <c r="S48" s="159">
        <f>(O48*T48)/100</f>
        <v/>
      </c>
      <c r="T48" s="157" t="n">
        <v>3.84</v>
      </c>
      <c r="U48" s="157" t="n">
        <v>28038.7</v>
      </c>
      <c r="V48" s="157" t="n">
        <v>26.65</v>
      </c>
      <c r="W48" s="159">
        <f>U48/V48</f>
        <v/>
      </c>
      <c r="X48" s="159">
        <f>(W48/U48)*100</f>
        <v/>
      </c>
      <c r="Y48" s="157" t="n">
        <v>9025.4</v>
      </c>
      <c r="Z48" s="157" t="n">
        <v>26.78</v>
      </c>
      <c r="AA48" s="159">
        <f>Y48/Z48</f>
        <v/>
      </c>
      <c r="AB48" s="159">
        <f>(AA48/Y48)*100</f>
        <v/>
      </c>
    </row>
    <row r="49" ht="12.95" customHeight="1">
      <c r="A49" s="155" t="n">
        <v>48</v>
      </c>
      <c r="B49" s="156" t="n">
        <v>44631</v>
      </c>
      <c r="C49" s="157" t="n">
        <v>25295547.47</v>
      </c>
      <c r="D49" s="174">
        <f>C49/E49</f>
        <v/>
      </c>
      <c r="E49" s="157" t="n">
        <v>76.511</v>
      </c>
      <c r="F49" s="159">
        <f>D49/100000</f>
        <v/>
      </c>
      <c r="G49" s="159">
        <f>(F49/DataSheet!$C$9*100)</f>
        <v/>
      </c>
      <c r="H49" s="159">
        <f>K49/I49</f>
        <v/>
      </c>
      <c r="I49" s="159">
        <f>(J49/L49)*100</f>
        <v/>
      </c>
      <c r="J49" s="159">
        <f>L49/O49</f>
        <v/>
      </c>
      <c r="K49" s="157" t="n">
        <v>6.855</v>
      </c>
      <c r="L49" s="157" t="n">
        <v>16630.45</v>
      </c>
      <c r="M49" s="157" t="n">
        <v>4.19</v>
      </c>
      <c r="N49" s="159">
        <f>K49-I49</f>
        <v/>
      </c>
      <c r="O49" s="157" t="n">
        <v>21.38</v>
      </c>
      <c r="P49" s="157" t="n">
        <v>1.997</v>
      </c>
      <c r="Q49" s="159">
        <f>K49-P49</f>
        <v/>
      </c>
      <c r="R49" s="157" t="n">
        <v>99.13</v>
      </c>
      <c r="S49" s="159">
        <f>(O49*T49)/100</f>
        <v/>
      </c>
      <c r="T49" s="157" t="n">
        <v>3.83</v>
      </c>
      <c r="U49" s="157" t="n">
        <v>28210.35</v>
      </c>
      <c r="V49" s="157" t="n">
        <v>26.79</v>
      </c>
      <c r="W49" s="159">
        <f>U49/V49</f>
        <v/>
      </c>
      <c r="X49" s="159">
        <f>(W49/U49)*100</f>
        <v/>
      </c>
      <c r="Y49" s="157" t="n">
        <v>9105.9</v>
      </c>
      <c r="Z49" s="157" t="n">
        <v>27.02</v>
      </c>
      <c r="AA49" s="159">
        <f>Y49/Z49</f>
        <v/>
      </c>
      <c r="AB49" s="159">
        <f>(AA49/Y49)*100</f>
        <v/>
      </c>
    </row>
    <row r="50" ht="12.95" customHeight="1">
      <c r="A50" s="155" t="n">
        <v>49</v>
      </c>
      <c r="B50" s="156" t="n">
        <v>44634</v>
      </c>
      <c r="C50" s="157" t="n">
        <v>25437260.25</v>
      </c>
      <c r="D50" s="174">
        <f>C50/E50</f>
        <v/>
      </c>
      <c r="E50" s="157" t="n">
        <v>76.45</v>
      </c>
      <c r="F50" s="159">
        <f>D50/100000</f>
        <v/>
      </c>
      <c r="G50" s="159">
        <f>(F50/DataSheet!$C$9*100)</f>
        <v/>
      </c>
      <c r="H50" s="159">
        <f>K50/I50</f>
        <v/>
      </c>
      <c r="I50" s="159">
        <f>(J50/L50)*100</f>
        <v/>
      </c>
      <c r="J50" s="159">
        <f>L50/O50</f>
        <v/>
      </c>
      <c r="K50" s="157" t="n">
        <v>6.854</v>
      </c>
      <c r="L50" s="157" t="n">
        <v>16871.3</v>
      </c>
      <c r="M50" s="157" t="n">
        <v>4.25</v>
      </c>
      <c r="N50" s="159">
        <f>K50-I50</f>
        <v/>
      </c>
      <c r="O50" s="157" t="n">
        <v>21.69</v>
      </c>
      <c r="P50" s="157" t="n">
        <v>2.142</v>
      </c>
      <c r="Q50" s="159">
        <f>K50-P50</f>
        <v/>
      </c>
      <c r="R50" s="157" t="n">
        <v>98.879</v>
      </c>
      <c r="S50" s="159">
        <f>(O50*T50)/100</f>
        <v/>
      </c>
      <c r="T50" s="157" t="n">
        <v>3.83</v>
      </c>
      <c r="U50" s="157" t="n">
        <v>28267.5</v>
      </c>
      <c r="V50" s="157" t="n">
        <v>26.83</v>
      </c>
      <c r="W50" s="159">
        <f>U50/V50</f>
        <v/>
      </c>
      <c r="X50" s="159">
        <f>(W50/U50)*100</f>
        <v/>
      </c>
      <c r="Y50" s="157" t="n">
        <v>9143.549999999999</v>
      </c>
      <c r="Z50" s="157" t="n">
        <v>27.13</v>
      </c>
      <c r="AA50" s="159">
        <f>Y50/Z50</f>
        <v/>
      </c>
      <c r="AB50" s="159">
        <f>(AA50/Y50)*100</f>
        <v/>
      </c>
    </row>
    <row r="51" ht="12.95" customHeight="1">
      <c r="A51" s="155" t="n">
        <v>50</v>
      </c>
      <c r="B51" s="156" t="n">
        <v>44635</v>
      </c>
      <c r="C51" s="157" t="n">
        <v>25182337.58</v>
      </c>
      <c r="D51" s="174">
        <f>C51/E51</f>
        <v/>
      </c>
      <c r="E51" s="157" t="n">
        <v>76.42</v>
      </c>
      <c r="F51" s="159">
        <f>D51/100000</f>
        <v/>
      </c>
      <c r="G51" s="159">
        <f>(F51/DataSheet!$C$9*100)</f>
        <v/>
      </c>
      <c r="H51" s="159">
        <f>K51/I51</f>
        <v/>
      </c>
      <c r="I51" s="159">
        <f>(J51/L51)*100</f>
        <v/>
      </c>
      <c r="J51" s="159">
        <f>L51/O51</f>
        <v/>
      </c>
      <c r="K51" s="157" t="n">
        <v>6.821</v>
      </c>
      <c r="L51" s="157" t="n">
        <v>16663</v>
      </c>
      <c r="M51" s="157" t="n">
        <v>4.2</v>
      </c>
      <c r="N51" s="159">
        <f>K51-I51</f>
        <v/>
      </c>
      <c r="O51" s="157" t="n">
        <v>21.42</v>
      </c>
      <c r="P51" s="157" t="n">
        <v>2.149</v>
      </c>
      <c r="Q51" s="159">
        <f>K51-P51</f>
        <v/>
      </c>
      <c r="R51" s="157" t="n">
        <v>99.06399999999999</v>
      </c>
      <c r="S51" s="159">
        <f>(O51*T51)/100</f>
        <v/>
      </c>
      <c r="T51" s="157" t="n">
        <v>3.8</v>
      </c>
      <c r="U51" s="157" t="n">
        <v>28021.35</v>
      </c>
      <c r="V51" s="157" t="n">
        <v>26.61</v>
      </c>
      <c r="W51" s="159">
        <f>U51/V51</f>
        <v/>
      </c>
      <c r="X51" s="159">
        <f>(W51/U51)*100</f>
        <v/>
      </c>
      <c r="Y51" s="157" t="n">
        <v>9067.950000000001</v>
      </c>
      <c r="Z51" s="157" t="n">
        <v>26.91</v>
      </c>
      <c r="AA51" s="159">
        <f>Y51/Z51</f>
        <v/>
      </c>
      <c r="AB51" s="159">
        <f>(AA51/Y51)*100</f>
        <v/>
      </c>
    </row>
    <row r="52" ht="12.95" customHeight="1">
      <c r="A52" s="155" t="n">
        <v>51</v>
      </c>
      <c r="B52" s="156" t="n">
        <v>44636</v>
      </c>
      <c r="C52" s="157" t="n">
        <v>25639387.78</v>
      </c>
      <c r="D52" s="174">
        <f>C52/E52</f>
        <v/>
      </c>
      <c r="E52" s="157" t="n">
        <v>76.2</v>
      </c>
      <c r="F52" s="159">
        <f>D52/100000</f>
        <v/>
      </c>
      <c r="G52" s="159">
        <f>(F52/DataSheet!$C$9*100)</f>
        <v/>
      </c>
      <c r="H52" s="159">
        <f>K52/I52</f>
        <v/>
      </c>
      <c r="I52" s="159">
        <f>(J52/L52)*100</f>
        <v/>
      </c>
      <c r="J52" s="159">
        <f>L52/O52</f>
        <v/>
      </c>
      <c r="K52" s="157" t="n">
        <v>6.788</v>
      </c>
      <c r="L52" s="157" t="n">
        <v>16975.35</v>
      </c>
      <c r="M52" s="157" t="n">
        <v>4.28</v>
      </c>
      <c r="N52" s="159">
        <f>K52-I52</f>
        <v/>
      </c>
      <c r="O52" s="157" t="n">
        <v>21.82</v>
      </c>
      <c r="P52" s="157" t="n">
        <v>2.192</v>
      </c>
      <c r="Q52" s="159">
        <f>K52-P52</f>
        <v/>
      </c>
      <c r="R52" s="157" t="n">
        <v>98.621</v>
      </c>
      <c r="S52" s="159">
        <f>(O52*T52)/100</f>
        <v/>
      </c>
      <c r="T52" s="157" t="n">
        <v>3.79</v>
      </c>
      <c r="U52" s="157" t="n">
        <v>28584.55</v>
      </c>
      <c r="V52" s="157" t="n">
        <v>27.13</v>
      </c>
      <c r="W52" s="159">
        <f>U52/V52</f>
        <v/>
      </c>
      <c r="X52" s="159">
        <f>(W52/U52)*100</f>
        <v/>
      </c>
      <c r="Y52" s="157" t="n">
        <v>9168.549999999999</v>
      </c>
      <c r="Z52" s="157" t="n">
        <v>27.2</v>
      </c>
      <c r="AA52" s="159">
        <f>Y52/Z52</f>
        <v/>
      </c>
      <c r="AB52" s="159">
        <f>(AA52/Y52)*100</f>
        <v/>
      </c>
    </row>
    <row r="53" ht="12.95" customHeight="1">
      <c r="A53" s="155" t="n">
        <v>52</v>
      </c>
      <c r="B53" s="156" t="n">
        <v>44637</v>
      </c>
      <c r="C53" s="157" t="n">
        <v>26052814.03</v>
      </c>
      <c r="D53" s="174">
        <f>C53/E53</f>
        <v/>
      </c>
      <c r="E53" s="157" t="n">
        <v>75.937</v>
      </c>
      <c r="F53" s="159">
        <f>D53/100000</f>
        <v/>
      </c>
      <c r="G53" s="159">
        <f>(F53/DataSheet!$C$9*100)</f>
        <v/>
      </c>
      <c r="H53" s="159">
        <f>K53/I53</f>
        <v/>
      </c>
      <c r="I53" s="159">
        <f>(J53/L53)*100</f>
        <v/>
      </c>
      <c r="J53" s="159">
        <f>L53/O53</f>
        <v/>
      </c>
      <c r="K53" s="157" t="n">
        <v>6.778</v>
      </c>
      <c r="L53" s="157" t="n">
        <v>17287.05</v>
      </c>
      <c r="M53" s="157" t="n">
        <v>4.36</v>
      </c>
      <c r="N53" s="159">
        <f>K53-I53</f>
        <v/>
      </c>
      <c r="O53" s="157" t="n">
        <v>22.23</v>
      </c>
      <c r="P53" s="157" t="n">
        <v>2.167</v>
      </c>
      <c r="Q53" s="159">
        <f>K53-P53</f>
        <v/>
      </c>
      <c r="R53" s="157" t="n">
        <v>97.97499999999999</v>
      </c>
      <c r="S53" s="159">
        <f>(O53*T53)/100</f>
        <v/>
      </c>
      <c r="T53" s="157" t="n">
        <v>3.77</v>
      </c>
      <c r="U53" s="157" t="n">
        <v>28977.9</v>
      </c>
      <c r="V53" s="157" t="n">
        <v>27.46</v>
      </c>
      <c r="W53" s="159">
        <f>U53/V53</f>
        <v/>
      </c>
      <c r="X53" s="159">
        <f>(W53/U53)*100</f>
        <v/>
      </c>
      <c r="Y53" s="157" t="n">
        <v>9276.950000000001</v>
      </c>
      <c r="Z53" s="157" t="n">
        <v>27.53</v>
      </c>
      <c r="AA53" s="159">
        <f>Y53/Z53</f>
        <v/>
      </c>
      <c r="AB53" s="159">
        <f>(AA53/Y53)*100</f>
        <v/>
      </c>
    </row>
    <row r="54" ht="12.95" customHeight="1">
      <c r="A54" s="155" t="n">
        <v>53</v>
      </c>
      <c r="B54" s="156" t="n">
        <v>44641</v>
      </c>
      <c r="C54" s="157" t="n">
        <v>25837082.19</v>
      </c>
      <c r="D54" s="174">
        <f>C54/E54</f>
        <v/>
      </c>
      <c r="E54" s="157" t="n">
        <v>76.285</v>
      </c>
      <c r="F54" s="159">
        <f>D54/100000</f>
        <v/>
      </c>
      <c r="G54" s="159">
        <f>(F54/DataSheet!$C$9*100)</f>
        <v/>
      </c>
      <c r="H54" s="159">
        <f>K54/I54</f>
        <v/>
      </c>
      <c r="I54" s="159">
        <f>(J54/L54)*100</f>
        <v/>
      </c>
      <c r="J54" s="159">
        <f>L54/O54</f>
        <v/>
      </c>
      <c r="K54" s="157" t="n">
        <v>6.781</v>
      </c>
      <c r="L54" s="157" t="n">
        <v>17117.6</v>
      </c>
      <c r="M54" s="157" t="n">
        <v>4.31</v>
      </c>
      <c r="N54" s="159">
        <f>K54-I54</f>
        <v/>
      </c>
      <c r="O54" s="157" t="n">
        <v>22.01</v>
      </c>
      <c r="P54" s="157" t="n">
        <v>2.297</v>
      </c>
      <c r="Q54" s="159">
        <f>K54-P54</f>
        <v/>
      </c>
      <c r="R54" s="157" t="n">
        <v>98.499</v>
      </c>
      <c r="S54" s="159">
        <f>(O54*T54)/100</f>
        <v/>
      </c>
      <c r="T54" s="157" t="n">
        <v>3.78</v>
      </c>
      <c r="U54" s="157" t="n">
        <v>28896.45</v>
      </c>
      <c r="V54" s="157" t="n">
        <v>27.43</v>
      </c>
      <c r="W54" s="159">
        <f>U54/V54</f>
        <v/>
      </c>
      <c r="X54" s="159">
        <f>(W54/U54)*100</f>
        <v/>
      </c>
      <c r="Y54" s="157" t="n">
        <v>9301.5</v>
      </c>
      <c r="Z54" s="157" t="n">
        <v>27.6</v>
      </c>
      <c r="AA54" s="159">
        <f>Y54/Z54</f>
        <v/>
      </c>
      <c r="AB54" s="159">
        <f>(AA54/Y54)*100</f>
        <v/>
      </c>
    </row>
    <row r="55" ht="12.95" customHeight="1">
      <c r="A55" s="155" t="n">
        <v>54</v>
      </c>
      <c r="B55" s="156" t="n">
        <v>44642</v>
      </c>
      <c r="C55" s="157" t="n">
        <v>26039228.52</v>
      </c>
      <c r="D55" s="174">
        <f>C55/E55</f>
        <v/>
      </c>
      <c r="E55" s="157" t="n">
        <v>76.15900000000001</v>
      </c>
      <c r="F55" s="159">
        <f>D55/100000</f>
        <v/>
      </c>
      <c r="G55" s="159">
        <f>(F55/DataSheet!$C$9*100)</f>
        <v/>
      </c>
      <c r="H55" s="159">
        <f>K55/I55</f>
        <v/>
      </c>
      <c r="I55" s="159">
        <f>(J55/L55)*100</f>
        <v/>
      </c>
      <c r="J55" s="159">
        <f>L55/O55</f>
        <v/>
      </c>
      <c r="K55" s="157" t="n">
        <v>6.831</v>
      </c>
      <c r="L55" s="157" t="n">
        <v>17315.5</v>
      </c>
      <c r="M55" s="157" t="n">
        <v>4.36</v>
      </c>
      <c r="N55" s="159">
        <f>K55-I55</f>
        <v/>
      </c>
      <c r="O55" s="157" t="n">
        <v>22.26</v>
      </c>
      <c r="P55" s="157" t="n">
        <v>2.381</v>
      </c>
      <c r="Q55" s="159">
        <f>K55-P55</f>
        <v/>
      </c>
      <c r="R55" s="157" t="n">
        <v>98.523</v>
      </c>
      <c r="S55" s="159">
        <f>(O55*T55)/100</f>
        <v/>
      </c>
      <c r="T55" s="157" t="n">
        <v>3.76</v>
      </c>
      <c r="U55" s="157" t="n">
        <v>28977.3</v>
      </c>
      <c r="V55" s="157" t="n">
        <v>27.47</v>
      </c>
      <c r="W55" s="159">
        <f>U55/V55</f>
        <v/>
      </c>
      <c r="X55" s="159">
        <f>(W55/U55)*100</f>
        <v/>
      </c>
      <c r="Y55" s="157" t="n">
        <v>9330.35</v>
      </c>
      <c r="Z55" s="157" t="n">
        <v>27.68</v>
      </c>
      <c r="AA55" s="159">
        <f>Y55/Z55</f>
        <v/>
      </c>
      <c r="AB55" s="159">
        <f>(AA55/Y55)*100</f>
        <v/>
      </c>
    </row>
    <row r="56" ht="12.95" customHeight="1">
      <c r="A56" s="155" t="n">
        <v>55</v>
      </c>
      <c r="B56" s="156" t="n">
        <v>44643</v>
      </c>
      <c r="C56" s="157" t="n">
        <v>26022319.91</v>
      </c>
      <c r="D56" s="174">
        <f>C56/E56</f>
        <v/>
      </c>
      <c r="E56" s="157" t="n">
        <v>76.53</v>
      </c>
      <c r="F56" s="159">
        <f>D56/100000</f>
        <v/>
      </c>
      <c r="G56" s="159">
        <f>(F56/DataSheet!$C$9*100)</f>
        <v/>
      </c>
      <c r="H56" s="159">
        <f>K56/I56</f>
        <v/>
      </c>
      <c r="I56" s="159">
        <f>(J56/L56)*100</f>
        <v/>
      </c>
      <c r="J56" s="159">
        <f>L56/O56</f>
        <v/>
      </c>
      <c r="K56" s="157" t="n">
        <v>6.831</v>
      </c>
      <c r="L56" s="157" t="n">
        <v>17245.65</v>
      </c>
      <c r="M56" s="157" t="n">
        <v>4.35</v>
      </c>
      <c r="N56" s="159">
        <f>K56-I56</f>
        <v/>
      </c>
      <c r="O56" s="157" t="n">
        <v>22.17</v>
      </c>
      <c r="P56" s="157" t="n">
        <v>2.29</v>
      </c>
      <c r="Q56" s="159">
        <f>K56-P56</f>
        <v/>
      </c>
      <c r="R56" s="157" t="n">
        <v>98.61499999999999</v>
      </c>
      <c r="S56" s="159">
        <f>(O56*T56)/100</f>
        <v/>
      </c>
      <c r="T56" s="157" t="n">
        <v>3.8</v>
      </c>
      <c r="U56" s="157" t="n">
        <v>29137.3</v>
      </c>
      <c r="V56" s="157" t="n">
        <v>27.56</v>
      </c>
      <c r="W56" s="159">
        <f>U56/V56</f>
        <v/>
      </c>
      <c r="X56" s="159">
        <f>(W56/U56)*100</f>
        <v/>
      </c>
      <c r="Y56" s="157" t="n">
        <v>9316.450000000001</v>
      </c>
      <c r="Z56" s="157" t="n">
        <v>27.64</v>
      </c>
      <c r="AA56" s="159">
        <f>Y56/Z56</f>
        <v/>
      </c>
      <c r="AB56" s="159">
        <f>(AA56/Y56)*100</f>
        <v/>
      </c>
    </row>
    <row r="57" ht="12.95" customHeight="1">
      <c r="A57" s="155" t="n">
        <v>56</v>
      </c>
      <c r="B57" s="156" t="n">
        <v>44644</v>
      </c>
      <c r="C57" s="157" t="n">
        <v>26067138.98</v>
      </c>
      <c r="D57" s="174">
        <f>C57/E57</f>
        <v/>
      </c>
      <c r="E57" s="157" t="n">
        <v>76.30500000000001</v>
      </c>
      <c r="F57" s="159">
        <f>D57/100000</f>
        <v/>
      </c>
      <c r="G57" s="159">
        <f>(F57/DataSheet!$C$9*100)</f>
        <v/>
      </c>
      <c r="H57" s="159">
        <f>K57/I57</f>
        <v/>
      </c>
      <c r="I57" s="159">
        <f>(J57/L57)*100</f>
        <v/>
      </c>
      <c r="J57" s="159">
        <f>L57/O57</f>
        <v/>
      </c>
      <c r="K57" s="157" t="n">
        <v>6.834</v>
      </c>
      <c r="L57" s="157" t="n">
        <v>17222.75</v>
      </c>
      <c r="M57" s="157" t="n">
        <v>4.34</v>
      </c>
      <c r="N57" s="159">
        <f>K57-I57</f>
        <v/>
      </c>
      <c r="O57" s="157" t="n">
        <v>22.14</v>
      </c>
      <c r="P57" s="157" t="n">
        <v>2.37</v>
      </c>
      <c r="Q57" s="159">
        <f>K57-P57</f>
        <v/>
      </c>
      <c r="R57" s="157" t="n">
        <v>98.8</v>
      </c>
      <c r="S57" s="159">
        <f>(O57*T57)/100</f>
        <v/>
      </c>
      <c r="T57" s="157" t="n">
        <v>3.8</v>
      </c>
      <c r="U57" s="157" t="n">
        <v>29308.35</v>
      </c>
      <c r="V57" s="157" t="n">
        <v>27.71</v>
      </c>
      <c r="W57" s="159">
        <f>U57/V57</f>
        <v/>
      </c>
      <c r="X57" s="159">
        <f>(W57/U57)*100</f>
        <v/>
      </c>
      <c r="Y57" s="157" t="n">
        <v>9347.700000000001</v>
      </c>
      <c r="Z57" s="157" t="n">
        <v>27.73</v>
      </c>
      <c r="AA57" s="159">
        <f>Y57/Z57</f>
        <v/>
      </c>
      <c r="AB57" s="159">
        <f>(AA57/Y57)*100</f>
        <v/>
      </c>
    </row>
    <row r="58" ht="12.95" customHeight="1">
      <c r="A58" s="155" t="n">
        <v>57</v>
      </c>
      <c r="B58" s="156" t="n">
        <v>44645</v>
      </c>
      <c r="C58" s="157" t="n">
        <v>25997774.58</v>
      </c>
      <c r="D58" s="174">
        <f>C58/E58</f>
        <v/>
      </c>
      <c r="E58" s="157" t="n">
        <v>76.285</v>
      </c>
      <c r="F58" s="159">
        <f>D58/100000</f>
        <v/>
      </c>
      <c r="G58" s="159">
        <f>(F58/DataSheet!$C$9*100)</f>
        <v/>
      </c>
      <c r="H58" s="159">
        <f>K58/I58</f>
        <v/>
      </c>
      <c r="I58" s="159">
        <f>(J58/L58)*100</f>
        <v/>
      </c>
      <c r="J58" s="159">
        <f>L58/O58</f>
        <v/>
      </c>
      <c r="K58" s="157" t="n">
        <v>6.811</v>
      </c>
      <c r="L58" s="157" t="n">
        <v>17153</v>
      </c>
      <c r="M58" s="157" t="n">
        <v>4.32</v>
      </c>
      <c r="N58" s="159">
        <f>K58-I58</f>
        <v/>
      </c>
      <c r="O58" s="157" t="n">
        <v>22.05</v>
      </c>
      <c r="P58" s="157" t="n">
        <v>2.488</v>
      </c>
      <c r="Q58" s="159">
        <f>K58-P58</f>
        <v/>
      </c>
      <c r="R58" s="157" t="n">
        <v>98.822</v>
      </c>
      <c r="S58" s="159">
        <f>(O58*T58)/100</f>
        <v/>
      </c>
      <c r="T58" s="157" t="n">
        <v>3.79</v>
      </c>
      <c r="U58" s="157" t="n">
        <v>29274.55</v>
      </c>
      <c r="V58" s="157" t="n">
        <v>27.65</v>
      </c>
      <c r="W58" s="159">
        <f>U58/V58</f>
        <v/>
      </c>
      <c r="X58" s="159">
        <f>(W58/U58)*100</f>
        <v/>
      </c>
      <c r="Y58" s="157" t="n">
        <v>9311.1</v>
      </c>
      <c r="Z58" s="157" t="n">
        <v>27.63</v>
      </c>
      <c r="AA58" s="159">
        <f>Y58/Z58</f>
        <v/>
      </c>
      <c r="AB58" s="159">
        <f>(AA58/Y58)*100</f>
        <v/>
      </c>
    </row>
    <row r="59" ht="12.95" customHeight="1">
      <c r="A59" s="155" t="n">
        <v>58</v>
      </c>
      <c r="B59" s="156" t="n">
        <v>44648</v>
      </c>
      <c r="C59" s="157" t="n">
        <v>26033800.93</v>
      </c>
      <c r="D59" s="174">
        <f>C59/E59</f>
        <v/>
      </c>
      <c r="E59" s="157" t="n">
        <v>76.09</v>
      </c>
      <c r="F59" s="159">
        <f>D59/100000</f>
        <v/>
      </c>
      <c r="G59" s="159">
        <f>(F59/DataSheet!$C$9*100)</f>
        <v/>
      </c>
      <c r="H59" s="159">
        <f>K59/I59</f>
        <v/>
      </c>
      <c r="I59" s="159">
        <f>(J59/L59)*100</f>
        <v/>
      </c>
      <c r="J59" s="159">
        <f>L59/O59</f>
        <v/>
      </c>
      <c r="K59" s="157" t="n">
        <v>6.836</v>
      </c>
      <c r="L59" s="157" t="n">
        <v>17222</v>
      </c>
      <c r="M59" s="157" t="n">
        <v>4.34</v>
      </c>
      <c r="N59" s="159">
        <f>K59-I59</f>
        <v/>
      </c>
      <c r="O59" s="157" t="n">
        <v>22.14</v>
      </c>
      <c r="P59" s="157" t="n">
        <v>2.466</v>
      </c>
      <c r="Q59" s="159">
        <f>K59-P59</f>
        <v/>
      </c>
      <c r="R59" s="157" t="n">
        <v>99.05500000000001</v>
      </c>
      <c r="S59" s="159">
        <f>(O59*T59)/100</f>
        <v/>
      </c>
      <c r="T59" s="157" t="n">
        <v>3.78</v>
      </c>
      <c r="U59" s="157" t="n">
        <v>29221.2</v>
      </c>
      <c r="V59" s="157" t="n">
        <v>27.6</v>
      </c>
      <c r="W59" s="159">
        <f>U59/V59</f>
        <v/>
      </c>
      <c r="X59" s="159">
        <f>(W59/U59)*100</f>
        <v/>
      </c>
      <c r="Y59" s="157" t="n">
        <v>9256.450000000001</v>
      </c>
      <c r="Z59" s="157" t="n">
        <v>27.46</v>
      </c>
      <c r="AA59" s="159">
        <f>Y59/Z59</f>
        <v/>
      </c>
      <c r="AB59" s="159">
        <f>(AA59/Y59)*100</f>
        <v/>
      </c>
    </row>
    <row r="60" ht="12.95" customHeight="1">
      <c r="A60" s="155" t="n">
        <v>59</v>
      </c>
      <c r="B60" s="156" t="n">
        <v>44649</v>
      </c>
      <c r="C60" s="157" t="n">
        <v>26173406.62</v>
      </c>
      <c r="D60" s="174">
        <f>C60/E60</f>
        <v/>
      </c>
      <c r="E60" s="157" t="n">
        <v>75.666</v>
      </c>
      <c r="F60" s="159">
        <f>D60/100000</f>
        <v/>
      </c>
      <c r="G60" s="159">
        <f>(F60/DataSheet!$C$9*100)</f>
        <v/>
      </c>
      <c r="H60" s="159">
        <f>K60/I60</f>
        <v/>
      </c>
      <c r="I60" s="159">
        <f>(J60/L60)*100</f>
        <v/>
      </c>
      <c r="J60" s="159">
        <f>L60/O60</f>
        <v/>
      </c>
      <c r="K60" s="157" t="n">
        <v>6.821</v>
      </c>
      <c r="L60" s="157" t="n">
        <v>17325.3</v>
      </c>
      <c r="M60" s="157" t="n">
        <v>4.37</v>
      </c>
      <c r="N60" s="159">
        <f>K60-I60</f>
        <v/>
      </c>
      <c r="O60" s="157" t="n">
        <v>22.27</v>
      </c>
      <c r="P60" s="157" t="n">
        <v>2.398</v>
      </c>
      <c r="Q60" s="159">
        <f>K60-P60</f>
        <v/>
      </c>
      <c r="R60" s="157" t="n">
        <v>98.441</v>
      </c>
      <c r="S60" s="159">
        <f>(O60*T60)/100</f>
        <v/>
      </c>
      <c r="T60" s="157" t="n">
        <v>3.78</v>
      </c>
      <c r="U60" s="157" t="n">
        <v>29342.3</v>
      </c>
      <c r="V60" s="157" t="n">
        <v>27.77</v>
      </c>
      <c r="W60" s="159">
        <f>U60/V60</f>
        <v/>
      </c>
      <c r="X60" s="159">
        <f>(W60/U60)*100</f>
        <v/>
      </c>
      <c r="Y60" s="157" t="n">
        <v>9312.049999999999</v>
      </c>
      <c r="Z60" s="157" t="n">
        <v>27.63</v>
      </c>
      <c r="AA60" s="159">
        <f>Y60/Z60</f>
        <v/>
      </c>
      <c r="AB60" s="159">
        <f>(AA60/Y60)*100</f>
        <v/>
      </c>
    </row>
    <row r="61" ht="12.95" customHeight="1">
      <c r="A61" s="155" t="n">
        <v>60</v>
      </c>
      <c r="B61" s="156" t="n">
        <v>44650</v>
      </c>
      <c r="C61" s="157" t="n">
        <v>26401248.01</v>
      </c>
      <c r="D61" s="174">
        <f>C61/E61</f>
        <v/>
      </c>
      <c r="E61" s="157" t="n">
        <v>75.82299999999999</v>
      </c>
      <c r="F61" s="159">
        <f>D61/100000</f>
        <v/>
      </c>
      <c r="G61" s="159">
        <f>(F61/DataSheet!$C$9*100)</f>
        <v/>
      </c>
      <c r="H61" s="159">
        <f>K61/I61</f>
        <v/>
      </c>
      <c r="I61" s="159">
        <f>(J61/L61)*100</f>
        <v/>
      </c>
      <c r="J61" s="159">
        <f>L61/O61</f>
        <v/>
      </c>
      <c r="K61" s="157" t="n">
        <v>6.784</v>
      </c>
      <c r="L61" s="157" t="n">
        <v>17498.25</v>
      </c>
      <c r="M61" s="157" t="n">
        <v>4.41</v>
      </c>
      <c r="N61" s="159">
        <f>K61-I61</f>
        <v/>
      </c>
      <c r="O61" s="157" t="n">
        <v>22.5</v>
      </c>
      <c r="P61" s="157" t="n">
        <v>2.358</v>
      </c>
      <c r="Q61" s="159">
        <f>K61-P61</f>
        <v/>
      </c>
      <c r="R61" s="157" t="n">
        <v>97.875</v>
      </c>
      <c r="S61" s="159">
        <f>(O61*T61)/100</f>
        <v/>
      </c>
      <c r="T61" s="157" t="n">
        <v>3.83</v>
      </c>
      <c r="U61" s="157" t="n">
        <v>29590.7</v>
      </c>
      <c r="V61" s="157" t="n">
        <v>28.02</v>
      </c>
      <c r="W61" s="159">
        <f>U61/V61</f>
        <v/>
      </c>
      <c r="X61" s="159">
        <f>(W61/U61)*100</f>
        <v/>
      </c>
      <c r="Y61" s="157" t="n">
        <v>9396.5</v>
      </c>
      <c r="Z61" s="157" t="n">
        <v>27.88</v>
      </c>
      <c r="AA61" s="159">
        <f>Y61/Z61</f>
        <v/>
      </c>
      <c r="AB61" s="159">
        <f>(AA61/Y61)*100</f>
        <v/>
      </c>
    </row>
    <row r="62" ht="12.95" customHeight="1">
      <c r="A62" s="155" t="n">
        <v>61</v>
      </c>
      <c r="B62" s="156" t="n">
        <v>44651</v>
      </c>
      <c r="C62" s="157" t="n">
        <v>26406971.14</v>
      </c>
      <c r="D62" s="174">
        <f>C62/E62</f>
        <v/>
      </c>
      <c r="E62" s="157" t="n">
        <v>75.928</v>
      </c>
      <c r="F62" s="159">
        <f>D62/100000</f>
        <v/>
      </c>
      <c r="G62" s="159">
        <f>(F62/DataSheet!$C$9*100)</f>
        <v/>
      </c>
      <c r="H62" s="159">
        <f>K62/I62</f>
        <v/>
      </c>
      <c r="I62" s="159">
        <f>(J62/L62)*100</f>
        <v/>
      </c>
      <c r="J62" s="159">
        <f>L62/O62</f>
        <v/>
      </c>
      <c r="K62" s="157" t="n">
        <v>6.843</v>
      </c>
      <c r="L62" s="157" t="n">
        <v>17464.75</v>
      </c>
      <c r="M62" s="157" t="n">
        <v>4.46</v>
      </c>
      <c r="N62" s="159">
        <f>K62-I62</f>
        <v/>
      </c>
      <c r="O62" s="157" t="n">
        <v>22.92</v>
      </c>
      <c r="P62" s="157" t="n">
        <v>2.345</v>
      </c>
      <c r="Q62" s="159">
        <f>K62-P62</f>
        <v/>
      </c>
      <c r="R62" s="157" t="n">
        <v>98.36</v>
      </c>
      <c r="S62" s="159">
        <f>(O62*T62)/100</f>
        <v/>
      </c>
      <c r="T62" s="157" t="n">
        <v>3.83</v>
      </c>
      <c r="U62" s="157" t="n">
        <v>29692.3</v>
      </c>
      <c r="V62" s="157" t="n">
        <v>27.14</v>
      </c>
      <c r="W62" s="159">
        <f>U62/V62</f>
        <v/>
      </c>
      <c r="X62" s="159">
        <f>(W62/U62)*100</f>
        <v/>
      </c>
      <c r="Y62" s="157" t="n">
        <v>9441.450000000001</v>
      </c>
      <c r="Z62" s="157" t="n">
        <v>24.41</v>
      </c>
      <c r="AA62" s="159">
        <f>Y62/Z62</f>
        <v/>
      </c>
      <c r="AB62" s="159">
        <f>(AA62/Y62)*100</f>
        <v/>
      </c>
    </row>
    <row r="63" ht="12.95" customHeight="1">
      <c r="A63" s="155" t="n">
        <v>62</v>
      </c>
      <c r="B63" s="156" t="n">
        <v>44652</v>
      </c>
      <c r="C63" s="157" t="n">
        <v>26789062.67</v>
      </c>
      <c r="D63" s="174">
        <f>C63/E63</f>
        <v/>
      </c>
      <c r="E63" s="157" t="n">
        <v>75.995</v>
      </c>
      <c r="F63" s="159">
        <f>D63/100000</f>
        <v/>
      </c>
      <c r="G63" s="159">
        <f>(F63/DataSheet!$C$9*100)</f>
        <v/>
      </c>
      <c r="H63" s="159">
        <f>K63/I63</f>
        <v/>
      </c>
      <c r="I63" s="159">
        <f>(J63/L63)*100</f>
        <v/>
      </c>
      <c r="J63" s="159">
        <f>L63/O63</f>
        <v/>
      </c>
      <c r="K63" s="157" t="n">
        <v>6.843</v>
      </c>
      <c r="L63" s="157" t="n">
        <v>17670.45</v>
      </c>
      <c r="M63" s="157" t="n">
        <v>4.51</v>
      </c>
      <c r="N63" s="159">
        <f>K63-I63</f>
        <v/>
      </c>
      <c r="O63" s="157" t="n">
        <v>23.19</v>
      </c>
      <c r="P63" s="157" t="n">
        <v>2.389</v>
      </c>
      <c r="Q63" s="159">
        <f>K63-P63</f>
        <v/>
      </c>
      <c r="R63" s="157" t="n">
        <v>98.627</v>
      </c>
      <c r="S63" s="159">
        <f>(O63*T63)/100</f>
        <v/>
      </c>
      <c r="T63" s="157" t="n">
        <v>3.83</v>
      </c>
      <c r="U63" s="157" t="n">
        <v>30134.55</v>
      </c>
      <c r="V63" s="157" t="n">
        <v>27.48</v>
      </c>
      <c r="W63" s="159">
        <f>U63/V63</f>
        <v/>
      </c>
      <c r="X63" s="159">
        <f>(W63/U63)*100</f>
        <v/>
      </c>
      <c r="Y63" s="157" t="n">
        <v>9620.15</v>
      </c>
      <c r="Z63" s="157" t="n">
        <v>24.87</v>
      </c>
      <c r="AA63" s="159">
        <f>Y63/Z63</f>
        <v/>
      </c>
      <c r="AB63" s="159">
        <f>(AA63/Y63)*100</f>
        <v/>
      </c>
    </row>
    <row r="64" ht="12.95" customHeight="1">
      <c r="A64" s="155" t="n">
        <v>63</v>
      </c>
      <c r="B64" s="156" t="n">
        <v>44655</v>
      </c>
      <c r="C64" s="157" t="n">
        <v>27242840.69</v>
      </c>
      <c r="D64" s="174">
        <f>C64/E64</f>
        <v/>
      </c>
      <c r="E64" s="157" t="n">
        <v>75.45099999999999</v>
      </c>
      <c r="F64" s="159">
        <f>D64/100000</f>
        <v/>
      </c>
      <c r="G64" s="159">
        <f>(F64/DataSheet!$C$9*100)</f>
        <v/>
      </c>
      <c r="H64" s="159">
        <f>K64/I64</f>
        <v/>
      </c>
      <c r="I64" s="159">
        <f>(J64/L64)*100</f>
        <v/>
      </c>
      <c r="J64" s="159">
        <f>L64/O64</f>
        <v/>
      </c>
      <c r="K64" s="157" t="n">
        <v>6.898</v>
      </c>
      <c r="L64" s="157" t="n">
        <v>18053.4</v>
      </c>
      <c r="M64" s="157" t="n">
        <v>4.61</v>
      </c>
      <c r="N64" s="159">
        <f>K64-I64</f>
        <v/>
      </c>
      <c r="O64" s="157" t="n">
        <v>23.69</v>
      </c>
      <c r="P64" s="157" t="n">
        <v>2.393</v>
      </c>
      <c r="Q64" s="159">
        <f>K64-P64</f>
        <v/>
      </c>
      <c r="R64" s="157" t="n">
        <v>98.974</v>
      </c>
      <c r="S64" s="159">
        <f>(O64*T64)/100</f>
        <v/>
      </c>
      <c r="T64" s="157" t="n">
        <v>3.75</v>
      </c>
      <c r="U64" s="157" t="n">
        <v>30625.2</v>
      </c>
      <c r="V64" s="157" t="n">
        <v>27.89</v>
      </c>
      <c r="W64" s="159">
        <f>U64/V64</f>
        <v/>
      </c>
      <c r="X64" s="159">
        <f>(W64/U64)*100</f>
        <v/>
      </c>
      <c r="Y64" s="157" t="n">
        <v>9766.85</v>
      </c>
      <c r="Z64" s="157" t="n">
        <v>25.25</v>
      </c>
      <c r="AA64" s="159">
        <f>Y64/Z64</f>
        <v/>
      </c>
      <c r="AB64" s="159">
        <f>(AA64/Y64)*100</f>
        <v/>
      </c>
    </row>
    <row r="65" ht="12.95" customHeight="1">
      <c r="A65" s="155" t="n">
        <v>64</v>
      </c>
      <c r="B65" s="156" t="n">
        <v>44656</v>
      </c>
      <c r="C65" s="157" t="n">
        <v>27372267.23</v>
      </c>
      <c r="D65" s="174">
        <f>C65/E65</f>
        <v/>
      </c>
      <c r="E65" s="157" t="n">
        <v>75.465</v>
      </c>
      <c r="F65" s="159">
        <f>D65/100000</f>
        <v/>
      </c>
      <c r="G65" s="159">
        <f>(F65/DataSheet!$C$9*100)</f>
        <v/>
      </c>
      <c r="H65" s="159">
        <f>K65/I65</f>
        <v/>
      </c>
      <c r="I65" s="159">
        <f>(J65/L65)*100</f>
        <v/>
      </c>
      <c r="J65" s="159">
        <f>L65/O65</f>
        <v/>
      </c>
      <c r="K65" s="157" t="n">
        <v>6.899</v>
      </c>
      <c r="L65" s="157" t="n">
        <v>17957.4</v>
      </c>
      <c r="M65" s="157" t="n">
        <v>4.59</v>
      </c>
      <c r="N65" s="159">
        <f>K65-I65</f>
        <v/>
      </c>
      <c r="O65" s="157" t="n">
        <v>23.57</v>
      </c>
      <c r="P65" s="157" t="n">
        <v>2.554</v>
      </c>
      <c r="Q65" s="159">
        <f>K65-P65</f>
        <v/>
      </c>
      <c r="R65" s="157" t="n">
        <v>99.428</v>
      </c>
      <c r="S65" s="159">
        <f>(O65*T65)/100</f>
        <v/>
      </c>
      <c r="T65" s="157" t="n">
        <v>3.73</v>
      </c>
      <c r="U65" s="157" t="n">
        <v>31046.7</v>
      </c>
      <c r="V65" s="157" t="n">
        <v>28.3</v>
      </c>
      <c r="W65" s="159">
        <f>U65/V65</f>
        <v/>
      </c>
      <c r="X65" s="159">
        <f>(W65/U65)*100</f>
        <v/>
      </c>
      <c r="Y65" s="157" t="n">
        <v>9860.049999999999</v>
      </c>
      <c r="Z65" s="157" t="n">
        <v>25.49</v>
      </c>
      <c r="AA65" s="159">
        <f>Y65/Z65</f>
        <v/>
      </c>
      <c r="AB65" s="159">
        <f>(AA65/Y65)*100</f>
        <v/>
      </c>
    </row>
    <row r="66" ht="12.95" customHeight="1">
      <c r="A66" s="155" t="n">
        <v>65</v>
      </c>
      <c r="B66" s="156" t="n">
        <v>44657</v>
      </c>
      <c r="C66" s="157" t="n">
        <v>27357378.64</v>
      </c>
      <c r="D66" s="174">
        <f>C66/E66</f>
        <v/>
      </c>
      <c r="E66" s="157" t="n">
        <v>75.947</v>
      </c>
      <c r="F66" s="159">
        <f>D66/100000</f>
        <v/>
      </c>
      <c r="G66" s="159">
        <f>(F66/DataSheet!$C$9*100)</f>
        <v/>
      </c>
      <c r="H66" s="159">
        <f>K66/I66</f>
        <v/>
      </c>
      <c r="I66" s="159">
        <f>(J66/L66)*100</f>
        <v/>
      </c>
      <c r="J66" s="159">
        <f>L66/O66</f>
        <v/>
      </c>
      <c r="K66" s="157" t="n">
        <v>6.917</v>
      </c>
      <c r="L66" s="157" t="n">
        <v>17807.65</v>
      </c>
      <c r="M66" s="157" t="n">
        <v>4.55</v>
      </c>
      <c r="N66" s="159">
        <f>K66-I66</f>
        <v/>
      </c>
      <c r="O66" s="157" t="n">
        <v>23.37</v>
      </c>
      <c r="P66" s="157" t="n">
        <v>2.598</v>
      </c>
      <c r="Q66" s="159">
        <f>K66-P66</f>
        <v/>
      </c>
      <c r="R66" s="157" t="n">
        <v>99.61499999999999</v>
      </c>
      <c r="S66" s="159">
        <f>(O66*T66)/100</f>
        <v/>
      </c>
      <c r="T66" s="157" t="n">
        <v>3.78</v>
      </c>
      <c r="U66" s="157" t="n">
        <v>31229.2</v>
      </c>
      <c r="V66" s="157" t="n">
        <v>28.43</v>
      </c>
      <c r="W66" s="159">
        <f>U66/V66</f>
        <v/>
      </c>
      <c r="X66" s="159">
        <f>(W66/U66)*100</f>
        <v/>
      </c>
      <c r="Y66" s="157" t="n">
        <v>9902</v>
      </c>
      <c r="Z66" s="157" t="n">
        <v>25.6</v>
      </c>
      <c r="AA66" s="159">
        <f>Y66/Z66</f>
        <v/>
      </c>
      <c r="AB66" s="159">
        <f>(AA66/Y66)*100</f>
        <v/>
      </c>
    </row>
    <row r="67" ht="12.95" customHeight="1">
      <c r="A67" s="155" t="n">
        <v>66</v>
      </c>
      <c r="B67" s="156" t="n">
        <v>44658</v>
      </c>
      <c r="C67" s="157" t="n">
        <v>27132282.54</v>
      </c>
      <c r="D67" s="174">
        <f>C67/E67</f>
        <v/>
      </c>
      <c r="E67" s="157" t="n">
        <v>75.913</v>
      </c>
      <c r="F67" s="159">
        <f>D67/100000</f>
        <v/>
      </c>
      <c r="G67" s="159">
        <f>(F67/DataSheet!$C$9*100)</f>
        <v/>
      </c>
      <c r="H67" s="159">
        <f>K67/I67</f>
        <v/>
      </c>
      <c r="I67" s="159">
        <f>(J67/L67)*100</f>
        <v/>
      </c>
      <c r="J67" s="159">
        <f>L67/O67</f>
        <v/>
      </c>
      <c r="K67" s="157" t="n">
        <v>6.914</v>
      </c>
      <c r="L67" s="157" t="n">
        <v>17639.55</v>
      </c>
      <c r="M67" s="157" t="n">
        <v>4.51</v>
      </c>
      <c r="N67" s="159">
        <f>K67-I67</f>
        <v/>
      </c>
      <c r="O67" s="157" t="n">
        <v>23.15</v>
      </c>
      <c r="P67" s="157" t="n">
        <v>2.665</v>
      </c>
      <c r="Q67" s="159">
        <f>K67-P67</f>
        <v/>
      </c>
      <c r="R67" s="157" t="n">
        <v>99.76000000000001</v>
      </c>
      <c r="S67" s="159">
        <f>(O67*T67)/100</f>
        <v/>
      </c>
      <c r="T67" s="157" t="n">
        <v>3.87</v>
      </c>
      <c r="U67" s="157" t="n">
        <v>30911.3</v>
      </c>
      <c r="V67" s="157" t="n">
        <v>28.18</v>
      </c>
      <c r="W67" s="159">
        <f>U67/V67</f>
        <v/>
      </c>
      <c r="X67" s="159">
        <f>(W67/U67)*100</f>
        <v/>
      </c>
      <c r="Y67" s="157" t="n">
        <v>9859.200000000001</v>
      </c>
      <c r="Z67" s="157" t="n">
        <v>25.61</v>
      </c>
      <c r="AA67" s="159">
        <f>Y67/Z67</f>
        <v/>
      </c>
      <c r="AB67" s="159">
        <f>(AA67/Y67)*100</f>
        <v/>
      </c>
    </row>
    <row r="68" ht="12.95" customHeight="1">
      <c r="A68" s="155" t="n">
        <v>67</v>
      </c>
      <c r="B68" s="156" t="n">
        <v>44659</v>
      </c>
      <c r="C68" s="157" t="n">
        <v>27417388.1</v>
      </c>
      <c r="D68" s="174">
        <f>C68/E68</f>
        <v/>
      </c>
      <c r="E68" s="157" t="n">
        <v>75.95999999999999</v>
      </c>
      <c r="F68" s="159">
        <f>D68/100000</f>
        <v/>
      </c>
      <c r="G68" s="159">
        <f>(F68/DataSheet!$C$9*100)</f>
        <v/>
      </c>
      <c r="H68" s="159">
        <f>K68/I68</f>
        <v/>
      </c>
      <c r="I68" s="159">
        <f>(J68/L68)*100</f>
        <v/>
      </c>
      <c r="J68" s="159">
        <f>L68/O68</f>
        <v/>
      </c>
      <c r="K68" s="157" t="n">
        <v>7.119</v>
      </c>
      <c r="L68" s="157" t="n">
        <v>17784.35</v>
      </c>
      <c r="M68" s="157" t="n">
        <v>4.54</v>
      </c>
      <c r="N68" s="159">
        <f>K68-I68</f>
        <v/>
      </c>
      <c r="O68" s="157" t="n">
        <v>23.34</v>
      </c>
      <c r="P68" s="157" t="n">
        <v>2.704</v>
      </c>
      <c r="Q68" s="159">
        <f>K68-P68</f>
        <v/>
      </c>
      <c r="R68" s="157" t="n">
        <v>99.753</v>
      </c>
      <c r="S68" s="159">
        <f>(O68*T68)/100</f>
        <v/>
      </c>
      <c r="T68" s="157" t="n">
        <v>3.98</v>
      </c>
      <c r="U68" s="157" t="n">
        <v>31214.2</v>
      </c>
      <c r="V68" s="157" t="n">
        <v>28.44</v>
      </c>
      <c r="W68" s="159">
        <f>U68/V68</f>
        <v/>
      </c>
      <c r="X68" s="159">
        <f>(W68/U68)*100</f>
        <v/>
      </c>
      <c r="Y68" s="157" t="n">
        <v>9934.75</v>
      </c>
      <c r="Z68" s="157" t="n">
        <v>25.81</v>
      </c>
      <c r="AA68" s="159">
        <f>Y68/Z68</f>
        <v/>
      </c>
      <c r="AB68" s="159">
        <f>(AA68/Y68)*100</f>
        <v/>
      </c>
    </row>
    <row r="69" ht="12.95" customHeight="1">
      <c r="A69" s="155" t="n">
        <v>68</v>
      </c>
      <c r="B69" s="156" t="n">
        <v>44662</v>
      </c>
      <c r="C69" s="157" t="n">
        <v>27523830.15</v>
      </c>
      <c r="D69" s="174">
        <f>C69/E69</f>
        <v/>
      </c>
      <c r="E69" s="157" t="n">
        <v>75.836</v>
      </c>
      <c r="F69" s="159">
        <f>D69/100000</f>
        <v/>
      </c>
      <c r="G69" s="159">
        <f>(F69/DataSheet!$C$9*100)</f>
        <v/>
      </c>
      <c r="H69" s="159">
        <f>K69/I69</f>
        <v/>
      </c>
      <c r="I69" s="159">
        <f>(J69/L69)*100</f>
        <v/>
      </c>
      <c r="J69" s="159">
        <f>L69/O69</f>
        <v/>
      </c>
      <c r="K69" s="157" t="n">
        <v>7.149</v>
      </c>
      <c r="L69" s="157" t="n">
        <v>17674.95</v>
      </c>
      <c r="M69" s="157" t="n">
        <v>4.52</v>
      </c>
      <c r="N69" s="159">
        <f>K69-I69</f>
        <v/>
      </c>
      <c r="O69" s="157" t="n">
        <v>23.2</v>
      </c>
      <c r="P69" s="157" t="n">
        <v>2.774</v>
      </c>
      <c r="Q69" s="159">
        <f>K69-P69</f>
        <v/>
      </c>
      <c r="R69" s="157" t="n">
        <v>99.92400000000001</v>
      </c>
      <c r="S69" s="159">
        <f>(O69*T69)/100</f>
        <v/>
      </c>
      <c r="T69" s="157" t="n">
        <v>4</v>
      </c>
      <c r="U69" s="157" t="n">
        <v>31408.15</v>
      </c>
      <c r="V69" s="157" t="n">
        <v>28.64</v>
      </c>
      <c r="W69" s="159">
        <f>U69/V69</f>
        <v/>
      </c>
      <c r="X69" s="159">
        <f>(W69/U69)*100</f>
        <v/>
      </c>
      <c r="Y69" s="157" t="n">
        <v>9966.549999999999</v>
      </c>
      <c r="Z69" s="157" t="n">
        <v>25.85</v>
      </c>
      <c r="AA69" s="159">
        <f>Y69/Z69</f>
        <v/>
      </c>
      <c r="AB69" s="159">
        <f>(AA69/Y69)*100</f>
        <v/>
      </c>
    </row>
    <row r="70" ht="12.95" customHeight="1">
      <c r="A70" s="155" t="n">
        <v>69</v>
      </c>
      <c r="B70" s="156" t="n">
        <v>44663</v>
      </c>
      <c r="C70" s="157" t="n">
        <v>27207297.96</v>
      </c>
      <c r="D70" s="174">
        <f>C70/E70</f>
        <v/>
      </c>
      <c r="E70" s="157" t="n">
        <v>76.08199999999999</v>
      </c>
      <c r="F70" s="159">
        <f>D70/100000</f>
        <v/>
      </c>
      <c r="G70" s="159">
        <f>(F70/DataSheet!$C$9*100)</f>
        <v/>
      </c>
      <c r="H70" s="159">
        <f>K70/I70</f>
        <v/>
      </c>
      <c r="I70" s="159">
        <f>(J70/L70)*100</f>
        <v/>
      </c>
      <c r="J70" s="159">
        <f>L70/O70</f>
        <v/>
      </c>
      <c r="K70" s="157" t="n">
        <v>7.189</v>
      </c>
      <c r="L70" s="157" t="n">
        <v>17530.3</v>
      </c>
      <c r="M70" s="157" t="n">
        <v>4.48</v>
      </c>
      <c r="N70" s="159">
        <f>K70-I70</f>
        <v/>
      </c>
      <c r="O70" s="157" t="n">
        <v>23.01</v>
      </c>
      <c r="P70" s="157" t="n">
        <v>2.727</v>
      </c>
      <c r="Q70" s="159">
        <f>K70-P70</f>
        <v/>
      </c>
      <c r="R70" s="157" t="n">
        <v>100.292</v>
      </c>
      <c r="S70" s="159">
        <f>(O70*T70)/100</f>
        <v/>
      </c>
      <c r="T70" s="157" t="n">
        <v>3.98</v>
      </c>
      <c r="U70" s="157" t="n">
        <v>30804.9</v>
      </c>
      <c r="V70" s="157" t="n">
        <v>28.12</v>
      </c>
      <c r="W70" s="159">
        <f>U70/V70</f>
        <v/>
      </c>
      <c r="X70" s="159">
        <f>(W70/U70)*100</f>
        <v/>
      </c>
      <c r="Y70" s="157" t="n">
        <v>9825.200000000001</v>
      </c>
      <c r="Z70" s="157" t="n">
        <v>25.48</v>
      </c>
      <c r="AA70" s="159">
        <f>Y70/Z70</f>
        <v/>
      </c>
      <c r="AB70" s="159">
        <f>(AA70/Y70)*100</f>
        <v/>
      </c>
    </row>
    <row r="71" ht="12.95" customHeight="1">
      <c r="A71" s="155" t="n">
        <v>70</v>
      </c>
      <c r="B71" s="156" t="n">
        <v>44664</v>
      </c>
      <c r="C71" s="157" t="n">
        <v>27212168.14</v>
      </c>
      <c r="D71" s="174">
        <f>C71/E71</f>
        <v/>
      </c>
      <c r="E71" s="157" t="n">
        <v>76.122</v>
      </c>
      <c r="F71" s="159">
        <f>D71/100000</f>
        <v/>
      </c>
      <c r="G71" s="159">
        <f>(F71/DataSheet!$C$9*100)</f>
        <v/>
      </c>
      <c r="H71" s="159">
        <f>K71/I71</f>
        <v/>
      </c>
      <c r="I71" s="159">
        <f>(J71/L71)*100</f>
        <v/>
      </c>
      <c r="J71" s="159">
        <f>L71/O71</f>
        <v/>
      </c>
      <c r="K71" s="157" t="n">
        <v>7.215</v>
      </c>
      <c r="L71" s="157" t="n">
        <v>17475.65</v>
      </c>
      <c r="M71" s="157" t="n">
        <v>4.46</v>
      </c>
      <c r="N71" s="159">
        <f>K71-I71</f>
        <v/>
      </c>
      <c r="O71" s="157" t="n">
        <v>22.92</v>
      </c>
      <c r="P71" s="157" t="n">
        <v>2.703</v>
      </c>
      <c r="Q71" s="159">
        <f>K71-P71</f>
        <v/>
      </c>
      <c r="R71" s="157" t="n">
        <v>99.913</v>
      </c>
      <c r="S71" s="159">
        <f>(O71*T71)/100</f>
        <v/>
      </c>
      <c r="T71" s="157" t="n">
        <v>3.99</v>
      </c>
      <c r="U71" s="157" t="n">
        <v>30796.3</v>
      </c>
      <c r="V71" s="157" t="n">
        <v>28.1</v>
      </c>
      <c r="W71" s="159">
        <f>U71/V71</f>
        <v/>
      </c>
      <c r="X71" s="159">
        <f>(W71/U71)*100</f>
        <v/>
      </c>
      <c r="Y71" s="157" t="n">
        <v>9857.950000000001</v>
      </c>
      <c r="Z71" s="157" t="n">
        <v>25.57</v>
      </c>
      <c r="AA71" s="159">
        <f>Y71/Z71</f>
        <v/>
      </c>
      <c r="AB71" s="159">
        <f>(AA71/Y71)*100</f>
        <v/>
      </c>
    </row>
    <row r="72" ht="12.95" customHeight="1">
      <c r="A72" s="155" t="n">
        <v>71</v>
      </c>
      <c r="B72" s="156" t="n">
        <v>44669</v>
      </c>
      <c r="C72" s="157" t="n">
        <v>26948689.23</v>
      </c>
      <c r="D72" s="174">
        <f>C72/E72</f>
        <v/>
      </c>
      <c r="E72" s="157" t="n">
        <v>76.28400000000001</v>
      </c>
      <c r="F72" s="159">
        <f>D72/100000</f>
        <v/>
      </c>
      <c r="G72" s="159">
        <f>(F72/DataSheet!$C$9*100)</f>
        <v/>
      </c>
      <c r="H72" s="159">
        <f>K72/I72</f>
        <v/>
      </c>
      <c r="I72" s="159">
        <f>(J72/L72)*100</f>
        <v/>
      </c>
      <c r="J72" s="159">
        <f>L72/O72</f>
        <v/>
      </c>
      <c r="K72" s="157" t="n">
        <v>7.153</v>
      </c>
      <c r="L72" s="157" t="n">
        <v>17173.65</v>
      </c>
      <c r="M72" s="157" t="n">
        <v>4.39</v>
      </c>
      <c r="N72" s="159">
        <f>K72-I72</f>
        <v/>
      </c>
      <c r="O72" s="157" t="n">
        <v>22.53</v>
      </c>
      <c r="P72" s="157" t="n">
        <v>2.857</v>
      </c>
      <c r="Q72" s="159">
        <f>K72-P72</f>
        <v/>
      </c>
      <c r="R72" s="157" t="n">
        <v>100.766</v>
      </c>
      <c r="S72" s="159">
        <f>(O72*T72)/100</f>
        <v/>
      </c>
      <c r="T72" s="157" t="n">
        <v>4.01</v>
      </c>
      <c r="U72" s="157" t="n">
        <v>30473.55</v>
      </c>
      <c r="V72" s="157" t="n">
        <v>27.78</v>
      </c>
      <c r="W72" s="159">
        <f>U72/V72</f>
        <v/>
      </c>
      <c r="X72" s="159">
        <f>(W72/U72)*100</f>
        <v/>
      </c>
      <c r="Y72" s="157" t="n">
        <v>9770.799999999999</v>
      </c>
      <c r="Z72" s="157" t="n">
        <v>25.35</v>
      </c>
      <c r="AA72" s="159">
        <f>Y72/Z72</f>
        <v/>
      </c>
      <c r="AB72" s="159">
        <f>(AA72/Y72)*100</f>
        <v/>
      </c>
    </row>
    <row r="73" ht="12.95" customHeight="1">
      <c r="A73" s="155" t="n">
        <v>72</v>
      </c>
      <c r="B73" s="156" t="n">
        <v>44670</v>
      </c>
      <c r="C73" s="157" t="n">
        <v>26646222.81</v>
      </c>
      <c r="D73" s="174">
        <f>C73/E73</f>
        <v/>
      </c>
      <c r="E73" s="157" t="n">
        <v>76.44499999999999</v>
      </c>
      <c r="F73" s="159">
        <f>D73/100000</f>
        <v/>
      </c>
      <c r="G73" s="159">
        <f>(F73/DataSheet!$C$9*100)</f>
        <v/>
      </c>
      <c r="H73" s="159">
        <f>K73/I73</f>
        <v/>
      </c>
      <c r="I73" s="159">
        <f>(J73/L73)*100</f>
        <v/>
      </c>
      <c r="J73" s="159">
        <f>L73/O73</f>
        <v/>
      </c>
      <c r="K73" s="157" t="n">
        <v>7.151</v>
      </c>
      <c r="L73" s="157" t="n">
        <v>16958.65</v>
      </c>
      <c r="M73" s="157" t="n">
        <v>4.33</v>
      </c>
      <c r="N73" s="159">
        <f>K73-I73</f>
        <v/>
      </c>
      <c r="O73" s="157" t="n">
        <v>22.1</v>
      </c>
      <c r="P73" s="157" t="n">
        <v>2.94</v>
      </c>
      <c r="Q73" s="159">
        <f>K73-P73</f>
        <v/>
      </c>
      <c r="R73" s="157" t="n">
        <v>100.964</v>
      </c>
      <c r="S73" s="159">
        <f>(O73*T73)/100</f>
        <v/>
      </c>
      <c r="T73" s="157" t="n">
        <v>3.99</v>
      </c>
      <c r="U73" s="157" t="n">
        <v>30055</v>
      </c>
      <c r="V73" s="157" t="n">
        <v>27.44</v>
      </c>
      <c r="W73" s="159">
        <f>U73/V73</f>
        <v/>
      </c>
      <c r="X73" s="159">
        <f>(W73/U73)*100</f>
        <v/>
      </c>
      <c r="Y73" s="157" t="n">
        <v>9620.700000000001</v>
      </c>
      <c r="Z73" s="157" t="n">
        <v>24.88</v>
      </c>
      <c r="AA73" s="159">
        <f>Y73/Z73</f>
        <v/>
      </c>
      <c r="AB73" s="159">
        <f>(AA73/Y73)*100</f>
        <v/>
      </c>
    </row>
    <row r="74" ht="12.95" customHeight="1">
      <c r="A74" s="155" t="n">
        <v>73</v>
      </c>
      <c r="B74" s="156" t="n">
        <v>44671</v>
      </c>
      <c r="C74" s="157" t="n">
        <v>26831582.73</v>
      </c>
      <c r="D74" s="174">
        <f>C74/E74</f>
        <v/>
      </c>
      <c r="E74" s="157" t="n">
        <v>76.26900000000001</v>
      </c>
      <c r="F74" s="159">
        <f>D74/100000</f>
        <v/>
      </c>
      <c r="G74" s="159">
        <f>(F74/DataSheet!$C$9*100)</f>
        <v/>
      </c>
      <c r="H74" s="159">
        <f>K74/I74</f>
        <v/>
      </c>
      <c r="I74" s="159">
        <f>(J74/L74)*100</f>
        <v/>
      </c>
      <c r="J74" s="159">
        <f>L74/O74</f>
        <v/>
      </c>
      <c r="K74" s="157" t="n">
        <v>7.105</v>
      </c>
      <c r="L74" s="157" t="n">
        <v>17136.55</v>
      </c>
      <c r="M74" s="157" t="n">
        <v>4.38</v>
      </c>
      <c r="N74" s="159">
        <f>K74-I74</f>
        <v/>
      </c>
      <c r="O74" s="157" t="n">
        <v>22.33</v>
      </c>
      <c r="P74" s="157" t="n">
        <v>2.834</v>
      </c>
      <c r="Q74" s="159">
        <f>K74-P74</f>
        <v/>
      </c>
      <c r="R74" s="157" t="n">
        <v>100.417</v>
      </c>
      <c r="S74" s="159">
        <f>(O74*T74)/100</f>
        <v/>
      </c>
      <c r="T74" s="157" t="n">
        <v>3.97</v>
      </c>
      <c r="U74" s="157" t="n">
        <v>30279.25</v>
      </c>
      <c r="V74" s="157" t="n">
        <v>27.62</v>
      </c>
      <c r="W74" s="159">
        <f>U74/V74</f>
        <v/>
      </c>
      <c r="X74" s="159">
        <f>(W74/U74)*100</f>
        <v/>
      </c>
      <c r="Y74" s="157" t="n">
        <v>9622.75</v>
      </c>
      <c r="Z74" s="157" t="n">
        <v>24.88</v>
      </c>
      <c r="AA74" s="159">
        <f>Y74/Z74</f>
        <v/>
      </c>
      <c r="AB74" s="159">
        <f>(AA74/Y74)*100</f>
        <v/>
      </c>
    </row>
    <row r="75" ht="12.95" customHeight="1">
      <c r="A75" s="155" t="n">
        <v>74</v>
      </c>
      <c r="B75" s="156" t="n">
        <v>44672</v>
      </c>
      <c r="C75" s="157" t="n">
        <v>27186575.2</v>
      </c>
      <c r="D75" s="174">
        <f>C75/E75</f>
        <v/>
      </c>
      <c r="E75" s="157" t="n">
        <v>76.262</v>
      </c>
      <c r="F75" s="159">
        <f>D75/100000</f>
        <v/>
      </c>
      <c r="G75" s="159">
        <f>(F75/DataSheet!$C$9*100)</f>
        <v/>
      </c>
      <c r="H75" s="159">
        <f>K75/I75</f>
        <v/>
      </c>
      <c r="I75" s="159">
        <f>(J75/L75)*100</f>
        <v/>
      </c>
      <c r="J75" s="159">
        <f>L75/O75</f>
        <v/>
      </c>
      <c r="K75" s="157" t="n">
        <v>7.144</v>
      </c>
      <c r="L75" s="157" t="n">
        <v>17392.6</v>
      </c>
      <c r="M75" s="157" t="n">
        <v>4.44</v>
      </c>
      <c r="N75" s="159">
        <f>K75-I75</f>
        <v/>
      </c>
      <c r="O75" s="157" t="n">
        <v>22.67</v>
      </c>
      <c r="P75" s="157" t="n">
        <v>2.908</v>
      </c>
      <c r="Q75" s="159">
        <f>K75-P75</f>
        <v/>
      </c>
      <c r="R75" s="157" t="n">
        <v>100.614</v>
      </c>
      <c r="S75" s="159">
        <f>(O75*T75)/100</f>
        <v/>
      </c>
      <c r="T75" s="157" t="n">
        <v>3.97</v>
      </c>
      <c r="U75" s="157" t="n">
        <v>30603.3</v>
      </c>
      <c r="V75" s="157" t="n">
        <v>27.9</v>
      </c>
      <c r="W75" s="159">
        <f>U75/V75</f>
        <v/>
      </c>
      <c r="X75" s="159">
        <f>(W75/U75)*100</f>
        <v/>
      </c>
      <c r="Y75" s="157" t="n">
        <v>9744.85</v>
      </c>
      <c r="Z75" s="157" t="n">
        <v>25.21</v>
      </c>
      <c r="AA75" s="159">
        <f>Y75/Z75</f>
        <v/>
      </c>
      <c r="AB75" s="159">
        <f>(AA75/Y75)*100</f>
        <v/>
      </c>
    </row>
    <row r="76" ht="12.95" customHeight="1">
      <c r="A76" s="155" t="n">
        <v>75</v>
      </c>
      <c r="B76" s="156" t="n">
        <v>44673</v>
      </c>
      <c r="C76" s="157" t="n">
        <v>26970102.96</v>
      </c>
      <c r="D76" s="174">
        <f>C76/E76</f>
        <v/>
      </c>
      <c r="E76" s="157" t="n">
        <v>76.47499999999999</v>
      </c>
      <c r="F76" s="159">
        <f>D76/100000</f>
        <v/>
      </c>
      <c r="G76" s="159">
        <f>(F76/DataSheet!$C$9*100)</f>
        <v/>
      </c>
      <c r="H76" s="159">
        <f>K76/I76</f>
        <v/>
      </c>
      <c r="I76" s="159">
        <f>(J76/L76)*100</f>
        <v/>
      </c>
      <c r="J76" s="159">
        <f>L76/O76</f>
        <v/>
      </c>
      <c r="K76" s="157" t="n">
        <v>7.167</v>
      </c>
      <c r="L76" s="157" t="n">
        <v>17171.95</v>
      </c>
      <c r="M76" s="157" t="n">
        <v>4.39</v>
      </c>
      <c r="N76" s="159">
        <f>K76-I76</f>
        <v/>
      </c>
      <c r="O76" s="157" t="n">
        <v>22.38</v>
      </c>
      <c r="P76" s="157" t="n">
        <v>2.905</v>
      </c>
      <c r="Q76" s="159">
        <f>K76-P76</f>
        <v/>
      </c>
      <c r="R76" s="157" t="n">
        <v>101.213</v>
      </c>
      <c r="S76" s="159">
        <f>(O76*T76)/100</f>
        <v/>
      </c>
      <c r="T76" s="157" t="n">
        <v>3.98</v>
      </c>
      <c r="U76" s="157" t="n">
        <v>30315.85</v>
      </c>
      <c r="V76" s="157" t="n">
        <v>27.66</v>
      </c>
      <c r="W76" s="159">
        <f>U76/V76</f>
        <v/>
      </c>
      <c r="X76" s="159">
        <f>(W76/U76)*100</f>
        <v/>
      </c>
      <c r="Y76" s="157" t="n">
        <v>9720.299999999999</v>
      </c>
      <c r="Z76" s="157" t="n">
        <v>25.11</v>
      </c>
      <c r="AA76" s="159">
        <f>Y76/Z76</f>
        <v/>
      </c>
      <c r="AB76" s="159">
        <f>(AA76/Y76)*100</f>
        <v/>
      </c>
    </row>
    <row r="77" ht="12.95" customHeight="1">
      <c r="A77" s="155" t="n">
        <v>76</v>
      </c>
      <c r="B77" s="156" t="n">
        <v>44676</v>
      </c>
      <c r="C77" s="157" t="n">
        <v>26531107.77</v>
      </c>
      <c r="D77" s="174">
        <f>C77/E77</f>
        <v/>
      </c>
      <c r="E77" s="157" t="n">
        <v>76.748</v>
      </c>
      <c r="F77" s="159">
        <f>D77/100000</f>
        <v/>
      </c>
      <c r="G77" s="159">
        <f>(F77/DataSheet!$C$9*100)</f>
        <v/>
      </c>
      <c r="H77" s="159">
        <f>K77/I77</f>
        <v/>
      </c>
      <c r="I77" s="159">
        <f>(J77/L77)*100</f>
        <v/>
      </c>
      <c r="J77" s="159">
        <f>L77/O77</f>
        <v/>
      </c>
      <c r="K77" s="157" t="n">
        <v>7.043</v>
      </c>
      <c r="L77" s="157" t="n">
        <v>16953.95</v>
      </c>
      <c r="M77" s="157" t="n">
        <v>4.33</v>
      </c>
      <c r="N77" s="159">
        <f>K77-I77</f>
        <v/>
      </c>
      <c r="O77" s="157" t="n">
        <v>22.03</v>
      </c>
      <c r="P77" s="157" t="n">
        <v>2.818</v>
      </c>
      <c r="Q77" s="159">
        <f>K77-P77</f>
        <v/>
      </c>
      <c r="R77" s="157" t="n">
        <v>101.769</v>
      </c>
      <c r="S77" s="159">
        <f>(O77*T77)/100</f>
        <v/>
      </c>
      <c r="T77" s="157" t="n">
        <v>3.96</v>
      </c>
      <c r="U77" s="157" t="n">
        <v>29733.1</v>
      </c>
      <c r="V77" s="157" t="n">
        <v>27.13</v>
      </c>
      <c r="W77" s="159">
        <f>U77/V77</f>
        <v/>
      </c>
      <c r="X77" s="159">
        <f>(W77/U77)*100</f>
        <v/>
      </c>
      <c r="Y77" s="157" t="n">
        <v>9526.049999999999</v>
      </c>
      <c r="Z77" s="157" t="n">
        <v>24.59</v>
      </c>
      <c r="AA77" s="159">
        <f>Y77/Z77</f>
        <v/>
      </c>
      <c r="AB77" s="159">
        <f>(AA77/Y77)*100</f>
        <v/>
      </c>
    </row>
    <row r="78" ht="12.95" customHeight="1">
      <c r="A78" s="155" t="n">
        <v>77</v>
      </c>
      <c r="B78" s="156" t="n">
        <v>44677</v>
      </c>
      <c r="C78" s="157" t="n">
        <v>26957024.62</v>
      </c>
      <c r="D78" s="174">
        <f>C78/E78</f>
        <v/>
      </c>
      <c r="E78" s="157" t="n">
        <v>76.68000000000001</v>
      </c>
      <c r="F78" s="159">
        <f>D78/100000</f>
        <v/>
      </c>
      <c r="G78" s="159">
        <f>(F78/DataSheet!$C$9*100)</f>
        <v/>
      </c>
      <c r="H78" s="159">
        <f>K78/I78</f>
        <v/>
      </c>
      <c r="I78" s="159">
        <f>(J78/L78)*100</f>
        <v/>
      </c>
      <c r="J78" s="159">
        <f>L78/O78</f>
        <v/>
      </c>
      <c r="K78" s="157" t="n">
        <v>7.053</v>
      </c>
      <c r="L78" s="157" t="n">
        <v>17200.8</v>
      </c>
      <c r="M78" s="157" t="n">
        <v>4.39</v>
      </c>
      <c r="N78" s="159">
        <f>K78-I78</f>
        <v/>
      </c>
      <c r="O78" s="157" t="n">
        <v>22.17</v>
      </c>
      <c r="P78" s="157" t="n">
        <v>2.728</v>
      </c>
      <c r="Q78" s="159">
        <f>K78-P78</f>
        <v/>
      </c>
      <c r="R78" s="157" t="n">
        <v>102.318</v>
      </c>
      <c r="S78" s="159">
        <f>(O78*T78)/100</f>
        <v/>
      </c>
      <c r="T78" s="157" t="n">
        <v>3.98</v>
      </c>
      <c r="U78" s="157" t="n">
        <v>30215.35</v>
      </c>
      <c r="V78" s="157" t="n">
        <v>27.51</v>
      </c>
      <c r="W78" s="159">
        <f>U78/V78</f>
        <v/>
      </c>
      <c r="X78" s="159">
        <f>(W78/U78)*100</f>
        <v/>
      </c>
      <c r="Y78" s="157" t="n">
        <v>9623.75</v>
      </c>
      <c r="Z78" s="157" t="n">
        <v>24.84</v>
      </c>
      <c r="AA78" s="159">
        <f>Y78/Z78</f>
        <v/>
      </c>
      <c r="AB78" s="159">
        <f>(AA78/Y78)*100</f>
        <v/>
      </c>
    </row>
    <row r="79" ht="12.95" customHeight="1">
      <c r="A79" s="155" t="n">
        <v>78</v>
      </c>
      <c r="B79" s="156" t="n">
        <v>44678</v>
      </c>
      <c r="C79" s="157" t="n">
        <v>26703134.67</v>
      </c>
      <c r="D79" s="174">
        <f>C79/E79</f>
        <v/>
      </c>
      <c r="E79" s="157" t="n">
        <v>76.63200000000001</v>
      </c>
      <c r="F79" s="159">
        <f>D79/100000</f>
        <v/>
      </c>
      <c r="G79" s="159">
        <f>(F79/DataSheet!$C$9*100)</f>
        <v/>
      </c>
      <c r="H79" s="159">
        <f>K79/I79</f>
        <v/>
      </c>
      <c r="I79" s="159">
        <f>(J79/L79)*100</f>
        <v/>
      </c>
      <c r="J79" s="159">
        <f>L79/O79</f>
        <v/>
      </c>
      <c r="K79" s="157" t="n">
        <v>7.083</v>
      </c>
      <c r="L79" s="157" t="n">
        <v>17038.4</v>
      </c>
      <c r="M79" s="157" t="n">
        <v>4.35</v>
      </c>
      <c r="N79" s="159">
        <f>K79-I79</f>
        <v/>
      </c>
      <c r="O79" s="157" t="n">
        <v>21.96</v>
      </c>
      <c r="P79" s="157" t="n">
        <v>2.826</v>
      </c>
      <c r="Q79" s="159">
        <f>K79-P79</f>
        <v/>
      </c>
      <c r="R79" s="157" t="n">
        <v>102.963</v>
      </c>
      <c r="S79" s="159">
        <f>(O79*T79)/100</f>
        <v/>
      </c>
      <c r="T79" s="157" t="n">
        <v>4</v>
      </c>
      <c r="U79" s="157" t="n">
        <v>29954.3</v>
      </c>
      <c r="V79" s="157" t="n">
        <v>27.28</v>
      </c>
      <c r="W79" s="159">
        <f>U79/V79</f>
        <v/>
      </c>
      <c r="X79" s="159">
        <f>(W79/U79)*100</f>
        <v/>
      </c>
      <c r="Y79" s="157" t="n">
        <v>9568.549999999999</v>
      </c>
      <c r="Z79" s="157" t="n">
        <v>24.64</v>
      </c>
      <c r="AA79" s="159">
        <f>Y79/Z79</f>
        <v/>
      </c>
      <c r="AB79" s="159">
        <f>(AA79/Y79)*100</f>
        <v/>
      </c>
    </row>
    <row r="80" ht="12.95" customHeight="1">
      <c r="A80" s="155" t="n">
        <v>79</v>
      </c>
      <c r="B80" s="156" t="n">
        <v>44679</v>
      </c>
      <c r="C80" s="157" t="n">
        <v>26954051.28</v>
      </c>
      <c r="D80" s="174">
        <f>C80/E80</f>
        <v/>
      </c>
      <c r="E80" s="157" t="n">
        <v>76.67</v>
      </c>
      <c r="F80" s="159">
        <f>D80/100000</f>
        <v/>
      </c>
      <c r="G80" s="159">
        <f>(F80/DataSheet!$C$9*100)</f>
        <v/>
      </c>
      <c r="H80" s="159">
        <f>K80/I80</f>
        <v/>
      </c>
      <c r="I80" s="159">
        <f>(J80/L80)*100</f>
        <v/>
      </c>
      <c r="J80" s="159">
        <f>L80/O80</f>
        <v/>
      </c>
      <c r="K80" s="157" t="n">
        <v>7.155</v>
      </c>
      <c r="L80" s="157" t="n">
        <v>17245.05</v>
      </c>
      <c r="M80" s="157" t="n">
        <v>4.41</v>
      </c>
      <c r="N80" s="159">
        <f>K80-I80</f>
        <v/>
      </c>
      <c r="O80" s="157" t="n">
        <v>22.2</v>
      </c>
      <c r="P80" s="157" t="n">
        <v>2.832</v>
      </c>
      <c r="Q80" s="159">
        <f>K80-P80</f>
        <v/>
      </c>
      <c r="R80" s="157" t="n">
        <v>103.659</v>
      </c>
      <c r="S80" s="159">
        <f>(O80*T80)/100</f>
        <v/>
      </c>
      <c r="T80" s="157" t="n">
        <v>4.01</v>
      </c>
      <c r="U80" s="157" t="n">
        <v>30134.6</v>
      </c>
      <c r="V80" s="157" t="n">
        <v>27.4</v>
      </c>
      <c r="W80" s="159">
        <f>U80/V80</f>
        <v/>
      </c>
      <c r="X80" s="159">
        <f>(W80/U80)*100</f>
        <v/>
      </c>
      <c r="Y80" s="157" t="n">
        <v>9593.75</v>
      </c>
      <c r="Z80" s="157" t="n">
        <v>24.7</v>
      </c>
      <c r="AA80" s="159">
        <f>Y80/Z80</f>
        <v/>
      </c>
      <c r="AB80" s="159">
        <f>(AA80/Y80)*100</f>
        <v/>
      </c>
    </row>
    <row r="81" ht="12.95" customHeight="1">
      <c r="A81" s="155" t="n">
        <v>80</v>
      </c>
      <c r="B81" s="156" t="n">
        <v>44680</v>
      </c>
      <c r="C81" s="157" t="n">
        <v>26700754.77</v>
      </c>
      <c r="D81" s="174">
        <f>C81/E81</f>
        <v/>
      </c>
      <c r="E81" s="157" t="n">
        <v>76.535</v>
      </c>
      <c r="F81" s="159">
        <f>D81/100000</f>
        <v/>
      </c>
      <c r="G81" s="159">
        <f>(F81/DataSheet!$C$9*100)</f>
        <v/>
      </c>
      <c r="H81" s="159">
        <f>K81/I81</f>
        <v/>
      </c>
      <c r="I81" s="159">
        <f>(J81/L81)*100</f>
        <v/>
      </c>
      <c r="J81" s="159">
        <f>L81/O81</f>
        <v/>
      </c>
      <c r="K81" s="157" t="n">
        <v>7.139</v>
      </c>
      <c r="L81" s="157" t="n">
        <v>17102.55</v>
      </c>
      <c r="M81" s="157" t="n">
        <v>4.37</v>
      </c>
      <c r="N81" s="159">
        <f>K81-I81</f>
        <v/>
      </c>
      <c r="O81" s="157" t="n">
        <v>22.01</v>
      </c>
      <c r="P81" s="157" t="n">
        <v>2.938</v>
      </c>
      <c r="Q81" s="159">
        <f>K81-P81</f>
        <v/>
      </c>
      <c r="R81" s="157" t="n">
        <v>102.963</v>
      </c>
      <c r="S81" s="159">
        <f>(O81*T81)/100</f>
        <v/>
      </c>
      <c r="T81" s="157" t="n">
        <v>4.03</v>
      </c>
      <c r="U81" s="157" t="n">
        <v>29880.35</v>
      </c>
      <c r="V81" s="157" t="n">
        <v>27.11</v>
      </c>
      <c r="W81" s="159">
        <f>U81/V81</f>
        <v/>
      </c>
      <c r="X81" s="159">
        <f>(W81/U81)*100</f>
        <v/>
      </c>
      <c r="Y81" s="157" t="n">
        <v>9493.299999999999</v>
      </c>
      <c r="Z81" s="157" t="n">
        <v>24.46</v>
      </c>
      <c r="AA81" s="159">
        <f>Y81/Z81</f>
        <v/>
      </c>
      <c r="AB81" s="159">
        <f>(AA81/Y81)*100</f>
        <v/>
      </c>
    </row>
    <row r="82" ht="12.95" customHeight="1">
      <c r="A82" s="155" t="n">
        <v>81</v>
      </c>
      <c r="B82" s="156" t="n">
        <v>44683</v>
      </c>
      <c r="C82" s="157" t="n">
        <v>26590543.35</v>
      </c>
      <c r="D82" s="174">
        <f>C82/E82</f>
        <v/>
      </c>
      <c r="E82" s="157" t="n">
        <v>76.485</v>
      </c>
      <c r="F82" s="159">
        <f>D82/100000</f>
        <v/>
      </c>
      <c r="G82" s="159">
        <f>(F82/DataSheet!$C$9*100)</f>
        <v/>
      </c>
      <c r="H82" s="159">
        <f>K82/I82</f>
        <v/>
      </c>
      <c r="I82" s="159">
        <f>(J82/L82)*100</f>
        <v/>
      </c>
      <c r="J82" s="159">
        <f>L82/O82</f>
        <v/>
      </c>
      <c r="K82" s="157" t="n">
        <v>7.119</v>
      </c>
      <c r="L82" s="157" t="n">
        <v>17069.1</v>
      </c>
      <c r="M82" s="157" t="n">
        <v>4.36</v>
      </c>
      <c r="N82" s="159">
        <f>K82-I82</f>
        <v/>
      </c>
      <c r="O82" s="157" t="n">
        <v>21.87</v>
      </c>
      <c r="P82" s="157" t="n">
        <v>2.977</v>
      </c>
      <c r="Q82" s="159">
        <f>K82-P82</f>
        <v/>
      </c>
      <c r="R82" s="157" t="n">
        <v>103.766</v>
      </c>
      <c r="S82" s="159">
        <f>(O82*T82)/100</f>
        <v/>
      </c>
      <c r="T82" s="157" t="n">
        <v>4.03</v>
      </c>
      <c r="U82" s="157" t="n">
        <v>29703.4</v>
      </c>
      <c r="V82" s="157" t="n">
        <v>26.85</v>
      </c>
      <c r="W82" s="159">
        <f>U82/V82</f>
        <v/>
      </c>
      <c r="X82" s="159">
        <f>(W82/U82)*100</f>
        <v/>
      </c>
      <c r="Y82" s="157" t="n">
        <v>9397.75</v>
      </c>
      <c r="Z82" s="157" t="n">
        <v>24.25</v>
      </c>
      <c r="AA82" s="159">
        <f>Y82/Z82</f>
        <v/>
      </c>
      <c r="AB82" s="159">
        <f>(AA82/Y82)*100</f>
        <v/>
      </c>
    </row>
    <row r="83" ht="12.95" customHeight="1">
      <c r="A83" s="155" t="n">
        <v>82</v>
      </c>
      <c r="B83" s="156" t="n">
        <v>44685</v>
      </c>
      <c r="C83" s="157" t="n">
        <v>25965774</v>
      </c>
      <c r="D83" s="174">
        <f>C83/E83</f>
        <v/>
      </c>
      <c r="E83" s="157" t="n">
        <v>76.282</v>
      </c>
      <c r="F83" s="159">
        <f>D83/100000</f>
        <v/>
      </c>
      <c r="G83" s="159">
        <f>(F83/DataSheet!$C$9*100)</f>
        <v/>
      </c>
      <c r="H83" s="159">
        <f>K83/I83</f>
        <v/>
      </c>
      <c r="I83" s="159">
        <f>(J83/L83)*100</f>
        <v/>
      </c>
      <c r="J83" s="159">
        <f>L83/O83</f>
        <v/>
      </c>
      <c r="K83" s="157" t="n">
        <v>7.378</v>
      </c>
      <c r="L83" s="157" t="n">
        <v>16677.6</v>
      </c>
      <c r="M83" s="157" t="n">
        <v>4.26</v>
      </c>
      <c r="N83" s="159">
        <f>K83-I83</f>
        <v/>
      </c>
      <c r="O83" s="157" t="n">
        <v>21.31</v>
      </c>
      <c r="P83" s="157" t="n">
        <v>2.946</v>
      </c>
      <c r="Q83" s="159">
        <f>K83-P83</f>
        <v/>
      </c>
      <c r="R83" s="157" t="n">
        <v>102.594</v>
      </c>
      <c r="S83" s="159">
        <f>(O83*T83)/100</f>
        <v/>
      </c>
      <c r="T83" s="157" t="n">
        <v>4.37</v>
      </c>
      <c r="U83" s="157" t="n">
        <v>29074.3</v>
      </c>
      <c r="V83" s="157" t="n">
        <v>25.39</v>
      </c>
      <c r="W83" s="159">
        <f>U83/V83</f>
        <v/>
      </c>
      <c r="X83" s="159">
        <f>(W83/U83)*100</f>
        <v/>
      </c>
      <c r="Y83" s="157" t="n">
        <v>9183.4</v>
      </c>
      <c r="Z83" s="157" t="n">
        <v>23.69</v>
      </c>
      <c r="AA83" s="159">
        <f>Y83/Z83</f>
        <v/>
      </c>
      <c r="AB83" s="159">
        <f>(AA83/Y83)*100</f>
        <v/>
      </c>
    </row>
    <row r="84" ht="12.95" customHeight="1">
      <c r="A84" s="155" t="n">
        <v>83</v>
      </c>
      <c r="B84" s="156" t="n">
        <v>44686</v>
      </c>
      <c r="C84" s="157" t="n">
        <v>25968728.98</v>
      </c>
      <c r="D84" s="174">
        <f>C84/E84</f>
        <v/>
      </c>
      <c r="E84" s="157" t="n">
        <v>76.514</v>
      </c>
      <c r="F84" s="159">
        <f>D84/100000</f>
        <v/>
      </c>
      <c r="G84" s="159">
        <f>(F84/DataSheet!$C$9*100)</f>
        <v/>
      </c>
      <c r="H84" s="159">
        <f>K84/I84</f>
        <v/>
      </c>
      <c r="I84" s="159">
        <f>(J84/L84)*100</f>
        <v/>
      </c>
      <c r="J84" s="159">
        <f>L84/O84</f>
        <v/>
      </c>
      <c r="K84" s="157" t="n">
        <v>7.403</v>
      </c>
      <c r="L84" s="157" t="n">
        <v>16682.65</v>
      </c>
      <c r="M84" s="157" t="n">
        <v>4.26</v>
      </c>
      <c r="N84" s="159">
        <f>K84-I84</f>
        <v/>
      </c>
      <c r="O84" s="157" t="n">
        <v>21.24</v>
      </c>
      <c r="P84" s="157" t="n">
        <v>3.035</v>
      </c>
      <c r="Q84" s="159">
        <f>K84-P84</f>
        <v/>
      </c>
      <c r="R84" s="157" t="n">
        <v>103.802</v>
      </c>
      <c r="S84" s="159">
        <f>(O84*T84)/100</f>
        <v/>
      </c>
      <c r="T84" s="157" t="n">
        <v>4.58</v>
      </c>
      <c r="U84" s="157" t="n">
        <v>29104.35</v>
      </c>
      <c r="V84" s="157" t="n">
        <v>25.37</v>
      </c>
      <c r="W84" s="159">
        <f>U84/V84</f>
        <v/>
      </c>
      <c r="X84" s="159">
        <f>(W84/U84)*100</f>
        <v/>
      </c>
      <c r="Y84" s="157" t="n">
        <v>9126.700000000001</v>
      </c>
      <c r="Z84" s="157" t="n">
        <v>23.41</v>
      </c>
      <c r="AA84" s="159">
        <f>Y84/Z84</f>
        <v/>
      </c>
      <c r="AB84" s="159">
        <f>(AA84/Y84)*100</f>
        <v/>
      </c>
    </row>
    <row r="85" ht="12.95" customHeight="1">
      <c r="A85" s="155" t="n">
        <v>84</v>
      </c>
      <c r="B85" s="156" t="n">
        <v>44687</v>
      </c>
      <c r="C85" s="157" t="n">
        <v>25519918.56</v>
      </c>
      <c r="D85" s="174">
        <f>C85/E85</f>
        <v/>
      </c>
      <c r="E85" s="157" t="n">
        <v>76.979</v>
      </c>
      <c r="F85" s="159">
        <f>D85/100000</f>
        <v/>
      </c>
      <c r="G85" s="159">
        <f>(F85/DataSheet!$C$9*100)</f>
        <v/>
      </c>
      <c r="H85" s="159">
        <f>K85/I85</f>
        <v/>
      </c>
      <c r="I85" s="159">
        <f>(J85/L85)*100</f>
        <v/>
      </c>
      <c r="J85" s="159">
        <f>L85/O85</f>
        <v/>
      </c>
      <c r="K85" s="157" t="n">
        <v>7.451</v>
      </c>
      <c r="L85" s="157" t="n">
        <v>16411.25</v>
      </c>
      <c r="M85" s="157" t="n">
        <v>4.19</v>
      </c>
      <c r="N85" s="159">
        <f>K85-I85</f>
        <v/>
      </c>
      <c r="O85" s="157" t="n">
        <v>20.89</v>
      </c>
      <c r="P85" s="157" t="n">
        <v>3.142</v>
      </c>
      <c r="Q85" s="159">
        <f>K85-P85</f>
        <v/>
      </c>
      <c r="R85" s="157" t="n">
        <v>103.694</v>
      </c>
      <c r="S85" s="159">
        <f>(O85*T85)/100</f>
        <v/>
      </c>
      <c r="T85" s="157" t="n">
        <v>4.58</v>
      </c>
      <c r="U85" s="157" t="n">
        <v>28584.2</v>
      </c>
      <c r="V85" s="157" t="n">
        <v>24.93</v>
      </c>
      <c r="W85" s="159">
        <f>U85/V85</f>
        <v/>
      </c>
      <c r="X85" s="159">
        <f>(W85/U85)*100</f>
        <v/>
      </c>
      <c r="Y85" s="157" t="n">
        <v>8919.450000000001</v>
      </c>
      <c r="Z85" s="157" t="n">
        <v>22.88</v>
      </c>
      <c r="AA85" s="159">
        <f>Y85/Z85</f>
        <v/>
      </c>
      <c r="AB85" s="159">
        <f>(AA85/Y85)*100</f>
        <v/>
      </c>
    </row>
    <row r="86" ht="12.95" customHeight="1">
      <c r="A86" s="155" t="n">
        <v>85</v>
      </c>
      <c r="B86" s="156" t="n">
        <v>44690</v>
      </c>
      <c r="C86" s="157" t="n">
        <v>25189780.97</v>
      </c>
      <c r="D86" s="174">
        <f>C86/E86</f>
        <v/>
      </c>
      <c r="E86" s="157" t="n">
        <v>77.36499999999999</v>
      </c>
      <c r="F86" s="159">
        <f>D86/100000</f>
        <v/>
      </c>
      <c r="G86" s="159">
        <f>(F86/DataSheet!$C$9*100)</f>
        <v/>
      </c>
      <c r="H86" s="159">
        <f>K86/I86</f>
        <v/>
      </c>
      <c r="I86" s="159">
        <f>(J86/L86)*100</f>
        <v/>
      </c>
      <c r="J86" s="159">
        <f>L86/O86</f>
        <v/>
      </c>
      <c r="K86" s="157" t="n">
        <v>7.465</v>
      </c>
      <c r="L86" s="157" t="n">
        <v>16301.85</v>
      </c>
      <c r="M86" s="157" t="n">
        <v>4.17</v>
      </c>
      <c r="N86" s="159">
        <f>K86-I86</f>
        <v/>
      </c>
      <c r="O86" s="157" t="n">
        <v>20.75</v>
      </c>
      <c r="P86" s="157" t="n">
        <v>3.034</v>
      </c>
      <c r="Q86" s="159">
        <f>K86-P86</f>
        <v/>
      </c>
      <c r="R86" s="157" t="n">
        <v>103.689</v>
      </c>
      <c r="S86" s="159">
        <f>(O86*T86)/100</f>
        <v/>
      </c>
      <c r="T86" s="157" t="n">
        <v>4.62</v>
      </c>
      <c r="U86" s="157" t="n">
        <v>28074.45</v>
      </c>
      <c r="V86" s="157" t="n">
        <v>24.44</v>
      </c>
      <c r="W86" s="159">
        <f>U86/V86</f>
        <v/>
      </c>
      <c r="X86" s="159">
        <f>(W86/U86)*100</f>
        <v/>
      </c>
      <c r="Y86" s="157" t="n">
        <v>8748.950000000001</v>
      </c>
      <c r="Z86" s="157" t="n">
        <v>22.45</v>
      </c>
      <c r="AA86" s="159">
        <f>Y86/Z86</f>
        <v/>
      </c>
      <c r="AB86" s="159">
        <f>(AA86/Y86)*100</f>
        <v/>
      </c>
    </row>
    <row r="87" ht="12.95" customHeight="1">
      <c r="A87" s="155" t="n">
        <v>86</v>
      </c>
      <c r="B87" s="156" t="n">
        <v>44691</v>
      </c>
      <c r="C87" s="157" t="n">
        <v>24835796.76</v>
      </c>
      <c r="D87" s="174">
        <f>C87/E87</f>
        <v/>
      </c>
      <c r="E87" s="157" t="n">
        <v>77.22499999999999</v>
      </c>
      <c r="F87" s="159">
        <f>D87/100000</f>
        <v/>
      </c>
      <c r="G87" s="159">
        <f>(F87/DataSheet!$C$9*100)</f>
        <v/>
      </c>
      <c r="H87" s="159">
        <f>K87/I87</f>
        <v/>
      </c>
      <c r="I87" s="159">
        <f>(J87/L87)*100</f>
        <v/>
      </c>
      <c r="J87" s="159">
        <f>L87/O87</f>
        <v/>
      </c>
      <c r="K87" s="157" t="n">
        <v>7.301</v>
      </c>
      <c r="L87" s="157" t="n">
        <v>16240.05</v>
      </c>
      <c r="M87" s="157" t="n">
        <v>4.15</v>
      </c>
      <c r="N87" s="159">
        <f>K87-I87</f>
        <v/>
      </c>
      <c r="O87" s="157" t="n">
        <v>20.42</v>
      </c>
      <c r="P87" s="157" t="n">
        <v>2.989</v>
      </c>
      <c r="Q87" s="159">
        <f>K87-P87</f>
        <v/>
      </c>
      <c r="R87" s="157" t="n">
        <v>103.943</v>
      </c>
      <c r="S87" s="159">
        <f>(O87*T87)/100</f>
        <v/>
      </c>
      <c r="T87" s="157" t="n">
        <v>4.63</v>
      </c>
      <c r="U87" s="157" t="n">
        <v>27548.6</v>
      </c>
      <c r="V87" s="157" t="n">
        <v>23.71</v>
      </c>
      <c r="W87" s="159">
        <f>U87/V87</f>
        <v/>
      </c>
      <c r="X87" s="159">
        <f>(W87/U87)*100</f>
        <v/>
      </c>
      <c r="Y87" s="157" t="n">
        <v>8569.1</v>
      </c>
      <c r="Z87" s="157" t="n">
        <v>21.75</v>
      </c>
      <c r="AA87" s="159">
        <f>Y87/Z87</f>
        <v/>
      </c>
      <c r="AB87" s="159">
        <f>(AA87/Y87)*100</f>
        <v/>
      </c>
    </row>
    <row r="88" ht="12.95" customHeight="1">
      <c r="A88" s="155" t="n">
        <v>87</v>
      </c>
      <c r="B88" s="156" t="n">
        <v>44692</v>
      </c>
      <c r="C88" s="157" t="n">
        <v>24622589.25</v>
      </c>
      <c r="D88" s="174">
        <f>C88/E88</f>
        <v/>
      </c>
      <c r="E88" s="157" t="n">
        <v>77.425</v>
      </c>
      <c r="F88" s="159">
        <f>D88/100000</f>
        <v/>
      </c>
      <c r="G88" s="159">
        <f>(F88/DataSheet!$C$9*100)</f>
        <v/>
      </c>
      <c r="H88" s="159">
        <f>K88/I88</f>
        <v/>
      </c>
      <c r="I88" s="159">
        <f>(J88/L88)*100</f>
        <v/>
      </c>
      <c r="J88" s="159">
        <f>L88/O88</f>
        <v/>
      </c>
      <c r="K88" s="157" t="n">
        <v>7.215</v>
      </c>
      <c r="L88" s="157" t="n">
        <v>16167.1</v>
      </c>
      <c r="M88" s="157" t="n">
        <v>4.13</v>
      </c>
      <c r="N88" s="159">
        <f>K88-I88</f>
        <v/>
      </c>
      <c r="O88" s="157" t="n">
        <v>20.32</v>
      </c>
      <c r="P88" s="157" t="n">
        <v>2.925</v>
      </c>
      <c r="Q88" s="159">
        <f>K88-P88</f>
        <v/>
      </c>
      <c r="R88" s="157" t="n">
        <v>103.874</v>
      </c>
      <c r="S88" s="159">
        <f>(O88*T88)/100</f>
        <v/>
      </c>
      <c r="T88" s="157" t="n">
        <v>4.75</v>
      </c>
      <c r="U88" s="157" t="n">
        <v>27450.8</v>
      </c>
      <c r="V88" s="157" t="n">
        <v>23.55</v>
      </c>
      <c r="W88" s="159">
        <f>U88/V88</f>
        <v/>
      </c>
      <c r="X88" s="159">
        <f>(W88/U88)*100</f>
        <v/>
      </c>
      <c r="Y88" s="157" t="n">
        <v>8340.65</v>
      </c>
      <c r="Z88" s="157" t="n">
        <v>20.87</v>
      </c>
      <c r="AA88" s="159">
        <f>Y88/Z88</f>
        <v/>
      </c>
      <c r="AB88" s="159">
        <f>(AA88/Y88)*100</f>
        <v/>
      </c>
    </row>
    <row r="89" ht="12.95" customHeight="1">
      <c r="A89" s="155" t="n">
        <v>88</v>
      </c>
      <c r="B89" s="156" t="n">
        <v>44693</v>
      </c>
      <c r="C89" s="157" t="n">
        <v>24080819.85</v>
      </c>
      <c r="D89" s="174">
        <f>C89/E89</f>
        <v/>
      </c>
      <c r="E89" s="157" t="n">
        <v>77.435</v>
      </c>
      <c r="F89" s="159">
        <f>D89/100000</f>
        <v/>
      </c>
      <c r="G89" s="159">
        <f>(F89/DataSheet!$C$9*100)</f>
        <v/>
      </c>
      <c r="H89" s="159">
        <f>K89/I89</f>
        <v/>
      </c>
      <c r="I89" s="159">
        <f>(J89/L89)*100</f>
        <v/>
      </c>
      <c r="J89" s="159">
        <f>L89/O89</f>
        <v/>
      </c>
      <c r="K89" s="157" t="n">
        <v>7.244</v>
      </c>
      <c r="L89" s="157" t="n">
        <v>15808</v>
      </c>
      <c r="M89" s="157" t="n">
        <v>4.04</v>
      </c>
      <c r="N89" s="159">
        <f>K89-I89</f>
        <v/>
      </c>
      <c r="O89" s="157" t="n">
        <v>19.87</v>
      </c>
      <c r="P89" s="157" t="n">
        <v>2.855</v>
      </c>
      <c r="Q89" s="159">
        <f>K89-P89</f>
        <v/>
      </c>
      <c r="R89" s="157" t="n">
        <v>104.897</v>
      </c>
      <c r="S89" s="159">
        <f>(O89*T89)/100</f>
        <v/>
      </c>
      <c r="T89" s="157" t="n">
        <v>4.84</v>
      </c>
      <c r="U89" s="157" t="n">
        <v>26810.05</v>
      </c>
      <c r="V89" s="157" t="n">
        <v>23.13</v>
      </c>
      <c r="W89" s="159">
        <f>U89/V89</f>
        <v/>
      </c>
      <c r="X89" s="159">
        <f>(W89/U89)*100</f>
        <v/>
      </c>
      <c r="Y89" s="157" t="n">
        <v>8202.15</v>
      </c>
      <c r="Z89" s="157" t="n">
        <v>20.55</v>
      </c>
      <c r="AA89" s="159">
        <f>Y89/Z89</f>
        <v/>
      </c>
      <c r="AB89" s="159">
        <f>(AA89/Y89)*100</f>
        <v/>
      </c>
    </row>
    <row r="90" ht="12.95" customHeight="1">
      <c r="A90" s="155" t="n">
        <v>89</v>
      </c>
      <c r="B90" s="156" t="n">
        <v>44694</v>
      </c>
      <c r="C90" s="157" t="n">
        <v>24124387.75</v>
      </c>
      <c r="D90" s="174">
        <f>C90/E90</f>
        <v/>
      </c>
      <c r="E90" s="157" t="n">
        <v>77.48</v>
      </c>
      <c r="F90" s="159">
        <f>D90/100000</f>
        <v/>
      </c>
      <c r="G90" s="159">
        <f>(F90/DataSheet!$C$9*100)</f>
        <v/>
      </c>
      <c r="H90" s="159">
        <f>K90/I90</f>
        <v/>
      </c>
      <c r="I90" s="159">
        <f>(J90/L90)*100</f>
        <v/>
      </c>
      <c r="J90" s="159">
        <f>L90/O90</f>
        <v/>
      </c>
      <c r="K90" s="157" t="n">
        <v>7.318</v>
      </c>
      <c r="L90" s="157" t="n">
        <v>15782.15</v>
      </c>
      <c r="M90" s="157" t="n">
        <v>4.03</v>
      </c>
      <c r="N90" s="159">
        <f>K90-I90</f>
        <v/>
      </c>
      <c r="O90" s="157" t="n">
        <v>19.83</v>
      </c>
      <c r="P90" s="157" t="n">
        <v>2.928</v>
      </c>
      <c r="Q90" s="159">
        <f>K90-P90</f>
        <v/>
      </c>
      <c r="R90" s="157" t="n">
        <v>104.621</v>
      </c>
      <c r="S90" s="159">
        <f>(O90*T90)/100</f>
        <v/>
      </c>
      <c r="T90" s="157" t="n">
        <v>4.9</v>
      </c>
      <c r="U90" s="157" t="n">
        <v>27085.65</v>
      </c>
      <c r="V90" s="157" t="n">
        <v>23.37</v>
      </c>
      <c r="W90" s="159">
        <f>U90/V90</f>
        <v/>
      </c>
      <c r="X90" s="159">
        <f>(W90/U90)*100</f>
        <v/>
      </c>
      <c r="Y90" s="157" t="n">
        <v>8286.200000000001</v>
      </c>
      <c r="Z90" s="157" t="n">
        <v>20.55</v>
      </c>
      <c r="AA90" s="159">
        <f>Y90/Z90</f>
        <v/>
      </c>
      <c r="AB90" s="159">
        <f>(AA90/Y90)*100</f>
        <v/>
      </c>
    </row>
    <row r="91" ht="12.95" customHeight="1">
      <c r="A91" s="155" t="n">
        <v>90</v>
      </c>
      <c r="B91" s="156" t="n">
        <v>44697</v>
      </c>
      <c r="C91" s="157" t="n">
        <v>24337162.7</v>
      </c>
      <c r="D91" s="174">
        <f>C91/E91</f>
        <v/>
      </c>
      <c r="E91" s="157" t="n">
        <v>77.833</v>
      </c>
      <c r="F91" s="159">
        <f>D91/100000</f>
        <v/>
      </c>
      <c r="G91" s="159">
        <f>(F91/DataSheet!$C$9*100)</f>
        <v/>
      </c>
      <c r="H91" s="159">
        <f>K91/I91</f>
        <v/>
      </c>
      <c r="I91" s="159">
        <f>(J91/L91)*100</f>
        <v/>
      </c>
      <c r="J91" s="159">
        <f>L91/O91</f>
        <v/>
      </c>
      <c r="K91" s="157" t="n">
        <v>7.318</v>
      </c>
      <c r="L91" s="157" t="n">
        <v>15842.3</v>
      </c>
      <c r="M91" s="157" t="n">
        <v>4.05</v>
      </c>
      <c r="N91" s="159">
        <f>K91-I91</f>
        <v/>
      </c>
      <c r="O91" s="157" t="n">
        <v>19.72</v>
      </c>
      <c r="P91" s="157" t="n">
        <v>2.886</v>
      </c>
      <c r="Q91" s="159">
        <f>K91-P91</f>
        <v/>
      </c>
      <c r="R91" s="157" t="n">
        <v>104.2</v>
      </c>
      <c r="S91" s="159">
        <f>(O91*T91)/100</f>
        <v/>
      </c>
      <c r="T91" s="157" t="n">
        <v>4.9</v>
      </c>
      <c r="U91" s="157" t="n">
        <v>27425.5</v>
      </c>
      <c r="V91" s="157" t="n">
        <v>23.65</v>
      </c>
      <c r="W91" s="159">
        <f>U91/V91</f>
        <v/>
      </c>
      <c r="X91" s="159">
        <f>(W91/U91)*100</f>
        <v/>
      </c>
      <c r="Y91" s="157" t="n">
        <v>8396.799999999999</v>
      </c>
      <c r="Z91" s="157" t="n">
        <v>20.6</v>
      </c>
      <c r="AA91" s="159">
        <f>Y91/Z91</f>
        <v/>
      </c>
      <c r="AB91" s="159">
        <f>(AA91/Y91)*100</f>
        <v/>
      </c>
    </row>
    <row r="92" ht="12.95" customHeight="1">
      <c r="A92" s="155" t="n">
        <v>91</v>
      </c>
      <c r="B92" s="156" t="n">
        <v>44698</v>
      </c>
      <c r="C92" s="157" t="n">
        <v>25545334.62</v>
      </c>
      <c r="D92" s="174">
        <f>C92/E92</f>
        <v/>
      </c>
      <c r="E92" s="157" t="n">
        <v>77.476</v>
      </c>
      <c r="F92" s="159">
        <f>D92/100000</f>
        <v/>
      </c>
      <c r="G92" s="159">
        <f>(F92/DataSheet!$C$9*100)</f>
        <v/>
      </c>
      <c r="H92" s="159">
        <f>K92/I92</f>
        <v/>
      </c>
      <c r="I92" s="159">
        <f>(J92/L92)*100</f>
        <v/>
      </c>
      <c r="J92" s="159">
        <f>L92/O92</f>
        <v/>
      </c>
      <c r="K92" s="157" t="n">
        <v>7.366</v>
      </c>
      <c r="L92" s="157" t="n">
        <v>16259.3</v>
      </c>
      <c r="M92" s="157" t="n">
        <v>4.15</v>
      </c>
      <c r="N92" s="159">
        <f>K92-I92</f>
        <v/>
      </c>
      <c r="O92" s="157" t="n">
        <v>20.12</v>
      </c>
      <c r="P92" s="157" t="n">
        <v>2.995</v>
      </c>
      <c r="Q92" s="159">
        <f>K92-P92</f>
        <v/>
      </c>
      <c r="R92" s="157" t="n">
        <v>103.407</v>
      </c>
      <c r="S92" s="159">
        <f>(O92*T92)/100</f>
        <v/>
      </c>
      <c r="T92" s="157" t="n">
        <v>4.88</v>
      </c>
      <c r="U92" s="157" t="n">
        <v>28172.9</v>
      </c>
      <c r="V92" s="157" t="n">
        <v>24.06</v>
      </c>
      <c r="W92" s="159">
        <f>U92/V92</f>
        <v/>
      </c>
      <c r="X92" s="159">
        <f>(W92/U92)*100</f>
        <v/>
      </c>
      <c r="Y92" s="157" t="n">
        <v>8638.1</v>
      </c>
      <c r="Z92" s="157" t="n">
        <v>21.05</v>
      </c>
      <c r="AA92" s="159">
        <f>Y92/Z92</f>
        <v/>
      </c>
      <c r="AB92" s="159">
        <f>(AA92/Y92)*100</f>
        <v/>
      </c>
    </row>
    <row r="93" ht="12.95" customHeight="1">
      <c r="A93" s="155" t="n">
        <v>92</v>
      </c>
      <c r="B93" s="156" t="n">
        <v>44699</v>
      </c>
      <c r="C93" s="157" t="n">
        <v>25569503.71</v>
      </c>
      <c r="D93" s="174">
        <f>C93/E93</f>
        <v/>
      </c>
      <c r="E93" s="157" t="n">
        <v>77.81</v>
      </c>
      <c r="F93" s="159">
        <f>D93/100000</f>
        <v/>
      </c>
      <c r="G93" s="159">
        <f>(F93/DataSheet!$C$9*100)</f>
        <v/>
      </c>
      <c r="H93" s="159">
        <f>K93/I93</f>
        <v/>
      </c>
      <c r="I93" s="159">
        <f>(J93/L93)*100</f>
        <v/>
      </c>
      <c r="J93" s="159">
        <f>L93/O93</f>
        <v/>
      </c>
      <c r="K93" s="157" t="n">
        <v>7.355</v>
      </c>
      <c r="L93" s="157" t="n">
        <v>16240.3</v>
      </c>
      <c r="M93" s="157" t="n">
        <v>4.15</v>
      </c>
      <c r="N93" s="159">
        <f>K93-I93</f>
        <v/>
      </c>
      <c r="O93" s="157" t="n">
        <v>20.09</v>
      </c>
      <c r="P93" s="157" t="n">
        <v>2.884</v>
      </c>
      <c r="Q93" s="159">
        <f>K93-P93</f>
        <v/>
      </c>
      <c r="R93" s="157" t="n">
        <v>103.862</v>
      </c>
      <c r="S93" s="159">
        <f>(O93*T93)/100</f>
        <v/>
      </c>
      <c r="T93" s="157" t="n">
        <v>4.89</v>
      </c>
      <c r="U93" s="157" t="n">
        <v>28111.7</v>
      </c>
      <c r="V93" s="157" t="n">
        <v>24.04</v>
      </c>
      <c r="W93" s="159">
        <f>U93/V93</f>
        <v/>
      </c>
      <c r="X93" s="159">
        <f>(W93/U93)*100</f>
        <v/>
      </c>
      <c r="Y93" s="157" t="n">
        <v>8667.200000000001</v>
      </c>
      <c r="Z93" s="157" t="n">
        <v>21.11</v>
      </c>
      <c r="AA93" s="159">
        <f>Y93/Z93</f>
        <v/>
      </c>
      <c r="AB93" s="159">
        <f>(AA93/Y93)*100</f>
        <v/>
      </c>
    </row>
    <row r="94" ht="12.95" customHeight="1">
      <c r="A94" s="155" t="n">
        <v>93</v>
      </c>
      <c r="B94" s="156" t="n">
        <v>44700</v>
      </c>
      <c r="C94" s="157" t="n">
        <v>24895998.57</v>
      </c>
      <c r="D94" s="174">
        <f>C94/E94</f>
        <v/>
      </c>
      <c r="E94" s="157" t="n">
        <v>77.41500000000001</v>
      </c>
      <c r="F94" s="159">
        <f>D94/100000</f>
        <v/>
      </c>
      <c r="G94" s="159">
        <f>(F94/DataSheet!$C$9*100)</f>
        <v/>
      </c>
      <c r="H94" s="159">
        <f>K94/I94</f>
        <v/>
      </c>
      <c r="I94" s="159">
        <f>(J94/L94)*100</f>
        <v/>
      </c>
      <c r="J94" s="159">
        <f>L94/O94</f>
        <v/>
      </c>
      <c r="K94" s="157" t="n">
        <v>7.32</v>
      </c>
      <c r="L94" s="157" t="n">
        <v>15809.4</v>
      </c>
      <c r="M94" s="157" t="n">
        <v>4.04</v>
      </c>
      <c r="N94" s="159">
        <f>K94-I94</f>
        <v/>
      </c>
      <c r="O94" s="157" t="n">
        <v>19.51</v>
      </c>
      <c r="P94" s="157" t="n">
        <v>2.837</v>
      </c>
      <c r="Q94" s="159">
        <f>K94-P94</f>
        <v/>
      </c>
      <c r="R94" s="157" t="n">
        <v>102.751</v>
      </c>
      <c r="S94" s="159">
        <f>(O94*T94)/100</f>
        <v/>
      </c>
      <c r="T94" s="157" t="n">
        <v>4.91</v>
      </c>
      <c r="U94" s="157" t="n">
        <v>27271.9</v>
      </c>
      <c r="V94" s="157" t="n">
        <v>23.4</v>
      </c>
      <c r="W94" s="159">
        <f>U94/V94</f>
        <v/>
      </c>
      <c r="X94" s="159">
        <f>(W94/U94)*100</f>
        <v/>
      </c>
      <c r="Y94" s="157" t="n">
        <v>8473.6</v>
      </c>
      <c r="Z94" s="157" t="n">
        <v>20.45</v>
      </c>
      <c r="AA94" s="159">
        <f>Y94/Z94</f>
        <v/>
      </c>
      <c r="AB94" s="159">
        <f>(AA94/Y94)*100</f>
        <v/>
      </c>
    </row>
    <row r="95" ht="12.95" customHeight="1">
      <c r="A95" s="155" t="n">
        <v>94</v>
      </c>
      <c r="B95" s="156" t="n">
        <v>44701</v>
      </c>
      <c r="C95" s="157" t="n">
        <v>25469969.58</v>
      </c>
      <c r="D95" s="174">
        <f>C95/E95</f>
        <v/>
      </c>
      <c r="E95" s="157" t="n">
        <v>77.86499999999999</v>
      </c>
      <c r="F95" s="159">
        <f>D95/100000</f>
        <v/>
      </c>
      <c r="G95" s="159">
        <f>(F95/DataSheet!$C$9*100)</f>
        <v/>
      </c>
      <c r="H95" s="159">
        <f>K95/I95</f>
        <v/>
      </c>
      <c r="I95" s="159">
        <f>(J95/L95)*100</f>
        <v/>
      </c>
      <c r="J95" s="159">
        <f>L95/O95</f>
        <v/>
      </c>
      <c r="K95" s="157" t="n">
        <v>7.359</v>
      </c>
      <c r="L95" s="157" t="n">
        <v>16266.15</v>
      </c>
      <c r="M95" s="157" t="n">
        <v>4.16</v>
      </c>
      <c r="N95" s="159">
        <f>K95-I95</f>
        <v/>
      </c>
      <c r="O95" s="157" t="n">
        <v>20.05</v>
      </c>
      <c r="P95" s="157" t="n">
        <v>2.788</v>
      </c>
      <c r="Q95" s="159">
        <f>K95-P95</f>
        <v/>
      </c>
      <c r="R95" s="157" t="n">
        <v>103.173</v>
      </c>
      <c r="S95" s="159">
        <f>(O95*T95)/100</f>
        <v/>
      </c>
      <c r="T95" s="157" t="n">
        <v>4.92</v>
      </c>
      <c r="U95" s="157" t="n">
        <v>27872.2</v>
      </c>
      <c r="V95" s="157" t="n">
        <v>23.67</v>
      </c>
      <c r="W95" s="159">
        <f>U95/V95</f>
        <v/>
      </c>
      <c r="X95" s="159">
        <f>(W95/U95)*100</f>
        <v/>
      </c>
      <c r="Y95" s="157" t="n">
        <v>8654.549999999999</v>
      </c>
      <c r="Z95" s="157" t="n">
        <v>20.86</v>
      </c>
      <c r="AA95" s="159">
        <f>Y95/Z95</f>
        <v/>
      </c>
      <c r="AB95" s="159">
        <f>(AA95/Y95)*100</f>
        <v/>
      </c>
    </row>
    <row r="96" ht="12.95" customHeight="1">
      <c r="A96" s="155" t="n">
        <v>95</v>
      </c>
      <c r="B96" s="156" t="n">
        <v>44704</v>
      </c>
      <c r="C96" s="157" t="n">
        <v>25356315.03</v>
      </c>
      <c r="D96" s="174">
        <f>C96/E96</f>
        <v/>
      </c>
      <c r="E96" s="157" t="n">
        <v>77.545</v>
      </c>
      <c r="F96" s="159">
        <f>D96/100000</f>
        <v/>
      </c>
      <c r="G96" s="159">
        <f>(F96/DataSheet!$C$9*100)</f>
        <v/>
      </c>
      <c r="H96" s="159">
        <f>K96/I96</f>
        <v/>
      </c>
      <c r="I96" s="159">
        <f>(J96/L96)*100</f>
        <v/>
      </c>
      <c r="J96" s="159">
        <f>L96/O96</f>
        <v/>
      </c>
      <c r="K96" s="157" t="n">
        <v>7.386</v>
      </c>
      <c r="L96" s="157" t="n">
        <v>16214.7</v>
      </c>
      <c r="M96" s="157" t="n">
        <v>4.14</v>
      </c>
      <c r="N96" s="159">
        <f>K96-I96</f>
        <v/>
      </c>
      <c r="O96" s="157" t="n">
        <v>20.01</v>
      </c>
      <c r="P96" s="157" t="n">
        <v>2.861</v>
      </c>
      <c r="Q96" s="159">
        <f>K96-P96</f>
        <v/>
      </c>
      <c r="R96" s="157" t="n">
        <v>102.097</v>
      </c>
      <c r="S96" s="159">
        <f>(O96*T96)/100</f>
        <v/>
      </c>
      <c r="T96" s="157" t="n">
        <v>4.87</v>
      </c>
      <c r="U96" s="157" t="n">
        <v>27775.45</v>
      </c>
      <c r="V96" s="157" t="n">
        <v>23.74</v>
      </c>
      <c r="W96" s="159">
        <f>U96/V96</f>
        <v/>
      </c>
      <c r="X96" s="159">
        <f>(W96/U96)*100</f>
        <v/>
      </c>
      <c r="Y96" s="157" t="n">
        <v>8594.1</v>
      </c>
      <c r="Z96" s="157" t="n">
        <v>20.69</v>
      </c>
      <c r="AA96" s="159">
        <f>Y96/Z96</f>
        <v/>
      </c>
      <c r="AB96" s="159">
        <f>(AA96/Y96)*100</f>
        <v/>
      </c>
    </row>
    <row r="97" ht="12.95" customHeight="1">
      <c r="A97" s="155" t="n">
        <v>96</v>
      </c>
      <c r="B97" s="156" t="n">
        <v>44705</v>
      </c>
      <c r="C97" s="157" t="n">
        <v>25193875.59</v>
      </c>
      <c r="D97" s="174">
        <f>C97/E97</f>
        <v/>
      </c>
      <c r="E97" s="157" t="n">
        <v>77.47499999999999</v>
      </c>
      <c r="F97" s="159">
        <f>D97/100000</f>
        <v/>
      </c>
      <c r="G97" s="159">
        <f>(F97/DataSheet!$C$9*100)</f>
        <v/>
      </c>
      <c r="H97" s="159">
        <f>K97/I97</f>
        <v/>
      </c>
      <c r="I97" s="159">
        <f>(J97/L97)*100</f>
        <v/>
      </c>
      <c r="J97" s="159">
        <f>L97/O97</f>
        <v/>
      </c>
      <c r="K97" s="157" t="n">
        <v>7.359</v>
      </c>
      <c r="L97" s="157" t="n">
        <v>16125.15</v>
      </c>
      <c r="M97" s="157" t="n">
        <v>4.12</v>
      </c>
      <c r="N97" s="159">
        <f>K97-I97</f>
        <v/>
      </c>
      <c r="O97" s="157" t="n">
        <v>19.87</v>
      </c>
      <c r="P97" s="157" t="n">
        <v>2.754</v>
      </c>
      <c r="Q97" s="159">
        <f>K97-P97</f>
        <v/>
      </c>
      <c r="R97" s="157" t="n">
        <v>101.87</v>
      </c>
      <c r="S97" s="159">
        <f>(O97*T97)/100</f>
        <v/>
      </c>
      <c r="T97" s="157" t="n">
        <v>4.87</v>
      </c>
      <c r="U97" s="157" t="n">
        <v>27595.3</v>
      </c>
      <c r="V97" s="157" t="n">
        <v>23.35</v>
      </c>
      <c r="W97" s="159">
        <f>U97/V97</f>
        <v/>
      </c>
      <c r="X97" s="159">
        <f>(W97/U97)*100</f>
        <v/>
      </c>
      <c r="Y97" s="157" t="n">
        <v>8488.6</v>
      </c>
      <c r="Z97" s="157" t="n">
        <v>20.24</v>
      </c>
      <c r="AA97" s="159">
        <f>Y97/Z97</f>
        <v/>
      </c>
      <c r="AB97" s="159">
        <f>(AA97/Y97)*100</f>
        <v/>
      </c>
    </row>
    <row r="98" ht="12.95" customHeight="1">
      <c r="A98" s="155" t="n">
        <v>97</v>
      </c>
      <c r="B98" s="156" t="n">
        <v>44706</v>
      </c>
      <c r="C98" s="157" t="n">
        <v>24810084.03</v>
      </c>
      <c r="D98" s="174">
        <f>C98/E98</f>
        <v/>
      </c>
      <c r="E98" s="157" t="n">
        <v>77.53100000000001</v>
      </c>
      <c r="F98" s="159">
        <f>D98/100000</f>
        <v/>
      </c>
      <c r="G98" s="159">
        <f>(F98/DataSheet!$C$9*100)</f>
        <v/>
      </c>
      <c r="H98" s="159">
        <f>K98/I98</f>
        <v/>
      </c>
      <c r="I98" s="159">
        <f>(J98/L98)*100</f>
        <v/>
      </c>
      <c r="J98" s="159">
        <f>L98/O98</f>
        <v/>
      </c>
      <c r="K98" s="157" t="n">
        <v>7.305</v>
      </c>
      <c r="L98" s="157" t="n">
        <v>16025.8</v>
      </c>
      <c r="M98" s="157" t="n">
        <v>4.09</v>
      </c>
      <c r="N98" s="159">
        <f>K98-I98</f>
        <v/>
      </c>
      <c r="O98" s="157" t="n">
        <v>19.74</v>
      </c>
      <c r="P98" s="157" t="n">
        <v>2.751</v>
      </c>
      <c r="Q98" s="159">
        <f>K98-P98</f>
        <v/>
      </c>
      <c r="R98" s="157" t="n">
        <v>102.077</v>
      </c>
      <c r="S98" s="159">
        <f>(O98*T98)/100</f>
        <v/>
      </c>
      <c r="T98" s="157" t="n">
        <v>4.88</v>
      </c>
      <c r="U98" s="157" t="n">
        <v>26918.7</v>
      </c>
      <c r="V98" s="157" t="n">
        <v>22.87</v>
      </c>
      <c r="W98" s="159">
        <f>U98/V98</f>
        <v/>
      </c>
      <c r="X98" s="159">
        <f>(W98/U98)*100</f>
        <v/>
      </c>
      <c r="Y98" s="157" t="n">
        <v>8233.700000000001</v>
      </c>
      <c r="Z98" s="157" t="n">
        <v>19.63</v>
      </c>
      <c r="AA98" s="159">
        <f>Y98/Z98</f>
        <v/>
      </c>
      <c r="AB98" s="159">
        <f>(AA98/Y98)*100</f>
        <v/>
      </c>
    </row>
    <row r="99" ht="12.95" customHeight="1">
      <c r="A99" s="155" t="n">
        <v>98</v>
      </c>
      <c r="B99" s="156" t="n">
        <v>44707</v>
      </c>
      <c r="C99" s="157" t="n">
        <v>25033086.06</v>
      </c>
      <c r="D99" s="174">
        <f>C99/E99</f>
        <v/>
      </c>
      <c r="E99" s="157" t="n">
        <v>77.636</v>
      </c>
      <c r="F99" s="159">
        <f>D99/100000</f>
        <v/>
      </c>
      <c r="G99" s="159">
        <f>(F99/DataSheet!$C$9*100)</f>
        <v/>
      </c>
      <c r="H99" s="159">
        <f>K99/I99</f>
        <v/>
      </c>
      <c r="I99" s="159">
        <f>(J99/L99)*100</f>
        <v/>
      </c>
      <c r="J99" s="159">
        <f>L99/O99</f>
        <v/>
      </c>
      <c r="K99" s="157" t="n">
        <v>7.294</v>
      </c>
      <c r="L99" s="157" t="n">
        <v>16170.15</v>
      </c>
      <c r="M99" s="157" t="n">
        <v>4.13</v>
      </c>
      <c r="N99" s="159">
        <f>K99-I99</f>
        <v/>
      </c>
      <c r="O99" s="157" t="n">
        <v>19.88</v>
      </c>
      <c r="P99" s="157" t="n">
        <v>2.742</v>
      </c>
      <c r="Q99" s="159">
        <f>K99-P99</f>
        <v/>
      </c>
      <c r="R99" s="157" t="n">
        <v>101.858</v>
      </c>
      <c r="S99" s="159">
        <f>(O99*T99)/100</f>
        <v/>
      </c>
      <c r="T99" s="157" t="n">
        <v>4.89</v>
      </c>
      <c r="U99" s="157" t="n">
        <v>27281.15</v>
      </c>
      <c r="V99" s="157" t="n">
        <v>23.1</v>
      </c>
      <c r="W99" s="159">
        <f>U99/V99</f>
        <v/>
      </c>
      <c r="X99" s="159">
        <f>(W99/U99)*100</f>
        <v/>
      </c>
      <c r="Y99" s="157" t="n">
        <v>8311.799999999999</v>
      </c>
      <c r="Z99" s="157" t="n">
        <v>19.71</v>
      </c>
      <c r="AA99" s="159">
        <f>Y99/Z99</f>
        <v/>
      </c>
      <c r="AB99" s="159">
        <f>(AA99/Y99)*100</f>
        <v/>
      </c>
    </row>
    <row r="100" ht="12.95" customHeight="1">
      <c r="A100" s="155" t="n">
        <v>99</v>
      </c>
      <c r="B100" s="156" t="n">
        <v>44708</v>
      </c>
      <c r="C100" s="157" t="n">
        <v>25297080.04</v>
      </c>
      <c r="D100" s="174">
        <f>C100/E100</f>
        <v/>
      </c>
      <c r="E100" s="157" t="n">
        <v>77.624</v>
      </c>
      <c r="F100" s="159">
        <f>D100/100000</f>
        <v/>
      </c>
      <c r="G100" s="159">
        <f>(F100/DataSheet!$C$9*100)</f>
        <v/>
      </c>
      <c r="H100" s="159">
        <f>K100/I100</f>
        <v/>
      </c>
      <c r="I100" s="159">
        <f>(J100/L100)*100</f>
        <v/>
      </c>
      <c r="J100" s="159">
        <f>L100/O100</f>
        <v/>
      </c>
      <c r="K100" s="157" t="n">
        <v>7.35</v>
      </c>
      <c r="L100" s="157" t="n">
        <v>16352.45</v>
      </c>
      <c r="M100" s="157" t="n">
        <v>4.18</v>
      </c>
      <c r="N100" s="159">
        <f>K100-I100</f>
        <v/>
      </c>
      <c r="O100" s="157" t="n">
        <v>20.27</v>
      </c>
      <c r="P100" s="157" t="n">
        <v>2.743</v>
      </c>
      <c r="Q100" s="159">
        <f>K100-P100</f>
        <v/>
      </c>
      <c r="R100" s="157" t="n">
        <v>101.698</v>
      </c>
      <c r="S100" s="159">
        <f>(O100*T100)/100</f>
        <v/>
      </c>
      <c r="T100" s="157" t="n">
        <v>4.88</v>
      </c>
      <c r="U100" s="157" t="n">
        <v>27657.25</v>
      </c>
      <c r="V100" s="157" t="n">
        <v>23.27</v>
      </c>
      <c r="W100" s="159">
        <f>U100/V100</f>
        <v/>
      </c>
      <c r="X100" s="159">
        <f>(W100/U100)*100</f>
        <v/>
      </c>
      <c r="Y100" s="157" t="n">
        <v>8397.35</v>
      </c>
      <c r="Z100" s="157" t="n">
        <v>19.98</v>
      </c>
      <c r="AA100" s="159">
        <f>Y100/Z100</f>
        <v/>
      </c>
      <c r="AB100" s="159">
        <f>(AA100/Y100)*100</f>
        <v/>
      </c>
    </row>
    <row r="101" ht="12.95" customHeight="1">
      <c r="A101" s="155" t="n">
        <v>100</v>
      </c>
      <c r="B101" s="156" t="n">
        <v>44711</v>
      </c>
      <c r="C101" s="157" t="n">
        <v>25824357.45</v>
      </c>
      <c r="D101" s="174">
        <f>C101/E101</f>
        <v/>
      </c>
      <c r="E101" s="157" t="n">
        <v>77.554</v>
      </c>
      <c r="F101" s="159">
        <f>D101/100000</f>
        <v/>
      </c>
      <c r="G101" s="159">
        <f>(F101/DataSheet!$C$9*100)</f>
        <v/>
      </c>
      <c r="H101" s="159">
        <f>K101/I101</f>
        <v/>
      </c>
      <c r="I101" s="159">
        <f>(J101/L101)*100</f>
        <v/>
      </c>
      <c r="J101" s="159">
        <f>L101/O101</f>
        <v/>
      </c>
      <c r="K101" s="157" t="n">
        <v>7.409</v>
      </c>
      <c r="L101" s="157" t="n">
        <v>16661.4</v>
      </c>
      <c r="M101" s="157" t="n">
        <v>4.26</v>
      </c>
      <c r="N101" s="159">
        <f>K101-I101</f>
        <v/>
      </c>
      <c r="O101" s="157" t="n">
        <v>20.65</v>
      </c>
      <c r="P101" s="157" t="n">
        <v>2.812</v>
      </c>
      <c r="Q101" s="159">
        <f>K101-P101</f>
        <v/>
      </c>
      <c r="R101" s="157" t="n">
        <v>101.305</v>
      </c>
      <c r="S101" s="159">
        <f>(O101*T101)/100</f>
        <v/>
      </c>
      <c r="T101" s="157" t="n">
        <v>4.89</v>
      </c>
      <c r="U101" s="157" t="n">
        <v>28326.35</v>
      </c>
      <c r="V101" s="157" t="n">
        <v>23.88</v>
      </c>
      <c r="W101" s="159">
        <f>U101/V101</f>
        <v/>
      </c>
      <c r="X101" s="159">
        <f>(W101/U101)*100</f>
        <v/>
      </c>
      <c r="Y101" s="157" t="n">
        <v>8585.5</v>
      </c>
      <c r="Z101" s="157" t="n">
        <v>20.35</v>
      </c>
      <c r="AA101" s="159">
        <f>Y101/Z101</f>
        <v/>
      </c>
      <c r="AB101" s="159">
        <f>(AA101/Y101)*100</f>
        <v/>
      </c>
    </row>
    <row r="102" ht="12.95" customHeight="1">
      <c r="A102" s="155" t="n">
        <v>101</v>
      </c>
      <c r="B102" s="160" t="n">
        <v>44712</v>
      </c>
      <c r="C102" s="157" t="n">
        <v>25824357.45</v>
      </c>
      <c r="D102" s="174">
        <f>C102/E102</f>
        <v/>
      </c>
      <c r="E102" s="157" t="n">
        <v>77.59</v>
      </c>
      <c r="F102" s="159">
        <f>D102/100000</f>
        <v/>
      </c>
      <c r="G102" s="159">
        <f>(F102/DataSheet!$C$9*100)</f>
        <v/>
      </c>
      <c r="H102" s="159">
        <f>K102/I102</f>
        <v/>
      </c>
      <c r="I102" s="159">
        <f>(J102/L102)*100</f>
        <v/>
      </c>
      <c r="J102" s="159">
        <f>L102/O102</f>
        <v/>
      </c>
      <c r="K102" s="157" t="n">
        <v>7.415</v>
      </c>
      <c r="L102" s="157" t="n">
        <v>16584.55</v>
      </c>
      <c r="M102" s="157" t="n">
        <v>4.24</v>
      </c>
      <c r="N102" s="159">
        <f>K102-I102</f>
        <v/>
      </c>
      <c r="O102" s="157" t="n">
        <v>20.44</v>
      </c>
      <c r="P102" s="157" t="n">
        <v>2.849</v>
      </c>
      <c r="Q102" s="159">
        <f>K102-P102</f>
        <v/>
      </c>
      <c r="R102" s="157" t="n">
        <v>101.766</v>
      </c>
      <c r="S102" s="159">
        <f>(O102*T102)/100</f>
        <v/>
      </c>
      <c r="T102" s="157" t="n">
        <v>4.89</v>
      </c>
      <c r="U102" s="157" t="n">
        <v>28288.35</v>
      </c>
      <c r="V102" s="157" t="n">
        <v>23.74</v>
      </c>
      <c r="W102" s="159">
        <f>U102/V102</f>
        <v/>
      </c>
      <c r="X102" s="159">
        <f>(W102/U102)*100</f>
        <v/>
      </c>
      <c r="Y102" s="157" t="n">
        <v>8673.1</v>
      </c>
      <c r="Z102" s="157" t="n">
        <v>20.91</v>
      </c>
      <c r="AA102" s="159">
        <f>Y102/Z102</f>
        <v/>
      </c>
      <c r="AB102" s="159">
        <f>(AA102/Y102)*100</f>
        <v/>
      </c>
    </row>
    <row r="103" ht="12.95" customHeight="1">
      <c r="A103" s="155" t="n">
        <v>102</v>
      </c>
      <c r="B103" s="156" t="n">
        <v>44713</v>
      </c>
      <c r="C103" s="157" t="n">
        <v>25683972.67</v>
      </c>
      <c r="D103" s="174">
        <f>C103/E103</f>
        <v/>
      </c>
      <c r="E103" s="157" t="n">
        <v>77.56</v>
      </c>
      <c r="F103" s="159">
        <f>D103/100000</f>
        <v/>
      </c>
      <c r="G103" s="159">
        <f>(F103/DataSheet!$C$9*100)</f>
        <v/>
      </c>
      <c r="H103" s="159">
        <f>K103/I103</f>
        <v/>
      </c>
      <c r="I103" s="159">
        <f>(J103/L103)*100</f>
        <v/>
      </c>
      <c r="J103" s="159">
        <f>L103/O103</f>
        <v/>
      </c>
      <c r="K103" s="157" t="n">
        <v>7.414</v>
      </c>
      <c r="L103" s="157" t="n">
        <v>16522.75</v>
      </c>
      <c r="M103" s="157" t="n">
        <v>4.22</v>
      </c>
      <c r="N103" s="159">
        <f>K103-I103</f>
        <v/>
      </c>
      <c r="O103" s="157" t="n">
        <v>20.45</v>
      </c>
      <c r="P103" s="157" t="n">
        <v>2.911</v>
      </c>
      <c r="Q103" s="159">
        <f>K103-P103</f>
        <v/>
      </c>
      <c r="R103" s="157" t="n">
        <v>102.529</v>
      </c>
      <c r="S103" s="159">
        <f>(O103*T103)/100</f>
        <v/>
      </c>
      <c r="T103" s="157" t="n">
        <v>4.93</v>
      </c>
      <c r="U103" s="157" t="n">
        <v>28299.9</v>
      </c>
      <c r="V103" s="157" t="n">
        <v>23.83</v>
      </c>
      <c r="W103" s="159">
        <f>U103/V103</f>
        <v/>
      </c>
      <c r="X103" s="159">
        <f>(W103/U103)*100</f>
        <v/>
      </c>
      <c r="Y103" s="157" t="n">
        <v>8730.65</v>
      </c>
      <c r="Z103" s="157" t="n">
        <v>21.12</v>
      </c>
      <c r="AA103" s="159">
        <f>Y103/Z103</f>
        <v/>
      </c>
      <c r="AB103" s="159">
        <f>(AA103/Y103)*100</f>
        <v/>
      </c>
    </row>
    <row r="104" ht="12.95" customHeight="1">
      <c r="A104" s="155" t="n">
        <v>103</v>
      </c>
      <c r="B104" s="156" t="n">
        <v>44714</v>
      </c>
      <c r="C104" s="157" t="n">
        <v>25881186.64</v>
      </c>
      <c r="D104" s="174">
        <f>C104/E104</f>
        <v/>
      </c>
      <c r="E104" s="157" t="n">
        <v>77.399</v>
      </c>
      <c r="F104" s="159">
        <f>D104/100000</f>
        <v/>
      </c>
      <c r="G104" s="159">
        <f>(F104/DataSheet!$C$9*100)</f>
        <v/>
      </c>
      <c r="H104" s="159">
        <f>K104/I104</f>
        <v/>
      </c>
      <c r="I104" s="159">
        <f>(J104/L104)*100</f>
        <v/>
      </c>
      <c r="J104" s="159">
        <f>L104/O104</f>
        <v/>
      </c>
      <c r="K104" s="157" t="n">
        <v>7.434</v>
      </c>
      <c r="L104" s="157" t="n">
        <v>16628</v>
      </c>
      <c r="M104" s="157" t="n">
        <v>4.25</v>
      </c>
      <c r="N104" s="159">
        <f>K104-I104</f>
        <v/>
      </c>
      <c r="O104" s="157" t="n">
        <v>20.58</v>
      </c>
      <c r="P104" s="157" t="n">
        <v>2.913</v>
      </c>
      <c r="Q104" s="159">
        <f>K104-P104</f>
        <v/>
      </c>
      <c r="R104" s="157" t="n">
        <v>101.832</v>
      </c>
      <c r="S104" s="159">
        <f>(O104*T104)/100</f>
        <v/>
      </c>
      <c r="T104" s="157" t="n">
        <v>4.97</v>
      </c>
      <c r="U104" s="157" t="n">
        <v>28491.15</v>
      </c>
      <c r="V104" s="157" t="n">
        <v>24</v>
      </c>
      <c r="W104" s="159">
        <f>U104/V104</f>
        <v/>
      </c>
      <c r="X104" s="159">
        <f>(W104/U104)*100</f>
        <v/>
      </c>
      <c r="Y104" s="157" t="n">
        <v>8772.9</v>
      </c>
      <c r="Z104" s="157" t="n">
        <v>21.2</v>
      </c>
      <c r="AA104" s="159">
        <f>Y104/Z104</f>
        <v/>
      </c>
      <c r="AB104" s="159">
        <f>(AA104/Y104)*100</f>
        <v/>
      </c>
    </row>
    <row r="105" ht="12.95" customHeight="1">
      <c r="A105" s="155" t="n">
        <v>104</v>
      </c>
      <c r="B105" s="156" t="n">
        <v>44715</v>
      </c>
      <c r="C105" s="157" t="n">
        <v>25687833.85</v>
      </c>
      <c r="D105" s="174">
        <f>C105/E105</f>
        <v/>
      </c>
      <c r="E105" s="157" t="n">
        <v>77.61499999999999</v>
      </c>
      <c r="F105" s="159">
        <f>D105/100000</f>
        <v/>
      </c>
      <c r="G105" s="159">
        <f>(F105/DataSheet!$C$9*100)</f>
        <v/>
      </c>
      <c r="H105" s="159">
        <f>K105/I105</f>
        <v/>
      </c>
      <c r="I105" s="159">
        <f>(J105/L105)*100</f>
        <v/>
      </c>
      <c r="J105" s="159">
        <f>L105/O105</f>
        <v/>
      </c>
      <c r="K105" s="157" t="n">
        <v>7.456</v>
      </c>
      <c r="L105" s="157" t="n">
        <v>16584.3</v>
      </c>
      <c r="M105" s="157" t="n">
        <v>4.24</v>
      </c>
      <c r="N105" s="159">
        <f>K105-I105</f>
        <v/>
      </c>
      <c r="O105" s="157" t="n">
        <v>20.52</v>
      </c>
      <c r="P105" s="157" t="n">
        <v>2.941</v>
      </c>
      <c r="Q105" s="159">
        <f>K105-P105</f>
        <v/>
      </c>
      <c r="R105" s="157" t="n">
        <v>102.16</v>
      </c>
      <c r="S105" s="159">
        <f>(O105*T105)/100</f>
        <v/>
      </c>
      <c r="T105" s="157" t="n">
        <v>4.98</v>
      </c>
      <c r="U105" s="157" t="n">
        <v>28023.35</v>
      </c>
      <c r="V105" s="157" t="n">
        <v>23.69</v>
      </c>
      <c r="W105" s="159">
        <f>U105/V105</f>
        <v/>
      </c>
      <c r="X105" s="159">
        <f>(W105/U105)*100</f>
        <v/>
      </c>
      <c r="Y105" s="157" t="n">
        <v>8696.35</v>
      </c>
      <c r="Z105" s="157" t="n">
        <v>21.06</v>
      </c>
      <c r="AA105" s="159">
        <f>Y105/Z105</f>
        <v/>
      </c>
      <c r="AB105" s="159">
        <f>(AA105/Y105)*100</f>
        <v/>
      </c>
    </row>
    <row r="106" ht="12.95" customHeight="1">
      <c r="A106" s="155" t="n">
        <v>105</v>
      </c>
      <c r="B106" s="156" t="n">
        <v>44718</v>
      </c>
      <c r="C106" s="157" t="n">
        <v>25621197.19</v>
      </c>
      <c r="D106" s="174">
        <f>C106/E106</f>
        <v/>
      </c>
      <c r="E106" s="157" t="n">
        <v>77.81399999999999</v>
      </c>
      <c r="F106" s="159">
        <f>D106/100000</f>
        <v/>
      </c>
      <c r="G106" s="159">
        <f>(F106/DataSheet!$C$9*100)</f>
        <v/>
      </c>
      <c r="H106" s="159">
        <f>K106/I106</f>
        <v/>
      </c>
      <c r="I106" s="159">
        <f>(J106/L106)*100</f>
        <v/>
      </c>
      <c r="J106" s="159">
        <f>L106/O106</f>
        <v/>
      </c>
      <c r="K106" s="157" t="n">
        <v>7.5</v>
      </c>
      <c r="L106" s="157" t="n">
        <v>16569.55</v>
      </c>
      <c r="M106" s="157" t="n">
        <v>4.24</v>
      </c>
      <c r="N106" s="159">
        <f>K106-I106</f>
        <v/>
      </c>
      <c r="O106" s="157" t="n">
        <v>20.5</v>
      </c>
      <c r="P106" s="157" t="n">
        <v>3.04</v>
      </c>
      <c r="Q106" s="159">
        <f>K106-P106</f>
        <v/>
      </c>
      <c r="R106" s="157" t="n">
        <v>102.447</v>
      </c>
      <c r="S106" s="159">
        <f>(O106*T106)/100</f>
        <v/>
      </c>
      <c r="T106" s="157" t="n">
        <v>4.98</v>
      </c>
      <c r="U106" s="157" t="n">
        <v>27992.65</v>
      </c>
      <c r="V106" s="157" t="n">
        <v>23.64</v>
      </c>
      <c r="W106" s="159">
        <f>U106/V106</f>
        <v/>
      </c>
      <c r="X106" s="159">
        <f>(W106/U106)*100</f>
        <v/>
      </c>
      <c r="Y106" s="157" t="n">
        <v>8640.9</v>
      </c>
      <c r="Z106" s="157" t="n">
        <v>20.93</v>
      </c>
      <c r="AA106" s="159">
        <f>Y106/Z106</f>
        <v/>
      </c>
      <c r="AB106" s="159">
        <f>(AA106/Y106)*100</f>
        <v/>
      </c>
    </row>
    <row r="107" ht="12.95" customHeight="1">
      <c r="A107" s="155" t="n">
        <v>106</v>
      </c>
      <c r="B107" s="156" t="n">
        <v>44719</v>
      </c>
      <c r="C107" s="157" t="n">
        <v>25357399.48</v>
      </c>
      <c r="D107" s="174">
        <f>C107/E107</f>
        <v/>
      </c>
      <c r="E107" s="157" t="n">
        <v>77.664</v>
      </c>
      <c r="F107" s="159">
        <f>D107/100000</f>
        <v/>
      </c>
      <c r="G107" s="159">
        <f>(F107/DataSheet!$C$9*100)</f>
        <v/>
      </c>
      <c r="H107" s="159">
        <f>K107/I107</f>
        <v/>
      </c>
      <c r="I107" s="159">
        <f>(J107/L107)*100</f>
        <v/>
      </c>
      <c r="J107" s="159">
        <f>L107/O107</f>
        <v/>
      </c>
      <c r="K107" s="157" t="n">
        <v>7.518</v>
      </c>
      <c r="L107" s="157" t="n">
        <v>16416.35</v>
      </c>
      <c r="M107" s="157" t="n">
        <v>4.2</v>
      </c>
      <c r="N107" s="159">
        <f>K107-I107</f>
        <v/>
      </c>
      <c r="O107" s="157" t="n">
        <v>20.31</v>
      </c>
      <c r="P107" s="157" t="n">
        <v>2.979</v>
      </c>
      <c r="Q107" s="159">
        <f>K107-P107</f>
        <v/>
      </c>
      <c r="R107" s="157" t="n">
        <v>102.325</v>
      </c>
      <c r="S107" s="159">
        <f>(O107*T107)/100</f>
        <v/>
      </c>
      <c r="T107" s="157" t="n">
        <v>5.02</v>
      </c>
      <c r="U107" s="157" t="n">
        <v>27803.95</v>
      </c>
      <c r="V107" s="157" t="n">
        <v>23.49</v>
      </c>
      <c r="W107" s="159">
        <f>U107/V107</f>
        <v/>
      </c>
      <c r="X107" s="159">
        <f>(W107/U107)*100</f>
        <v/>
      </c>
      <c r="Y107" s="157" t="n">
        <v>8592.5</v>
      </c>
      <c r="Z107" s="157" t="n">
        <v>20.81</v>
      </c>
      <c r="AA107" s="159">
        <f>Y107/Z107</f>
        <v/>
      </c>
      <c r="AB107" s="159">
        <f>(AA107/Y107)*100</f>
        <v/>
      </c>
    </row>
    <row r="108" ht="12.95" customHeight="1">
      <c r="A108" s="155" t="n">
        <v>107</v>
      </c>
      <c r="B108" s="156" t="n">
        <v>44720</v>
      </c>
      <c r="C108" s="157" t="n">
        <v>25337899.03</v>
      </c>
      <c r="D108" s="174">
        <f>C108/E108</f>
        <v/>
      </c>
      <c r="E108" s="157" t="n">
        <v>77.709</v>
      </c>
      <c r="F108" s="159">
        <f>D108/100000</f>
        <v/>
      </c>
      <c r="G108" s="159">
        <f>(F108/DataSheet!$C$9*100)</f>
        <v/>
      </c>
      <c r="H108" s="159">
        <f>K108/I108</f>
        <v/>
      </c>
      <c r="I108" s="159">
        <f>(J108/L108)*100</f>
        <v/>
      </c>
      <c r="J108" s="159">
        <f>L108/O108</f>
        <v/>
      </c>
      <c r="K108" s="157" t="n">
        <v>7.494</v>
      </c>
      <c r="L108" s="157" t="n">
        <v>16356.25</v>
      </c>
      <c r="M108" s="157" t="n">
        <v>4.18</v>
      </c>
      <c r="N108" s="159">
        <f>K108-I108</f>
        <v/>
      </c>
      <c r="O108" s="157" t="n">
        <v>20.24</v>
      </c>
      <c r="P108" s="157" t="n">
        <v>3.027</v>
      </c>
      <c r="Q108" s="159">
        <f>K108-P108</f>
        <v/>
      </c>
      <c r="R108" s="157" t="n">
        <v>102.546</v>
      </c>
      <c r="S108" s="159">
        <f>(O108*T108)/100</f>
        <v/>
      </c>
      <c r="T108" s="157" t="n">
        <v>4.97</v>
      </c>
      <c r="U108" s="157" t="n">
        <v>27670.8</v>
      </c>
      <c r="V108" s="157" t="n">
        <v>23.4</v>
      </c>
      <c r="W108" s="159">
        <f>U108/V108</f>
        <v/>
      </c>
      <c r="X108" s="159">
        <f>(W108/U108)*100</f>
        <v/>
      </c>
      <c r="Y108" s="157" t="n">
        <v>8577.6</v>
      </c>
      <c r="Z108" s="157" t="n">
        <v>20.77</v>
      </c>
      <c r="AA108" s="159">
        <f>Y108/Z108</f>
        <v/>
      </c>
      <c r="AB108" s="159">
        <f>(AA108/Y108)*100</f>
        <v/>
      </c>
    </row>
    <row r="109" ht="12.95" customHeight="1">
      <c r="A109" s="155" t="n">
        <v>108</v>
      </c>
      <c r="B109" s="156" t="n">
        <v>44721</v>
      </c>
      <c r="C109" s="157" t="n">
        <v>25480505.24</v>
      </c>
      <c r="D109" s="174">
        <f>C109/E109</f>
        <v/>
      </c>
      <c r="E109" s="157" t="n">
        <v>77.815</v>
      </c>
      <c r="F109" s="159">
        <f>D109/100000</f>
        <v/>
      </c>
      <c r="G109" s="159">
        <f>(F109/DataSheet!$C$9*100)</f>
        <v/>
      </c>
      <c r="H109" s="159">
        <f>K109/I109</f>
        <v/>
      </c>
      <c r="I109" s="159">
        <f>(J109/L109)*100</f>
        <v/>
      </c>
      <c r="J109" s="159">
        <f>L109/O109</f>
        <v/>
      </c>
      <c r="K109" s="157" t="n">
        <v>7.496</v>
      </c>
      <c r="L109" s="157" t="n">
        <v>16478.1</v>
      </c>
      <c r="M109" s="157" t="n">
        <v>4.21</v>
      </c>
      <c r="N109" s="159">
        <f>K109-I109</f>
        <v/>
      </c>
      <c r="O109" s="157" t="n">
        <v>20.39</v>
      </c>
      <c r="P109" s="157" t="n">
        <v>3.046</v>
      </c>
      <c r="Q109" s="159">
        <f>K109-P109</f>
        <v/>
      </c>
      <c r="R109" s="157" t="n">
        <v>103.218</v>
      </c>
      <c r="S109" s="159">
        <f>(O109*T109)/100</f>
        <v/>
      </c>
      <c r="T109" s="157" t="n">
        <v>5.01</v>
      </c>
      <c r="U109" s="157" t="n">
        <v>27805.9</v>
      </c>
      <c r="V109" s="157" t="n">
        <v>23.49</v>
      </c>
      <c r="W109" s="159">
        <f>U109/V109</f>
        <v/>
      </c>
      <c r="X109" s="159">
        <f>(W109/U109)*100</f>
        <v/>
      </c>
      <c r="Y109" s="157" t="n">
        <v>8582.15</v>
      </c>
      <c r="Z109" s="157" t="n">
        <v>20.78</v>
      </c>
      <c r="AA109" s="159">
        <f>Y109/Z109</f>
        <v/>
      </c>
      <c r="AB109" s="159">
        <f>(AA109/Y109)*100</f>
        <v/>
      </c>
    </row>
    <row r="110" ht="12.95" customHeight="1">
      <c r="A110" s="155" t="n">
        <v>109</v>
      </c>
      <c r="B110" s="156" t="n">
        <v>44722</v>
      </c>
      <c r="C110" s="157" t="n">
        <v>25168640.99</v>
      </c>
      <c r="D110" s="174">
        <f>C110/E110</f>
        <v/>
      </c>
      <c r="E110" s="157" t="n">
        <v>78.14400000000001</v>
      </c>
      <c r="F110" s="159">
        <f>D110/100000</f>
        <v/>
      </c>
      <c r="G110" s="159">
        <f>(F110/DataSheet!$C$9*100)</f>
        <v/>
      </c>
      <c r="H110" s="159">
        <f>K110/I110</f>
        <v/>
      </c>
      <c r="I110" s="159">
        <f>(J110/L110)*100</f>
        <v/>
      </c>
      <c r="J110" s="159">
        <f>L110/O110</f>
        <v/>
      </c>
      <c r="K110" s="157" t="n">
        <v>7.519</v>
      </c>
      <c r="L110" s="157" t="n">
        <v>16201.8</v>
      </c>
      <c r="M110" s="157" t="n">
        <v>4.14</v>
      </c>
      <c r="N110" s="159">
        <f>K110-I110</f>
        <v/>
      </c>
      <c r="O110" s="157" t="n">
        <v>20.05</v>
      </c>
      <c r="P110" s="157" t="n">
        <v>3.165</v>
      </c>
      <c r="Q110" s="159">
        <f>K110-P110</f>
        <v/>
      </c>
      <c r="R110" s="157" t="n">
        <v>104.151</v>
      </c>
      <c r="S110" s="159">
        <f>(O110*T110)/100</f>
        <v/>
      </c>
      <c r="T110" s="157" t="n">
        <v>5</v>
      </c>
      <c r="U110" s="157" t="n">
        <v>27575.8</v>
      </c>
      <c r="V110" s="157" t="n">
        <v>23.33</v>
      </c>
      <c r="W110" s="159">
        <f>U110/V110</f>
        <v/>
      </c>
      <c r="X110" s="159">
        <f>(W110/U110)*100</f>
        <v/>
      </c>
      <c r="Y110" s="157" t="n">
        <v>8506.9</v>
      </c>
      <c r="Z110" s="157" t="n">
        <v>20.6</v>
      </c>
      <c r="AA110" s="159">
        <f>Y110/Z110</f>
        <v/>
      </c>
      <c r="AB110" s="159">
        <f>(AA110/Y110)*100</f>
        <v/>
      </c>
    </row>
    <row r="111" ht="12.95" customHeight="1">
      <c r="A111" s="155" t="n">
        <v>110</v>
      </c>
      <c r="B111" s="156" t="n">
        <v>44725</v>
      </c>
      <c r="C111" s="157" t="n">
        <v>24493255.27</v>
      </c>
      <c r="D111" s="174">
        <f>C111/E111</f>
        <v/>
      </c>
      <c r="E111" s="157" t="n">
        <v>78.104</v>
      </c>
      <c r="F111" s="159">
        <f>D111/100000</f>
        <v/>
      </c>
      <c r="G111" s="159">
        <f>(F111/DataSheet!$C$9*100)</f>
        <v/>
      </c>
      <c r="H111" s="159">
        <f>K111/I111</f>
        <v/>
      </c>
      <c r="I111" s="159">
        <f>(J111/L111)*100</f>
        <v/>
      </c>
      <c r="J111" s="159">
        <f>L111/O111</f>
        <v/>
      </c>
      <c r="K111" s="157" t="n">
        <v>7.604</v>
      </c>
      <c r="L111" s="157" t="n">
        <v>15774.4</v>
      </c>
      <c r="M111" s="157" t="n">
        <v>4.03</v>
      </c>
      <c r="N111" s="159">
        <f>K111-I111</f>
        <v/>
      </c>
      <c r="O111" s="157" t="n">
        <v>19.52</v>
      </c>
      <c r="P111" s="157" t="n">
        <v>3.362</v>
      </c>
      <c r="Q111" s="159">
        <f>K111-P111</f>
        <v/>
      </c>
      <c r="R111" s="157" t="n">
        <v>104.947</v>
      </c>
      <c r="S111" s="159">
        <f>(O111*T111)/100</f>
        <v/>
      </c>
      <c r="T111" s="157" t="n">
        <v>4.99</v>
      </c>
      <c r="U111" s="157" t="n">
        <v>26777.8</v>
      </c>
      <c r="V111" s="157" t="n">
        <v>22.69</v>
      </c>
      <c r="W111" s="159">
        <f>U111/V111</f>
        <v/>
      </c>
      <c r="X111" s="159">
        <f>(W111/U111)*100</f>
        <v/>
      </c>
      <c r="Y111" s="157" t="n">
        <v>8205.65</v>
      </c>
      <c r="Z111" s="157" t="n">
        <v>19.87</v>
      </c>
      <c r="AA111" s="159">
        <f>Y111/Z111</f>
        <v/>
      </c>
      <c r="AB111" s="159">
        <f>(AA111/Y111)*100</f>
        <v/>
      </c>
    </row>
    <row r="112" ht="12.95" customHeight="1">
      <c r="A112" s="155" t="n">
        <v>111</v>
      </c>
      <c r="B112" s="156" t="n">
        <v>44726</v>
      </c>
      <c r="C112" s="157" t="n">
        <v>24450858.65</v>
      </c>
      <c r="D112" s="174">
        <f>C112/E112</f>
        <v/>
      </c>
      <c r="E112" s="157" t="n">
        <v>78.02200000000001</v>
      </c>
      <c r="F112" s="159">
        <f>D112/100000</f>
        <v/>
      </c>
      <c r="G112" s="159">
        <f>(F112/DataSheet!$C$9*100)</f>
        <v/>
      </c>
      <c r="H112" s="159">
        <f>K112/I112</f>
        <v/>
      </c>
      <c r="I112" s="159">
        <f>(J112/L112)*100</f>
        <v/>
      </c>
      <c r="J112" s="159">
        <f>L112/O112</f>
        <v/>
      </c>
      <c r="K112" s="157" t="n">
        <v>7.581</v>
      </c>
      <c r="L112" s="157" t="n">
        <v>15732.1</v>
      </c>
      <c r="M112" s="157" t="n">
        <v>4.02</v>
      </c>
      <c r="N112" s="159">
        <f>K112-I112</f>
        <v/>
      </c>
      <c r="O112" s="157" t="n">
        <v>19.47</v>
      </c>
      <c r="P112" s="157" t="n">
        <v>3.479</v>
      </c>
      <c r="Q112" s="159">
        <f>K112-P112</f>
        <v/>
      </c>
      <c r="R112" s="157" t="n">
        <v>105.342</v>
      </c>
      <c r="S112" s="159">
        <f>(O112*T112)/100</f>
        <v/>
      </c>
      <c r="T112" s="157" t="n">
        <v>4.98</v>
      </c>
      <c r="U112" s="157" t="n">
        <v>26715.65</v>
      </c>
      <c r="V112" s="157" t="n">
        <v>22.71</v>
      </c>
      <c r="W112" s="159">
        <f>U112/V112</f>
        <v/>
      </c>
      <c r="X112" s="159">
        <f>(W112/U112)*100</f>
        <v/>
      </c>
      <c r="Y112" s="157" t="n">
        <v>8172.05</v>
      </c>
      <c r="Z112" s="157" t="n">
        <v>19.81</v>
      </c>
      <c r="AA112" s="159">
        <f>Y112/Z112</f>
        <v/>
      </c>
      <c r="AB112" s="159">
        <f>(AA112/Y112)*100</f>
        <v/>
      </c>
    </row>
    <row r="113" ht="12.95" customHeight="1">
      <c r="A113" s="155" t="n">
        <v>112</v>
      </c>
      <c r="B113" s="156" t="n">
        <v>44727</v>
      </c>
      <c r="C113" s="157" t="n">
        <v>24463090.96</v>
      </c>
      <c r="D113" s="174">
        <f>C113/E113</f>
        <v/>
      </c>
      <c r="E113" s="157" t="n">
        <v>78.17100000000001</v>
      </c>
      <c r="F113" s="159">
        <f>D113/100000</f>
        <v/>
      </c>
      <c r="G113" s="159">
        <f>(F113/DataSheet!$C$9*100)</f>
        <v/>
      </c>
      <c r="H113" s="159">
        <f>K113/I113</f>
        <v/>
      </c>
      <c r="I113" s="159">
        <f>(J113/L113)*100</f>
        <v/>
      </c>
      <c r="J113" s="159">
        <f>L113/O113</f>
        <v/>
      </c>
      <c r="K113" s="157" t="n">
        <v>7.592</v>
      </c>
      <c r="L113" s="157" t="n">
        <v>15692.15</v>
      </c>
      <c r="M113" s="157" t="n">
        <v>4.01</v>
      </c>
      <c r="N113" s="159">
        <f>K113-I113</f>
        <v/>
      </c>
      <c r="O113" s="157" t="n">
        <v>19.42</v>
      </c>
      <c r="P113" s="157" t="n">
        <v>3.292</v>
      </c>
      <c r="Q113" s="159">
        <f>K113-P113</f>
        <v/>
      </c>
      <c r="R113" s="157" t="n">
        <v>104.935</v>
      </c>
      <c r="S113" s="159">
        <f>(O113*T113)/100</f>
        <v/>
      </c>
      <c r="T113" s="157" t="n">
        <v>5.04</v>
      </c>
      <c r="U113" s="157" t="n">
        <v>26809</v>
      </c>
      <c r="V113" s="157" t="n">
        <v>22.79</v>
      </c>
      <c r="W113" s="159">
        <f>U113/V113</f>
        <v/>
      </c>
      <c r="X113" s="159">
        <f>(W113/U113)*100</f>
        <v/>
      </c>
      <c r="Y113" s="157" t="n">
        <v>8217.799999999999</v>
      </c>
      <c r="Z113" s="157" t="n">
        <v>19.92</v>
      </c>
      <c r="AA113" s="159">
        <f>Y113/Z113</f>
        <v/>
      </c>
      <c r="AB113" s="159">
        <f>(AA113/Y113)*100</f>
        <v/>
      </c>
    </row>
    <row r="114" ht="12.95" customHeight="1">
      <c r="A114" s="155" t="n">
        <v>113</v>
      </c>
      <c r="B114" s="156" t="n">
        <v>44728</v>
      </c>
      <c r="C114" s="157" t="n">
        <v>23909017.19</v>
      </c>
      <c r="D114" s="174">
        <f>C114/E114</f>
        <v/>
      </c>
      <c r="E114" s="157" t="n">
        <v>77.977</v>
      </c>
      <c r="F114" s="159">
        <f>D114/100000</f>
        <v/>
      </c>
      <c r="G114" s="159">
        <f>(F114/DataSheet!$C$9*100)</f>
        <v/>
      </c>
      <c r="H114" s="159">
        <f>K114/I114</f>
        <v/>
      </c>
      <c r="I114" s="159">
        <f>(J114/L114)*100</f>
        <v/>
      </c>
      <c r="J114" s="159">
        <f>L114/O114</f>
        <v/>
      </c>
      <c r="K114" s="157" t="n">
        <v>7.617</v>
      </c>
      <c r="L114" s="157" t="n">
        <v>15360.6</v>
      </c>
      <c r="M114" s="157" t="n">
        <v>3.93</v>
      </c>
      <c r="N114" s="159">
        <f>K114-I114</f>
        <v/>
      </c>
      <c r="O114" s="157" t="n">
        <v>19.01</v>
      </c>
      <c r="P114" s="157" t="n">
        <v>3.195</v>
      </c>
      <c r="Q114" s="159">
        <f>K114-P114</f>
        <v/>
      </c>
      <c r="R114" s="157" t="n">
        <v>103.417</v>
      </c>
      <c r="S114" s="159">
        <f>(O114*T114)/100</f>
        <v/>
      </c>
      <c r="T114" s="157" t="n">
        <v>5.07</v>
      </c>
      <c r="U114" s="157" t="n">
        <v>26180.35</v>
      </c>
      <c r="V114" s="157" t="n">
        <v>22.28</v>
      </c>
      <c r="W114" s="159">
        <f>U114/V114</f>
        <v/>
      </c>
      <c r="X114" s="159">
        <f>(W114/U114)*100</f>
        <v/>
      </c>
      <c r="Y114" s="157" t="n">
        <v>7965.9</v>
      </c>
      <c r="Z114" s="157" t="n">
        <v>19.31</v>
      </c>
      <c r="AA114" s="159">
        <f>Y114/Z114</f>
        <v/>
      </c>
      <c r="AB114" s="159">
        <f>(AA114/Y114)*100</f>
        <v/>
      </c>
    </row>
    <row r="115" ht="12.95" customHeight="1">
      <c r="A115" s="155" t="n">
        <v>114</v>
      </c>
      <c r="B115" s="156" t="n">
        <v>44729</v>
      </c>
      <c r="C115" s="157" t="n">
        <v>23662349.71</v>
      </c>
      <c r="D115" s="174">
        <f>C115/E115</f>
        <v/>
      </c>
      <c r="E115" s="157" t="n">
        <v>77.952</v>
      </c>
      <c r="F115" s="159">
        <f>D115/100000</f>
        <v/>
      </c>
      <c r="G115" s="159">
        <f>(F115/DataSheet!$C$9*100)</f>
        <v/>
      </c>
      <c r="H115" s="159">
        <f>K115/I115</f>
        <v/>
      </c>
      <c r="I115" s="159">
        <f>(J115/L115)*100</f>
        <v/>
      </c>
      <c r="J115" s="159">
        <f>L115/O115</f>
        <v/>
      </c>
      <c r="K115" s="157" t="n">
        <v>7.546</v>
      </c>
      <c r="L115" s="157" t="n">
        <v>15293.5</v>
      </c>
      <c r="M115" s="157" t="n">
        <v>3.91</v>
      </c>
      <c r="N115" s="159">
        <f>K115-I115</f>
        <v/>
      </c>
      <c r="O115" s="157" t="n">
        <v>18.92</v>
      </c>
      <c r="P115" s="157" t="n">
        <v>3.231</v>
      </c>
      <c r="Q115" s="159">
        <f>K115-P115</f>
        <v/>
      </c>
      <c r="R115" s="157" t="n">
        <v>104.488</v>
      </c>
      <c r="S115" s="159">
        <f>(O115*T115)/100</f>
        <v/>
      </c>
      <c r="T115" s="157" t="n">
        <v>5.12</v>
      </c>
      <c r="U115" s="157" t="n">
        <v>25877.7</v>
      </c>
      <c r="V115" s="157" t="n">
        <v>22.03</v>
      </c>
      <c r="W115" s="159">
        <f>U115/V115</f>
        <v/>
      </c>
      <c r="X115" s="159">
        <f>(W115/U115)*100</f>
        <v/>
      </c>
      <c r="Y115" s="157" t="n">
        <v>7902.75</v>
      </c>
      <c r="Z115" s="157" t="n">
        <v>19.15</v>
      </c>
      <c r="AA115" s="159">
        <f>Y115/Z115</f>
        <v/>
      </c>
      <c r="AB115" s="159">
        <f>(AA115/Y115)*100</f>
        <v/>
      </c>
    </row>
    <row r="116" ht="12.95" customHeight="1">
      <c r="A116" s="155" t="n">
        <v>115</v>
      </c>
      <c r="B116" s="156" t="n">
        <v>44732</v>
      </c>
      <c r="C116" s="157" t="n">
        <v>23466089.87</v>
      </c>
      <c r="D116" s="174">
        <f>C116/E116</f>
        <v/>
      </c>
      <c r="E116" s="157" t="n">
        <v>77.92700000000001</v>
      </c>
      <c r="F116" s="159">
        <f>D116/100000</f>
        <v/>
      </c>
      <c r="G116" s="159">
        <f>(F116/DataSheet!$C$9*100)</f>
        <v/>
      </c>
      <c r="H116" s="159">
        <f>K116/I116</f>
        <v/>
      </c>
      <c r="I116" s="159">
        <f>(J116/L116)*100</f>
        <v/>
      </c>
      <c r="J116" s="159">
        <f>L116/O116</f>
        <v/>
      </c>
      <c r="K116" s="157" t="n">
        <v>7.427</v>
      </c>
      <c r="L116" s="157" t="n">
        <v>15350.15</v>
      </c>
      <c r="M116" s="157" t="n">
        <v>3.92</v>
      </c>
      <c r="N116" s="159">
        <f>K116-I116</f>
        <v/>
      </c>
      <c r="O116" s="157" t="n">
        <v>18.99</v>
      </c>
      <c r="P116" s="157" t="n">
        <v>3.277</v>
      </c>
      <c r="Q116" s="159">
        <f>K116-P116</f>
        <v/>
      </c>
      <c r="R116" s="157" t="n">
        <v>104.488</v>
      </c>
      <c r="S116" s="159">
        <f>(O116*T116)/100</f>
        <v/>
      </c>
      <c r="T116" s="157" t="n">
        <v>5.07</v>
      </c>
      <c r="U116" s="157" t="n">
        <v>25292.9</v>
      </c>
      <c r="V116" s="157" t="n">
        <v>21.59</v>
      </c>
      <c r="W116" s="159">
        <f>U116/V116</f>
        <v/>
      </c>
      <c r="X116" s="159">
        <f>(W116/U116)*100</f>
        <v/>
      </c>
      <c r="Y116" s="157" t="n">
        <v>7657.25</v>
      </c>
      <c r="Z116" s="157" t="n">
        <v>18.56</v>
      </c>
      <c r="AA116" s="159">
        <f>Y116/Z116</f>
        <v/>
      </c>
      <c r="AB116" s="159">
        <f>(AA116/Y116)*100</f>
        <v/>
      </c>
    </row>
    <row r="117" ht="12.95" customHeight="1">
      <c r="A117" s="155" t="n">
        <v>116</v>
      </c>
      <c r="B117" s="156" t="n">
        <v>44733</v>
      </c>
      <c r="C117" s="157" t="n">
        <v>24049616.12</v>
      </c>
      <c r="D117" s="174">
        <f>C117/E117</f>
        <v/>
      </c>
      <c r="E117" s="157" t="n">
        <v>78.133</v>
      </c>
      <c r="F117" s="159">
        <f>D117/100000</f>
        <v/>
      </c>
      <c r="G117" s="159">
        <f>(F117/DataSheet!$C$9*100)</f>
        <v/>
      </c>
      <c r="H117" s="159">
        <f>K117/I117</f>
        <v/>
      </c>
      <c r="I117" s="159">
        <f>(J117/L117)*100</f>
        <v/>
      </c>
      <c r="J117" s="159">
        <f>L117/O117</f>
        <v/>
      </c>
      <c r="K117" s="157" t="n">
        <v>7.482</v>
      </c>
      <c r="L117" s="157" t="n">
        <v>15638.8</v>
      </c>
      <c r="M117" s="157" t="n">
        <v>4</v>
      </c>
      <c r="N117" s="159">
        <f>K117-I117</f>
        <v/>
      </c>
      <c r="O117" s="157" t="n">
        <v>19.35</v>
      </c>
      <c r="P117" s="157" t="n">
        <v>3.279</v>
      </c>
      <c r="Q117" s="159">
        <f>K117-P117</f>
        <v/>
      </c>
      <c r="R117" s="157" t="n">
        <v>104.211</v>
      </c>
      <c r="S117" s="159">
        <f>(O117*T117)/100</f>
        <v/>
      </c>
      <c r="T117" s="157" t="n">
        <v>5.05</v>
      </c>
      <c r="U117" s="157" t="n">
        <v>26194.4</v>
      </c>
      <c r="V117" s="157" t="n">
        <v>22.26</v>
      </c>
      <c r="W117" s="159">
        <f>U117/V117</f>
        <v/>
      </c>
      <c r="X117" s="159">
        <f>(W117/U117)*100</f>
        <v/>
      </c>
      <c r="Y117" s="157" t="n">
        <v>7893.4</v>
      </c>
      <c r="Z117" s="157" t="n">
        <v>19.13</v>
      </c>
      <c r="AA117" s="159">
        <f>Y117/Z117</f>
        <v/>
      </c>
      <c r="AB117" s="159">
        <f>(AA117/Y117)*100</f>
        <v/>
      </c>
    </row>
    <row r="118" ht="12.95" customHeight="1">
      <c r="A118" s="155" t="n">
        <v>117</v>
      </c>
      <c r="B118" s="156" t="n">
        <v>44734</v>
      </c>
      <c r="C118" s="157" t="n">
        <v>23706131.74</v>
      </c>
      <c r="D118" s="174">
        <f>C118/E118</f>
        <v/>
      </c>
      <c r="E118" s="157" t="n">
        <v>78.18000000000001</v>
      </c>
      <c r="F118" s="159">
        <f>D118/100000</f>
        <v/>
      </c>
      <c r="G118" s="159">
        <f>(F118/DataSheet!$C$9*100)</f>
        <v/>
      </c>
      <c r="H118" s="159">
        <f>K118/I118</f>
        <v/>
      </c>
      <c r="I118" s="159">
        <f>(J118/L118)*100</f>
        <v/>
      </c>
      <c r="J118" s="159">
        <f>L118/O118</f>
        <v/>
      </c>
      <c r="K118" s="157" t="n">
        <v>7.396</v>
      </c>
      <c r="L118" s="157" t="n">
        <v>15413.3</v>
      </c>
      <c r="M118" s="157" t="n">
        <v>3.94</v>
      </c>
      <c r="N118" s="159">
        <f>K118-I118</f>
        <v/>
      </c>
      <c r="O118" s="157" t="n">
        <v>19.07</v>
      </c>
      <c r="P118" s="157" t="n">
        <v>3.16</v>
      </c>
      <c r="Q118" s="159">
        <f>K118-P118</f>
        <v/>
      </c>
      <c r="R118" s="157" t="n">
        <v>103.981</v>
      </c>
      <c r="S118" s="159">
        <f>(O118*T118)/100</f>
        <v/>
      </c>
      <c r="T118" s="157" t="n">
        <v>5.07</v>
      </c>
      <c r="U118" s="157" t="n">
        <v>25767.85</v>
      </c>
      <c r="V118" s="157" t="n">
        <v>21.93</v>
      </c>
      <c r="W118" s="159">
        <f>U118/V118</f>
        <v/>
      </c>
      <c r="X118" s="159">
        <f>(W118/U118)*100</f>
        <v/>
      </c>
      <c r="Y118" s="157" t="n">
        <v>7810.9</v>
      </c>
      <c r="Z118" s="157" t="n">
        <v>18.93</v>
      </c>
      <c r="AA118" s="159">
        <f>Y118/Z118</f>
        <v/>
      </c>
      <c r="AB118" s="159">
        <f>(AA118/Y118)*100</f>
        <v/>
      </c>
    </row>
    <row r="119" ht="12.95" customHeight="1">
      <c r="A119" s="155" t="n">
        <v>118</v>
      </c>
      <c r="B119" s="156" t="n">
        <v>44735</v>
      </c>
      <c r="C119" s="157" t="n">
        <v>23945817.99</v>
      </c>
      <c r="D119" s="174">
        <f>C119/E119</f>
        <v/>
      </c>
      <c r="E119" s="157" t="n">
        <v>78.145</v>
      </c>
      <c r="F119" s="159">
        <f>D119/100000</f>
        <v/>
      </c>
      <c r="G119" s="159">
        <f>(F119/DataSheet!$C$9*100)</f>
        <v/>
      </c>
      <c r="H119" s="159">
        <f>K119/I119</f>
        <v/>
      </c>
      <c r="I119" s="159">
        <f>(J119/L119)*100</f>
        <v/>
      </c>
      <c r="J119" s="159">
        <f>L119/O119</f>
        <v/>
      </c>
      <c r="K119" s="157" t="n">
        <v>7.419</v>
      </c>
      <c r="L119" s="157" t="n">
        <v>15556.65</v>
      </c>
      <c r="M119" s="157" t="n">
        <v>3.98</v>
      </c>
      <c r="N119" s="159">
        <f>K119-I119</f>
        <v/>
      </c>
      <c r="O119" s="157" t="n">
        <v>19.25</v>
      </c>
      <c r="P119" s="157" t="n">
        <v>3.089</v>
      </c>
      <c r="Q119" s="159">
        <f>K119-P119</f>
        <v/>
      </c>
      <c r="R119" s="157" t="n">
        <v>104.192</v>
      </c>
      <c r="S119" s="159">
        <f>(O119*T119)/100</f>
        <v/>
      </c>
      <c r="T119" s="157" t="n">
        <v>5.11</v>
      </c>
      <c r="U119" s="157" t="n">
        <v>26079.95</v>
      </c>
      <c r="V119" s="157" t="n">
        <v>22.19</v>
      </c>
      <c r="W119" s="159">
        <f>U119/V119</f>
        <v/>
      </c>
      <c r="X119" s="159">
        <f>(W119/U119)*100</f>
        <v/>
      </c>
      <c r="Y119" s="157" t="n">
        <v>7899.9</v>
      </c>
      <c r="Z119" s="157" t="n">
        <v>19.15</v>
      </c>
      <c r="AA119" s="159">
        <f>Y119/Z119</f>
        <v/>
      </c>
      <c r="AB119" s="159">
        <f>(AA119/Y119)*100</f>
        <v/>
      </c>
    </row>
    <row r="120" ht="12.95" customHeight="1">
      <c r="A120" s="155" t="n">
        <v>119</v>
      </c>
      <c r="B120" s="156" t="n">
        <v>44736</v>
      </c>
      <c r="C120" s="157" t="n">
        <v>24495227.54</v>
      </c>
      <c r="D120" s="174">
        <f>C120/E120</f>
        <v/>
      </c>
      <c r="E120" s="157" t="n">
        <v>78.255</v>
      </c>
      <c r="F120" s="159">
        <f>D120/100000</f>
        <v/>
      </c>
      <c r="G120" s="159">
        <f>(F120/DataSheet!$C$9*100)</f>
        <v/>
      </c>
      <c r="H120" s="159">
        <f>K120/I120</f>
        <v/>
      </c>
      <c r="I120" s="159">
        <f>(J120/L120)*100</f>
        <v/>
      </c>
      <c r="J120" s="159">
        <f>L120/O120</f>
        <v/>
      </c>
      <c r="K120" s="157" t="n">
        <v>7.444</v>
      </c>
      <c r="L120" s="157" t="n">
        <v>15699.25</v>
      </c>
      <c r="M120" s="157" t="n">
        <v>4.01</v>
      </c>
      <c r="N120" s="159">
        <f>K120-I120</f>
        <v/>
      </c>
      <c r="O120" s="157" t="n">
        <v>19.43</v>
      </c>
      <c r="P120" s="157" t="n">
        <v>3.138</v>
      </c>
      <c r="Q120" s="159">
        <f>K120-P120</f>
        <v/>
      </c>
      <c r="R120" s="157" t="n">
        <v>103.959</v>
      </c>
      <c r="S120" s="159">
        <f>(O120*T120)/100</f>
        <v/>
      </c>
      <c r="T120" s="157" t="n">
        <v>5.11</v>
      </c>
      <c r="U120" s="157" t="n">
        <v>26449.05</v>
      </c>
      <c r="V120" s="157" t="n">
        <v>22.49</v>
      </c>
      <c r="W120" s="159">
        <f>U120/V120</f>
        <v/>
      </c>
      <c r="X120" s="159">
        <f>(W120/U120)*100</f>
        <v/>
      </c>
      <c r="Y120" s="157" t="n">
        <v>8036.8</v>
      </c>
      <c r="Z120" s="157" t="n">
        <v>19.48</v>
      </c>
      <c r="AA120" s="159">
        <f>Y120/Z120</f>
        <v/>
      </c>
      <c r="AB120" s="159">
        <f>(AA120/Y120)*100</f>
        <v/>
      </c>
    </row>
    <row r="121" ht="12.95" customHeight="1">
      <c r="A121" s="155" t="n">
        <v>120</v>
      </c>
      <c r="B121" s="156" t="n">
        <v>44739</v>
      </c>
      <c r="C121" s="157" t="n">
        <v>24446353.39</v>
      </c>
      <c r="D121" s="174">
        <f>C121/E121</f>
        <v/>
      </c>
      <c r="E121" s="157" t="n">
        <v>78.44</v>
      </c>
      <c r="F121" s="159">
        <f>D121/100000</f>
        <v/>
      </c>
      <c r="G121" s="159">
        <f>(F121/DataSheet!$C$9*100)</f>
        <v/>
      </c>
      <c r="H121" s="159">
        <f>K121/I121</f>
        <v/>
      </c>
      <c r="I121" s="159">
        <f>(J121/L121)*100</f>
        <v/>
      </c>
      <c r="J121" s="159">
        <f>L121/O121</f>
        <v/>
      </c>
      <c r="K121" s="157" t="n">
        <v>7.407</v>
      </c>
      <c r="L121" s="157" t="n">
        <v>15832.05</v>
      </c>
      <c r="M121" s="157" t="n">
        <v>4.05</v>
      </c>
      <c r="N121" s="159">
        <f>K121-I121</f>
        <v/>
      </c>
      <c r="O121" s="157" t="n">
        <v>19.59</v>
      </c>
      <c r="P121" s="157" t="n">
        <v>3.202</v>
      </c>
      <c r="Q121" s="159">
        <f>K121-P121</f>
        <v/>
      </c>
      <c r="R121" s="157" t="n">
        <v>103.678</v>
      </c>
      <c r="S121" s="159">
        <f>(O121*T121)/100</f>
        <v/>
      </c>
      <c r="T121" s="157" t="n">
        <v>5.08</v>
      </c>
      <c r="U121" s="157" t="n">
        <v>26713.25</v>
      </c>
      <c r="V121" s="157" t="n">
        <v>22.72</v>
      </c>
      <c r="W121" s="159">
        <f>U121/V121</f>
        <v/>
      </c>
      <c r="X121" s="159">
        <f>(W121/U121)*100</f>
        <v/>
      </c>
      <c r="Y121" s="157" t="n">
        <v>8165.6</v>
      </c>
      <c r="Z121" s="157" t="n">
        <v>19.79</v>
      </c>
      <c r="AA121" s="159">
        <f>Y121/Z121</f>
        <v/>
      </c>
      <c r="AB121" s="159">
        <f>(AA121/Y121)*100</f>
        <v/>
      </c>
    </row>
    <row r="122" ht="12.95" customHeight="1">
      <c r="A122" s="155" t="n">
        <v>121</v>
      </c>
      <c r="B122" s="156" t="n">
        <v>44740</v>
      </c>
      <c r="C122" s="157" t="n">
        <v>24506022.53</v>
      </c>
      <c r="D122" s="174">
        <f>C122/E122</f>
        <v/>
      </c>
      <c r="E122" s="157" t="n">
        <v>78.995</v>
      </c>
      <c r="F122" s="159">
        <f>D122/100000</f>
        <v/>
      </c>
      <c r="G122" s="159">
        <f>(F122/DataSheet!$C$9*100)</f>
        <v/>
      </c>
      <c r="H122" s="159">
        <f>K122/I122</f>
        <v/>
      </c>
      <c r="I122" s="159">
        <f>(J122/L122)*100</f>
        <v/>
      </c>
      <c r="J122" s="159">
        <f>L122/O122</f>
        <v/>
      </c>
      <c r="K122" s="157" t="n">
        <v>7.466</v>
      </c>
      <c r="L122" s="157" t="n">
        <v>15850.2</v>
      </c>
      <c r="M122" s="157" t="n">
        <v>4.05</v>
      </c>
      <c r="N122" s="159">
        <f>K122-I122</f>
        <v/>
      </c>
      <c r="O122" s="157" t="n">
        <v>19.61</v>
      </c>
      <c r="P122" s="157" t="n">
        <v>3.177</v>
      </c>
      <c r="Q122" s="159">
        <f>K122-P122</f>
        <v/>
      </c>
      <c r="R122" s="157" t="n">
        <v>104.261</v>
      </c>
      <c r="S122" s="159">
        <f>(O122*T122)/100</f>
        <v/>
      </c>
      <c r="T122" s="157" t="n">
        <v>5.1</v>
      </c>
      <c r="U122" s="157" t="n">
        <v>26791</v>
      </c>
      <c r="V122" s="157" t="n">
        <v>22.81</v>
      </c>
      <c r="W122" s="159">
        <f>U122/V122</f>
        <v/>
      </c>
      <c r="X122" s="159">
        <f>(W122/U122)*100</f>
        <v/>
      </c>
      <c r="Y122" s="157" t="n">
        <v>8159.2</v>
      </c>
      <c r="Z122" s="157" t="n">
        <v>19.78</v>
      </c>
      <c r="AA122" s="159">
        <f>Y122/Z122</f>
        <v/>
      </c>
      <c r="AB122" s="159">
        <f>(AA122/Y122)*100</f>
        <v/>
      </c>
    </row>
    <row r="123" ht="12.95" customHeight="1">
      <c r="A123" s="155" t="n">
        <v>122</v>
      </c>
      <c r="B123" s="156" t="n">
        <v>44741</v>
      </c>
      <c r="C123" s="157" t="n">
        <v>24446459.45</v>
      </c>
      <c r="D123" s="174">
        <f>C123/E123</f>
        <v/>
      </c>
      <c r="E123" s="157" t="n">
        <v>78.94499999999999</v>
      </c>
      <c r="F123" s="159">
        <f>D123/100000</f>
        <v/>
      </c>
      <c r="G123" s="159">
        <f>(F123/DataSheet!$C$9*100)</f>
        <v/>
      </c>
      <c r="H123" s="159">
        <f>K123/I123</f>
        <v/>
      </c>
      <c r="I123" s="159">
        <f>(J123/L123)*100</f>
        <v/>
      </c>
      <c r="J123" s="159">
        <f>L123/O123</f>
        <v/>
      </c>
      <c r="K123" s="157" t="n">
        <v>7.459</v>
      </c>
      <c r="L123" s="157" t="n">
        <v>15799.1</v>
      </c>
      <c r="M123" s="157" t="n">
        <v>4.04</v>
      </c>
      <c r="N123" s="159">
        <f>K123-I123</f>
        <v/>
      </c>
      <c r="O123" s="157" t="n">
        <v>19.55</v>
      </c>
      <c r="P123" s="157" t="n">
        <v>3.087</v>
      </c>
      <c r="Q123" s="159">
        <f>K123-P123</f>
        <v/>
      </c>
      <c r="R123" s="157" t="n">
        <v>104.849</v>
      </c>
      <c r="S123" s="159">
        <f>(O123*T123)/100</f>
        <v/>
      </c>
      <c r="T123" s="157" t="n">
        <v>5.13</v>
      </c>
      <c r="U123" s="157" t="n">
        <v>26672.15</v>
      </c>
      <c r="V123" s="157" t="n">
        <v>22.76</v>
      </c>
      <c r="W123" s="159">
        <f>U123/V123</f>
        <v/>
      </c>
      <c r="X123" s="159">
        <f>(W123/U123)*100</f>
        <v/>
      </c>
      <c r="Y123" s="157" t="n">
        <v>8114.6</v>
      </c>
      <c r="Z123" s="157" t="n">
        <v>19.67</v>
      </c>
      <c r="AA123" s="159">
        <f>Y123/Z123</f>
        <v/>
      </c>
      <c r="AB123" s="159">
        <f>(AA123/Y123)*100</f>
        <v/>
      </c>
    </row>
    <row r="124" ht="12.95" customHeight="1">
      <c r="A124" s="155" t="n">
        <v>123</v>
      </c>
      <c r="B124" s="156" t="n">
        <v>44742</v>
      </c>
      <c r="C124" s="157" t="n">
        <v>24375859.38</v>
      </c>
      <c r="D124" s="174">
        <f>C124/E124</f>
        <v/>
      </c>
      <c r="E124" s="157" t="n">
        <v>78.965</v>
      </c>
      <c r="F124" s="159">
        <f>D124/100000</f>
        <v/>
      </c>
      <c r="G124" s="159">
        <f>(F124/DataSheet!$C$9*100)</f>
        <v/>
      </c>
      <c r="H124" s="159">
        <f>K124/I124</f>
        <v/>
      </c>
      <c r="I124" s="159">
        <f>(J124/L124)*100</f>
        <v/>
      </c>
      <c r="J124" s="159">
        <f>L124/O124</f>
        <v/>
      </c>
      <c r="K124" s="157" t="n">
        <v>7.45</v>
      </c>
      <c r="L124" s="157" t="n">
        <v>15780.25</v>
      </c>
      <c r="M124" s="157" t="n">
        <v>4.03</v>
      </c>
      <c r="N124" s="159">
        <f>K124-I124</f>
        <v/>
      </c>
      <c r="O124" s="157" t="n">
        <v>19.5</v>
      </c>
      <c r="P124" s="157" t="n">
        <v>3.017</v>
      </c>
      <c r="Q124" s="159">
        <f>K124-P124</f>
        <v/>
      </c>
      <c r="R124" s="157" t="n">
        <v>104.464</v>
      </c>
      <c r="S124" s="159">
        <f>(O124*T124)/100</f>
        <v/>
      </c>
      <c r="T124" s="157" t="n">
        <v>5.14</v>
      </c>
      <c r="U124" s="157" t="n">
        <v>26452.75</v>
      </c>
      <c r="V124" s="157" t="n">
        <v>22.75</v>
      </c>
      <c r="W124" s="159">
        <f>U124/V124</f>
        <v/>
      </c>
      <c r="X124" s="159">
        <f>(W124/U124)*100</f>
        <v/>
      </c>
      <c r="Y124" s="157" t="n">
        <v>8088.6</v>
      </c>
      <c r="Z124" s="157" t="n">
        <v>19.63</v>
      </c>
      <c r="AA124" s="159">
        <f>Y124/Z124</f>
        <v/>
      </c>
      <c r="AB124" s="159">
        <f>(AA124/Y124)*100</f>
        <v/>
      </c>
    </row>
    <row r="125" ht="12.95" customHeight="1">
      <c r="A125" s="155" t="n">
        <v>124</v>
      </c>
      <c r="B125" s="156" t="n">
        <v>44743</v>
      </c>
      <c r="C125" s="157" t="n">
        <v>24382733.59</v>
      </c>
      <c r="D125" s="174">
        <f>C125/E125</f>
        <v/>
      </c>
      <c r="E125" s="157" t="n">
        <v>78.956</v>
      </c>
      <c r="F125" s="159">
        <f>D125/100000</f>
        <v/>
      </c>
      <c r="G125" s="159">
        <f>(F125/DataSheet!$C$9*100)</f>
        <v/>
      </c>
      <c r="H125" s="159">
        <f>K125/I125</f>
        <v/>
      </c>
      <c r="I125" s="159">
        <f>(J125/L125)*100</f>
        <v/>
      </c>
      <c r="J125" s="159">
        <f>L125/O125</f>
        <v/>
      </c>
      <c r="K125" s="157" t="n">
        <v>7.424</v>
      </c>
      <c r="L125" s="157" t="n">
        <v>15752.05</v>
      </c>
      <c r="M125" s="157" t="n">
        <v>4.02</v>
      </c>
      <c r="N125" s="159">
        <f>K125-I125</f>
        <v/>
      </c>
      <c r="O125" s="157" t="n">
        <v>19.46</v>
      </c>
      <c r="P125" s="157" t="n">
        <v>2.889</v>
      </c>
      <c r="Q125" s="159">
        <f>K125-P125</f>
        <v/>
      </c>
      <c r="R125" s="157" t="n">
        <v>104.909</v>
      </c>
      <c r="S125" s="159">
        <f>(O125*T125)/100</f>
        <v/>
      </c>
      <c r="T125" s="157" t="n">
        <v>5.13</v>
      </c>
      <c r="U125" s="157" t="n">
        <v>26587.3</v>
      </c>
      <c r="V125" s="157" t="n">
        <v>22.83</v>
      </c>
      <c r="W125" s="159">
        <f>U125/V125</f>
        <v/>
      </c>
      <c r="X125" s="159">
        <f>(W125/U125)*100</f>
        <v/>
      </c>
      <c r="Y125" s="157" t="n">
        <v>8105.5</v>
      </c>
      <c r="Z125" s="157" t="n">
        <v>19.68</v>
      </c>
      <c r="AA125" s="159">
        <f>Y125/Z125</f>
        <v/>
      </c>
      <c r="AB125" s="159">
        <f>(AA125/Y125)*100</f>
        <v/>
      </c>
    </row>
    <row r="126" ht="12.95" customHeight="1">
      <c r="A126" s="155" t="n">
        <v>125</v>
      </c>
      <c r="B126" s="156" t="n">
        <v>44746</v>
      </c>
      <c r="C126" s="157" t="n">
        <v>24513409.35</v>
      </c>
      <c r="D126" s="174">
        <f>C126/E126</f>
        <v/>
      </c>
      <c r="E126" s="157" t="n">
        <v>78.93899999999999</v>
      </c>
      <c r="F126" s="159">
        <f>D126/100000</f>
        <v/>
      </c>
      <c r="G126" s="159">
        <f>(F126/DataSheet!$C$9*100)</f>
        <v/>
      </c>
      <c r="H126" s="159">
        <f>K126/I126</f>
        <v/>
      </c>
      <c r="I126" s="159">
        <f>(J126/L126)*100</f>
        <v/>
      </c>
      <c r="J126" s="159">
        <f>L126/O126</f>
        <v/>
      </c>
      <c r="K126" s="157" t="n">
        <v>7.374</v>
      </c>
      <c r="L126" s="157" t="n">
        <v>15835.35</v>
      </c>
      <c r="M126" s="157" t="n">
        <v>4.04</v>
      </c>
      <c r="N126" s="159">
        <f>K126-I126</f>
        <v/>
      </c>
      <c r="O126" s="157" t="n">
        <v>19.57</v>
      </c>
      <c r="P126" s="157" t="n">
        <v>2.932</v>
      </c>
      <c r="Q126" s="159">
        <f>K126-P126</f>
        <v/>
      </c>
      <c r="R126" s="157" t="n">
        <v>104.909</v>
      </c>
      <c r="S126" s="159">
        <f>(O126*T126)/100</f>
        <v/>
      </c>
      <c r="T126" s="157" t="n">
        <v>5.11</v>
      </c>
      <c r="U126" s="157" t="n">
        <v>26769.55</v>
      </c>
      <c r="V126" s="157" t="n">
        <v>22.98</v>
      </c>
      <c r="W126" s="159">
        <f>U126/V126</f>
        <v/>
      </c>
      <c r="X126" s="159">
        <f>(W126/U126)*100</f>
        <v/>
      </c>
      <c r="Y126" s="157" t="n">
        <v>8145.7</v>
      </c>
      <c r="Z126" s="157" t="n">
        <v>19.77</v>
      </c>
      <c r="AA126" s="159">
        <f>Y126/Z126</f>
        <v/>
      </c>
      <c r="AB126" s="159">
        <f>(AA126/Y126)*100</f>
        <v/>
      </c>
    </row>
    <row r="127" ht="12.95" customHeight="1">
      <c r="A127" s="155" t="n">
        <v>126</v>
      </c>
      <c r="B127" s="156" t="n">
        <v>44747</v>
      </c>
      <c r="C127" s="157" t="n">
        <v>24528011.09</v>
      </c>
      <c r="D127" s="174">
        <f>C127/E127</f>
        <v/>
      </c>
      <c r="E127" s="157" t="n">
        <v>79.298</v>
      </c>
      <c r="F127" s="159">
        <f>D127/100000</f>
        <v/>
      </c>
      <c r="G127" s="159">
        <f>(F127/DataSheet!$C$9*100)</f>
        <v/>
      </c>
      <c r="H127" s="159">
        <f>K127/I127</f>
        <v/>
      </c>
      <c r="I127" s="159">
        <f>(J127/L127)*100</f>
        <v/>
      </c>
      <c r="J127" s="159">
        <f>L127/O127</f>
        <v/>
      </c>
      <c r="K127" s="157" t="n">
        <v>7.391</v>
      </c>
      <c r="L127" s="157" t="n">
        <v>15810.85</v>
      </c>
      <c r="M127" s="157" t="n">
        <v>4.04</v>
      </c>
      <c r="N127" s="159">
        <f>K127-I127</f>
        <v/>
      </c>
      <c r="O127" s="157" t="n">
        <v>19.54</v>
      </c>
      <c r="P127" s="157" t="n">
        <v>2.818</v>
      </c>
      <c r="Q127" s="159">
        <f>K127-P127</f>
        <v/>
      </c>
      <c r="R127" s="157" t="n">
        <v>106.32</v>
      </c>
      <c r="S127" s="159">
        <f>(O127*T127)/100</f>
        <v/>
      </c>
      <c r="T127" s="157" t="n">
        <v>5.12</v>
      </c>
      <c r="U127" s="157" t="n">
        <v>26698.1</v>
      </c>
      <c r="V127" s="157" t="n">
        <v>22.95</v>
      </c>
      <c r="W127" s="159">
        <f>U127/V127</f>
        <v/>
      </c>
      <c r="X127" s="159">
        <f>(W127/U127)*100</f>
        <v/>
      </c>
      <c r="Y127" s="157" t="n">
        <v>8166.8</v>
      </c>
      <c r="Z127" s="157" t="n">
        <v>19.82</v>
      </c>
      <c r="AA127" s="159">
        <f>Y127/Z127</f>
        <v/>
      </c>
      <c r="AB127" s="159">
        <f>(AA127/Y127)*100</f>
        <v/>
      </c>
    </row>
    <row r="128" ht="12.95" customHeight="1">
      <c r="A128" s="155" t="n">
        <v>127</v>
      </c>
      <c r="B128" s="156" t="n">
        <v>44748</v>
      </c>
      <c r="C128" s="157" t="n">
        <v>24829900.23</v>
      </c>
      <c r="D128" s="174">
        <f>C128/E128</f>
        <v/>
      </c>
      <c r="E128" s="157" t="n">
        <v>79.047</v>
      </c>
      <c r="F128" s="159">
        <f>D128/100000</f>
        <v/>
      </c>
      <c r="G128" s="159">
        <f>(F128/DataSheet!$C$9*100)</f>
        <v/>
      </c>
      <c r="H128" s="159">
        <f>K128/I128</f>
        <v/>
      </c>
      <c r="I128" s="159">
        <f>(J128/L128)*100</f>
        <v/>
      </c>
      <c r="J128" s="159">
        <f>L128/O128</f>
        <v/>
      </c>
      <c r="K128" s="157" t="n">
        <v>7.294</v>
      </c>
      <c r="L128" s="157" t="n">
        <v>15989.8</v>
      </c>
      <c r="M128" s="157" t="n">
        <v>4.08</v>
      </c>
      <c r="N128" s="159">
        <f>K128-I128</f>
        <v/>
      </c>
      <c r="O128" s="157" t="n">
        <v>19.76</v>
      </c>
      <c r="P128" s="157" t="n">
        <v>2.934</v>
      </c>
      <c r="Q128" s="159">
        <f>K128-P128</f>
        <v/>
      </c>
      <c r="R128" s="157" t="n">
        <v>106.898</v>
      </c>
      <c r="S128" s="159">
        <f>(O128*T128)/100</f>
        <v/>
      </c>
      <c r="T128" s="157" t="n">
        <v>5.09</v>
      </c>
      <c r="U128" s="157" t="n">
        <v>27204.35</v>
      </c>
      <c r="V128" s="157" t="n">
        <v>23.36</v>
      </c>
      <c r="W128" s="159">
        <f>U128/V128</f>
        <v/>
      </c>
      <c r="X128" s="159">
        <f>(W128/U128)*100</f>
        <v/>
      </c>
      <c r="Y128" s="157" t="n">
        <v>8210.1</v>
      </c>
      <c r="Z128" s="157" t="n">
        <v>19.93</v>
      </c>
      <c r="AA128" s="159">
        <f>Y128/Z128</f>
        <v/>
      </c>
      <c r="AB128" s="159">
        <f>(AA128/Y128)*100</f>
        <v/>
      </c>
    </row>
    <row r="129" ht="12.95" customHeight="1">
      <c r="A129" s="155" t="n">
        <v>128</v>
      </c>
      <c r="B129" s="156" t="n">
        <v>44749</v>
      </c>
      <c r="C129" s="157" t="n">
        <v>25058303.23</v>
      </c>
      <c r="D129" s="174">
        <f>C129/E129</f>
        <v/>
      </c>
      <c r="E129" s="157" t="n">
        <v>79.175</v>
      </c>
      <c r="F129" s="159">
        <f>D129/100000</f>
        <v/>
      </c>
      <c r="G129" s="159">
        <f>(F129/DataSheet!$C$9*100)</f>
        <v/>
      </c>
      <c r="H129" s="159">
        <f>K129/I129</f>
        <v/>
      </c>
      <c r="I129" s="159">
        <f>(J129/L129)*100</f>
        <v/>
      </c>
      <c r="J129" s="159">
        <f>L129/O129</f>
        <v/>
      </c>
      <c r="K129" s="157" t="n">
        <v>7.354</v>
      </c>
      <c r="L129" s="157" t="n">
        <v>16132.9</v>
      </c>
      <c r="M129" s="157" t="n">
        <v>4.12</v>
      </c>
      <c r="N129" s="159">
        <f>K129-I129</f>
        <v/>
      </c>
      <c r="O129" s="157" t="n">
        <v>19.93</v>
      </c>
      <c r="P129" s="157" t="n">
        <v>3</v>
      </c>
      <c r="Q129" s="159">
        <f>K129-P129</f>
        <v/>
      </c>
      <c r="R129" s="157" t="n">
        <v>106.959</v>
      </c>
      <c r="S129" s="159">
        <f>(O129*T129)/100</f>
        <v/>
      </c>
      <c r="T129" s="157" t="n">
        <v>5.16</v>
      </c>
      <c r="U129" s="157" t="n">
        <v>27572.45</v>
      </c>
      <c r="V129" s="157" t="n">
        <v>23.67</v>
      </c>
      <c r="W129" s="159">
        <f>U129/V129</f>
        <v/>
      </c>
      <c r="X129" s="159">
        <f>(W129/U129)*100</f>
        <v/>
      </c>
      <c r="Y129" s="157" t="n">
        <v>8317.450000000001</v>
      </c>
      <c r="Z129" s="157" t="n">
        <v>20.19</v>
      </c>
      <c r="AA129" s="159">
        <f>Y129/Z129</f>
        <v/>
      </c>
      <c r="AB129" s="159">
        <f>(AA129/Y129)*100</f>
        <v/>
      </c>
    </row>
    <row r="130" ht="12.95" customHeight="1">
      <c r="A130" s="155" t="n">
        <v>129</v>
      </c>
      <c r="B130" s="156" t="n">
        <v>44750</v>
      </c>
      <c r="C130" s="157" t="n">
        <v>25155516.01</v>
      </c>
      <c r="D130" s="174">
        <f>C130/E130</f>
        <v/>
      </c>
      <c r="E130" s="157" t="n">
        <v>79.26000000000001</v>
      </c>
      <c r="F130" s="159">
        <f>D130/100000</f>
        <v/>
      </c>
      <c r="G130" s="159">
        <f>(F130/DataSheet!$C$9*100)</f>
        <v/>
      </c>
      <c r="H130" s="159">
        <f>K130/I130</f>
        <v/>
      </c>
      <c r="I130" s="159">
        <f>(J130/L130)*100</f>
        <v/>
      </c>
      <c r="J130" s="159">
        <f>L130/O130</f>
        <v/>
      </c>
      <c r="K130" s="157" t="n">
        <v>7.415</v>
      </c>
      <c r="L130" s="157" t="n">
        <v>16220.6</v>
      </c>
      <c r="M130" s="157" t="n">
        <v>4</v>
      </c>
      <c r="N130" s="159">
        <f>K130-I130</f>
        <v/>
      </c>
      <c r="O130" s="157" t="n">
        <v>20.04</v>
      </c>
      <c r="P130" s="157" t="n">
        <v>3.08</v>
      </c>
      <c r="Q130" s="159">
        <f>K130-P130</f>
        <v/>
      </c>
      <c r="R130" s="157" t="n">
        <v>106.821</v>
      </c>
      <c r="S130" s="159">
        <f>(O130*T130)/100</f>
        <v/>
      </c>
      <c r="T130" s="157" t="n">
        <v>5.17</v>
      </c>
      <c r="U130" s="157" t="n">
        <v>27649.05</v>
      </c>
      <c r="V130" s="157" t="n">
        <v>23.72</v>
      </c>
      <c r="W130" s="159">
        <f>U130/V130</f>
        <v/>
      </c>
      <c r="X130" s="159">
        <f>(W130/U130)*100</f>
        <v/>
      </c>
      <c r="Y130" s="157" t="n">
        <v>8336.799999999999</v>
      </c>
      <c r="Z130" s="157" t="n">
        <v>20.24</v>
      </c>
      <c r="AA130" s="159">
        <f>Y130/Z130</f>
        <v/>
      </c>
      <c r="AB130" s="159">
        <f>(AA130/Y130)*100</f>
        <v/>
      </c>
    </row>
    <row r="131" ht="12.95" customHeight="1">
      <c r="A131" s="155" t="n">
        <v>130</v>
      </c>
      <c r="B131" s="156" t="n">
        <v>44753</v>
      </c>
      <c r="C131" s="157" t="n">
        <v>25319892.54</v>
      </c>
      <c r="D131" s="174">
        <f>C131/E131</f>
        <v/>
      </c>
      <c r="E131" s="157" t="n">
        <v>79.41</v>
      </c>
      <c r="F131" s="159">
        <f>D131/100000</f>
        <v/>
      </c>
      <c r="G131" s="159">
        <f>(F131/DataSheet!$C$9*100)</f>
        <v/>
      </c>
      <c r="H131" s="159">
        <f>K131/I131</f>
        <v/>
      </c>
      <c r="I131" s="159">
        <f>(J131/L131)*100</f>
        <v/>
      </c>
      <c r="J131" s="159">
        <f>L131/O131</f>
        <v/>
      </c>
      <c r="K131" s="157" t="n">
        <v>7.427</v>
      </c>
      <c r="L131" s="157" t="n">
        <v>16216</v>
      </c>
      <c r="M131" s="157" t="n">
        <v>3.91</v>
      </c>
      <c r="N131" s="159">
        <f>K131-I131</f>
        <v/>
      </c>
      <c r="O131" s="157" t="n">
        <v>20.03</v>
      </c>
      <c r="P131" s="157" t="n">
        <v>2.993</v>
      </c>
      <c r="Q131" s="159">
        <f>K131-P131</f>
        <v/>
      </c>
      <c r="R131" s="157" t="n">
        <v>107.829</v>
      </c>
      <c r="S131" s="159">
        <f>(O131*T131)/100</f>
        <v/>
      </c>
      <c r="T131" s="157" t="n">
        <v>5.15</v>
      </c>
      <c r="U131" s="157" t="n">
        <v>27908.05</v>
      </c>
      <c r="V131" s="157" t="n">
        <v>23.96</v>
      </c>
      <c r="W131" s="159">
        <f>U131/V131</f>
        <v/>
      </c>
      <c r="X131" s="159">
        <f>(W131/U131)*100</f>
        <v/>
      </c>
      <c r="Y131" s="157" t="n">
        <v>8423.299999999999</v>
      </c>
      <c r="Z131" s="157" t="n">
        <v>20.41</v>
      </c>
      <c r="AA131" s="159">
        <f>Y131/Z131</f>
        <v/>
      </c>
      <c r="AB131" s="159">
        <f>(AA131/Y131)*100</f>
        <v/>
      </c>
    </row>
    <row r="132" ht="12.95" customHeight="1">
      <c r="A132" s="155" t="n">
        <v>131</v>
      </c>
      <c r="B132" s="156" t="n">
        <v>44754</v>
      </c>
      <c r="C132" s="157" t="n">
        <v>25190161.62</v>
      </c>
      <c r="D132" s="174">
        <f>C132/E132</f>
        <v/>
      </c>
      <c r="E132" s="157" t="n">
        <v>79.45</v>
      </c>
      <c r="F132" s="159">
        <f>D132/100000</f>
        <v/>
      </c>
      <c r="G132" s="159">
        <f>(F132/DataSheet!$C$9*100)</f>
        <v/>
      </c>
      <c r="H132" s="159">
        <f>K132/I132</f>
        <v/>
      </c>
      <c r="I132" s="159">
        <f>(J132/L132)*100</f>
        <v/>
      </c>
      <c r="J132" s="159">
        <f>L132/O132</f>
        <v/>
      </c>
      <c r="K132" s="157" t="n">
        <v>7.391</v>
      </c>
      <c r="L132" s="157" t="n">
        <v>16058.3</v>
      </c>
      <c r="M132" s="157" t="n">
        <v>3.87</v>
      </c>
      <c r="N132" s="159">
        <f>K132-I132</f>
        <v/>
      </c>
      <c r="O132" s="157" t="n">
        <v>19.83</v>
      </c>
      <c r="P132" s="157" t="n">
        <v>2.971</v>
      </c>
      <c r="Q132" s="159">
        <f>K132-P132</f>
        <v/>
      </c>
      <c r="R132" s="157" t="n">
        <v>107.912</v>
      </c>
      <c r="S132" s="159">
        <f>(O132*T132)/100</f>
        <v/>
      </c>
      <c r="T132" s="157" t="n">
        <v>5.16</v>
      </c>
      <c r="U132" s="157" t="n">
        <v>27782.05</v>
      </c>
      <c r="V132" s="157" t="n">
        <v>23.83</v>
      </c>
      <c r="W132" s="159">
        <f>U132/V132</f>
        <v/>
      </c>
      <c r="X132" s="159">
        <f>(W132/U132)*100</f>
        <v/>
      </c>
      <c r="Y132" s="157" t="n">
        <v>8392.4</v>
      </c>
      <c r="Z132" s="157" t="n">
        <v>20.34</v>
      </c>
      <c r="AA132" s="159">
        <f>Y132/Z132</f>
        <v/>
      </c>
      <c r="AB132" s="159">
        <f>(AA132/Y132)*100</f>
        <v/>
      </c>
    </row>
    <row r="133" ht="12.95" customHeight="1">
      <c r="A133" s="155" t="n">
        <v>132</v>
      </c>
      <c r="B133" s="156" t="n">
        <v>44755</v>
      </c>
      <c r="C133" s="157" t="n">
        <v>25099186.73</v>
      </c>
      <c r="D133" s="174">
        <f>C133/E133</f>
        <v/>
      </c>
      <c r="E133" s="157" t="n">
        <v>79.65000000000001</v>
      </c>
      <c r="F133" s="159">
        <f>D133/100000</f>
        <v/>
      </c>
      <c r="G133" s="159">
        <f>(F133/DataSheet!$C$9*100)</f>
        <v/>
      </c>
      <c r="H133" s="159">
        <f>K133/I133</f>
        <v/>
      </c>
      <c r="I133" s="159">
        <f>(J133/L133)*100</f>
        <v/>
      </c>
      <c r="J133" s="159">
        <f>L133/O133</f>
        <v/>
      </c>
      <c r="K133" s="157" t="n">
        <v>7.337</v>
      </c>
      <c r="L133" s="157" t="n">
        <v>15966.65</v>
      </c>
      <c r="M133" s="157" t="n">
        <v>3.85</v>
      </c>
      <c r="N133" s="159">
        <f>K133-I133</f>
        <v/>
      </c>
      <c r="O133" s="157" t="n">
        <v>19.72</v>
      </c>
      <c r="P133" s="157" t="n">
        <v>2.935</v>
      </c>
      <c r="Q133" s="159">
        <f>K133-P133</f>
        <v/>
      </c>
      <c r="R133" s="157" t="n">
        <v>107.756</v>
      </c>
      <c r="S133" s="159">
        <f>(O133*T133)/100</f>
        <v/>
      </c>
      <c r="T133" s="157" t="n">
        <v>5.18</v>
      </c>
      <c r="U133" s="157" t="n">
        <v>27827.85</v>
      </c>
      <c r="V133" s="157" t="n">
        <v>23.85</v>
      </c>
      <c r="W133" s="159">
        <f>U133/V133</f>
        <v/>
      </c>
      <c r="X133" s="159">
        <f>(W133/U133)*100</f>
        <v/>
      </c>
      <c r="Y133" s="157" t="n">
        <v>8410.35</v>
      </c>
      <c r="Z133" s="157" t="n">
        <v>20.38</v>
      </c>
      <c r="AA133" s="159">
        <f>Y133/Z133</f>
        <v/>
      </c>
      <c r="AB133" s="159">
        <f>(AA133/Y133)*100</f>
        <v/>
      </c>
    </row>
    <row r="134" ht="12.95" customHeight="1">
      <c r="A134" s="155" t="n">
        <v>133</v>
      </c>
      <c r="B134" s="156" t="n">
        <v>44756</v>
      </c>
      <c r="C134" s="157" t="n">
        <v>25059604.35</v>
      </c>
      <c r="D134" s="174">
        <f>C134/E134</f>
        <v/>
      </c>
      <c r="E134" s="157" t="n">
        <v>79.89</v>
      </c>
      <c r="F134" s="159">
        <f>D134/100000</f>
        <v/>
      </c>
      <c r="G134" s="159">
        <f>(F134/DataSheet!$C$9*100)</f>
        <v/>
      </c>
      <c r="H134" s="159">
        <f>K134/I134</f>
        <v/>
      </c>
      <c r="I134" s="159">
        <f>(J134/L134)*100</f>
        <v/>
      </c>
      <c r="J134" s="159">
        <f>L134/O134</f>
        <v/>
      </c>
      <c r="K134" s="157" t="n">
        <v>7.384</v>
      </c>
      <c r="L134" s="157" t="n">
        <v>15938.65</v>
      </c>
      <c r="M134" s="157" t="n">
        <v>3.84</v>
      </c>
      <c r="N134" s="159">
        <f>K134-I134</f>
        <v/>
      </c>
      <c r="O134" s="157" t="n">
        <v>19.69</v>
      </c>
      <c r="P134" s="157" t="n">
        <v>2.958</v>
      </c>
      <c r="Q134" s="159">
        <f>K134-P134</f>
        <v/>
      </c>
      <c r="R134" s="157" t="n">
        <v>108.407</v>
      </c>
      <c r="S134" s="159">
        <f>(O134*T134)/100</f>
        <v/>
      </c>
      <c r="T134" s="157" t="n">
        <v>5.22</v>
      </c>
      <c r="U134" s="157" t="n">
        <v>27803.5</v>
      </c>
      <c r="V134" s="157" t="n">
        <v>23.83</v>
      </c>
      <c r="W134" s="159">
        <f>U134/V134</f>
        <v/>
      </c>
      <c r="X134" s="159">
        <f>(W134/U134)*100</f>
        <v/>
      </c>
      <c r="Y134" s="157" t="n">
        <v>8349.6</v>
      </c>
      <c r="Z134" s="157" t="n">
        <v>20.23</v>
      </c>
      <c r="AA134" s="159">
        <f>Y134/Z134</f>
        <v/>
      </c>
      <c r="AB134" s="159">
        <f>(AA134/Y134)*100</f>
        <v/>
      </c>
    </row>
    <row r="135" ht="12.95" customHeight="1">
      <c r="A135" s="155" t="n">
        <v>134</v>
      </c>
      <c r="B135" s="156" t="n">
        <v>44757</v>
      </c>
      <c r="C135" s="157" t="n">
        <v>25190063.14</v>
      </c>
      <c r="D135" s="174">
        <f>C135/E135</f>
        <v/>
      </c>
      <c r="E135" s="157" t="n">
        <v>79.76000000000001</v>
      </c>
      <c r="F135" s="159">
        <f>D135/100000</f>
        <v/>
      </c>
      <c r="G135" s="159">
        <f>(F135/DataSheet!$C$9*100)</f>
        <v/>
      </c>
      <c r="H135" s="159">
        <f>K135/I135</f>
        <v/>
      </c>
      <c r="I135" s="159">
        <f>(J135/L135)*100</f>
        <v/>
      </c>
      <c r="J135" s="159">
        <f>L135/O135</f>
        <v/>
      </c>
      <c r="K135" s="157" t="n">
        <v>7.438</v>
      </c>
      <c r="L135" s="157" t="n">
        <v>16049.2</v>
      </c>
      <c r="M135" s="157" t="n">
        <v>3.87</v>
      </c>
      <c r="N135" s="159">
        <f>K135-I135</f>
        <v/>
      </c>
      <c r="O135" s="157" t="n">
        <v>19.82</v>
      </c>
      <c r="P135" s="157" t="n">
        <v>2.928</v>
      </c>
      <c r="Q135" s="159">
        <f>K135-P135</f>
        <v/>
      </c>
      <c r="R135" s="157" t="n">
        <v>107.911</v>
      </c>
      <c r="S135" s="159">
        <f>(O135*T135)/100</f>
        <v/>
      </c>
      <c r="T135" s="157" t="n">
        <v>5.23</v>
      </c>
      <c r="U135" s="157" t="n">
        <v>28017.25</v>
      </c>
      <c r="V135" s="157" t="n">
        <v>23.98</v>
      </c>
      <c r="W135" s="159">
        <f>U135/V135</f>
        <v/>
      </c>
      <c r="X135" s="159">
        <f>(W135/U135)*100</f>
        <v/>
      </c>
      <c r="Y135" s="157" t="n">
        <v>8389.35</v>
      </c>
      <c r="Z135" s="157" t="n">
        <v>20.31</v>
      </c>
      <c r="AA135" s="159">
        <f>Y135/Z135</f>
        <v/>
      </c>
      <c r="AB135" s="159">
        <f>(AA135/Y135)*100</f>
        <v/>
      </c>
    </row>
    <row r="136" ht="12.95" customHeight="1">
      <c r="A136" s="155" t="n">
        <v>135</v>
      </c>
      <c r="B136" s="156" t="n">
        <v>44760</v>
      </c>
      <c r="C136" s="157" t="n">
        <v>25526266.65</v>
      </c>
      <c r="D136" s="174">
        <f>C136/E136</f>
        <v/>
      </c>
      <c r="E136" s="157" t="n">
        <v>79.98999999999999</v>
      </c>
      <c r="F136" s="159">
        <f>D136/100000</f>
        <v/>
      </c>
      <c r="G136" s="159">
        <f>(F136/DataSheet!$C$9*100)</f>
        <v/>
      </c>
      <c r="H136" s="159">
        <f>K136/I136</f>
        <v/>
      </c>
      <c r="I136" s="159">
        <f>(J136/L136)*100</f>
        <v/>
      </c>
      <c r="J136" s="159">
        <f>L136/O136</f>
        <v/>
      </c>
      <c r="K136" s="157" t="n">
        <v>7.437</v>
      </c>
      <c r="L136" s="157" t="n">
        <v>16278.5</v>
      </c>
      <c r="M136" s="157" t="n">
        <v>3.92</v>
      </c>
      <c r="N136" s="159">
        <f>K136-I136</f>
        <v/>
      </c>
      <c r="O136" s="157" t="n">
        <v>20.11</v>
      </c>
      <c r="P136" s="157" t="n">
        <v>2.989</v>
      </c>
      <c r="Q136" s="159">
        <f>K136-P136</f>
        <v/>
      </c>
      <c r="R136" s="157" t="n">
        <v>107.231</v>
      </c>
      <c r="S136" s="159">
        <f>(O136*T136)/100</f>
        <v/>
      </c>
      <c r="T136" s="157" t="n">
        <v>5.23</v>
      </c>
      <c r="U136" s="157" t="n">
        <v>28409.75</v>
      </c>
      <c r="V136" s="157" t="n">
        <v>24.19</v>
      </c>
      <c r="W136" s="159">
        <f>U136/V136</f>
        <v/>
      </c>
      <c r="X136" s="159">
        <f>(W136/U136)*100</f>
        <v/>
      </c>
      <c r="Y136" s="157" t="n">
        <v>8511.700000000001</v>
      </c>
      <c r="Z136" s="157" t="n">
        <v>20.63</v>
      </c>
      <c r="AA136" s="159">
        <f>Y136/Z136</f>
        <v/>
      </c>
      <c r="AB136" s="159">
        <f>(AA136/Y136)*100</f>
        <v/>
      </c>
    </row>
    <row r="137" ht="12.95" customHeight="1">
      <c r="A137" s="155" t="n">
        <v>136</v>
      </c>
      <c r="B137" s="156" t="n">
        <v>44761</v>
      </c>
      <c r="C137" s="157" t="n">
        <v>25649764.92</v>
      </c>
      <c r="D137" s="174">
        <f>C137/E137</f>
        <v/>
      </c>
      <c r="E137" s="157" t="n">
        <v>79.84999999999999</v>
      </c>
      <c r="F137" s="159">
        <f>D137/100000</f>
        <v/>
      </c>
      <c r="G137" s="159">
        <f>(F137/DataSheet!$C$9*100)</f>
        <v/>
      </c>
      <c r="H137" s="159">
        <f>K137/I137</f>
        <v/>
      </c>
      <c r="I137" s="159">
        <f>(J137/L137)*100</f>
        <v/>
      </c>
      <c r="J137" s="159">
        <f>L137/O137</f>
        <v/>
      </c>
      <c r="K137" s="157" t="n">
        <v>7.434</v>
      </c>
      <c r="L137" s="157" t="n">
        <v>16340.55</v>
      </c>
      <c r="M137" s="157" t="n">
        <v>3.94</v>
      </c>
      <c r="N137" s="159">
        <f>K137-I137</f>
        <v/>
      </c>
      <c r="O137" s="157" t="n">
        <v>20.18</v>
      </c>
      <c r="P137" s="157" t="n">
        <v>3.028</v>
      </c>
      <c r="Q137" s="159">
        <f>K137-P137</f>
        <v/>
      </c>
      <c r="R137" s="157" t="n">
        <v>106.55</v>
      </c>
      <c r="S137" s="159">
        <f>(O137*T137)/100</f>
        <v/>
      </c>
      <c r="T137" s="157" t="n">
        <v>5.25</v>
      </c>
      <c r="U137" s="157" t="n">
        <v>28600.95</v>
      </c>
      <c r="V137" s="157" t="n">
        <v>24.37</v>
      </c>
      <c r="W137" s="159">
        <f>U137/V137</f>
        <v/>
      </c>
      <c r="X137" s="159">
        <f>(W137/U137)*100</f>
        <v/>
      </c>
      <c r="Y137" s="157" t="n">
        <v>8583.299999999999</v>
      </c>
      <c r="Z137" s="157" t="n">
        <v>20.79</v>
      </c>
      <c r="AA137" s="159">
        <f>Y137/Z137</f>
        <v/>
      </c>
      <c r="AB137" s="159">
        <f>(AA137/Y137)*100</f>
        <v/>
      </c>
    </row>
    <row r="138" ht="12.95" customHeight="1">
      <c r="A138" s="155" t="n">
        <v>137</v>
      </c>
      <c r="B138" s="156" t="n">
        <v>44762</v>
      </c>
      <c r="C138" s="157" t="n">
        <v>25817749.16</v>
      </c>
      <c r="D138" s="174">
        <f>C138/E138</f>
        <v/>
      </c>
      <c r="E138" s="157" t="n">
        <v>79.98</v>
      </c>
      <c r="F138" s="159">
        <f>D138/100000</f>
        <v/>
      </c>
      <c r="G138" s="159">
        <f>(F138/DataSheet!$C$9*100)</f>
        <v/>
      </c>
      <c r="H138" s="159">
        <f>K138/I138</f>
        <v/>
      </c>
      <c r="I138" s="159">
        <f>(J138/L138)*100</f>
        <v/>
      </c>
      <c r="J138" s="159">
        <f>L138/O138</f>
        <v/>
      </c>
      <c r="K138" s="157" t="n">
        <v>7.449</v>
      </c>
      <c r="L138" s="157" t="n">
        <v>16520.85</v>
      </c>
      <c r="M138" s="157" t="n">
        <v>3.98</v>
      </c>
      <c r="N138" s="159">
        <f>K138-I138</f>
        <v/>
      </c>
      <c r="O138" s="157" t="n">
        <v>20.33</v>
      </c>
      <c r="P138" s="157" t="n">
        <v>3.03</v>
      </c>
      <c r="Q138" s="159">
        <f>K138-P138</f>
        <v/>
      </c>
      <c r="R138" s="157" t="n">
        <v>106.953</v>
      </c>
      <c r="S138" s="159">
        <f>(O138*T138)/100</f>
        <v/>
      </c>
      <c r="T138" s="157" t="n">
        <v>5.37</v>
      </c>
      <c r="U138" s="157" t="n">
        <v>28654.4</v>
      </c>
      <c r="V138" s="157" t="n">
        <v>24.4</v>
      </c>
      <c r="W138" s="159">
        <f>U138/V138</f>
        <v/>
      </c>
      <c r="X138" s="159">
        <f>(W138/U138)*100</f>
        <v/>
      </c>
      <c r="Y138" s="157" t="n">
        <v>8635.049999999999</v>
      </c>
      <c r="Z138" s="157" t="n">
        <v>20.92</v>
      </c>
      <c r="AA138" s="159">
        <f>Y138/Z138</f>
        <v/>
      </c>
      <c r="AB138" s="159">
        <f>(AA138/Y138)*100</f>
        <v/>
      </c>
    </row>
    <row r="139" ht="12.95" customHeight="1">
      <c r="A139" s="155" t="n">
        <v>138</v>
      </c>
      <c r="B139" s="156" t="n">
        <v>44763</v>
      </c>
      <c r="C139" s="157" t="n">
        <v>26043174.95</v>
      </c>
      <c r="D139" s="174">
        <f>C139/E139</f>
        <v/>
      </c>
      <c r="E139" s="157" t="n">
        <v>79.84999999999999</v>
      </c>
      <c r="F139" s="159">
        <f>D139/100000</f>
        <v/>
      </c>
      <c r="G139" s="159">
        <f>(F139/DataSheet!$C$9*100)</f>
        <v/>
      </c>
      <c r="H139" s="159">
        <f>K139/I139</f>
        <v/>
      </c>
      <c r="I139" s="159">
        <f>(J139/L139)*100</f>
        <v/>
      </c>
      <c r="J139" s="159">
        <f>L139/O139</f>
        <v/>
      </c>
      <c r="K139" s="157" t="n">
        <v>7.44</v>
      </c>
      <c r="L139" s="157" t="n">
        <v>16605.25</v>
      </c>
      <c r="M139" s="157" t="n">
        <v>4</v>
      </c>
      <c r="N139" s="159">
        <f>K139-I139</f>
        <v/>
      </c>
      <c r="O139" s="157" t="n">
        <v>20.43</v>
      </c>
      <c r="P139" s="157" t="n">
        <v>2.882</v>
      </c>
      <c r="Q139" s="159">
        <f>K139-P139</f>
        <v/>
      </c>
      <c r="R139" s="157" t="n">
        <v>106.804</v>
      </c>
      <c r="S139" s="159">
        <f>(O139*T139)/100</f>
        <v/>
      </c>
      <c r="T139" s="157" t="n">
        <v>5.43</v>
      </c>
      <c r="U139" s="157" t="n">
        <v>29049.15</v>
      </c>
      <c r="V139" s="157" t="n">
        <v>24.7</v>
      </c>
      <c r="W139" s="159">
        <f>U139/V139</f>
        <v/>
      </c>
      <c r="X139" s="159">
        <f>(W139/U139)*100</f>
        <v/>
      </c>
      <c r="Y139" s="157" t="n">
        <v>8703.65</v>
      </c>
      <c r="Z139" s="157" t="n">
        <v>21.11</v>
      </c>
      <c r="AA139" s="159">
        <f>Y139/Z139</f>
        <v/>
      </c>
      <c r="AB139" s="159">
        <f>(AA139/Y139)*100</f>
        <v/>
      </c>
    </row>
    <row r="140" ht="12.95" customHeight="1">
      <c r="A140" s="155" t="n">
        <v>139</v>
      </c>
      <c r="B140" s="156" t="n">
        <v>44764</v>
      </c>
      <c r="C140" s="157" t="n">
        <v>26106487.37</v>
      </c>
      <c r="D140" s="174">
        <f>C140/E140</f>
        <v/>
      </c>
      <c r="E140" s="157" t="n">
        <v>79.83</v>
      </c>
      <c r="F140" s="159">
        <f>D140/100000</f>
        <v/>
      </c>
      <c r="G140" s="159">
        <f>(F140/DataSheet!$C$9*100)</f>
        <v/>
      </c>
      <c r="H140" s="159">
        <f>K140/I140</f>
        <v/>
      </c>
      <c r="I140" s="159">
        <f>(J140/L140)*100</f>
        <v/>
      </c>
      <c r="J140" s="159">
        <f>L140/O140</f>
        <v/>
      </c>
      <c r="K140" s="157" t="n">
        <v>7.414</v>
      </c>
      <c r="L140" s="157" t="n">
        <v>16719.45</v>
      </c>
      <c r="M140" s="157" t="n">
        <v>4.03</v>
      </c>
      <c r="N140" s="159">
        <f>K140-I140</f>
        <v/>
      </c>
      <c r="O140" s="157" t="n">
        <v>20.55</v>
      </c>
      <c r="P140" s="157" t="n">
        <v>2.754</v>
      </c>
      <c r="Q140" s="159">
        <f>K140-P140</f>
        <v/>
      </c>
      <c r="R140" s="157" t="n">
        <v>106.621</v>
      </c>
      <c r="S140" s="159">
        <f>(O140*T140)/100</f>
        <v/>
      </c>
      <c r="T140" s="157" t="n">
        <v>5.45</v>
      </c>
      <c r="U140" s="157" t="n">
        <v>29047.85</v>
      </c>
      <c r="V140" s="157" t="n">
        <v>24.71</v>
      </c>
      <c r="W140" s="159">
        <f>U140/V140</f>
        <v/>
      </c>
      <c r="X140" s="159">
        <f>(W140/U140)*100</f>
        <v/>
      </c>
      <c r="Y140" s="157" t="n">
        <v>8727.65</v>
      </c>
      <c r="Z140" s="157" t="n">
        <v>21.16</v>
      </c>
      <c r="AA140" s="159">
        <f>Y140/Z140</f>
        <v/>
      </c>
      <c r="AB140" s="159">
        <f>(AA140/Y140)*100</f>
        <v/>
      </c>
    </row>
    <row r="141" ht="12.95" customHeight="1">
      <c r="A141" s="155" t="n">
        <v>140</v>
      </c>
      <c r="B141" s="156" t="n">
        <v>44767</v>
      </c>
      <c r="C141" s="157" t="n">
        <v>26005157.8</v>
      </c>
      <c r="D141" s="174">
        <f>C141/E141</f>
        <v/>
      </c>
      <c r="E141" s="157" t="n">
        <v>79.691</v>
      </c>
      <c r="F141" s="159">
        <f>D141/100000</f>
        <v/>
      </c>
      <c r="G141" s="159">
        <f>(F141/DataSheet!$C$9*100)</f>
        <v/>
      </c>
      <c r="H141" s="159">
        <f>K141/I141</f>
        <v/>
      </c>
      <c r="I141" s="159">
        <f>(J141/L141)*100</f>
        <v/>
      </c>
      <c r="J141" s="159">
        <f>L141/O141</f>
        <v/>
      </c>
      <c r="K141" s="157" t="n">
        <v>7.391</v>
      </c>
      <c r="L141" s="157" t="n">
        <v>16631</v>
      </c>
      <c r="M141" s="157" t="n">
        <v>4.01</v>
      </c>
      <c r="N141" s="159">
        <f>K141-I141</f>
        <v/>
      </c>
      <c r="O141" s="157" t="n">
        <v>20.44</v>
      </c>
      <c r="P141" s="157" t="n">
        <v>2.807</v>
      </c>
      <c r="Q141" s="159">
        <f>K141-P141</f>
        <v/>
      </c>
      <c r="R141" s="157" t="n">
        <v>106.355</v>
      </c>
      <c r="S141" s="159">
        <f>(O141*T141)/100</f>
        <v/>
      </c>
      <c r="T141" s="157" t="n">
        <v>5.45</v>
      </c>
      <c r="U141" s="157" t="n">
        <v>29020.75</v>
      </c>
      <c r="V141" s="157" t="n">
        <v>24.63</v>
      </c>
      <c r="W141" s="159">
        <f>U141/V141</f>
        <v/>
      </c>
      <c r="X141" s="159">
        <f>(W141/U141)*100</f>
        <v/>
      </c>
      <c r="Y141" s="157" t="n">
        <v>8691.85</v>
      </c>
      <c r="Z141" s="157" t="n">
        <v>20.51</v>
      </c>
      <c r="AA141" s="159">
        <f>Y141/Z141</f>
        <v/>
      </c>
      <c r="AB141" s="159">
        <f>(AA141/Y141)*100</f>
        <v/>
      </c>
    </row>
    <row r="142" ht="12.95" customHeight="1">
      <c r="A142" s="155" t="n">
        <v>141</v>
      </c>
      <c r="B142" s="156" t="n">
        <v>44768</v>
      </c>
      <c r="C142" s="157" t="n">
        <v>25754732.15</v>
      </c>
      <c r="D142" s="174">
        <f>C142/E142</f>
        <v/>
      </c>
      <c r="E142" s="157" t="n">
        <v>79.843</v>
      </c>
      <c r="F142" s="159">
        <f>D142/100000</f>
        <v/>
      </c>
      <c r="G142" s="159">
        <f>(F142/DataSheet!$C$9*100)</f>
        <v/>
      </c>
      <c r="H142" s="159">
        <f>K142/I142</f>
        <v/>
      </c>
      <c r="I142" s="159">
        <f>(J142/L142)*100</f>
        <v/>
      </c>
      <c r="J142" s="159">
        <f>L142/O142</f>
        <v/>
      </c>
      <c r="K142" s="157" t="n">
        <v>7.367</v>
      </c>
      <c r="L142" s="157" t="n">
        <v>16483.85</v>
      </c>
      <c r="M142" s="157" t="n">
        <v>3.96</v>
      </c>
      <c r="N142" s="159">
        <f>K142-I142</f>
        <v/>
      </c>
      <c r="O142" s="157" t="n">
        <v>20.17</v>
      </c>
      <c r="P142" s="157" t="n">
        <v>2.803</v>
      </c>
      <c r="Q142" s="159">
        <f>K142-P142</f>
        <v/>
      </c>
      <c r="R142" s="157" t="n">
        <v>107.044</v>
      </c>
      <c r="S142" s="159">
        <f>(O142*T142)/100</f>
        <v/>
      </c>
      <c r="T142" s="157" t="n">
        <v>5.44</v>
      </c>
      <c r="U142" s="157" t="n">
        <v>28658.75</v>
      </c>
      <c r="V142" s="157" t="n">
        <v>24.32</v>
      </c>
      <c r="W142" s="159">
        <f>U142/V142</f>
        <v/>
      </c>
      <c r="X142" s="159">
        <f>(W142/U142)*100</f>
        <v/>
      </c>
      <c r="Y142" s="157" t="n">
        <v>8602.75</v>
      </c>
      <c r="Z142" s="157" t="n">
        <v>20.29</v>
      </c>
      <c r="AA142" s="159">
        <f>Y142/Z142</f>
        <v/>
      </c>
      <c r="AB142" s="159">
        <f>(AA142/Y142)*100</f>
        <v/>
      </c>
    </row>
    <row r="143" ht="12.95" customHeight="1">
      <c r="A143" s="155" t="n">
        <v>142</v>
      </c>
      <c r="B143" s="156" t="n">
        <v>44769</v>
      </c>
      <c r="C143" s="157" t="n">
        <v>25968675.12</v>
      </c>
      <c r="D143" s="174">
        <f>C143/E143</f>
        <v/>
      </c>
      <c r="E143" s="157" t="n">
        <v>79.845</v>
      </c>
      <c r="F143" s="159">
        <f>D143/100000</f>
        <v/>
      </c>
      <c r="G143" s="159">
        <f>(F143/DataSheet!$C$9*100)</f>
        <v/>
      </c>
      <c r="H143" s="159">
        <f>K143/I143</f>
        <v/>
      </c>
      <c r="I143" s="159">
        <f>(J143/L143)*100</f>
        <v/>
      </c>
      <c r="J143" s="159">
        <f>L143/O143</f>
        <v/>
      </c>
      <c r="K143" s="157" t="n">
        <v>7.338</v>
      </c>
      <c r="L143" s="157" t="n">
        <v>16641.8</v>
      </c>
      <c r="M143" s="157" t="n">
        <v>4</v>
      </c>
      <c r="N143" s="159">
        <f>K143-I143</f>
        <v/>
      </c>
      <c r="O143" s="157" t="n">
        <v>20.19</v>
      </c>
      <c r="P143" s="157" t="n">
        <v>2.785</v>
      </c>
      <c r="Q143" s="159">
        <f>K143-P143</f>
        <v/>
      </c>
      <c r="R143" s="157" t="n">
        <v>106.331</v>
      </c>
      <c r="S143" s="159">
        <f>(O143*T143)/100</f>
        <v/>
      </c>
      <c r="T143" s="157" t="n">
        <v>5.63</v>
      </c>
      <c r="U143" s="157" t="n">
        <v>28976.3</v>
      </c>
      <c r="V143" s="157" t="n">
        <v>24.36</v>
      </c>
      <c r="W143" s="159">
        <f>U143/V143</f>
        <v/>
      </c>
      <c r="X143" s="159">
        <f>(W143/U143)*100</f>
        <v/>
      </c>
      <c r="Y143" s="157" t="n">
        <v>8602.25</v>
      </c>
      <c r="Z143" s="157" t="n">
        <v>20.18</v>
      </c>
      <c r="AA143" s="159">
        <f>Y143/Z143</f>
        <v/>
      </c>
      <c r="AB143" s="159">
        <f>(AA143/Y143)*100</f>
        <v/>
      </c>
    </row>
    <row r="144" ht="12.95" customHeight="1">
      <c r="A144" s="155" t="n">
        <v>143</v>
      </c>
      <c r="B144" s="156" t="n">
        <v>44770</v>
      </c>
      <c r="C144" s="157" t="n">
        <v>26309948.17</v>
      </c>
      <c r="D144" s="174">
        <f>C144/E144</f>
        <v/>
      </c>
      <c r="E144" s="157" t="n">
        <v>79.626</v>
      </c>
      <c r="F144" s="159">
        <f>D144/100000</f>
        <v/>
      </c>
      <c r="G144" s="159">
        <f>(F144/DataSheet!$C$9*100)</f>
        <v/>
      </c>
      <c r="H144" s="159">
        <f>K144/I144</f>
        <v/>
      </c>
      <c r="I144" s="159">
        <f>(J144/L144)*100</f>
        <v/>
      </c>
      <c r="J144" s="159">
        <f>L144/O144</f>
        <v/>
      </c>
      <c r="K144" s="157" t="n">
        <v>7.332</v>
      </c>
      <c r="L144" s="157" t="n">
        <v>16929.6</v>
      </c>
      <c r="M144" s="157" t="n">
        <v>4.07</v>
      </c>
      <c r="N144" s="159">
        <f>K144-I144</f>
        <v/>
      </c>
      <c r="O144" s="157" t="n">
        <v>20.49</v>
      </c>
      <c r="P144" s="157" t="n">
        <v>2.671</v>
      </c>
      <c r="Q144" s="159">
        <f>K144-P144</f>
        <v/>
      </c>
      <c r="R144" s="157" t="n">
        <v>106.236</v>
      </c>
      <c r="S144" s="159">
        <f>(O144*T144)/100</f>
        <v/>
      </c>
      <c r="T144" s="157" t="n">
        <v>5.6</v>
      </c>
      <c r="U144" s="157" t="n">
        <v>29219.75</v>
      </c>
      <c r="V144" s="157" t="n">
        <v>24.44</v>
      </c>
      <c r="W144" s="159">
        <f>U144/V144</f>
        <v/>
      </c>
      <c r="X144" s="159">
        <f>(W144/U144)*100</f>
        <v/>
      </c>
      <c r="Y144" s="157" t="n">
        <v>8667.5</v>
      </c>
      <c r="Z144" s="157" t="n">
        <v>20.36</v>
      </c>
      <c r="AA144" s="159">
        <f>Y144/Z144</f>
        <v/>
      </c>
      <c r="AB144" s="159">
        <f>(AA144/Y144)*100</f>
        <v/>
      </c>
    </row>
    <row r="145" ht="12.95" customHeight="1">
      <c r="A145" s="155" t="n">
        <v>144</v>
      </c>
      <c r="B145" s="156" t="n">
        <v>44771</v>
      </c>
      <c r="C145" s="157" t="n">
        <v>26660138.56</v>
      </c>
      <c r="D145" s="174">
        <f>C145/E145</f>
        <v/>
      </c>
      <c r="E145" s="157" t="n">
        <v>79.336</v>
      </c>
      <c r="F145" s="159">
        <f>D145/100000</f>
        <v/>
      </c>
      <c r="G145" s="159">
        <f>(F145/DataSheet!$C$9*100)</f>
        <v/>
      </c>
      <c r="H145" s="159">
        <f>K145/I145</f>
        <v/>
      </c>
      <c r="I145" s="159">
        <f>(J145/L145)*100</f>
        <v/>
      </c>
      <c r="J145" s="159">
        <f>L145/O145</f>
        <v/>
      </c>
      <c r="K145" s="157" t="n">
        <v>7.32</v>
      </c>
      <c r="L145" s="157" t="n">
        <v>17158.25</v>
      </c>
      <c r="M145" s="157" t="n">
        <v>4.12</v>
      </c>
      <c r="N145" s="159">
        <f>K145-I145</f>
        <v/>
      </c>
      <c r="O145" s="157" t="n">
        <v>20.73</v>
      </c>
      <c r="P145" s="157" t="n">
        <v>2.658</v>
      </c>
      <c r="Q145" s="159">
        <f>K145-P145</f>
        <v/>
      </c>
      <c r="R145" s="157" t="n">
        <v>105.779</v>
      </c>
      <c r="S145" s="159">
        <f>(O145*T145)/100</f>
        <v/>
      </c>
      <c r="T145" s="157" t="n">
        <v>5.6</v>
      </c>
      <c r="U145" s="157" t="n">
        <v>29634.25</v>
      </c>
      <c r="V145" s="157" t="n">
        <v>24.69</v>
      </c>
      <c r="W145" s="159">
        <f>U145/V145</f>
        <v/>
      </c>
      <c r="X145" s="159">
        <f>(W145/U145)*100</f>
        <v/>
      </c>
      <c r="Y145" s="157" t="n">
        <v>8790.549999999999</v>
      </c>
      <c r="Z145" s="157" t="n">
        <v>20.58</v>
      </c>
      <c r="AA145" s="159">
        <f>Y145/Z145</f>
        <v/>
      </c>
      <c r="AB145" s="159">
        <f>(AA145/Y145)*100</f>
        <v/>
      </c>
    </row>
    <row r="146" ht="12.95" customHeight="1">
      <c r="A146" s="155" t="n">
        <v>145</v>
      </c>
      <c r="B146" s="156" t="n">
        <v>44774</v>
      </c>
      <c r="C146" s="157" t="n">
        <v>27019181.51</v>
      </c>
      <c r="D146" s="174">
        <f>C146/E146</f>
        <v/>
      </c>
      <c r="E146" s="157" t="n">
        <v>78.959</v>
      </c>
      <c r="F146" s="159">
        <f>D146/100000</f>
        <v/>
      </c>
      <c r="G146" s="159">
        <f>(F146/DataSheet!$C$9*100)</f>
        <v/>
      </c>
      <c r="H146" s="159">
        <f>K146/I146</f>
        <v/>
      </c>
      <c r="I146" s="159">
        <f>(J146/L146)*100</f>
        <v/>
      </c>
      <c r="J146" s="159">
        <f>L146/O146</f>
        <v/>
      </c>
      <c r="K146" s="157" t="n">
        <v>7.24</v>
      </c>
      <c r="L146" s="157" t="n">
        <v>17340.05</v>
      </c>
      <c r="M146" s="157" t="n">
        <v>4.17</v>
      </c>
      <c r="N146" s="159">
        <f>K146-I146</f>
        <v/>
      </c>
      <c r="O146" s="157" t="n">
        <v>20.9</v>
      </c>
      <c r="P146" s="157" t="n">
        <v>2.588</v>
      </c>
      <c r="Q146" s="159">
        <f>K146-P146</f>
        <v/>
      </c>
      <c r="R146" s="157" t="n">
        <v>105.336</v>
      </c>
      <c r="S146" s="159">
        <f>(O146*T146)/100</f>
        <v/>
      </c>
      <c r="T146" s="157" t="n">
        <v>5.58</v>
      </c>
      <c r="U146" s="157" t="n">
        <v>30128</v>
      </c>
      <c r="V146" s="157" t="n">
        <v>24.53</v>
      </c>
      <c r="W146" s="159">
        <f>U146/V146</f>
        <v/>
      </c>
      <c r="X146" s="159">
        <f>(W146/U146)*100</f>
        <v/>
      </c>
      <c r="Y146" s="157" t="n">
        <v>8935.049999999999</v>
      </c>
      <c r="Z146" s="157" t="n">
        <v>20.67</v>
      </c>
      <c r="AA146" s="159">
        <f>Y146/Z146</f>
        <v/>
      </c>
      <c r="AB146" s="159">
        <f>(AA146/Y146)*100</f>
        <v/>
      </c>
    </row>
    <row r="147" ht="12.95" customHeight="1">
      <c r="A147" s="155" t="n">
        <v>146</v>
      </c>
      <c r="B147" s="156" t="n">
        <v>44775</v>
      </c>
      <c r="C147" s="157" t="n">
        <v>27128260.97</v>
      </c>
      <c r="D147" s="174">
        <f>C147/E147</f>
        <v/>
      </c>
      <c r="E147" s="157" t="n">
        <v>78.587</v>
      </c>
      <c r="F147" s="159">
        <f>D147/100000</f>
        <v/>
      </c>
      <c r="G147" s="159">
        <f>(F147/DataSheet!$C$9*100)</f>
        <v/>
      </c>
      <c r="H147" s="159">
        <f>K147/I147</f>
        <v/>
      </c>
      <c r="I147" s="159">
        <f>(J147/L147)*100</f>
        <v/>
      </c>
      <c r="J147" s="159">
        <f>L147/O147</f>
        <v/>
      </c>
      <c r="K147" s="157" t="n">
        <v>7.196</v>
      </c>
      <c r="L147" s="157" t="n">
        <v>17345.45</v>
      </c>
      <c r="M147" s="157" t="n">
        <v>4.17</v>
      </c>
      <c r="N147" s="159">
        <f>K147-I147</f>
        <v/>
      </c>
      <c r="O147" s="157" t="n">
        <v>20.86</v>
      </c>
      <c r="P147" s="157" t="n">
        <v>2.748</v>
      </c>
      <c r="Q147" s="159">
        <f>K147-P147</f>
        <v/>
      </c>
      <c r="R147" s="157" t="n">
        <v>106.104</v>
      </c>
      <c r="S147" s="159">
        <f>(O147*T147)/100</f>
        <v/>
      </c>
      <c r="T147" s="157" t="n">
        <v>5.47</v>
      </c>
      <c r="U147" s="157" t="n">
        <v>30228.15</v>
      </c>
      <c r="V147" s="157" t="n">
        <v>24.35</v>
      </c>
      <c r="W147" s="159">
        <f>U147/V147</f>
        <v/>
      </c>
      <c r="X147" s="159">
        <f>(W147/U147)*100</f>
        <v/>
      </c>
      <c r="Y147" s="157" t="n">
        <v>8990.15</v>
      </c>
      <c r="Z147" s="157" t="n">
        <v>20.38</v>
      </c>
      <c r="AA147" s="159">
        <f>Y147/Z147</f>
        <v/>
      </c>
      <c r="AB147" s="159">
        <f>(AA147/Y147)*100</f>
        <v/>
      </c>
    </row>
    <row r="148" ht="12.95" customHeight="1">
      <c r="A148" s="155" t="n">
        <v>147</v>
      </c>
      <c r="B148" s="156" t="n">
        <v>44776</v>
      </c>
      <c r="C148" s="157" t="n">
        <v>27107109.06</v>
      </c>
      <c r="D148" s="174">
        <f>C148/E148</f>
        <v/>
      </c>
      <c r="E148" s="157" t="n">
        <v>79.108</v>
      </c>
      <c r="F148" s="159">
        <f>D148/100000</f>
        <v/>
      </c>
      <c r="G148" s="159">
        <f>(F148/DataSheet!$C$9*100)</f>
        <v/>
      </c>
      <c r="H148" s="159">
        <f>K148/I148</f>
        <v/>
      </c>
      <c r="I148" s="159">
        <f>(J148/L148)*100</f>
        <v/>
      </c>
      <c r="J148" s="159">
        <f>L148/O148</f>
        <v/>
      </c>
      <c r="K148" s="157" t="n">
        <v>7.242</v>
      </c>
      <c r="L148" s="157" t="n">
        <v>17388.15</v>
      </c>
      <c r="M148" s="157" t="n">
        <v>4.18</v>
      </c>
      <c r="N148" s="159">
        <f>K148-I148</f>
        <v/>
      </c>
      <c r="O148" s="157" t="n">
        <v>20.85</v>
      </c>
      <c r="P148" s="157" t="n">
        <v>2.706</v>
      </c>
      <c r="Q148" s="159">
        <f>K148-P148</f>
        <v/>
      </c>
      <c r="R148" s="157" t="n">
        <v>106.377</v>
      </c>
      <c r="S148" s="159">
        <f>(O148*T148)/100</f>
        <v/>
      </c>
      <c r="T148" s="157" t="n">
        <v>5.53</v>
      </c>
      <c r="U148" s="157" t="n">
        <v>30017.65</v>
      </c>
      <c r="V148" s="157" t="n">
        <v>24.18</v>
      </c>
      <c r="W148" s="159">
        <f>U148/V148</f>
        <v/>
      </c>
      <c r="X148" s="159">
        <f>(W148/U148)*100</f>
        <v/>
      </c>
      <c r="Y148" s="157" t="n">
        <v>8954.549999999999</v>
      </c>
      <c r="Z148" s="157" t="n">
        <v>20.29</v>
      </c>
      <c r="AA148" s="159">
        <f>Y148/Z148</f>
        <v/>
      </c>
      <c r="AB148" s="159">
        <f>(AA148/Y148)*100</f>
        <v/>
      </c>
    </row>
    <row r="149" ht="12.95" customHeight="1">
      <c r="A149" s="155" t="n">
        <v>148</v>
      </c>
      <c r="B149" s="156" t="n">
        <v>44777</v>
      </c>
      <c r="C149" s="157" t="n">
        <v>27135657.46</v>
      </c>
      <c r="D149" s="174">
        <f>C149/E149</f>
        <v/>
      </c>
      <c r="E149" s="157" t="n">
        <v>79.16</v>
      </c>
      <c r="F149" s="159">
        <f>D149/100000</f>
        <v/>
      </c>
      <c r="G149" s="159">
        <f>(F149/DataSheet!$C$9*100)</f>
        <v/>
      </c>
      <c r="H149" s="159">
        <f>K149/I149</f>
        <v/>
      </c>
      <c r="I149" s="159">
        <f>(J149/L149)*100</f>
        <v/>
      </c>
      <c r="J149" s="159">
        <f>L149/O149</f>
        <v/>
      </c>
      <c r="K149" s="157" t="n">
        <v>7.157</v>
      </c>
      <c r="L149" s="157" t="n">
        <v>17382</v>
      </c>
      <c r="M149" s="157" t="n">
        <v>4.18</v>
      </c>
      <c r="N149" s="159">
        <f>K149-I149</f>
        <v/>
      </c>
      <c r="O149" s="157" t="n">
        <v>20.85</v>
      </c>
      <c r="P149" s="157" t="n">
        <v>2.694</v>
      </c>
      <c r="Q149" s="159">
        <f>K149-P149</f>
        <v/>
      </c>
      <c r="R149" s="157" t="n">
        <v>105.566</v>
      </c>
      <c r="S149" s="159">
        <f>(O149*T149)/100</f>
        <v/>
      </c>
      <c r="T149" s="157" t="n">
        <v>5.53</v>
      </c>
      <c r="U149" s="157" t="n">
        <v>30190.85</v>
      </c>
      <c r="V149" s="157" t="n">
        <v>24.3</v>
      </c>
      <c r="W149" s="159">
        <f>U149/V149</f>
        <v/>
      </c>
      <c r="X149" s="159">
        <f>(W149/U149)*100</f>
        <v/>
      </c>
      <c r="Y149" s="157" t="n">
        <v>8930.450000000001</v>
      </c>
      <c r="Z149" s="157" t="n">
        <v>20.25</v>
      </c>
      <c r="AA149" s="159">
        <f>Y149/Z149</f>
        <v/>
      </c>
      <c r="AB149" s="159">
        <f>(AA149/Y149)*100</f>
        <v/>
      </c>
    </row>
    <row r="150" ht="12.95" customHeight="1">
      <c r="A150" s="155" t="n">
        <v>149</v>
      </c>
      <c r="B150" s="156" t="n">
        <v>44778</v>
      </c>
      <c r="C150" s="157" t="n">
        <v>27130496.82</v>
      </c>
      <c r="D150" s="174">
        <f>C150/E150</f>
        <v/>
      </c>
      <c r="E150" s="157" t="n">
        <v>79.36</v>
      </c>
      <c r="F150" s="159">
        <f>D150/100000</f>
        <v/>
      </c>
      <c r="G150" s="159">
        <f>(F150/DataSheet!$C$9*100)</f>
        <v/>
      </c>
      <c r="H150" s="159">
        <f>K150/I150</f>
        <v/>
      </c>
      <c r="I150" s="159">
        <f>(J150/L150)*100</f>
        <v/>
      </c>
      <c r="J150" s="159">
        <f>L150/O150</f>
        <v/>
      </c>
      <c r="K150" s="157" t="n">
        <v>7.3</v>
      </c>
      <c r="L150" s="157" t="n">
        <v>17397.5</v>
      </c>
      <c r="M150" s="157" t="n">
        <v>4.18</v>
      </c>
      <c r="N150" s="159">
        <f>K150-I150</f>
        <v/>
      </c>
      <c r="O150" s="157" t="n">
        <v>20.86</v>
      </c>
      <c r="P150" s="157" t="n">
        <v>2.827</v>
      </c>
      <c r="Q150" s="159">
        <f>K150-P150</f>
        <v/>
      </c>
      <c r="R150" s="157" t="n">
        <v>106.49</v>
      </c>
      <c r="S150" s="159">
        <f>(O150*T150)/100</f>
        <v/>
      </c>
      <c r="T150" s="157" t="n">
        <v>5.58</v>
      </c>
      <c r="U150" s="157" t="n">
        <v>30258.35</v>
      </c>
      <c r="V150" s="157" t="n">
        <v>24.37</v>
      </c>
      <c r="W150" s="159">
        <f>U150/V150</f>
        <v/>
      </c>
      <c r="X150" s="159">
        <f>(W150/U150)*100</f>
        <v/>
      </c>
      <c r="Y150" s="157" t="n">
        <v>8922.200000000001</v>
      </c>
      <c r="Z150" s="157" t="n">
        <v>20.16</v>
      </c>
      <c r="AA150" s="159">
        <f>Y150/Z150</f>
        <v/>
      </c>
      <c r="AB150" s="159">
        <f>(AA150/Y150)*100</f>
        <v/>
      </c>
    </row>
    <row r="151" ht="12.95" customHeight="1">
      <c r="A151" s="155" t="n">
        <v>150</v>
      </c>
      <c r="B151" s="156" t="n">
        <v>44781</v>
      </c>
      <c r="C151" s="157" t="n">
        <v>27277321.13</v>
      </c>
      <c r="D151" s="174">
        <f>C151/E151</f>
        <v/>
      </c>
      <c r="E151" s="157" t="n">
        <v>79.584</v>
      </c>
      <c r="F151" s="159">
        <f>D151/100000</f>
        <v/>
      </c>
      <c r="G151" s="159">
        <f>(F151/DataSheet!$C$9*100)</f>
        <v/>
      </c>
      <c r="H151" s="159">
        <f>K151/I151</f>
        <v/>
      </c>
      <c r="I151" s="159">
        <f>(J151/L151)*100</f>
        <v/>
      </c>
      <c r="J151" s="159">
        <f>L151/O151</f>
        <v/>
      </c>
      <c r="K151" s="157" t="n">
        <v>7.348</v>
      </c>
      <c r="L151" s="157" t="n">
        <v>17525.1</v>
      </c>
      <c r="M151" s="157" t="n">
        <v>4.21</v>
      </c>
      <c r="N151" s="159">
        <f>K151-I151</f>
        <v/>
      </c>
      <c r="O151" s="157" t="n">
        <v>21.02</v>
      </c>
      <c r="P151" s="157" t="n">
        <v>2.75</v>
      </c>
      <c r="Q151" s="159">
        <f>K151-P151</f>
        <v/>
      </c>
      <c r="R151" s="157" t="n">
        <v>106.323</v>
      </c>
      <c r="S151" s="159">
        <f>(O151*T151)/100</f>
        <v/>
      </c>
      <c r="T151" s="157" t="n">
        <v>5.58</v>
      </c>
      <c r="U151" s="157" t="n">
        <v>30366.05</v>
      </c>
      <c r="V151" s="157" t="n">
        <v>24.38</v>
      </c>
      <c r="W151" s="159">
        <f>U151/V151</f>
        <v/>
      </c>
      <c r="X151" s="159">
        <f>(W151/U151)*100</f>
        <v/>
      </c>
      <c r="Y151" s="157" t="n">
        <v>8944.25</v>
      </c>
      <c r="Z151" s="157" t="n">
        <v>20.35</v>
      </c>
      <c r="AA151" s="159">
        <f>Y151/Z151</f>
        <v/>
      </c>
      <c r="AB151" s="159">
        <f>(AA151/Y151)*100</f>
        <v/>
      </c>
    </row>
    <row r="152" ht="12.95" customHeight="1">
      <c r="A152" s="155" t="n">
        <v>151</v>
      </c>
      <c r="B152" s="156" t="n">
        <v>44783</v>
      </c>
      <c r="C152" s="157" t="n">
        <v>27240263.34</v>
      </c>
      <c r="D152" s="174">
        <f>C152/E152</f>
        <v/>
      </c>
      <c r="E152" s="157" t="n">
        <v>79.09</v>
      </c>
      <c r="F152" s="159">
        <f>D152/100000</f>
        <v/>
      </c>
      <c r="G152" s="159">
        <f>(F152/DataSheet!$C$9*100)</f>
        <v/>
      </c>
      <c r="H152" s="159">
        <f>K152/I152</f>
        <v/>
      </c>
      <c r="I152" s="159">
        <f>(J152/L152)*100</f>
        <v/>
      </c>
      <c r="J152" s="159">
        <f>L152/O152</f>
        <v/>
      </c>
      <c r="K152" s="157" t="n">
        <v>7.31</v>
      </c>
      <c r="L152" s="157" t="n">
        <v>17534.75</v>
      </c>
      <c r="M152" s="157" t="n">
        <v>4.21</v>
      </c>
      <c r="N152" s="159">
        <f>K152-I152</f>
        <v/>
      </c>
      <c r="O152" s="157" t="n">
        <v>21.11</v>
      </c>
      <c r="P152" s="157" t="n">
        <v>2.785</v>
      </c>
      <c r="Q152" s="159">
        <f>K152-P152</f>
        <v/>
      </c>
      <c r="R152" s="157" t="n">
        <v>105.08</v>
      </c>
      <c r="S152" s="159">
        <f>(O152*T152)/100</f>
        <v/>
      </c>
      <c r="T152" s="157" t="n">
        <v>5.53</v>
      </c>
      <c r="U152" s="157" t="n">
        <v>30318.9</v>
      </c>
      <c r="V152" s="157" t="n">
        <v>26.04</v>
      </c>
      <c r="W152" s="159">
        <f>U152/V152</f>
        <v/>
      </c>
      <c r="X152" s="159">
        <f>(W152/U152)*100</f>
        <v/>
      </c>
      <c r="Y152" s="157" t="n">
        <v>8919.049999999999</v>
      </c>
      <c r="Z152" s="157" t="n">
        <v>20.31</v>
      </c>
      <c r="AA152" s="159">
        <f>Y152/Z152</f>
        <v/>
      </c>
      <c r="AB152" s="159">
        <f>(AA152/Y152)*100</f>
        <v/>
      </c>
    </row>
    <row r="153" ht="12.95" customHeight="1">
      <c r="A153" s="155" t="n">
        <v>152</v>
      </c>
      <c r="B153" s="156" t="n">
        <v>44784</v>
      </c>
      <c r="C153" s="157" t="n">
        <v>27416149.85</v>
      </c>
      <c r="D153" s="174">
        <f>C153/E153</f>
        <v/>
      </c>
      <c r="E153" s="157" t="n">
        <v>79.58</v>
      </c>
      <c r="F153" s="159">
        <f>D153/100000</f>
        <v/>
      </c>
      <c r="G153" s="159">
        <f>(F153/DataSheet!$C$9*100)</f>
        <v/>
      </c>
      <c r="H153" s="159">
        <f>K153/I153</f>
        <v/>
      </c>
      <c r="I153" s="159">
        <f>(J153/L153)*100</f>
        <v/>
      </c>
      <c r="J153" s="159">
        <f>L153/O153</f>
        <v/>
      </c>
      <c r="K153" s="157" t="n">
        <v>7.267</v>
      </c>
      <c r="L153" s="157" t="n">
        <v>17659</v>
      </c>
      <c r="M153" s="157" t="n">
        <v>4.18</v>
      </c>
      <c r="N153" s="159">
        <f>K153-I153</f>
        <v/>
      </c>
      <c r="O153" s="157" t="n">
        <v>21.29</v>
      </c>
      <c r="P153" s="157" t="n">
        <v>2.889</v>
      </c>
      <c r="Q153" s="159">
        <f>K153-P153</f>
        <v/>
      </c>
      <c r="R153" s="157" t="n">
        <v>104.994</v>
      </c>
      <c r="S153" s="159">
        <f>(O153*T153)/100</f>
        <v/>
      </c>
      <c r="T153" s="157" t="n">
        <v>5.61</v>
      </c>
      <c r="U153" s="157" t="n">
        <v>30583.85</v>
      </c>
      <c r="V153" s="157" t="n">
        <v>25.89</v>
      </c>
      <c r="W153" s="159">
        <f>U153/V153</f>
        <v/>
      </c>
      <c r="X153" s="159">
        <f>(W153/U153)*100</f>
        <v/>
      </c>
      <c r="Y153" s="157" t="n">
        <v>8973.049999999999</v>
      </c>
      <c r="Z153" s="157" t="n">
        <v>19.81</v>
      </c>
      <c r="AA153" s="159">
        <f>Y153/Z153</f>
        <v/>
      </c>
      <c r="AB153" s="159">
        <f>(AA153/Y153)*100</f>
        <v/>
      </c>
    </row>
    <row r="154" ht="12.95" customHeight="1">
      <c r="A154" s="155" t="n">
        <v>153</v>
      </c>
      <c r="B154" s="156" t="n">
        <v>44785</v>
      </c>
      <c r="C154" s="157" t="n">
        <v>27503289.38</v>
      </c>
      <c r="D154" s="174">
        <f>C154/E154</f>
        <v/>
      </c>
      <c r="E154" s="157" t="n">
        <v>79.64100000000001</v>
      </c>
      <c r="F154" s="159">
        <f>D154/100000</f>
        <v/>
      </c>
      <c r="G154" s="159">
        <f>(F154/DataSheet!$C$9*100)</f>
        <v/>
      </c>
      <c r="H154" s="159">
        <f>K154/I154</f>
        <v/>
      </c>
      <c r="I154" s="159">
        <f>(J154/L154)*100</f>
        <v/>
      </c>
      <c r="J154" s="159">
        <f>L154/O154</f>
        <v/>
      </c>
      <c r="K154" s="157" t="n">
        <v>7.289</v>
      </c>
      <c r="L154" s="157" t="n">
        <v>17698.15</v>
      </c>
      <c r="M154" s="157" t="n">
        <v>4.15</v>
      </c>
      <c r="N154" s="159">
        <f>K154-I154</f>
        <v/>
      </c>
      <c r="O154" s="157" t="n">
        <v>21.18</v>
      </c>
      <c r="P154" s="157" t="n">
        <v>2.842</v>
      </c>
      <c r="Q154" s="159">
        <f>K154-P154</f>
        <v/>
      </c>
      <c r="R154" s="157" t="n">
        <v>105.51</v>
      </c>
      <c r="S154" s="159">
        <f>(O154*T154)/100</f>
        <v/>
      </c>
      <c r="T154" s="157" t="n">
        <v>5.55</v>
      </c>
      <c r="U154" s="157" t="n">
        <v>30806.35</v>
      </c>
      <c r="V154" s="157" t="n">
        <v>25.82</v>
      </c>
      <c r="W154" s="159">
        <f>U154/V154</f>
        <v/>
      </c>
      <c r="X154" s="159">
        <f>(W154/U154)*100</f>
        <v/>
      </c>
      <c r="Y154" s="157" t="n">
        <v>8992.65</v>
      </c>
      <c r="Z154" s="157" t="n">
        <v>19.67</v>
      </c>
      <c r="AA154" s="159">
        <f>Y154/Z154</f>
        <v/>
      </c>
      <c r="AB154" s="159">
        <f>(AA154/Y154)*100</f>
        <v/>
      </c>
    </row>
    <row r="155" ht="12.95" customHeight="1">
      <c r="A155" s="155" t="n">
        <v>154</v>
      </c>
      <c r="B155" s="156" t="n">
        <v>44789</v>
      </c>
      <c r="C155" s="157" t="n">
        <v>27792290.31</v>
      </c>
      <c r="D155" s="174">
        <f>C155/E155</f>
        <v/>
      </c>
      <c r="E155" s="157" t="n">
        <v>79.248</v>
      </c>
      <c r="F155" s="159">
        <f>D155/100000</f>
        <v/>
      </c>
      <c r="G155" s="159">
        <f>(F155/DataSheet!$C$9*100)</f>
        <v/>
      </c>
      <c r="H155" s="159">
        <f>K155/I155</f>
        <v/>
      </c>
      <c r="I155" s="159">
        <f>(J155/L155)*100</f>
        <v/>
      </c>
      <c r="J155" s="159">
        <f>L155/O155</f>
        <v/>
      </c>
      <c r="K155" s="157" t="n">
        <v>7.289</v>
      </c>
      <c r="L155" s="157" t="n">
        <v>17825.25</v>
      </c>
      <c r="M155" s="157" t="n">
        <v>4.18</v>
      </c>
      <c r="N155" s="159">
        <f>K155-I155</f>
        <v/>
      </c>
      <c r="O155" s="157" t="n">
        <v>21.34</v>
      </c>
      <c r="P155" s="157" t="n">
        <v>2.808</v>
      </c>
      <c r="Q155" s="159">
        <f>K155-P155</f>
        <v/>
      </c>
      <c r="R155" s="157" t="n">
        <v>106.388</v>
      </c>
      <c r="S155" s="159">
        <f>(O155*T155)/100</f>
        <v/>
      </c>
      <c r="T155" s="157" t="n">
        <v>5.55</v>
      </c>
      <c r="U155" s="157" t="n">
        <v>31254.55</v>
      </c>
      <c r="V155" s="157" t="n">
        <v>25.93</v>
      </c>
      <c r="W155" s="159">
        <f>U155/V155</f>
        <v/>
      </c>
      <c r="X155" s="159">
        <f>(W155/U155)*100</f>
        <v/>
      </c>
      <c r="Y155" s="157" t="n">
        <v>9071.450000000001</v>
      </c>
      <c r="Z155" s="157" t="n">
        <v>19.03</v>
      </c>
      <c r="AA155" s="159">
        <f>Y155/Z155</f>
        <v/>
      </c>
      <c r="AB155" s="159">
        <f>(AA155/Y155)*100</f>
        <v/>
      </c>
    </row>
    <row r="156" ht="12.95" customHeight="1">
      <c r="A156" s="155" t="n">
        <v>155</v>
      </c>
      <c r="B156" s="156" t="n">
        <v>44790</v>
      </c>
      <c r="C156" s="157" t="n">
        <v>27981372.98</v>
      </c>
      <c r="D156" s="174">
        <f>C156/E156</f>
        <v/>
      </c>
      <c r="E156" s="157" t="n">
        <v>79.34999999999999</v>
      </c>
      <c r="F156" s="159">
        <f>D156/100000</f>
        <v/>
      </c>
      <c r="G156" s="159">
        <f>(F156/DataSheet!$C$9*100)</f>
        <v/>
      </c>
      <c r="H156" s="159">
        <f>K156/I156</f>
        <v/>
      </c>
      <c r="I156" s="159">
        <f>(J156/L156)*100</f>
        <v/>
      </c>
      <c r="J156" s="159">
        <f>L156/O156</f>
        <v/>
      </c>
      <c r="K156" s="157" t="n">
        <v>7.182</v>
      </c>
      <c r="L156" s="157" t="n">
        <v>17944.25</v>
      </c>
      <c r="M156" s="157" t="n">
        <v>4.2</v>
      </c>
      <c r="N156" s="159">
        <f>K156-I156</f>
        <v/>
      </c>
      <c r="O156" s="157" t="n">
        <v>21.42</v>
      </c>
      <c r="P156" s="157" t="n">
        <v>2.902</v>
      </c>
      <c r="Q156" s="159">
        <f>K156-P156</f>
        <v/>
      </c>
      <c r="R156" s="157" t="n">
        <v>106.486</v>
      </c>
      <c r="S156" s="159">
        <f>(O156*T156)/100</f>
        <v/>
      </c>
      <c r="T156" s="157" t="n">
        <v>5.54</v>
      </c>
      <c r="U156" s="157" t="n">
        <v>31401.4</v>
      </c>
      <c r="V156" s="157" t="n">
        <v>26</v>
      </c>
      <c r="W156" s="159">
        <f>U156/V156</f>
        <v/>
      </c>
      <c r="X156" s="159">
        <f>(W156/U156)*100</f>
        <v/>
      </c>
      <c r="Y156" s="157" t="n">
        <v>9115.049999999999</v>
      </c>
      <c r="Z156" s="157" t="n">
        <v>18.96</v>
      </c>
      <c r="AA156" s="159">
        <f>Y156/Z156</f>
        <v/>
      </c>
      <c r="AB156" s="159">
        <f>(AA156/Y156)*100</f>
        <v/>
      </c>
    </row>
    <row r="157" ht="12.95" customHeight="1">
      <c r="A157" s="155" t="n">
        <v>156</v>
      </c>
      <c r="B157" s="156" t="n">
        <v>44791</v>
      </c>
      <c r="C157" s="157" t="n">
        <v>28050290.68</v>
      </c>
      <c r="D157" s="174">
        <f>C157/E157</f>
        <v/>
      </c>
      <c r="E157" s="157" t="n">
        <v>79.75</v>
      </c>
      <c r="F157" s="159">
        <f>D157/100000</f>
        <v/>
      </c>
      <c r="G157" s="159">
        <f>(F157/DataSheet!$C$9*100)</f>
        <v/>
      </c>
      <c r="H157" s="159">
        <f>K157/I157</f>
        <v/>
      </c>
      <c r="I157" s="159">
        <f>(J157/L157)*100</f>
        <v/>
      </c>
      <c r="J157" s="159">
        <f>L157/O157</f>
        <v/>
      </c>
      <c r="K157" s="157" t="n">
        <v>7.242</v>
      </c>
      <c r="L157" s="157" t="n">
        <v>17956.5</v>
      </c>
      <c r="M157" s="157" t="n">
        <v>4.2</v>
      </c>
      <c r="N157" s="159">
        <f>K157-I157</f>
        <v/>
      </c>
      <c r="O157" s="157" t="n">
        <v>21.44</v>
      </c>
      <c r="P157" s="157" t="n">
        <v>2.886</v>
      </c>
      <c r="Q157" s="159">
        <f>K157-P157</f>
        <v/>
      </c>
      <c r="R157" s="157" t="n">
        <v>107.415</v>
      </c>
      <c r="S157" s="159">
        <f>(O157*T157)/100</f>
        <v/>
      </c>
      <c r="T157" s="157" t="n">
        <v>5.56</v>
      </c>
      <c r="U157" s="157" t="n">
        <v>31460.2</v>
      </c>
      <c r="V157" s="157" t="n">
        <v>26.04</v>
      </c>
      <c r="W157" s="159">
        <f>U157/V157</f>
        <v/>
      </c>
      <c r="X157" s="159">
        <f>(W157/U157)*100</f>
        <v/>
      </c>
      <c r="Y157" s="157" t="n">
        <v>9139.549999999999</v>
      </c>
      <c r="Z157" s="157" t="n">
        <v>19.01</v>
      </c>
      <c r="AA157" s="159">
        <f>Y157/Z157</f>
        <v/>
      </c>
      <c r="AB157" s="159">
        <f>(AA157/Y157)*100</f>
        <v/>
      </c>
    </row>
    <row r="158" ht="12.95" customHeight="1">
      <c r="A158" s="155" t="n">
        <v>157</v>
      </c>
      <c r="B158" s="156" t="n">
        <v>44792</v>
      </c>
      <c r="C158" s="157" t="n">
        <v>27775698.68</v>
      </c>
      <c r="D158" s="174">
        <f>C158/E158</f>
        <v/>
      </c>
      <c r="E158" s="157" t="n">
        <v>79.92</v>
      </c>
      <c r="F158" s="159">
        <f>D158/100000</f>
        <v/>
      </c>
      <c r="G158" s="159">
        <f>(F158/DataSheet!$C$9*100)</f>
        <v/>
      </c>
      <c r="H158" s="159">
        <f>K158/I158</f>
        <v/>
      </c>
      <c r="I158" s="159">
        <f>(J158/L158)*100</f>
        <v/>
      </c>
      <c r="J158" s="159">
        <f>L158/O158</f>
        <v/>
      </c>
      <c r="K158" s="157" t="n">
        <v>7.264</v>
      </c>
      <c r="L158" s="157" t="n">
        <v>17758.45</v>
      </c>
      <c r="M158" s="157" t="n">
        <v>4.15</v>
      </c>
      <c r="N158" s="159">
        <f>K158-I158</f>
        <v/>
      </c>
      <c r="O158" s="157" t="n">
        <v>21.2</v>
      </c>
      <c r="P158" s="157" t="n">
        <v>2.976</v>
      </c>
      <c r="Q158" s="159">
        <f>K158-P158</f>
        <v/>
      </c>
      <c r="R158" s="157" t="n">
        <v>108.098</v>
      </c>
      <c r="S158" s="159">
        <f>(O158*T158)/100</f>
        <v/>
      </c>
      <c r="T158" s="157" t="n">
        <v>5.55</v>
      </c>
      <c r="U158" s="157" t="n">
        <v>31005</v>
      </c>
      <c r="V158" s="157" t="n">
        <v>25.72</v>
      </c>
      <c r="W158" s="159">
        <f>U158/V158</f>
        <v/>
      </c>
      <c r="X158" s="159">
        <f>(W158/U158)*100</f>
        <v/>
      </c>
      <c r="Y158" s="157" t="n">
        <v>9041.75</v>
      </c>
      <c r="Z158" s="157" t="n">
        <v>18.84</v>
      </c>
      <c r="AA158" s="159">
        <f>Y158/Z158</f>
        <v/>
      </c>
      <c r="AB158" s="159">
        <f>(AA158/Y158)*100</f>
        <v/>
      </c>
    </row>
    <row r="159" ht="12.95" customHeight="1">
      <c r="A159" s="155" t="n">
        <v>158</v>
      </c>
      <c r="B159" s="160" t="n">
        <v>44795</v>
      </c>
      <c r="C159" s="161" t="n">
        <v>27395002.87</v>
      </c>
      <c r="D159" s="174">
        <f>C159/E159</f>
        <v/>
      </c>
      <c r="E159" s="159" t="n">
        <v>79.86</v>
      </c>
      <c r="F159" s="159">
        <f>D159/100000</f>
        <v/>
      </c>
      <c r="G159" s="159">
        <f>(F159/DataSheet!$C$9*100)</f>
        <v/>
      </c>
      <c r="H159" s="159">
        <f>K159/I159</f>
        <v/>
      </c>
      <c r="I159" s="159">
        <f>(J159/L159)*100</f>
        <v/>
      </c>
      <c r="J159" s="159">
        <f>L159/O159</f>
        <v/>
      </c>
      <c r="K159" s="157" t="n">
        <v>7.27</v>
      </c>
      <c r="L159" s="157" t="n">
        <v>17490.7</v>
      </c>
      <c r="M159" s="157" t="n">
        <v>4.09</v>
      </c>
      <c r="N159" s="159">
        <f>K159-I159</f>
        <v/>
      </c>
      <c r="O159" s="157" t="n">
        <v>20.88</v>
      </c>
      <c r="P159" s="157" t="n">
        <v>3.024</v>
      </c>
      <c r="Q159" s="159">
        <f>K159-P159</f>
        <v/>
      </c>
      <c r="R159" s="157" t="n">
        <v>108.981</v>
      </c>
      <c r="S159" s="159">
        <f>(O159*T159)/100</f>
        <v/>
      </c>
      <c r="T159" s="157" t="n">
        <v>5.58</v>
      </c>
      <c r="U159" s="157" t="n">
        <v>11489.8</v>
      </c>
      <c r="V159" s="157" t="n">
        <v>25.24</v>
      </c>
      <c r="W159" s="159">
        <f>U159/V159</f>
        <v/>
      </c>
      <c r="X159" s="159">
        <f>(W159/U159)*100</f>
        <v/>
      </c>
      <c r="Y159" s="157" t="n">
        <v>8960.299999999999</v>
      </c>
      <c r="Z159" s="157" t="n">
        <v>18.67</v>
      </c>
      <c r="AA159" s="159">
        <f>Y159/Z159</f>
        <v/>
      </c>
      <c r="AB159" s="159">
        <f>(AA159/Y159)*100</f>
        <v/>
      </c>
    </row>
    <row r="160" ht="12.95" customHeight="1">
      <c r="A160" s="155" t="n">
        <v>159</v>
      </c>
      <c r="B160" s="160" t="n">
        <v>44796</v>
      </c>
      <c r="C160" s="161" t="n">
        <v>27528171.05</v>
      </c>
      <c r="D160" s="174">
        <f>C160/E160</f>
        <v/>
      </c>
      <c r="E160" s="159" t="n">
        <v>79.79000000000001</v>
      </c>
      <c r="F160" s="159">
        <f>D160/100000</f>
        <v/>
      </c>
      <c r="G160" s="159">
        <f>(F160/DataSheet!$C$9*100)</f>
        <v/>
      </c>
      <c r="H160" s="159">
        <f>K160/I160</f>
        <v/>
      </c>
      <c r="I160" s="159">
        <f>(J160/L160)*100</f>
        <v/>
      </c>
      <c r="J160" s="159">
        <f>L160/O160</f>
        <v/>
      </c>
      <c r="K160" s="157" t="n">
        <v>7.281</v>
      </c>
      <c r="L160" s="157" t="n">
        <v>17577.5</v>
      </c>
      <c r="M160" s="157" t="n">
        <v>4.11</v>
      </c>
      <c r="N160" s="159">
        <f>K160-I160</f>
        <v/>
      </c>
      <c r="O160" s="157" t="n">
        <v>20.98</v>
      </c>
      <c r="P160" s="157" t="n">
        <v>3.057</v>
      </c>
      <c r="Q160" s="159">
        <f>K160-P160</f>
        <v/>
      </c>
      <c r="R160" s="157" t="n">
        <v>108.554</v>
      </c>
      <c r="S160" s="159">
        <f>(O160*T160)/100</f>
        <v/>
      </c>
      <c r="T160" s="157" t="n">
        <v>5.52</v>
      </c>
      <c r="U160" s="157" t="n">
        <v>11598.85</v>
      </c>
      <c r="V160" s="157" t="n">
        <v>25.48</v>
      </c>
      <c r="W160" s="159">
        <f>U160/V160</f>
        <v/>
      </c>
      <c r="X160" s="159">
        <f>(W160/U160)*100</f>
        <v/>
      </c>
      <c r="Y160" s="157" t="n">
        <v>9050.85</v>
      </c>
      <c r="Z160" s="157" t="n">
        <v>18.86</v>
      </c>
      <c r="AA160" s="159">
        <f>Y160/Z160</f>
        <v/>
      </c>
      <c r="AB160" s="159">
        <f>(AA160/Y160)*100</f>
        <v/>
      </c>
    </row>
    <row r="161" ht="12.95" customHeight="1">
      <c r="A161" s="155" t="n">
        <v>160</v>
      </c>
      <c r="B161" s="160" t="n">
        <v>44797</v>
      </c>
      <c r="C161" s="159" t="n">
        <v>27616281.23</v>
      </c>
      <c r="D161" s="174">
        <f>C161/E161</f>
        <v/>
      </c>
      <c r="E161" s="159" t="n">
        <v>79.848</v>
      </c>
      <c r="F161" s="159">
        <f>D161/100000</f>
        <v/>
      </c>
      <c r="G161" s="159">
        <f>(F161/DataSheet!$C$9*100)</f>
        <v/>
      </c>
      <c r="H161" s="159">
        <f>K161/I161</f>
        <v/>
      </c>
      <c r="I161" s="159">
        <f>(J161/L161)*100</f>
        <v/>
      </c>
      <c r="J161" s="159">
        <f>L161/O161</f>
        <v/>
      </c>
      <c r="K161" s="157" t="n">
        <v>7.286</v>
      </c>
      <c r="L161" s="157" t="n">
        <v>17604.95</v>
      </c>
      <c r="M161" s="157" t="n">
        <v>4.11</v>
      </c>
      <c r="N161" s="159">
        <f>K161-I161</f>
        <v/>
      </c>
      <c r="O161" s="157" t="n">
        <v>21.02</v>
      </c>
      <c r="P161" s="157" t="n">
        <v>3.109</v>
      </c>
      <c r="Q161" s="159">
        <f>K161-P161</f>
        <v/>
      </c>
      <c r="R161" s="157" t="n">
        <v>108.616</v>
      </c>
      <c r="S161" s="159">
        <f>(O161*T161)/100</f>
        <v/>
      </c>
      <c r="T161" s="157" t="n">
        <v>5.58</v>
      </c>
      <c r="U161" s="157" t="n">
        <v>11675.05</v>
      </c>
      <c r="V161" s="157" t="n">
        <v>25.55</v>
      </c>
      <c r="W161" s="159">
        <f>U161/V161</f>
        <v/>
      </c>
      <c r="X161" s="159">
        <f>(W161/U161)*100</f>
        <v/>
      </c>
      <c r="Y161" s="157" t="n">
        <v>9129.9</v>
      </c>
      <c r="Z161" s="157" t="n">
        <v>19.02</v>
      </c>
      <c r="AA161" s="159">
        <f>Y161/Z161</f>
        <v/>
      </c>
      <c r="AB161" s="159">
        <f>(AA161/Y161)*100</f>
        <v/>
      </c>
    </row>
    <row r="162" ht="12.95" customHeight="1">
      <c r="A162" s="155" t="n">
        <v>161</v>
      </c>
      <c r="B162" s="160" t="n">
        <v>44798</v>
      </c>
      <c r="C162" s="159" t="n">
        <v>27584524.42</v>
      </c>
      <c r="D162" s="174">
        <f>C162/E162</f>
        <v/>
      </c>
      <c r="E162" s="159" t="n">
        <v>79.846</v>
      </c>
      <c r="F162" s="159">
        <f>D162/100000</f>
        <v/>
      </c>
      <c r="G162" s="159">
        <f>(F162/DataSheet!$C$9*100)</f>
        <v/>
      </c>
      <c r="H162" s="159">
        <f>K162/I162</f>
        <v/>
      </c>
      <c r="I162" s="159">
        <f>(J162/L162)*100</f>
        <v/>
      </c>
      <c r="J162" s="159">
        <f>L162/O162</f>
        <v/>
      </c>
      <c r="K162" s="157" t="n">
        <v>7.292</v>
      </c>
      <c r="L162" s="157" t="n">
        <v>17522.45</v>
      </c>
      <c r="M162" s="157" t="n">
        <v>4.09</v>
      </c>
      <c r="N162" s="159">
        <f>K162-I162</f>
        <v/>
      </c>
      <c r="O162" s="157" t="n">
        <v>20.92</v>
      </c>
      <c r="P162" s="157" t="n">
        <v>3.031</v>
      </c>
      <c r="Q162" s="159">
        <f>K162-P162</f>
        <v/>
      </c>
      <c r="R162" s="157" t="n">
        <v>108.433</v>
      </c>
      <c r="S162" s="159">
        <f>(O162*T162)/100</f>
        <v/>
      </c>
      <c r="T162" s="157" t="n">
        <v>5.62</v>
      </c>
      <c r="U162" s="157" t="n">
        <v>11685.85</v>
      </c>
      <c r="V162" s="157" t="n">
        <v>25.58</v>
      </c>
      <c r="W162" s="159">
        <f>U162/V162</f>
        <v/>
      </c>
      <c r="X162" s="159">
        <f>(W162/U162)*100</f>
        <v/>
      </c>
      <c r="Y162" s="157" t="n">
        <v>9160.6</v>
      </c>
      <c r="Z162" s="157" t="n">
        <v>19.09</v>
      </c>
      <c r="AA162" s="159">
        <f>Y162/Z162</f>
        <v/>
      </c>
      <c r="AB162" s="159">
        <f>(AA162/Y162)*100</f>
        <v/>
      </c>
    </row>
    <row r="163" ht="12.95" customHeight="1">
      <c r="A163" s="155" t="n">
        <v>162</v>
      </c>
      <c r="B163" s="160" t="n">
        <v>44799</v>
      </c>
      <c r="C163" s="159" t="n">
        <v>27696111.6</v>
      </c>
      <c r="D163" s="174">
        <f>C163/E163</f>
        <v/>
      </c>
      <c r="E163" s="159" t="n">
        <v>80.086</v>
      </c>
      <c r="F163" s="159">
        <f>D163/100000</f>
        <v/>
      </c>
      <c r="G163" s="159">
        <f>(F163/DataSheet!$C$9*100)</f>
        <v/>
      </c>
      <c r="H163" s="159">
        <f>K163/I163</f>
        <v/>
      </c>
      <c r="I163" s="159">
        <f>(J163/L163)*100</f>
        <v/>
      </c>
      <c r="J163" s="159">
        <f>L163/O163</f>
        <v/>
      </c>
      <c r="K163" s="157" t="n">
        <v>7.217</v>
      </c>
      <c r="L163" s="157" t="n">
        <v>17558.9</v>
      </c>
      <c r="M163" s="157" t="n">
        <v>4.1</v>
      </c>
      <c r="N163" s="159">
        <f>K163-I163</f>
        <v/>
      </c>
      <c r="O163" s="157" t="n">
        <v>20.96</v>
      </c>
      <c r="P163" s="157" t="n">
        <v>3.03</v>
      </c>
      <c r="Q163" s="159">
        <f>K163-P163</f>
        <v/>
      </c>
      <c r="R163" s="157" t="n">
        <v>108.751</v>
      </c>
      <c r="S163" s="159">
        <f>(O163*T163)/100</f>
        <v/>
      </c>
      <c r="T163" s="157" t="n">
        <v>5.59</v>
      </c>
      <c r="U163" s="157" t="n">
        <v>11730.6</v>
      </c>
      <c r="V163" s="157" t="n">
        <v>25.68</v>
      </c>
      <c r="W163" s="159">
        <f>U163/V163</f>
        <v/>
      </c>
      <c r="X163" s="159">
        <f>(W163/U163)*100</f>
        <v/>
      </c>
      <c r="Y163" s="157" t="n">
        <v>9227.049999999999</v>
      </c>
      <c r="Z163" s="157" t="n">
        <v>19.22</v>
      </c>
      <c r="AA163" s="159">
        <f>Y163/Z163</f>
        <v/>
      </c>
      <c r="AB163" s="159">
        <f>(AA163/Y163)*100</f>
        <v/>
      </c>
    </row>
    <row r="164" ht="12.95" customHeight="1">
      <c r="A164" s="155" t="n">
        <v>163</v>
      </c>
      <c r="B164" s="160" t="n">
        <v>44802</v>
      </c>
      <c r="C164" s="159" t="n">
        <v>27456316.27</v>
      </c>
      <c r="D164" s="174">
        <f>C164/E164</f>
        <v/>
      </c>
      <c r="E164" s="159" t="n">
        <v>79.996</v>
      </c>
      <c r="F164" s="159">
        <f>D164/100000</f>
        <v/>
      </c>
      <c r="G164" s="159">
        <f>(F164/DataSheet!$C$9*100)</f>
        <v/>
      </c>
      <c r="H164" s="159">
        <f>K164/I164</f>
        <v/>
      </c>
      <c r="I164" s="159">
        <f>(J164/L164)*100</f>
        <v/>
      </c>
      <c r="J164" s="159">
        <f>L164/O164</f>
        <v/>
      </c>
      <c r="K164" s="159" t="n">
        <v>7.245</v>
      </c>
      <c r="L164" s="159" t="n">
        <v>17312</v>
      </c>
      <c r="M164" s="159" t="n">
        <v>4.05</v>
      </c>
      <c r="N164" s="159">
        <f>K164-I164</f>
        <v/>
      </c>
      <c r="O164" s="157" t="n">
        <v>20.67</v>
      </c>
      <c r="P164" s="157" t="n">
        <v>3.114</v>
      </c>
      <c r="Q164" s="159">
        <f>K164-P164</f>
        <v/>
      </c>
      <c r="R164" s="157" t="n">
        <v>108.79</v>
      </c>
      <c r="S164" s="159">
        <f>(O164*T164)/100</f>
        <v/>
      </c>
      <c r="T164" s="157" t="n">
        <v>5.6</v>
      </c>
      <c r="U164" s="157" t="n">
        <v>11633.9</v>
      </c>
      <c r="V164" s="157" t="n">
        <v>25.46</v>
      </c>
      <c r="W164" s="159">
        <f>U164/V164</f>
        <v/>
      </c>
      <c r="X164" s="159">
        <f>(W164/U164)*100</f>
        <v/>
      </c>
      <c r="Y164" s="157" t="n">
        <v>9172.200000000001</v>
      </c>
      <c r="Z164" s="157" t="n">
        <v>19.11</v>
      </c>
      <c r="AA164" s="159">
        <f>Y164/Z164</f>
        <v/>
      </c>
      <c r="AB164" s="159">
        <f>(AA164/Y164)*100</f>
        <v/>
      </c>
    </row>
    <row r="165" ht="12.95" customHeight="1">
      <c r="A165" s="155" t="n">
        <v>164</v>
      </c>
      <c r="B165" s="160" t="n">
        <v>44803</v>
      </c>
      <c r="C165" s="157" t="n">
        <v>28024622</v>
      </c>
      <c r="D165" s="174">
        <f>C165/E165</f>
        <v/>
      </c>
      <c r="E165" s="159" t="n">
        <v>79.52</v>
      </c>
      <c r="F165" s="159">
        <f>D165/100000</f>
        <v/>
      </c>
      <c r="G165" s="159">
        <f>(F165/DataSheet!$C$9*100)</f>
        <v/>
      </c>
      <c r="H165" s="159">
        <f>K165/I165</f>
        <v/>
      </c>
      <c r="I165" s="159">
        <f>(J165/L165)*100</f>
        <v/>
      </c>
      <c r="J165" s="159">
        <f>L165/O165</f>
        <v/>
      </c>
      <c r="K165" s="159" t="n">
        <v>7.189</v>
      </c>
      <c r="L165" s="159" t="n">
        <v>17759.3</v>
      </c>
      <c r="M165" s="159" t="n">
        <v>4.12</v>
      </c>
      <c r="N165" s="159">
        <f>K165-I165</f>
        <v/>
      </c>
      <c r="O165" s="157" t="n">
        <v>21.2</v>
      </c>
      <c r="P165" s="157" t="n">
        <v>3.112</v>
      </c>
      <c r="Q165" s="159">
        <f>K165-P165</f>
        <v/>
      </c>
      <c r="R165" s="157" t="n">
        <v>108.749</v>
      </c>
      <c r="S165" s="159">
        <f>(O165*T165)/100</f>
        <v/>
      </c>
      <c r="T165" s="157" t="n">
        <v>5.59</v>
      </c>
      <c r="U165" s="157" t="n">
        <v>11867</v>
      </c>
      <c r="V165" s="157" t="n">
        <v>26</v>
      </c>
      <c r="W165" s="159">
        <f>U165/V165</f>
        <v/>
      </c>
      <c r="X165" s="159">
        <f>(W165/U165)*100</f>
        <v/>
      </c>
      <c r="Y165" s="157" t="n">
        <v>9285.799999999999</v>
      </c>
      <c r="Z165" s="157" t="n">
        <v>19.35</v>
      </c>
      <c r="AA165" s="159">
        <f>Y165/Z165</f>
        <v/>
      </c>
      <c r="AB165" s="159">
        <f>(AA165/Y165)*100</f>
        <v/>
      </c>
    </row>
    <row r="166" ht="12.95" customHeight="1">
      <c r="A166" s="155" t="n">
        <v>165</v>
      </c>
      <c r="B166" s="160" t="n">
        <v>44805</v>
      </c>
      <c r="C166" s="159" t="n">
        <v>27875475</v>
      </c>
      <c r="D166" s="174">
        <f>C166/E166</f>
        <v/>
      </c>
      <c r="E166" s="159" t="n">
        <v>79.61</v>
      </c>
      <c r="F166" s="159">
        <f>D166/100000</f>
        <v/>
      </c>
      <c r="G166" s="159">
        <f>(F166/DataSheet!$C$9*100)</f>
        <v/>
      </c>
      <c r="H166" s="159">
        <f>K166/I166</f>
        <v/>
      </c>
      <c r="I166" s="159">
        <f>(J166/L166)*100</f>
        <v/>
      </c>
      <c r="J166" s="159">
        <f>L166/O166</f>
        <v/>
      </c>
      <c r="K166" s="159" t="n">
        <v>7.215</v>
      </c>
      <c r="L166" s="159" t="n">
        <v>17542.8</v>
      </c>
      <c r="M166" s="159" t="n">
        <v>4.07</v>
      </c>
      <c r="N166" s="159">
        <f>K166-I166</f>
        <v/>
      </c>
      <c r="O166" s="157" t="n">
        <v>20.94</v>
      </c>
      <c r="P166" s="157" t="n">
        <v>3.196</v>
      </c>
      <c r="Q166" s="159">
        <f>K166-P166</f>
        <v/>
      </c>
      <c r="R166" s="157" t="n">
        <v>108.665</v>
      </c>
      <c r="S166" s="159">
        <f>(O166*T166)/100</f>
        <v/>
      </c>
      <c r="T166" s="157" t="n">
        <v>5.66</v>
      </c>
      <c r="U166" s="157" t="n">
        <v>11896.95</v>
      </c>
      <c r="V166" s="157" t="n">
        <v>26.06</v>
      </c>
      <c r="W166" s="159">
        <f>U166/V166</f>
        <v/>
      </c>
      <c r="X166" s="159">
        <f>(W166/U166)*100</f>
        <v/>
      </c>
      <c r="Y166" s="157" t="n">
        <v>9313.85</v>
      </c>
      <c r="Z166" s="157" t="n">
        <v>19.4</v>
      </c>
      <c r="AA166" s="159">
        <f>Y166/Z166</f>
        <v/>
      </c>
      <c r="AB166" s="159">
        <f>(AA166/Y166)*100</f>
        <v/>
      </c>
    </row>
    <row r="167" ht="12.95" customHeight="1">
      <c r="A167" s="155" t="n">
        <v>166</v>
      </c>
      <c r="B167" s="160" t="n">
        <v>44806</v>
      </c>
      <c r="C167" s="159" t="n">
        <v>27846733</v>
      </c>
      <c r="D167" s="174">
        <f>C167/E167</f>
        <v/>
      </c>
      <c r="E167" s="159" t="n">
        <v>79.84</v>
      </c>
      <c r="F167" s="159">
        <f>D167/100000</f>
        <v/>
      </c>
      <c r="G167" s="159">
        <f>(F167/DataSheet!$C$9*100)</f>
        <v/>
      </c>
      <c r="H167" s="159">
        <f>K167/I167</f>
        <v/>
      </c>
      <c r="I167" s="159">
        <f>(J167/L167)*100</f>
        <v/>
      </c>
      <c r="J167" s="159">
        <f>L167/O167</f>
        <v/>
      </c>
      <c r="K167" s="159" t="n">
        <v>7.235</v>
      </c>
      <c r="L167" s="159" t="n">
        <v>17539.45</v>
      </c>
      <c r="M167" s="159" t="n">
        <v>4.07</v>
      </c>
      <c r="N167" s="159">
        <f>K167-I167</f>
        <v/>
      </c>
      <c r="O167" s="157" t="n">
        <v>20.94</v>
      </c>
      <c r="P167" s="157" t="n">
        <v>3.259</v>
      </c>
      <c r="Q167" s="159">
        <f>K167-P167</f>
        <v/>
      </c>
      <c r="R167" s="157" t="n">
        <v>109.678</v>
      </c>
      <c r="S167" s="159">
        <f>(O167*T167)/100</f>
        <v/>
      </c>
      <c r="T167" s="157" t="n">
        <v>5.63</v>
      </c>
      <c r="U167" s="157" t="n">
        <v>11865.55</v>
      </c>
      <c r="V167" s="157" t="n">
        <v>26</v>
      </c>
      <c r="W167" s="159">
        <f>U167/V167</f>
        <v/>
      </c>
      <c r="X167" s="159">
        <f>(W167/U167)*100</f>
        <v/>
      </c>
      <c r="Y167" s="157" t="n">
        <v>9333.950000000001</v>
      </c>
      <c r="Z167" s="157" t="n">
        <v>19.45</v>
      </c>
      <c r="AA167" s="159">
        <f>Y167/Z167</f>
        <v/>
      </c>
      <c r="AB167" s="159">
        <f>(AA167/Y167)*100</f>
        <v/>
      </c>
    </row>
    <row r="168" ht="12.95" customHeight="1">
      <c r="A168" s="155" t="n">
        <v>167</v>
      </c>
      <c r="B168" s="160" t="n">
        <v>44809</v>
      </c>
      <c r="C168" s="159" t="n">
        <v>27982150</v>
      </c>
      <c r="D168" s="174">
        <f>C168/E168</f>
        <v/>
      </c>
      <c r="E168" s="159" t="n">
        <v>79.79000000000001</v>
      </c>
      <c r="F168" s="159">
        <f>D168/100000</f>
        <v/>
      </c>
      <c r="G168" s="159">
        <f>(F168/DataSheet!$C$9*100)</f>
        <v/>
      </c>
      <c r="H168" s="159">
        <f>K168/I168</f>
        <v/>
      </c>
      <c r="I168" s="159">
        <f>(J168/L168)*100</f>
        <v/>
      </c>
      <c r="J168" s="159">
        <f>L168/O168</f>
        <v/>
      </c>
      <c r="K168" s="159" t="n">
        <v>7.219</v>
      </c>
      <c r="L168" s="159" t="n">
        <v>17665.8</v>
      </c>
      <c r="M168" s="159" t="n">
        <v>4.1</v>
      </c>
      <c r="N168" s="159">
        <f>K168-I168</f>
        <v/>
      </c>
      <c r="O168" s="157" t="n">
        <v>21.09</v>
      </c>
      <c r="P168" s="157" t="n">
        <v>3.195</v>
      </c>
      <c r="Q168" s="159">
        <f>K168-P168</f>
        <v/>
      </c>
      <c r="R168" s="157" t="n">
        <v>109.51</v>
      </c>
      <c r="S168" s="159">
        <f>(O168*T168)/100</f>
        <v/>
      </c>
      <c r="T168" s="157" t="n">
        <v>5.63</v>
      </c>
      <c r="U168" s="157" t="n">
        <v>11930.35</v>
      </c>
      <c r="V168" s="157" t="n">
        <v>26.14</v>
      </c>
      <c r="W168" s="159">
        <f>U168/V168</f>
        <v/>
      </c>
      <c r="X168" s="159">
        <f>(W168/U168)*100</f>
        <v/>
      </c>
      <c r="Y168" s="157" t="n">
        <v>9427.450000000001</v>
      </c>
      <c r="Z168" s="157" t="n">
        <v>19.64</v>
      </c>
      <c r="AA168" s="159">
        <f>Y168/Z168</f>
        <v/>
      </c>
      <c r="AB168" s="159">
        <f>(AA168/Y168)*100</f>
        <v/>
      </c>
    </row>
    <row r="169" ht="12.95" customHeight="1">
      <c r="A169" s="155" t="n">
        <v>168</v>
      </c>
      <c r="B169" s="160" t="n">
        <v>44810</v>
      </c>
      <c r="C169" s="159" t="n">
        <v>28036303</v>
      </c>
      <c r="D169" s="174">
        <f>C169/E169</f>
        <v/>
      </c>
      <c r="E169" s="159" t="n">
        <v>79.78700000000001</v>
      </c>
      <c r="F169" s="159">
        <f>D169/100000</f>
        <v/>
      </c>
      <c r="G169" s="159">
        <f>(F169/DataSheet!$C$9*100)</f>
        <v/>
      </c>
      <c r="H169" s="159">
        <f>K169/I169</f>
        <v/>
      </c>
      <c r="I169" s="159">
        <f>(J169/L169)*100</f>
        <v/>
      </c>
      <c r="J169" s="159">
        <f>L169/O169</f>
        <v/>
      </c>
      <c r="K169" s="159" t="n">
        <v>7.181</v>
      </c>
      <c r="L169" s="159" t="n">
        <v>17655.6</v>
      </c>
      <c r="M169" s="159" t="n">
        <v>4.1</v>
      </c>
      <c r="N169" s="159">
        <f>K169-I169</f>
        <v/>
      </c>
      <c r="O169" s="157" t="n">
        <v>21.08</v>
      </c>
      <c r="P169" s="157" t="n">
        <v>3.223</v>
      </c>
      <c r="Q169" s="159">
        <f>K169-P169</f>
        <v/>
      </c>
      <c r="R169" s="157" t="n">
        <v>109.51</v>
      </c>
      <c r="S169" s="159">
        <f>(O169*T169)/100</f>
        <v/>
      </c>
      <c r="T169" s="157" t="n">
        <v>5.6</v>
      </c>
      <c r="U169" s="157" t="n">
        <v>11974.95</v>
      </c>
      <c r="V169" s="157" t="n">
        <v>26.23</v>
      </c>
      <c r="W169" s="159">
        <f>U169/V169</f>
        <v/>
      </c>
      <c r="X169" s="159">
        <f>(W169/U169)*100</f>
        <v/>
      </c>
      <c r="Y169" s="157" t="n">
        <v>9457.25</v>
      </c>
      <c r="Z169" s="157" t="n">
        <v>19.7</v>
      </c>
      <c r="AA169" s="159">
        <f>Y169/Z169</f>
        <v/>
      </c>
      <c r="AB169" s="159">
        <f>(AA169/Y169)*100</f>
        <v/>
      </c>
    </row>
    <row r="170" ht="12.95" customHeight="1">
      <c r="A170" s="155" t="n">
        <v>169</v>
      </c>
      <c r="B170" s="160" t="n">
        <v>44811</v>
      </c>
      <c r="C170" s="159" t="n">
        <v>28089962</v>
      </c>
      <c r="D170" s="174">
        <f>C170/E170</f>
        <v/>
      </c>
      <c r="E170" s="159" t="n">
        <v>79.90000000000001</v>
      </c>
      <c r="F170" s="159">
        <f>D170/100000</f>
        <v/>
      </c>
      <c r="G170" s="159">
        <f>(F170/DataSheet!$C$9*100)</f>
        <v/>
      </c>
      <c r="H170" s="159">
        <f>K170/I170</f>
        <v/>
      </c>
      <c r="I170" s="159">
        <f>(J170/L170)*100</f>
        <v/>
      </c>
      <c r="J170" s="159">
        <f>L170/O170</f>
        <v/>
      </c>
      <c r="K170" s="159" t="n">
        <v>7.184</v>
      </c>
      <c r="L170" s="159" t="n">
        <v>17624.4</v>
      </c>
      <c r="M170" s="159" t="n">
        <v>4.1</v>
      </c>
      <c r="N170" s="159">
        <f>K170-I170</f>
        <v/>
      </c>
      <c r="O170" s="157" t="n">
        <v>21.04</v>
      </c>
      <c r="P170" s="157" t="n">
        <v>3.351</v>
      </c>
      <c r="Q170" s="159">
        <f>K170-P170</f>
        <v/>
      </c>
      <c r="R170" s="157" t="n">
        <v>110.204</v>
      </c>
      <c r="S170" s="159">
        <f>(O170*T170)/100</f>
        <v/>
      </c>
      <c r="T170" s="157" t="n">
        <v>5.59</v>
      </c>
      <c r="U170" s="157" t="n">
        <v>12038.85</v>
      </c>
      <c r="V170" s="157" t="n">
        <v>26.38</v>
      </c>
      <c r="W170" s="159">
        <f>U170/V170</f>
        <v/>
      </c>
      <c r="X170" s="159">
        <f>(W170/U170)*100</f>
        <v/>
      </c>
      <c r="Y170" s="157" t="n">
        <v>9533.549999999999</v>
      </c>
      <c r="Z170" s="157" t="n">
        <v>19.86</v>
      </c>
      <c r="AA170" s="159">
        <f>Y170/Z170</f>
        <v/>
      </c>
      <c r="AB170" s="159">
        <f>(AA170/Y170)*100</f>
        <v/>
      </c>
    </row>
    <row r="171" ht="12.95" customHeight="1">
      <c r="A171" s="155" t="n">
        <v>170</v>
      </c>
      <c r="B171" s="160" t="n">
        <v>44812</v>
      </c>
      <c r="C171" s="159" t="n">
        <v>28279904.31</v>
      </c>
      <c r="D171" s="174">
        <f>C171/E171</f>
        <v/>
      </c>
      <c r="E171" s="159" t="n">
        <v>79.7</v>
      </c>
      <c r="F171" s="159">
        <f>D171/100000</f>
        <v/>
      </c>
      <c r="G171" s="159">
        <f>(F171/DataSheet!$C$9*100)</f>
        <v/>
      </c>
      <c r="H171" s="159">
        <f>K171/I171</f>
        <v/>
      </c>
      <c r="I171" s="159">
        <f>(J171/L171)*100</f>
        <v/>
      </c>
      <c r="J171" s="159">
        <f>L171/O171</f>
        <v/>
      </c>
      <c r="K171" s="159" t="n">
        <v>7.135</v>
      </c>
      <c r="L171" s="159" t="n">
        <v>17798.75</v>
      </c>
      <c r="M171" s="159" t="n">
        <v>4.13</v>
      </c>
      <c r="N171" s="159">
        <f>K171-I171</f>
        <v/>
      </c>
      <c r="O171" s="157" t="n">
        <v>21.25</v>
      </c>
      <c r="P171" s="157" t="n">
        <v>3.267</v>
      </c>
      <c r="Q171" s="159">
        <f>K171-P171</f>
        <v/>
      </c>
      <c r="R171" s="157" t="n">
        <v>109.832</v>
      </c>
      <c r="S171" s="159">
        <f>(O171*T171)/100</f>
        <v/>
      </c>
      <c r="T171" s="157" t="n">
        <v>5.64</v>
      </c>
      <c r="U171" s="157" t="n">
        <v>12080.8</v>
      </c>
      <c r="V171" s="157" t="n">
        <v>26.47</v>
      </c>
      <c r="W171" s="159">
        <f>U171/V171</f>
        <v/>
      </c>
      <c r="X171" s="159">
        <f>(W171/U171)*100</f>
        <v/>
      </c>
      <c r="Y171" s="157" t="n">
        <v>9600.700000000001</v>
      </c>
      <c r="Z171" s="157" t="n">
        <v>20</v>
      </c>
      <c r="AA171" s="159">
        <f>Y171/Z171</f>
        <v/>
      </c>
      <c r="AB171" s="159">
        <f>(AA171/Y171)*100</f>
        <v/>
      </c>
    </row>
    <row r="172" ht="12.95" customHeight="1">
      <c r="A172" s="155" t="n">
        <v>171</v>
      </c>
      <c r="B172" s="160" t="n">
        <v>44813</v>
      </c>
      <c r="C172" s="159" t="n">
        <v>28301067</v>
      </c>
      <c r="D172" s="174">
        <f>C172/E172</f>
        <v/>
      </c>
      <c r="E172" s="159" t="n">
        <v>79.56</v>
      </c>
      <c r="F172" s="159">
        <f>D172/100000</f>
        <v/>
      </c>
      <c r="G172" s="159">
        <f>(F172/DataSheet!$C$9*100)</f>
        <v/>
      </c>
      <c r="H172" s="159">
        <f>K172/I172</f>
        <v/>
      </c>
      <c r="I172" s="159">
        <f>(J172/L172)*100</f>
        <v/>
      </c>
      <c r="J172" s="159">
        <f>L172/O172</f>
        <v/>
      </c>
      <c r="K172" s="159" t="n">
        <v>7.169</v>
      </c>
      <c r="L172" s="159" t="n">
        <v>17833.35</v>
      </c>
      <c r="M172" s="159" t="n">
        <v>4.13</v>
      </c>
      <c r="N172" s="159">
        <f>K172-I172</f>
        <v/>
      </c>
      <c r="O172" s="157" t="n">
        <v>21.29</v>
      </c>
      <c r="P172" s="157" t="n">
        <v>3.323</v>
      </c>
      <c r="Q172" s="159">
        <f>K172-P172</f>
        <v/>
      </c>
      <c r="R172" s="157" t="n">
        <v>109.713</v>
      </c>
      <c r="S172" s="159">
        <f>(O172*T172)/100</f>
        <v/>
      </c>
      <c r="T172" s="157" t="n">
        <v>5.64</v>
      </c>
      <c r="U172" s="157" t="n">
        <v>12129.45</v>
      </c>
      <c r="V172" s="157" t="n">
        <v>26.57</v>
      </c>
      <c r="W172" s="159">
        <f>U172/V172</f>
        <v/>
      </c>
      <c r="X172" s="159">
        <f>(W172/U172)*100</f>
        <v/>
      </c>
      <c r="Y172" s="157" t="n">
        <v>9581.65</v>
      </c>
      <c r="Z172" s="157" t="n">
        <v>20.02</v>
      </c>
      <c r="AA172" s="159">
        <f>Y172/Z172</f>
        <v/>
      </c>
      <c r="AB172" s="159">
        <f>(AA172/Y172)*100</f>
        <v/>
      </c>
    </row>
    <row r="173" ht="12.95" customHeight="1">
      <c r="A173" s="155" t="n">
        <v>172</v>
      </c>
      <c r="B173" s="160" t="n">
        <v>44816</v>
      </c>
      <c r="C173" s="157" t="n">
        <v>28526694</v>
      </c>
      <c r="D173" s="174">
        <f>C173/E173</f>
        <v/>
      </c>
      <c r="E173" s="159" t="n">
        <v>79.68000000000001</v>
      </c>
      <c r="F173" s="159">
        <f>D173/100000</f>
        <v/>
      </c>
      <c r="G173" s="159">
        <f>(F173/DataSheet!$C$9*100)</f>
        <v/>
      </c>
      <c r="H173" s="159">
        <f>K173/I173</f>
        <v/>
      </c>
      <c r="I173" s="159">
        <f>(J173/L173)*100</f>
        <v/>
      </c>
      <c r="J173" s="159">
        <f>L173/O173</f>
        <v/>
      </c>
      <c r="K173" s="159" t="n">
        <v>7.185</v>
      </c>
      <c r="L173" s="159" t="n">
        <v>17936.35</v>
      </c>
      <c r="M173" s="159" t="n">
        <v>4.16</v>
      </c>
      <c r="N173" s="159">
        <f>K173-I173</f>
        <v/>
      </c>
      <c r="O173" s="157" t="n">
        <v>21.41</v>
      </c>
      <c r="P173" s="157" t="n">
        <v>3.315</v>
      </c>
      <c r="Q173" s="159">
        <f>K173-P173</f>
        <v/>
      </c>
      <c r="R173" s="157" t="n">
        <v>108.997</v>
      </c>
      <c r="S173" s="159">
        <f>(O173*T173)/100</f>
        <v/>
      </c>
      <c r="T173" s="157" t="n">
        <v>5.66</v>
      </c>
      <c r="U173" s="157" t="n">
        <v>12228.05</v>
      </c>
      <c r="V173" s="157" t="n">
        <v>26.79</v>
      </c>
      <c r="W173" s="159">
        <f>U173/V173</f>
        <v/>
      </c>
      <c r="X173" s="159">
        <f>(W173/U173)*100</f>
        <v/>
      </c>
      <c r="Y173" s="157" t="n">
        <v>9672.35</v>
      </c>
      <c r="Z173" s="157" t="n">
        <v>20.21</v>
      </c>
      <c r="AA173" s="159">
        <f>Y173/Z173</f>
        <v/>
      </c>
      <c r="AB173" s="159">
        <f>(AA173/Y173)*100</f>
        <v/>
      </c>
    </row>
    <row r="174" ht="12.95" customHeight="1">
      <c r="A174" s="155" t="n">
        <v>173</v>
      </c>
      <c r="B174" s="160" t="n">
        <v>44817</v>
      </c>
      <c r="C174" s="159" t="n">
        <v>28671194</v>
      </c>
      <c r="D174" s="174">
        <f>C174/E174</f>
        <v/>
      </c>
      <c r="E174" s="159" t="n">
        <v>79.45</v>
      </c>
      <c r="F174" s="159">
        <f>D174/100000</f>
        <v/>
      </c>
      <c r="G174" s="159">
        <f>(F174/DataSheet!$C$9*100)</f>
        <v/>
      </c>
      <c r="H174" s="159">
        <f>K174/I174</f>
        <v/>
      </c>
      <c r="I174" s="159">
        <f>(J174/L174)*100</f>
        <v/>
      </c>
      <c r="J174" s="159">
        <f>L174/O174</f>
        <v/>
      </c>
      <c r="K174" s="159" t="n">
        <v>7.109</v>
      </c>
      <c r="L174" s="159" t="n">
        <v>18070.05</v>
      </c>
      <c r="M174" s="159" t="n">
        <v>4.19</v>
      </c>
      <c r="N174" s="159">
        <f>K174-I174</f>
        <v/>
      </c>
      <c r="O174" s="157" t="n">
        <v>21.57</v>
      </c>
      <c r="P174" s="157" t="n">
        <v>3.358</v>
      </c>
      <c r="Q174" s="159">
        <f>K174-P174</f>
        <v/>
      </c>
      <c r="R174" s="157" t="n">
        <v>108.316</v>
      </c>
      <c r="S174" s="159">
        <f>(O174*T174)/100</f>
        <v/>
      </c>
      <c r="T174" s="157" t="n">
        <v>5.66</v>
      </c>
      <c r="U174" s="157" t="n">
        <v>12245.65</v>
      </c>
      <c r="V174" s="157" t="n">
        <v>26.83</v>
      </c>
      <c r="W174" s="159">
        <f>U174/V174</f>
        <v/>
      </c>
      <c r="X174" s="159">
        <f>(W174/U174)*100</f>
        <v/>
      </c>
      <c r="Y174" s="157" t="n">
        <v>9683</v>
      </c>
      <c r="Z174" s="157" t="n">
        <v>20.23</v>
      </c>
      <c r="AA174" s="159">
        <f>Y174/Z174</f>
        <v/>
      </c>
      <c r="AB174" s="159">
        <f>(AA174/Y174)*100</f>
        <v/>
      </c>
    </row>
    <row r="175" ht="12.95" customHeight="1">
      <c r="A175" s="155" t="n">
        <v>174</v>
      </c>
      <c r="B175" s="160" t="n">
        <v>44818</v>
      </c>
      <c r="C175" s="159" t="n">
        <v>28594672</v>
      </c>
      <c r="D175" s="174">
        <f>C175/E175</f>
        <v/>
      </c>
      <c r="E175" s="159" t="n">
        <v>79.45</v>
      </c>
      <c r="F175" s="159">
        <f>D175/100000</f>
        <v/>
      </c>
      <c r="G175" s="159">
        <f>(F175/DataSheet!$C$9*100)</f>
        <v/>
      </c>
      <c r="H175" s="159">
        <f>K175/I175</f>
        <v/>
      </c>
      <c r="I175" s="159">
        <f>(J175/L175)*100</f>
        <v/>
      </c>
      <c r="J175" s="159">
        <f>L175/O175</f>
        <v/>
      </c>
      <c r="K175" s="159" t="n">
        <v>7.155</v>
      </c>
      <c r="L175" s="159" t="n">
        <v>18003.75</v>
      </c>
      <c r="M175" s="159" t="n">
        <v>4.18</v>
      </c>
      <c r="N175" s="159">
        <f>K175-I175</f>
        <v/>
      </c>
      <c r="O175" s="157" t="n">
        <v>21.49</v>
      </c>
      <c r="P175" s="157" t="n">
        <v>3.412</v>
      </c>
      <c r="Q175" s="159">
        <f>K175-P175</f>
        <v/>
      </c>
      <c r="R175" s="157" t="n">
        <v>109.809</v>
      </c>
      <c r="S175" s="159">
        <f>(O175*T175)/100</f>
        <v/>
      </c>
      <c r="T175" s="157" t="n">
        <v>5.7</v>
      </c>
      <c r="U175" s="157" t="n">
        <v>12203.55</v>
      </c>
      <c r="V175" s="157" t="n">
        <v>26.74</v>
      </c>
      <c r="W175" s="159">
        <f>U175/V175</f>
        <v/>
      </c>
      <c r="X175" s="159">
        <f>(W175/U175)*100</f>
        <v/>
      </c>
      <c r="Y175" s="157" t="n">
        <v>9692.1</v>
      </c>
      <c r="Z175" s="157" t="n">
        <v>20.25</v>
      </c>
      <c r="AA175" s="159">
        <f>Y175/Z175</f>
        <v/>
      </c>
      <c r="AB175" s="159">
        <f>(AA175/Y175)*100</f>
        <v/>
      </c>
    </row>
    <row r="176" ht="12.95" customHeight="1">
      <c r="A176" s="155" t="n">
        <v>175</v>
      </c>
      <c r="B176" s="160" t="n">
        <v>44819</v>
      </c>
      <c r="C176" s="159" t="n">
        <v>28587353</v>
      </c>
      <c r="D176" s="174">
        <f>C176/E176</f>
        <v/>
      </c>
      <c r="E176" s="159" t="n">
        <v>79.84</v>
      </c>
      <c r="F176" s="159">
        <f>D176/100000</f>
        <v/>
      </c>
      <c r="G176" s="159">
        <f>(F176/DataSheet!$C$9*100)</f>
        <v/>
      </c>
      <c r="H176" s="159">
        <f>K176/I176</f>
        <v/>
      </c>
      <c r="I176" s="159">
        <f>(J176/L176)*100</f>
        <v/>
      </c>
      <c r="J176" s="159">
        <f>L176/O176</f>
        <v/>
      </c>
      <c r="K176" s="159" t="n">
        <v>7.238</v>
      </c>
      <c r="L176" s="159" t="n">
        <v>17877.4</v>
      </c>
      <c r="M176" s="159" t="n">
        <v>4.15</v>
      </c>
      <c r="N176" s="159">
        <f>K176-I176</f>
        <v/>
      </c>
      <c r="O176" s="157" t="n">
        <v>21.34</v>
      </c>
      <c r="P176" s="157" t="n">
        <v>3.404</v>
      </c>
      <c r="Q176" s="159">
        <f>K176-P176</f>
        <v/>
      </c>
      <c r="R176" s="157" t="n">
        <v>109.631</v>
      </c>
      <c r="S176" s="159">
        <f>(O176*T176)/100</f>
        <v/>
      </c>
      <c r="T176" s="157" t="n">
        <v>5.76</v>
      </c>
      <c r="U176" s="157" t="n">
        <v>12242.85</v>
      </c>
      <c r="V176" s="157" t="n">
        <v>26.82</v>
      </c>
      <c r="W176" s="159">
        <f>U176/V176</f>
        <v/>
      </c>
      <c r="X176" s="159">
        <f>(W176/U176)*100</f>
        <v/>
      </c>
      <c r="Y176" s="157" t="n">
        <v>9690.049999999999</v>
      </c>
      <c r="Z176" s="157" t="n">
        <v>20.24</v>
      </c>
      <c r="AA176" s="159">
        <f>Y176/Z176</f>
        <v/>
      </c>
      <c r="AB176" s="159">
        <f>(AA176/Y176)*100</f>
        <v/>
      </c>
    </row>
    <row r="177" ht="12.95" customHeight="1">
      <c r="A177" s="155" t="n">
        <v>176</v>
      </c>
      <c r="B177" s="160" t="n">
        <v>44820</v>
      </c>
      <c r="C177" s="159" t="n">
        <v>27968822</v>
      </c>
      <c r="D177" s="174">
        <f>C177/E177</f>
        <v/>
      </c>
      <c r="E177" s="159" t="n">
        <v>79.72</v>
      </c>
      <c r="F177" s="159">
        <f>D177/100000</f>
        <v/>
      </c>
      <c r="G177" s="159">
        <f>(F177/DataSheet!$C$9*100)</f>
        <v/>
      </c>
      <c r="H177" s="159">
        <f>K177/I177</f>
        <v/>
      </c>
      <c r="I177" s="159">
        <f>(J177/L177)*100</f>
        <v/>
      </c>
      <c r="J177" s="159">
        <f>L177/O177</f>
        <v/>
      </c>
      <c r="K177" s="159" t="n">
        <v>7.266</v>
      </c>
      <c r="L177" s="159" t="n">
        <v>17530.85</v>
      </c>
      <c r="M177" s="159" t="n">
        <v>4.07</v>
      </c>
      <c r="N177" s="159">
        <f>K177-I177</f>
        <v/>
      </c>
      <c r="O177" s="157" t="n">
        <v>20.93</v>
      </c>
      <c r="P177" s="157" t="n">
        <v>3.449</v>
      </c>
      <c r="Q177" s="159">
        <f>K177-P177</f>
        <v/>
      </c>
      <c r="R177" s="157" t="n">
        <v>109.711</v>
      </c>
      <c r="S177" s="159">
        <f>(O177*T177)/100</f>
        <v/>
      </c>
      <c r="T177" s="157" t="n">
        <v>5.77</v>
      </c>
      <c r="U177" s="157" t="n">
        <v>11933.3</v>
      </c>
      <c r="V177" s="157" t="n">
        <v>26.14</v>
      </c>
      <c r="W177" s="159">
        <f>U177/V177</f>
        <v/>
      </c>
      <c r="X177" s="159">
        <f>(W177/U177)*100</f>
        <v/>
      </c>
      <c r="Y177" s="157" t="n">
        <v>9467.85</v>
      </c>
      <c r="Z177" s="157" t="n">
        <v>19.78</v>
      </c>
      <c r="AA177" s="159">
        <f>Y177/Z177</f>
        <v/>
      </c>
      <c r="AB177" s="159">
        <f>(AA177/Y177)*100</f>
        <v/>
      </c>
    </row>
    <row r="178" ht="12.95" customHeight="1">
      <c r="A178" s="155" t="n">
        <v>177</v>
      </c>
      <c r="B178" s="160" t="n">
        <v>44823</v>
      </c>
      <c r="C178" s="159" t="n">
        <v>28060174</v>
      </c>
      <c r="D178" s="174">
        <f>C178/E178</f>
        <v/>
      </c>
      <c r="E178" s="159" t="n">
        <v>79.73999999999999</v>
      </c>
      <c r="F178" s="159">
        <f>D178/100000</f>
        <v/>
      </c>
      <c r="G178" s="159">
        <f>(F178/DataSheet!$C$9*100)</f>
        <v/>
      </c>
      <c r="H178" s="159">
        <f>K178/I178</f>
        <v/>
      </c>
      <c r="I178" s="159">
        <f>(J178/L178)*100</f>
        <v/>
      </c>
      <c r="J178" s="159">
        <f>L178/O178</f>
        <v/>
      </c>
      <c r="K178" s="159" t="n">
        <v>7.279</v>
      </c>
      <c r="L178" s="159" t="n">
        <v>17622.25</v>
      </c>
      <c r="M178" s="159" t="n">
        <v>4.09</v>
      </c>
      <c r="N178" s="159">
        <f>K178-I178</f>
        <v/>
      </c>
      <c r="O178" s="157" t="n">
        <v>21.04</v>
      </c>
      <c r="P178" s="157" t="n">
        <v>3.455</v>
      </c>
      <c r="Q178" s="159">
        <f>K178-P178</f>
        <v/>
      </c>
      <c r="R178" s="157" t="n">
        <v>109.736</v>
      </c>
      <c r="S178" s="159">
        <f>(O178*T178)/100</f>
        <v/>
      </c>
      <c r="T178" s="157" t="n">
        <v>5.78</v>
      </c>
      <c r="U178" s="157" t="n">
        <v>11936.55</v>
      </c>
      <c r="V178" s="157" t="n">
        <v>26.15</v>
      </c>
      <c r="W178" s="159">
        <f>U178/V178</f>
        <v/>
      </c>
      <c r="X178" s="159">
        <f>(W178/U178)*100</f>
        <v/>
      </c>
      <c r="Y178" s="157" t="n">
        <v>9398.299999999999</v>
      </c>
      <c r="Z178" s="157" t="n">
        <v>19.63</v>
      </c>
      <c r="AA178" s="159">
        <f>Y178/Z178</f>
        <v/>
      </c>
      <c r="AB178" s="159">
        <f>(AA178/Y178)*100</f>
        <v/>
      </c>
    </row>
    <row r="179" ht="12.95" customHeight="1">
      <c r="A179" s="155" t="n">
        <v>178</v>
      </c>
      <c r="B179" s="160" t="n">
        <v>44824</v>
      </c>
      <c r="C179" s="159" t="n">
        <v>28342214</v>
      </c>
      <c r="D179" s="174">
        <f>C179/E179</f>
        <v/>
      </c>
      <c r="E179" s="159" t="n">
        <v>79.7</v>
      </c>
      <c r="F179" s="159">
        <f>D179/100000</f>
        <v/>
      </c>
      <c r="G179" s="159">
        <f>(F179/DataSheet!$C$9*100)</f>
        <v/>
      </c>
      <c r="H179" s="159">
        <f>K179/I179</f>
        <v/>
      </c>
      <c r="I179" s="159">
        <f>(J179/L179)*100</f>
        <v/>
      </c>
      <c r="J179" s="159">
        <f>L179/O179</f>
        <v/>
      </c>
      <c r="K179" s="159" t="n">
        <v>7.296</v>
      </c>
      <c r="L179" s="159" t="n">
        <v>17816.25</v>
      </c>
      <c r="M179" s="159" t="n">
        <v>4.13</v>
      </c>
      <c r="N179" s="159">
        <f>K179-I179</f>
        <v/>
      </c>
      <c r="O179" s="157" t="n">
        <v>21.27</v>
      </c>
      <c r="P179" s="157" t="n">
        <v>3.494</v>
      </c>
      <c r="Q179" s="159">
        <f>K179-P179</f>
        <v/>
      </c>
      <c r="R179" s="157" t="n">
        <v>109.982</v>
      </c>
      <c r="S179" s="159">
        <f>(O179*T179)/100</f>
        <v/>
      </c>
      <c r="T179" s="157" t="n">
        <v>5.79</v>
      </c>
      <c r="U179" s="157" t="n">
        <v>12111.3</v>
      </c>
      <c r="V179" s="157" t="n">
        <v>26.53</v>
      </c>
      <c r="W179" s="159">
        <f>U179/V179</f>
        <v/>
      </c>
      <c r="X179" s="159">
        <f>(W179/U179)*100</f>
        <v/>
      </c>
      <c r="Y179" s="157" t="n">
        <v>9506.25</v>
      </c>
      <c r="Z179" s="157" t="n">
        <v>19.86</v>
      </c>
      <c r="AA179" s="159">
        <f>Y179/Z179</f>
        <v/>
      </c>
      <c r="AB179" s="159">
        <f>(AA179/Y179)*100</f>
        <v/>
      </c>
    </row>
    <row r="180" ht="12.95" customHeight="1">
      <c r="A180" s="155" t="n">
        <v>179</v>
      </c>
      <c r="B180" s="160" t="n">
        <v>44825</v>
      </c>
      <c r="C180" s="159" t="n">
        <v>28117658</v>
      </c>
      <c r="D180" s="174">
        <f>C180/E180</f>
        <v/>
      </c>
      <c r="E180" s="159" t="n">
        <v>79.93000000000001</v>
      </c>
      <c r="F180" s="159">
        <f>D180/100000</f>
        <v/>
      </c>
      <c r="G180" s="159">
        <f>(F180/DataSheet!$C$9*100)</f>
        <v/>
      </c>
      <c r="H180" s="159">
        <f>K180/I180</f>
        <v/>
      </c>
      <c r="I180" s="159">
        <f>(J180/L180)*100</f>
        <v/>
      </c>
      <c r="J180" s="159">
        <f>L180/O180</f>
        <v/>
      </c>
      <c r="K180" s="159" t="n">
        <v>7.26</v>
      </c>
      <c r="L180" s="159" t="n">
        <v>17718.35</v>
      </c>
      <c r="M180" s="159" t="n">
        <v>4.11</v>
      </c>
      <c r="N180" s="159">
        <f>K180-I180</f>
        <v/>
      </c>
      <c r="O180" s="157" t="n">
        <v>21.15</v>
      </c>
      <c r="P180" s="157" t="n">
        <v>3.569</v>
      </c>
      <c r="Q180" s="159">
        <f>K180-P180</f>
        <v/>
      </c>
      <c r="R180" s="157" t="n">
        <v>109.942</v>
      </c>
      <c r="S180" s="159">
        <f>(O180*T180)/100</f>
        <v/>
      </c>
      <c r="T180" s="157" t="n">
        <v>5.85</v>
      </c>
      <c r="U180" s="157" t="n">
        <v>12027.5</v>
      </c>
      <c r="V180" s="157" t="n">
        <v>26.35</v>
      </c>
      <c r="W180" s="159">
        <f>U180/V180</f>
        <v/>
      </c>
      <c r="X180" s="159">
        <f>(W180/U180)*100</f>
        <v/>
      </c>
      <c r="Y180" s="157" t="n">
        <v>9446.700000000001</v>
      </c>
      <c r="Z180" s="157" t="n">
        <v>19.73</v>
      </c>
      <c r="AA180" s="159">
        <f>Y180/Z180</f>
        <v/>
      </c>
      <c r="AB180" s="159">
        <f>(AA180/Y180)*100</f>
        <v/>
      </c>
    </row>
    <row r="181" ht="12.95" customHeight="1">
      <c r="A181" s="155" t="n">
        <v>180</v>
      </c>
      <c r="B181" s="160" t="n">
        <v>44826</v>
      </c>
      <c r="C181" s="159" t="n">
        <v>28154729</v>
      </c>
      <c r="D181" s="174">
        <f>C181/E181</f>
        <v/>
      </c>
      <c r="E181" s="159" t="n">
        <v>80.88</v>
      </c>
      <c r="F181" s="159">
        <f>D181/100000</f>
        <v/>
      </c>
      <c r="G181" s="159">
        <f>(F181/DataSheet!$C$9*100)</f>
        <v/>
      </c>
      <c r="H181" s="159">
        <f>K181/I181</f>
        <v/>
      </c>
      <c r="I181" s="159">
        <f>(J181/L181)*100</f>
        <v/>
      </c>
      <c r="J181" s="159">
        <f>L181/O181</f>
        <v/>
      </c>
      <c r="K181" s="159" t="n">
        <v>7.233</v>
      </c>
      <c r="L181" s="159" t="n">
        <v>17629.8</v>
      </c>
      <c r="M181" s="159" t="n">
        <v>4.09</v>
      </c>
      <c r="N181" s="159">
        <f>K181-I181</f>
        <v/>
      </c>
      <c r="O181" s="157" t="n">
        <v>21.05</v>
      </c>
      <c r="P181" s="157" t="n">
        <v>3.534</v>
      </c>
      <c r="Q181" s="159">
        <f>K181-P181</f>
        <v/>
      </c>
      <c r="R181" s="157" t="n">
        <v>110.346</v>
      </c>
      <c r="S181" s="159">
        <f>(O181*T181)/100</f>
        <v/>
      </c>
      <c r="T181" s="157" t="n">
        <v>5.88</v>
      </c>
      <c r="U181" s="157" t="n">
        <v>12067.4</v>
      </c>
      <c r="V181" s="157" t="n">
        <v>26.44</v>
      </c>
      <c r="W181" s="159">
        <f>U181/V181</f>
        <v/>
      </c>
      <c r="X181" s="159">
        <f>(W181/U181)*100</f>
        <v/>
      </c>
      <c r="Y181" s="157" t="n">
        <v>9500.4</v>
      </c>
      <c r="Z181" s="157" t="n">
        <v>19.84</v>
      </c>
      <c r="AA181" s="159">
        <f>Y181/Z181</f>
        <v/>
      </c>
      <c r="AB181" s="159">
        <f>(AA181/Y181)*100</f>
        <v/>
      </c>
    </row>
    <row r="182" ht="12.95" customHeight="1">
      <c r="A182" s="155" t="n">
        <v>181</v>
      </c>
      <c r="B182" s="160" t="n">
        <v>44827</v>
      </c>
      <c r="C182" s="159" t="n">
        <v>27664567</v>
      </c>
      <c r="D182" s="174">
        <f>C182/E182</f>
        <v/>
      </c>
      <c r="E182" s="159" t="n">
        <v>81.06</v>
      </c>
      <c r="F182" s="159">
        <f>D182/100000</f>
        <v/>
      </c>
      <c r="G182" s="159">
        <f>(F182/DataSheet!$C$9*100)</f>
        <v/>
      </c>
      <c r="H182" s="159">
        <f>K182/I182</f>
        <v/>
      </c>
      <c r="I182" s="159">
        <f>(J182/L182)*100</f>
        <v/>
      </c>
      <c r="J182" s="159">
        <f>L182/O182</f>
        <v/>
      </c>
      <c r="K182" s="159" t="n">
        <v>7.393</v>
      </c>
      <c r="L182" s="159" t="n">
        <v>17327.35</v>
      </c>
      <c r="M182" s="159" t="n">
        <v>4.02</v>
      </c>
      <c r="N182" s="159">
        <f>K182-I182</f>
        <v/>
      </c>
      <c r="O182" s="157" t="n">
        <v>20.69</v>
      </c>
      <c r="P182" s="157" t="n">
        <v>3.71</v>
      </c>
      <c r="Q182" s="159">
        <f>K182-P182</f>
        <v/>
      </c>
      <c r="R182" s="157" t="n">
        <v>111.105</v>
      </c>
      <c r="S182" s="159">
        <f>(O182*T182)/100</f>
        <v/>
      </c>
      <c r="T182" s="157" t="n">
        <v>5.9</v>
      </c>
      <c r="U182" s="157" t="n">
        <v>11811.9</v>
      </c>
      <c r="V182" s="157" t="n">
        <v>25.88</v>
      </c>
      <c r="W182" s="159">
        <f>U182/V182</f>
        <v/>
      </c>
      <c r="X182" s="159">
        <f>(W182/U182)*100</f>
        <v/>
      </c>
      <c r="Y182" s="157" t="n">
        <v>9312.450000000001</v>
      </c>
      <c r="Z182" s="157" t="n">
        <v>19.45</v>
      </c>
      <c r="AA182" s="159">
        <f>Y182/Z182</f>
        <v/>
      </c>
      <c r="AB182" s="159">
        <f>(AA182/Y182)*100</f>
        <v/>
      </c>
    </row>
    <row r="183" ht="12.95" customHeight="1">
      <c r="A183" s="155" t="n">
        <v>182</v>
      </c>
      <c r="B183" s="160" t="n">
        <v>44830</v>
      </c>
      <c r="C183" s="159" t="n">
        <v>27011460</v>
      </c>
      <c r="D183" s="174">
        <f>C183/E183</f>
        <v/>
      </c>
      <c r="E183" s="159" t="n">
        <v>81.59999999999999</v>
      </c>
      <c r="F183" s="159">
        <f>D183/100000</f>
        <v/>
      </c>
      <c r="G183" s="159">
        <f>(F183/DataSheet!$C$9*100)</f>
        <v/>
      </c>
      <c r="H183" s="159">
        <f>K183/I183</f>
        <v/>
      </c>
      <c r="I183" s="159">
        <f>(J183/L183)*100</f>
        <v/>
      </c>
      <c r="J183" s="159">
        <f>L183/O183</f>
        <v/>
      </c>
      <c r="K183" s="159" t="n">
        <v>7.366</v>
      </c>
      <c r="L183" s="159" t="n">
        <v>17016.3</v>
      </c>
      <c r="M183" s="159" t="n">
        <v>3.95</v>
      </c>
      <c r="N183" s="159">
        <f>K183-I183</f>
        <v/>
      </c>
      <c r="O183" s="157" t="n">
        <v>20.31</v>
      </c>
      <c r="P183" s="157" t="n">
        <v>3.687</v>
      </c>
      <c r="Q183" s="159">
        <f>K183-P183</f>
        <v/>
      </c>
      <c r="R183" s="157" t="n">
        <v>112.962</v>
      </c>
      <c r="S183" s="159">
        <f>(O183*T183)/100</f>
        <v/>
      </c>
      <c r="T183" s="157" t="n">
        <v>5.94</v>
      </c>
      <c r="U183" s="157" t="n">
        <v>11461.7</v>
      </c>
      <c r="V183" s="157" t="n">
        <v>25.11</v>
      </c>
      <c r="W183" s="159">
        <f>U183/V183</f>
        <v/>
      </c>
      <c r="X183" s="159">
        <f>(W183/U183)*100</f>
        <v/>
      </c>
      <c r="Y183" s="157" t="n">
        <v>9001</v>
      </c>
      <c r="Z183" s="157" t="n">
        <v>18.8</v>
      </c>
      <c r="AA183" s="159">
        <f>Y183/Z183</f>
        <v/>
      </c>
      <c r="AB183" s="159">
        <f>(AA183/Y183)*100</f>
        <v/>
      </c>
    </row>
    <row r="184" ht="12.95" customHeight="1">
      <c r="A184" s="155" t="n">
        <v>183</v>
      </c>
      <c r="B184" s="160" t="n">
        <v>44831</v>
      </c>
      <c r="C184" s="159" t="n">
        <v>27016183</v>
      </c>
      <c r="D184" s="174">
        <f>C184/E184</f>
        <v/>
      </c>
      <c r="E184" s="159" t="n">
        <v>81.56999999999999</v>
      </c>
      <c r="F184" s="159">
        <f>D184/100000</f>
        <v/>
      </c>
      <c r="G184" s="159">
        <f>(F184/DataSheet!$C$9*100)</f>
        <v/>
      </c>
      <c r="H184" s="159">
        <f>K184/I184</f>
        <v/>
      </c>
      <c r="I184" s="159">
        <f>(J184/L184)*100</f>
        <v/>
      </c>
      <c r="J184" s="159">
        <f>L184/O184</f>
        <v/>
      </c>
      <c r="K184" s="159" t="n">
        <v>7.297</v>
      </c>
      <c r="L184" s="159" t="n">
        <v>17007.4</v>
      </c>
      <c r="M184" s="159" t="n">
        <v>3.95</v>
      </c>
      <c r="N184" s="159">
        <f>K184-I184</f>
        <v/>
      </c>
      <c r="O184" s="157" t="n">
        <v>20.3</v>
      </c>
      <c r="P184" s="157" t="n">
        <v>3.928</v>
      </c>
      <c r="Q184" s="159">
        <f>K184-P184</f>
        <v/>
      </c>
      <c r="R184" s="157" t="n">
        <v>114.02</v>
      </c>
      <c r="S184" s="159">
        <f>(O184*T184)/100</f>
        <v/>
      </c>
      <c r="T184" s="157" t="n">
        <v>5.97</v>
      </c>
      <c r="U184" s="157" t="n">
        <v>11469.75</v>
      </c>
      <c r="V184" s="157" t="n">
        <v>25.13</v>
      </c>
      <c r="W184" s="159">
        <f>U184/V184</f>
        <v/>
      </c>
      <c r="X184" s="159">
        <f>(W184/U184)*100</f>
        <v/>
      </c>
      <c r="Y184" s="157" t="n">
        <v>9048.950000000001</v>
      </c>
      <c r="Z184" s="157" t="n">
        <v>18.9</v>
      </c>
      <c r="AA184" s="159">
        <f>Y184/Z184</f>
        <v/>
      </c>
      <c r="AB184" s="159">
        <f>(AA184/Y184)*100</f>
        <v/>
      </c>
    </row>
    <row r="185" ht="12.95" customHeight="1">
      <c r="A185" s="155" t="n">
        <v>184</v>
      </c>
      <c r="B185" s="160" t="n">
        <v>44832</v>
      </c>
      <c r="C185" s="159" t="n">
        <v>26842958</v>
      </c>
      <c r="D185" s="174">
        <f>C185/E185</f>
        <v/>
      </c>
      <c r="E185" s="159" t="n">
        <v>81.72</v>
      </c>
      <c r="F185" s="159">
        <f>D185/100000</f>
        <v/>
      </c>
      <c r="G185" s="159">
        <f>(F185/DataSheet!$C$9*100)</f>
        <v/>
      </c>
      <c r="H185" s="159">
        <f>K185/I185</f>
        <v/>
      </c>
      <c r="I185" s="159">
        <f>(J185/L185)*100</f>
        <v/>
      </c>
      <c r="J185" s="159">
        <f>L185/O185</f>
        <v/>
      </c>
      <c r="K185" s="159" t="n">
        <v>7.333</v>
      </c>
      <c r="L185" s="159" t="n">
        <v>16858.6</v>
      </c>
      <c r="M185" s="159" t="n">
        <v>3.91</v>
      </c>
      <c r="N185" s="159">
        <f>K185-I185</f>
        <v/>
      </c>
      <c r="O185" s="159" t="n">
        <v>20.13</v>
      </c>
      <c r="P185" s="157" t="n">
        <v>3.949</v>
      </c>
      <c r="Q185" s="159">
        <f>K185-P185</f>
        <v/>
      </c>
      <c r="R185" s="157" t="n">
        <v>114.047</v>
      </c>
      <c r="S185" s="159">
        <f>(O185*T185)/100</f>
        <v/>
      </c>
      <c r="T185" s="157" t="n">
        <v>6.1</v>
      </c>
      <c r="U185" s="157" t="n">
        <v>11439.4</v>
      </c>
      <c r="V185" s="157" t="n">
        <v>25.06</v>
      </c>
      <c r="W185" s="159">
        <f>U185/V185</f>
        <v/>
      </c>
      <c r="X185" s="159">
        <f>(W185/U185)*100</f>
        <v/>
      </c>
      <c r="Y185" s="157" t="n">
        <v>9009.049999999999</v>
      </c>
      <c r="Z185" s="157" t="n">
        <v>18.82</v>
      </c>
      <c r="AA185" s="159">
        <f>Y185/Z185</f>
        <v/>
      </c>
      <c r="AB185" s="159">
        <f>(AA185/Y185)*100</f>
        <v/>
      </c>
    </row>
    <row r="186" ht="12.95" customHeight="1">
      <c r="A186" s="155" t="n">
        <v>185</v>
      </c>
      <c r="B186" s="160" t="n">
        <v>44833</v>
      </c>
      <c r="C186" s="159" t="n">
        <v>26814559</v>
      </c>
      <c r="D186" s="174">
        <f>C186/E186</f>
        <v/>
      </c>
      <c r="E186" s="159" t="n">
        <v>81.75</v>
      </c>
      <c r="F186" s="159">
        <f>D186/100000</f>
        <v/>
      </c>
      <c r="G186" s="159">
        <f>(F186/DataSheet!$C$9*100)</f>
        <v/>
      </c>
      <c r="H186" s="159">
        <f>K186/I186</f>
        <v/>
      </c>
      <c r="I186" s="159">
        <f>(J186/L186)*100</f>
        <v/>
      </c>
      <c r="J186" s="159">
        <f>L186/O186</f>
        <v/>
      </c>
      <c r="K186" s="159" t="n">
        <v>7.34</v>
      </c>
      <c r="L186" s="159" t="n">
        <v>16818.1</v>
      </c>
      <c r="M186" s="159" t="n">
        <v>3.9</v>
      </c>
      <c r="N186" s="159">
        <f>K186-I186</f>
        <v/>
      </c>
      <c r="O186" s="159" t="n">
        <v>20.08</v>
      </c>
      <c r="P186" s="159" t="n">
        <v>3.82</v>
      </c>
      <c r="Q186" s="159">
        <f>K186-P186</f>
        <v/>
      </c>
      <c r="R186" s="157" t="n">
        <v>112.508</v>
      </c>
      <c r="S186" s="159">
        <f>(O186*T186)/100</f>
        <v/>
      </c>
      <c r="T186" s="157" t="n">
        <v>6.09</v>
      </c>
      <c r="U186" s="157" t="n">
        <v>11488.6</v>
      </c>
      <c r="V186" s="157" t="n">
        <v>25.17</v>
      </c>
      <c r="W186" s="159">
        <f>U186/V186</f>
        <v/>
      </c>
      <c r="X186" s="159">
        <f>(W186/U186)*100</f>
        <v/>
      </c>
      <c r="Y186" s="157" t="n">
        <v>9060.15</v>
      </c>
      <c r="Z186" s="157" t="n">
        <v>18.93</v>
      </c>
      <c r="AA186" s="159">
        <f>Y186/Z186</f>
        <v/>
      </c>
      <c r="AB186" s="159">
        <f>(AA186/Y186)*100</f>
        <v/>
      </c>
    </row>
    <row r="187" ht="12.95" customHeight="1">
      <c r="A187" s="155" t="n">
        <v>186</v>
      </c>
      <c r="B187" s="160" t="n">
        <v>44834</v>
      </c>
      <c r="C187" s="159" t="n">
        <v>27186899</v>
      </c>
      <c r="D187" s="174">
        <f>C187/E187</f>
        <v/>
      </c>
      <c r="E187" s="159" t="n">
        <v>81.41</v>
      </c>
      <c r="F187" s="159">
        <f>D187/100000</f>
        <v/>
      </c>
      <c r="G187" s="159">
        <f>(F187/DataSheet!$C$9*100)</f>
        <v/>
      </c>
      <c r="H187" s="159">
        <f>K187/I187</f>
        <v/>
      </c>
      <c r="I187" s="159">
        <f>(J187/L187)*100</f>
        <v/>
      </c>
      <c r="J187" s="159">
        <f>L187/O187</f>
        <v/>
      </c>
      <c r="K187" s="159" t="n">
        <v>7.393</v>
      </c>
      <c r="L187" s="159" t="n">
        <v>17094.35</v>
      </c>
      <c r="M187" s="159" t="n">
        <v>4.02</v>
      </c>
      <c r="N187" s="159">
        <f>K187-I187</f>
        <v/>
      </c>
      <c r="O187" s="159" t="n">
        <v>20.64</v>
      </c>
      <c r="P187" s="159" t="n">
        <v>3.686</v>
      </c>
      <c r="Q187" s="159">
        <f>K187-P187</f>
        <v/>
      </c>
      <c r="R187" s="157" t="n">
        <v>112.202</v>
      </c>
      <c r="S187" s="159">
        <f>(O187*T187)/100</f>
        <v/>
      </c>
      <c r="T187" s="157" t="n">
        <v>6.09</v>
      </c>
      <c r="U187" s="157" t="n">
        <v>11654.45</v>
      </c>
      <c r="V187" s="157" t="n">
        <v>24.69</v>
      </c>
      <c r="W187" s="159">
        <f>U187/V187</f>
        <v/>
      </c>
      <c r="X187" s="159">
        <f>(W187/U187)*100</f>
        <v/>
      </c>
      <c r="Y187" s="157" t="n">
        <v>9198.75</v>
      </c>
      <c r="Z187" s="157" t="n">
        <v>18.82</v>
      </c>
      <c r="AA187" s="159">
        <f>Y187/Z187</f>
        <v/>
      </c>
      <c r="AB187" s="159">
        <f>(AA187/Y187)*100</f>
        <v/>
      </c>
    </row>
    <row r="188" ht="12.95" customHeight="1">
      <c r="A188" s="155" t="n">
        <v>187</v>
      </c>
      <c r="B188" s="160" t="n">
        <v>44837</v>
      </c>
      <c r="C188" s="159" t="n">
        <v>26826421</v>
      </c>
      <c r="D188" s="174">
        <f>C188/E188</f>
        <v/>
      </c>
      <c r="E188" s="159" t="n">
        <v>81.83</v>
      </c>
      <c r="F188" s="159">
        <f>D188/100000</f>
        <v/>
      </c>
      <c r="G188" s="159">
        <f>(F188/DataSheet!$C$9*100)</f>
        <v/>
      </c>
      <c r="H188" s="159">
        <f>K188/I188</f>
        <v/>
      </c>
      <c r="I188" s="159">
        <f>(J188/L188)*100</f>
        <v/>
      </c>
      <c r="J188" s="159">
        <f>L188/O188</f>
        <v/>
      </c>
      <c r="K188" s="159" t="n">
        <v>7.47</v>
      </c>
      <c r="L188" s="159" t="n">
        <v>16887.35</v>
      </c>
      <c r="M188" s="159" t="n">
        <v>3.97</v>
      </c>
      <c r="N188" s="159">
        <f>K188-I188</f>
        <v/>
      </c>
      <c r="O188" s="159" t="n">
        <v>20.39</v>
      </c>
      <c r="P188" s="159" t="n">
        <v>3.72</v>
      </c>
      <c r="Q188" s="159">
        <f>K188-P188</f>
        <v/>
      </c>
      <c r="R188" s="157" t="n">
        <v>112.084</v>
      </c>
      <c r="S188" s="159">
        <f>(O188*T188)/100</f>
        <v/>
      </c>
      <c r="T188" s="157" t="n">
        <v>5.98</v>
      </c>
      <c r="U188" s="157" t="n">
        <v>11533.35</v>
      </c>
      <c r="V188" s="157" t="n">
        <v>24.43</v>
      </c>
      <c r="W188" s="159">
        <f>U188/V188</f>
        <v/>
      </c>
      <c r="X188" s="159">
        <f>(W188/U188)*100</f>
        <v/>
      </c>
      <c r="Y188" s="157" t="n">
        <v>9163.950000000001</v>
      </c>
      <c r="Z188" s="157" t="n">
        <v>18.74</v>
      </c>
      <c r="AA188" s="159">
        <f>Y188/Z188</f>
        <v/>
      </c>
      <c r="AB188" s="159">
        <f>(AA188/Y188)*100</f>
        <v/>
      </c>
    </row>
    <row r="189" ht="12.95" customHeight="1">
      <c r="A189" s="155" t="n">
        <v>188</v>
      </c>
      <c r="B189" s="160" t="n">
        <v>44838</v>
      </c>
      <c r="C189" s="157" t="n">
        <v>27386547</v>
      </c>
      <c r="D189" s="174">
        <f>C189/E189</f>
        <v/>
      </c>
      <c r="E189" s="159" t="n">
        <v>81.55</v>
      </c>
      <c r="F189" s="159">
        <f>D189/100000</f>
        <v/>
      </c>
      <c r="G189" s="159">
        <f>(F189/DataSheet!$C$9*100)</f>
        <v/>
      </c>
      <c r="H189" s="159">
        <f>K189/I189</f>
        <v/>
      </c>
      <c r="I189" s="159">
        <f>(J189/L189)*100</f>
        <v/>
      </c>
      <c r="J189" s="159">
        <f>L189/O189</f>
        <v/>
      </c>
      <c r="K189" s="159" t="n">
        <v>7.362</v>
      </c>
      <c r="L189" s="159" t="n">
        <v>17274.3</v>
      </c>
      <c r="M189" s="159" t="n">
        <v>4.06</v>
      </c>
      <c r="N189" s="159">
        <f>K189-I189</f>
        <v/>
      </c>
      <c r="O189" s="159" t="n">
        <v>20.86</v>
      </c>
      <c r="P189" s="159" t="n">
        <v>3.57</v>
      </c>
      <c r="Q189" s="159">
        <f>K189-P189</f>
        <v/>
      </c>
      <c r="R189" s="157" t="n">
        <v>111.656</v>
      </c>
      <c r="S189" s="159">
        <f>(O189*T189)/100</f>
        <v/>
      </c>
      <c r="T189" s="157" t="n">
        <v>5.96</v>
      </c>
      <c r="U189" s="157" t="n">
        <v>11794.35</v>
      </c>
      <c r="V189" s="157" t="n">
        <v>24.98</v>
      </c>
      <c r="W189" s="159">
        <f>U189/V189</f>
        <v/>
      </c>
      <c r="X189" s="159">
        <f>(W189/U189)*100</f>
        <v/>
      </c>
      <c r="Y189" s="157" t="n">
        <v>9285.299999999999</v>
      </c>
      <c r="Z189" s="157" t="n">
        <v>18.99</v>
      </c>
      <c r="AA189" s="159">
        <f>Y189/Z189</f>
        <v/>
      </c>
      <c r="AB189" s="159">
        <f>(AA189/Y189)*100</f>
        <v/>
      </c>
    </row>
    <row r="190" ht="12.95" customHeight="1">
      <c r="A190" s="155" t="n">
        <v>189</v>
      </c>
      <c r="B190" s="160" t="n">
        <v>44840</v>
      </c>
      <c r="C190" s="159" t="n">
        <v>27587301</v>
      </c>
      <c r="D190" s="174">
        <f>C190/E190</f>
        <v/>
      </c>
      <c r="E190" s="159" t="n">
        <v>82.18000000000001</v>
      </c>
      <c r="F190" s="159">
        <f>D190/100000</f>
        <v/>
      </c>
      <c r="G190" s="159">
        <f>(F190/DataSheet!$C$9*100)</f>
        <v/>
      </c>
      <c r="H190" s="159">
        <f>K190/I190</f>
        <v/>
      </c>
      <c r="I190" s="159">
        <f>(J190/L190)*100</f>
        <v/>
      </c>
      <c r="J190" s="159">
        <f>L190/O190</f>
        <v/>
      </c>
      <c r="K190" s="159" t="n">
        <v>7.454</v>
      </c>
      <c r="L190" s="159" t="n">
        <v>17331.8</v>
      </c>
      <c r="M190" s="159" t="n">
        <v>4.07</v>
      </c>
      <c r="N190" s="159">
        <f>K190-I190</f>
        <v/>
      </c>
      <c r="O190" s="159" t="n">
        <v>20.93</v>
      </c>
      <c r="P190" s="159" t="n">
        <v>3.781</v>
      </c>
      <c r="Q190" s="159">
        <f>K190-P190</f>
        <v/>
      </c>
      <c r="R190" s="159" t="n">
        <v>111.34</v>
      </c>
      <c r="S190" s="159">
        <f>(O190*T190)/100</f>
        <v/>
      </c>
      <c r="T190" s="157" t="n">
        <v>6.09</v>
      </c>
      <c r="U190" s="157" t="n">
        <v>11933.35</v>
      </c>
      <c r="V190" s="157" t="n">
        <v>25.28</v>
      </c>
      <c r="W190" s="159">
        <f>U190/V190</f>
        <v/>
      </c>
      <c r="X190" s="159">
        <f>(W190/U190)*100</f>
        <v/>
      </c>
      <c r="Y190" s="157" t="n">
        <v>9387.200000000001</v>
      </c>
      <c r="Z190" s="157" t="n">
        <v>19.19</v>
      </c>
      <c r="AA190" s="159">
        <f>Y190/Z190</f>
        <v/>
      </c>
      <c r="AB190" s="159">
        <f>(AA190/Y190)*100</f>
        <v/>
      </c>
    </row>
    <row r="191" ht="12.95" customHeight="1">
      <c r="A191" s="155" t="n">
        <v>190</v>
      </c>
      <c r="B191" s="160" t="n">
        <v>44841</v>
      </c>
      <c r="C191" s="159" t="n">
        <v>27561547</v>
      </c>
      <c r="D191" s="174">
        <f>C191/E191</f>
        <v/>
      </c>
      <c r="E191" s="159" t="n">
        <v>82.23999999999999</v>
      </c>
      <c r="F191" s="159">
        <f>D191/100000</f>
        <v/>
      </c>
      <c r="G191" s="159">
        <f>(F191/DataSheet!$C$9*100)</f>
        <v/>
      </c>
      <c r="H191" s="159">
        <f>K191/I191</f>
        <v/>
      </c>
      <c r="I191" s="159">
        <f>(J191/L191)*100</f>
        <v/>
      </c>
      <c r="J191" s="159">
        <f>L191/O191</f>
        <v/>
      </c>
      <c r="K191" s="159" t="n">
        <v>7.462</v>
      </c>
      <c r="L191" s="159" t="n">
        <v>17314.65</v>
      </c>
      <c r="M191" s="159" t="n">
        <v>4.07</v>
      </c>
      <c r="N191" s="159">
        <f>K191-I191</f>
        <v/>
      </c>
      <c r="O191" s="159" t="n">
        <v>20.9</v>
      </c>
      <c r="P191" s="159" t="n">
        <v>3.841</v>
      </c>
      <c r="Q191" s="159">
        <f>K191-P191</f>
        <v/>
      </c>
      <c r="R191" s="159" t="n">
        <v>111.987</v>
      </c>
      <c r="S191" s="159">
        <f>(O191*T191)/100</f>
        <v/>
      </c>
      <c r="T191" s="157" t="n">
        <v>6.12</v>
      </c>
      <c r="U191" s="157" t="n">
        <v>11903.05</v>
      </c>
      <c r="V191" s="157" t="n">
        <v>25.22</v>
      </c>
      <c r="W191" s="159">
        <f>U191/V191</f>
        <v/>
      </c>
      <c r="X191" s="159">
        <f>(W191/U191)*100</f>
        <v/>
      </c>
      <c r="Y191" s="157" t="n">
        <v>9417.4</v>
      </c>
      <c r="Z191" s="157" t="n">
        <v>19.26</v>
      </c>
      <c r="AA191" s="159">
        <f>Y191/Z191</f>
        <v/>
      </c>
      <c r="AB191" s="159">
        <f>(AA191/Y191)*100</f>
        <v/>
      </c>
    </row>
    <row r="192" ht="12.95" customHeight="1">
      <c r="A192" s="155" t="n">
        <v>191</v>
      </c>
      <c r="B192" s="160" t="n">
        <v>44844</v>
      </c>
      <c r="C192" s="159" t="n">
        <v>27427707</v>
      </c>
      <c r="D192" s="174">
        <f>C192/E192</f>
        <v/>
      </c>
      <c r="E192" s="159" t="n">
        <v>82.45</v>
      </c>
      <c r="F192" s="159">
        <f>D192/100000</f>
        <v/>
      </c>
      <c r="G192" s="159">
        <f>(F192/DataSheet!$C$9*100)</f>
        <v/>
      </c>
      <c r="H192" s="159">
        <f>K192/I192</f>
        <v/>
      </c>
      <c r="I192" s="159">
        <f>(J192/L192)*100</f>
        <v/>
      </c>
      <c r="J192" s="159">
        <f>L192/O192</f>
        <v/>
      </c>
      <c r="K192" s="159" t="n">
        <v>7.479</v>
      </c>
      <c r="L192" s="159" t="n">
        <v>17241</v>
      </c>
      <c r="M192" s="159" t="n">
        <v>4.05</v>
      </c>
      <c r="N192" s="159">
        <f>K192-I192</f>
        <v/>
      </c>
      <c r="O192" s="159" t="n">
        <v>20.82</v>
      </c>
      <c r="P192" s="159" t="n">
        <v>3.888</v>
      </c>
      <c r="Q192" s="159">
        <f>K192-P192</f>
        <v/>
      </c>
      <c r="R192" s="159" t="n">
        <v>113.11</v>
      </c>
      <c r="S192" s="159">
        <f>(O192*T192)/100</f>
        <v/>
      </c>
      <c r="T192" s="157" t="n">
        <v>6.13</v>
      </c>
      <c r="U192" s="157" t="n">
        <v>11796.05</v>
      </c>
      <c r="V192" s="157" t="n">
        <v>24.99</v>
      </c>
      <c r="W192" s="159">
        <f>U192/V192</f>
        <v/>
      </c>
      <c r="X192" s="159">
        <f>(W192/U192)*100</f>
        <v/>
      </c>
      <c r="Y192" s="157" t="n">
        <v>9365.75</v>
      </c>
      <c r="Z192" s="157" t="n">
        <v>19.15</v>
      </c>
      <c r="AA192" s="159">
        <f>Y192/Z192</f>
        <v/>
      </c>
      <c r="AB192" s="159">
        <f>(AA192/Y192)*100</f>
        <v/>
      </c>
    </row>
    <row r="193" ht="12.95" customHeight="1">
      <c r="A193" s="155" t="n">
        <v>192</v>
      </c>
      <c r="B193" s="160" t="n">
        <v>44845</v>
      </c>
      <c r="C193" s="159" t="n">
        <v>27011275</v>
      </c>
      <c r="D193" s="174">
        <f>C193/E193</f>
        <v/>
      </c>
      <c r="E193" s="159" t="n">
        <v>82.18000000000001</v>
      </c>
      <c r="F193" s="159">
        <f>D193/100000</f>
        <v/>
      </c>
      <c r="G193" s="159">
        <f>(F193/DataSheet!$C$9*100)</f>
        <v/>
      </c>
      <c r="H193" s="159">
        <f>K193/I193</f>
        <v/>
      </c>
      <c r="I193" s="159">
        <f>(J193/L193)*100</f>
        <v/>
      </c>
      <c r="J193" s="159">
        <f>L193/O193</f>
        <v/>
      </c>
      <c r="K193" s="159" t="n">
        <v>7.429</v>
      </c>
      <c r="L193" s="159" t="n">
        <v>16983.55</v>
      </c>
      <c r="M193" s="159" t="n">
        <v>3.99</v>
      </c>
      <c r="N193" s="159">
        <f>K193-I193</f>
        <v/>
      </c>
      <c r="O193" s="159" t="n">
        <v>20.51</v>
      </c>
      <c r="P193" s="159" t="n">
        <v>3.927</v>
      </c>
      <c r="Q193" s="159">
        <f>K193-P193</f>
        <v/>
      </c>
      <c r="R193" s="159" t="n">
        <v>112.875</v>
      </c>
      <c r="S193" s="159">
        <f>(O193*T193)/100</f>
        <v/>
      </c>
      <c r="T193" s="157" t="n">
        <v>6.2</v>
      </c>
      <c r="U193" s="157" t="n">
        <v>11607</v>
      </c>
      <c r="V193" s="157" t="n">
        <v>24.59</v>
      </c>
      <c r="W193" s="159">
        <f>U193/V193</f>
        <v/>
      </c>
      <c r="X193" s="159">
        <f>(W193/U193)*100</f>
        <v/>
      </c>
      <c r="Y193" s="157" t="n">
        <v>9221.15</v>
      </c>
      <c r="Z193" s="157" t="n">
        <v>18.85</v>
      </c>
      <c r="AA193" s="159">
        <f>Y193/Z193</f>
        <v/>
      </c>
      <c r="AB193" s="159">
        <f>(AA193/Y193)*100</f>
        <v/>
      </c>
    </row>
    <row r="194" ht="12.95" customHeight="1">
      <c r="A194" s="155" t="n">
        <v>193</v>
      </c>
      <c r="B194" s="160" t="n">
        <v>44846</v>
      </c>
      <c r="C194" s="159" t="n">
        <v>27164340</v>
      </c>
      <c r="D194" s="174">
        <f>C194/E194</f>
        <v/>
      </c>
      <c r="E194" s="159" t="n">
        <v>82.3</v>
      </c>
      <c r="F194" s="159">
        <f>D194/100000</f>
        <v/>
      </c>
      <c r="G194" s="159">
        <f>(F194/DataSheet!$C$9*100)</f>
        <v/>
      </c>
      <c r="H194" s="159">
        <f>K194/I194</f>
        <v/>
      </c>
      <c r="I194" s="159">
        <f>(J194/L194)*100</f>
        <v/>
      </c>
      <c r="J194" s="159">
        <f>L194/O194</f>
        <v/>
      </c>
      <c r="K194" s="159" t="n">
        <v>7.435</v>
      </c>
      <c r="L194" s="159" t="n">
        <v>17123.6</v>
      </c>
      <c r="M194" s="159" t="n">
        <v>4.02</v>
      </c>
      <c r="N194" s="159">
        <f>K194-I194</f>
        <v/>
      </c>
      <c r="O194" s="159" t="n">
        <v>20.67</v>
      </c>
      <c r="P194" s="159" t="n">
        <v>3.951</v>
      </c>
      <c r="Q194" s="159">
        <f>K194-P194</f>
        <v/>
      </c>
      <c r="R194" s="159" t="n">
        <v>113.082</v>
      </c>
      <c r="S194" s="159">
        <f>(O194*T194)/100</f>
        <v/>
      </c>
      <c r="T194" s="157" t="n">
        <v>6.23</v>
      </c>
      <c r="U194" s="157" t="n">
        <v>11672.45</v>
      </c>
      <c r="V194" s="157" t="n">
        <v>24.73</v>
      </c>
      <c r="W194" s="159">
        <f>U194/V194</f>
        <v/>
      </c>
      <c r="X194" s="159">
        <f>(W194/U194)*100</f>
        <v/>
      </c>
      <c r="Y194" s="157" t="n">
        <v>9261.450000000001</v>
      </c>
      <c r="Z194" s="157" t="n">
        <v>18.94</v>
      </c>
      <c r="AA194" s="159">
        <f>Y194/Z194</f>
        <v/>
      </c>
      <c r="AB194" s="159">
        <f>(AA194/Y194)*100</f>
        <v/>
      </c>
    </row>
    <row r="195" ht="12.95" customHeight="1">
      <c r="A195" s="155" t="n">
        <v>194</v>
      </c>
      <c r="B195" s="160" t="n">
        <v>44847</v>
      </c>
      <c r="C195" s="159" t="n">
        <v>26985420</v>
      </c>
      <c r="D195" s="174">
        <f>C195/E195</f>
        <v/>
      </c>
      <c r="E195" s="159" t="n">
        <v>82.18000000000001</v>
      </c>
      <c r="F195" s="159">
        <f>D195/100000</f>
        <v/>
      </c>
      <c r="G195" s="159">
        <f>(F195/DataSheet!$C$9*100)</f>
        <v/>
      </c>
      <c r="H195" s="159">
        <f>K195/I195</f>
        <v/>
      </c>
      <c r="I195" s="159">
        <f>(J195/L195)*100</f>
        <v/>
      </c>
      <c r="J195" s="159">
        <f>L195/O195</f>
        <v/>
      </c>
      <c r="K195" s="159" t="n">
        <v>7.422</v>
      </c>
      <c r="L195" s="159" t="n">
        <v>17014.35</v>
      </c>
      <c r="M195" s="159" t="n">
        <v>4</v>
      </c>
      <c r="N195" s="159">
        <f>K195-I195</f>
        <v/>
      </c>
      <c r="O195" s="159" t="n">
        <v>20.53</v>
      </c>
      <c r="P195" s="159" t="n">
        <v>3.858</v>
      </c>
      <c r="Q195" s="159">
        <f>K195-P195</f>
        <v/>
      </c>
      <c r="R195" s="159" t="n">
        <v>112.675</v>
      </c>
      <c r="S195" s="159">
        <f>(O195*T195)/100</f>
        <v/>
      </c>
      <c r="T195" s="157" t="n">
        <v>6.3</v>
      </c>
      <c r="U195" s="157" t="n">
        <v>11599.7</v>
      </c>
      <c r="V195" s="157" t="n">
        <v>24.57</v>
      </c>
      <c r="W195" s="159">
        <f>U195/V195</f>
        <v/>
      </c>
      <c r="X195" s="159">
        <f>(W195/U195)*100</f>
        <v/>
      </c>
      <c r="Y195" s="157" t="n">
        <v>9212.049999999999</v>
      </c>
      <c r="Z195" s="157" t="n">
        <v>18.81</v>
      </c>
      <c r="AA195" s="159">
        <f>Y195/Z195</f>
        <v/>
      </c>
      <c r="AB195" s="159">
        <f>(AA195/Y195)*100</f>
        <v/>
      </c>
    </row>
    <row r="196" ht="12.95" customHeight="1">
      <c r="A196" s="155" t="n">
        <v>195</v>
      </c>
      <c r="B196" s="160" t="n">
        <v>44848</v>
      </c>
      <c r="C196" s="159" t="n">
        <v>27028769</v>
      </c>
      <c r="D196" s="174">
        <f>C196/E196</f>
        <v/>
      </c>
      <c r="E196" s="159" t="n">
        <v>82.29000000000001</v>
      </c>
      <c r="F196" s="159">
        <f>D196/100000</f>
        <v/>
      </c>
      <c r="G196" s="159">
        <f>(F196/DataSheet!$C$9*100)</f>
        <v/>
      </c>
      <c r="H196" s="159">
        <f>K196/I196</f>
        <v/>
      </c>
      <c r="I196" s="159">
        <f>(J196/L196)*100</f>
        <v/>
      </c>
      <c r="J196" s="159">
        <f>L196/O196</f>
        <v/>
      </c>
      <c r="K196" s="159" t="n">
        <v>7.47</v>
      </c>
      <c r="L196" s="159" t="n">
        <v>17185.7</v>
      </c>
      <c r="M196" s="159" t="n">
        <v>4.04</v>
      </c>
      <c r="N196" s="159">
        <f>K196-I196</f>
        <v/>
      </c>
      <c r="O196" s="159" t="n">
        <v>20.74</v>
      </c>
      <c r="P196" s="159" t="n">
        <v>3.948</v>
      </c>
      <c r="Q196" s="159">
        <f>K196-P196</f>
        <v/>
      </c>
      <c r="R196" s="159" t="n">
        <v>113.02</v>
      </c>
      <c r="S196" s="159">
        <f>(O196*T196)/100</f>
        <v/>
      </c>
      <c r="T196" s="157" t="n">
        <v>6.33</v>
      </c>
      <c r="U196" s="157" t="n">
        <v>11591.65</v>
      </c>
      <c r="V196" s="157" t="n">
        <v>24.56</v>
      </c>
      <c r="W196" s="159">
        <f>U196/V196</f>
        <v/>
      </c>
      <c r="X196" s="159">
        <f>(W196/U196)*100</f>
        <v/>
      </c>
      <c r="Y196" s="157" t="n">
        <v>9215.700000000001</v>
      </c>
      <c r="Z196" s="157" t="n">
        <v>18.82</v>
      </c>
      <c r="AA196" s="159">
        <f>Y196/Z196</f>
        <v/>
      </c>
      <c r="AB196" s="159">
        <f>(AA196/Y196)*100</f>
        <v/>
      </c>
    </row>
    <row r="197" ht="12.95" customHeight="1">
      <c r="A197" s="155" t="n">
        <v>196</v>
      </c>
      <c r="B197" s="160" t="n">
        <v>44851</v>
      </c>
      <c r="C197" s="159" t="n">
        <v>27179781</v>
      </c>
      <c r="D197" s="174">
        <f>C197/E197</f>
        <v/>
      </c>
      <c r="E197" s="159" t="n">
        <v>82.31</v>
      </c>
      <c r="F197" s="159">
        <f>D197/100000</f>
        <v/>
      </c>
      <c r="G197" s="159">
        <f>(F197/DataSheet!$C$9*100)</f>
        <v/>
      </c>
      <c r="H197" s="159">
        <f>K197/I197</f>
        <v/>
      </c>
      <c r="I197" s="159">
        <f>(J197/L197)*100</f>
        <v/>
      </c>
      <c r="J197" s="159">
        <f>L197/O197</f>
        <v/>
      </c>
      <c r="K197" s="159" t="n">
        <v>7.415</v>
      </c>
      <c r="L197" s="159" t="n">
        <v>17311.8</v>
      </c>
      <c r="M197" s="159" t="n">
        <v>4.07</v>
      </c>
      <c r="N197" s="159">
        <f>K197-I197</f>
        <v/>
      </c>
      <c r="O197" s="159" t="n">
        <v>20.86</v>
      </c>
      <c r="P197" s="159" t="n">
        <v>3.95</v>
      </c>
      <c r="Q197" s="159">
        <f>K197-P197</f>
        <v/>
      </c>
      <c r="R197" s="159" t="n">
        <v>112.83</v>
      </c>
      <c r="S197" s="159">
        <f>(O197*T197)/100</f>
        <v/>
      </c>
      <c r="T197" s="157" t="n">
        <v>6.3</v>
      </c>
      <c r="U197" s="157" t="n">
        <v>11611.65</v>
      </c>
      <c r="V197" s="157" t="n">
        <v>24.6</v>
      </c>
      <c r="W197" s="159">
        <f>U197/V197</f>
        <v/>
      </c>
      <c r="X197" s="159">
        <f>(W197/U197)*100</f>
        <v/>
      </c>
      <c r="Y197" s="157" t="n">
        <v>9239.25</v>
      </c>
      <c r="Z197" s="157" t="n">
        <v>18.86</v>
      </c>
      <c r="AA197" s="159">
        <f>Y197/Z197</f>
        <v/>
      </c>
      <c r="AB197" s="159">
        <f>(AA197/Y197)*100</f>
        <v/>
      </c>
    </row>
    <row r="198" ht="12.95" customHeight="1">
      <c r="A198" s="155" t="n">
        <v>197</v>
      </c>
      <c r="B198" s="160" t="n">
        <v>44852</v>
      </c>
      <c r="C198" s="159" t="n">
        <v>27447761</v>
      </c>
      <c r="D198" s="174">
        <f>C198/E198</f>
        <v/>
      </c>
      <c r="E198" s="159" t="n">
        <v>82.34999999999999</v>
      </c>
      <c r="F198" s="159">
        <f>D198/100000</f>
        <v/>
      </c>
      <c r="G198" s="159">
        <f>(F198/DataSheet!$C$9*100)</f>
        <v/>
      </c>
      <c r="H198" s="159">
        <f>K198/I198</f>
        <v/>
      </c>
      <c r="I198" s="159">
        <f>(J198/L198)*100</f>
        <v/>
      </c>
      <c r="J198" s="159">
        <f>L198/O198</f>
        <v/>
      </c>
      <c r="K198" s="159" t="n">
        <v>7.427</v>
      </c>
      <c r="L198" s="159" t="n">
        <v>17486.95</v>
      </c>
      <c r="M198" s="159" t="n">
        <v>4.11</v>
      </c>
      <c r="N198" s="159">
        <f>K198-I198</f>
        <v/>
      </c>
      <c r="O198" s="159" t="n">
        <v>20.99</v>
      </c>
      <c r="P198" s="159" t="n">
        <v>3.99</v>
      </c>
      <c r="Q198" s="159">
        <f>K198-P198</f>
        <v/>
      </c>
      <c r="R198" s="159" t="n">
        <v>112.078</v>
      </c>
      <c r="S198" s="159">
        <f>(O198*T198)/100</f>
        <v/>
      </c>
      <c r="T198" s="157" t="n">
        <v>6.3</v>
      </c>
      <c r="U198" s="157" t="n">
        <v>11727.75</v>
      </c>
      <c r="V198" s="157" t="n">
        <v>24.74</v>
      </c>
      <c r="W198" s="159">
        <f>U198/V198</f>
        <v/>
      </c>
      <c r="X198" s="159">
        <f>(W198/U198)*100</f>
        <v/>
      </c>
      <c r="Y198" s="157" t="n">
        <v>9313.65</v>
      </c>
      <c r="Z198" s="157" t="n">
        <v>19.03</v>
      </c>
      <c r="AA198" s="159">
        <f>Y198/Z198</f>
        <v/>
      </c>
      <c r="AB198" s="159">
        <f>(AA198/Y198)*100</f>
        <v/>
      </c>
    </row>
    <row r="199" ht="12.95" customHeight="1">
      <c r="A199" s="155" t="n">
        <v>198</v>
      </c>
      <c r="B199" s="160" t="n">
        <v>44853</v>
      </c>
      <c r="C199" s="159" t="n">
        <v>27457936</v>
      </c>
      <c r="D199" s="174">
        <f>C199/E199</f>
        <v/>
      </c>
      <c r="E199" s="159" t="n">
        <v>83</v>
      </c>
      <c r="F199" s="159">
        <f>D199/100000</f>
        <v/>
      </c>
      <c r="G199" s="159">
        <f>(F199/DataSheet!$C$9*100)</f>
        <v/>
      </c>
      <c r="H199" s="159">
        <f>K199/I199</f>
        <v/>
      </c>
      <c r="I199" s="159">
        <f>(J199/L199)*100</f>
        <v/>
      </c>
      <c r="J199" s="159">
        <f>L199/O199</f>
        <v/>
      </c>
      <c r="K199" s="159" t="n">
        <v>7.45</v>
      </c>
      <c r="L199" s="159" t="n">
        <v>17512.25</v>
      </c>
      <c r="M199" s="159" t="n">
        <v>4.12</v>
      </c>
      <c r="N199" s="159">
        <f>K199-I199</f>
        <v/>
      </c>
      <c r="O199" s="159" t="n">
        <v>21.02</v>
      </c>
      <c r="P199" s="159" t="n">
        <v>4.098</v>
      </c>
      <c r="Q199" s="159">
        <f>K199-P199</f>
        <v/>
      </c>
      <c r="R199" s="159" t="n">
        <v>112.75</v>
      </c>
      <c r="S199" s="159">
        <f>(O199*T199)/100</f>
        <v/>
      </c>
      <c r="T199" s="157" t="n">
        <v>6.33</v>
      </c>
      <c r="U199" s="157" t="n">
        <v>11737.9</v>
      </c>
      <c r="V199" s="157" t="n">
        <v>24.72</v>
      </c>
      <c r="W199" s="159">
        <f>U199/V199</f>
        <v/>
      </c>
      <c r="X199" s="159">
        <f>(W199/U199)*100</f>
        <v/>
      </c>
      <c r="Y199" s="157" t="n">
        <v>9316.4</v>
      </c>
      <c r="Z199" s="157" t="n">
        <v>19.02</v>
      </c>
      <c r="AA199" s="159">
        <f>Y199/Z199</f>
        <v/>
      </c>
      <c r="AB199" s="159">
        <f>(AA199/Y199)*100</f>
        <v/>
      </c>
    </row>
    <row r="200" ht="12.95" customHeight="1">
      <c r="A200" s="155" t="n">
        <v>199</v>
      </c>
      <c r="B200" s="160" t="n">
        <v>44854</v>
      </c>
      <c r="C200" s="159" t="n">
        <v>27457936</v>
      </c>
      <c r="D200" s="174">
        <f>C200/E200</f>
        <v/>
      </c>
      <c r="E200" s="159" t="n">
        <v>82.63</v>
      </c>
      <c r="F200" s="159">
        <f>D200/100000</f>
        <v/>
      </c>
      <c r="G200" s="159">
        <f>(F200/DataSheet!$C$9*100)</f>
        <v/>
      </c>
      <c r="H200" s="159">
        <f>K200/I200</f>
        <v/>
      </c>
      <c r="I200" s="159">
        <f>(J200/L200)*100</f>
        <v/>
      </c>
      <c r="J200" s="159">
        <f>L200/O200</f>
        <v/>
      </c>
      <c r="K200" s="159" t="n">
        <v>7.477</v>
      </c>
      <c r="L200" s="159" t="n">
        <v>17563.95</v>
      </c>
      <c r="M200" s="159" t="n">
        <v>4.13</v>
      </c>
      <c r="N200" s="159">
        <f>K200-I200</f>
        <v/>
      </c>
      <c r="O200" s="159" t="n">
        <v>21.06</v>
      </c>
      <c r="P200" s="159" t="n">
        <v>4.12</v>
      </c>
      <c r="Q200" s="159">
        <f>K200-P200</f>
        <v/>
      </c>
      <c r="R200" s="159" t="n">
        <v>112.32</v>
      </c>
      <c r="S200" s="159">
        <f>(O200*T200)/100</f>
        <v/>
      </c>
      <c r="T200" s="157" t="n">
        <v>6.38</v>
      </c>
      <c r="U200" s="157" t="n">
        <v>11706.15</v>
      </c>
      <c r="V200" s="157" t="n">
        <v>24.62</v>
      </c>
      <c r="W200" s="159">
        <f>U200/V200</f>
        <v/>
      </c>
      <c r="X200" s="159">
        <f>(W200/U200)*100</f>
        <v/>
      </c>
      <c r="Y200" s="157" t="n">
        <v>9327</v>
      </c>
      <c r="Z200" s="157" t="n">
        <v>19.03</v>
      </c>
      <c r="AA200" s="159">
        <f>Y200/Z200</f>
        <v/>
      </c>
      <c r="AB200" s="159">
        <f>(AA200/Y200)*100</f>
        <v/>
      </c>
    </row>
    <row r="201" ht="12.95" customHeight="1">
      <c r="A201" s="155" t="n">
        <v>200</v>
      </c>
      <c r="B201" s="160" t="n">
        <v>44855</v>
      </c>
      <c r="C201" s="159" t="n">
        <v>27458602.15</v>
      </c>
      <c r="D201" s="174">
        <f>C201/E201</f>
        <v/>
      </c>
      <c r="E201" s="159" t="n">
        <v>82.54000000000001</v>
      </c>
      <c r="F201" s="159">
        <f>D201/100000</f>
        <v/>
      </c>
      <c r="G201" s="159">
        <f>(F201/DataSheet!$C$9*100)</f>
        <v/>
      </c>
      <c r="H201" s="159">
        <f>K201/I201</f>
        <v/>
      </c>
      <c r="I201" s="159">
        <f>(J201/L201)*100</f>
        <v/>
      </c>
      <c r="J201" s="159">
        <f>L201/O201</f>
        <v/>
      </c>
      <c r="K201" s="159" t="n">
        <v>7.511</v>
      </c>
      <c r="L201" s="159" t="n">
        <v>17576.3</v>
      </c>
      <c r="M201" s="159" t="n">
        <v>4.13</v>
      </c>
      <c r="N201" s="159">
        <f>K201-I201</f>
        <v/>
      </c>
      <c r="O201" s="159" t="n">
        <v>21.07</v>
      </c>
      <c r="P201" s="159" t="n">
        <v>4.21</v>
      </c>
      <c r="Q201" s="159">
        <f>K201-P201</f>
        <v/>
      </c>
      <c r="R201" s="159" t="n">
        <v>112.01</v>
      </c>
      <c r="S201" s="159">
        <f>(O201*T201)/100</f>
        <v/>
      </c>
      <c r="T201" s="157" t="n">
        <v>6.38</v>
      </c>
      <c r="U201" s="157" t="n">
        <v>11637.6</v>
      </c>
      <c r="V201" s="157" t="n">
        <v>24.48</v>
      </c>
      <c r="W201" s="159">
        <f>U201/V201</f>
        <v/>
      </c>
      <c r="X201" s="159">
        <f>(W201/U201)*100</f>
        <v/>
      </c>
      <c r="Y201" s="157" t="n">
        <v>9287.35</v>
      </c>
      <c r="Z201" s="157" t="n">
        <v>18.95</v>
      </c>
      <c r="AA201" s="159">
        <f>Y201/Z201</f>
        <v/>
      </c>
      <c r="AB201" s="159">
        <f>(AA201/Y201)*100</f>
        <v/>
      </c>
    </row>
    <row r="202" ht="12.95" customHeight="1">
      <c r="A202" s="155" t="n">
        <v>201</v>
      </c>
      <c r="B202" s="160" t="n">
        <v>44858</v>
      </c>
      <c r="C202" s="159" t="n">
        <v>27655388.99</v>
      </c>
      <c r="D202" s="174">
        <f>C202/E202</f>
        <v/>
      </c>
      <c r="E202" s="159" t="n">
        <v>82.68000000000001</v>
      </c>
      <c r="F202" s="159">
        <f>D202/100000</f>
        <v/>
      </c>
      <c r="G202" s="159">
        <f>(F202/DataSheet!$C$9*100)</f>
        <v/>
      </c>
      <c r="H202" s="159">
        <f>K202/I202</f>
        <v/>
      </c>
      <c r="I202" s="159">
        <f>(J202/L202)*100</f>
        <v/>
      </c>
      <c r="J202" s="159">
        <f>L202/O202</f>
        <v/>
      </c>
      <c r="K202" s="159" t="n">
        <v>7.511</v>
      </c>
      <c r="L202" s="159" t="n">
        <v>17730.75</v>
      </c>
      <c r="M202" s="159" t="n">
        <v>4.17</v>
      </c>
      <c r="N202" s="159">
        <f>K202-I202</f>
        <v/>
      </c>
      <c r="O202" s="159" t="n">
        <v>21.26</v>
      </c>
      <c r="P202" s="159" t="n">
        <v>4.24</v>
      </c>
      <c r="Q202" s="159">
        <f>K202-P202</f>
        <v/>
      </c>
      <c r="R202" s="159" t="n">
        <v>111.99</v>
      </c>
      <c r="S202" s="159">
        <f>(O202*T202)/100</f>
        <v/>
      </c>
      <c r="T202" s="157" t="n">
        <v>6.38</v>
      </c>
      <c r="U202" s="157" t="n">
        <v>11703</v>
      </c>
      <c r="V202" s="157" t="n">
        <v>24.62</v>
      </c>
      <c r="W202" s="159">
        <f>U202/V202</f>
        <v/>
      </c>
      <c r="X202" s="159">
        <f>(W202/U202)*100</f>
        <v/>
      </c>
      <c r="Y202" s="157" t="n">
        <v>9374.299999999999</v>
      </c>
      <c r="Z202" s="157" t="n">
        <v>19.13</v>
      </c>
      <c r="AA202" s="159">
        <f>Y202/Z202</f>
        <v/>
      </c>
      <c r="AB202" s="159">
        <f>(AA202/Y202)*100</f>
        <v/>
      </c>
    </row>
    <row r="203" ht="12.95" customHeight="1">
      <c r="A203" s="155" t="n">
        <v>202</v>
      </c>
      <c r="B203" s="160" t="n">
        <v>44859</v>
      </c>
      <c r="C203" s="159" t="n">
        <v>27586062.02</v>
      </c>
      <c r="D203" s="174">
        <f>C203/E203</f>
        <v/>
      </c>
      <c r="E203" s="159" t="n">
        <v>82.48</v>
      </c>
      <c r="F203" s="159">
        <f>D203/100000</f>
        <v/>
      </c>
      <c r="G203" s="159">
        <f>(F203/DataSheet!$C$9*100)</f>
        <v/>
      </c>
      <c r="H203" s="159">
        <f>K203/I203</f>
        <v/>
      </c>
      <c r="I203" s="159">
        <f>(J203/L203)*100</f>
        <v/>
      </c>
      <c r="J203" s="159">
        <f>L203/O203</f>
        <v/>
      </c>
      <c r="K203" s="159" t="n">
        <v>7.442</v>
      </c>
      <c r="L203" s="159" t="n">
        <v>17656.35</v>
      </c>
      <c r="M203" s="159" t="n">
        <v>4.15</v>
      </c>
      <c r="N203" s="159">
        <f>K203-I203</f>
        <v/>
      </c>
      <c r="O203" s="159" t="n">
        <v>21</v>
      </c>
      <c r="P203" s="159" t="n">
        <v>4.1</v>
      </c>
      <c r="Q203" s="159">
        <f>K203-P203</f>
        <v/>
      </c>
      <c r="R203" s="159" t="n">
        <v>110.95</v>
      </c>
      <c r="S203" s="159">
        <f>(O203*T203)/100</f>
        <v/>
      </c>
      <c r="T203" s="157" t="n">
        <v>6.36</v>
      </c>
      <c r="U203" s="157" t="n">
        <v>11718.9</v>
      </c>
      <c r="V203" s="157" t="n">
        <v>24.23</v>
      </c>
      <c r="W203" s="159">
        <f>U203/V203</f>
        <v/>
      </c>
      <c r="X203" s="159">
        <f>(W203/U203)*100</f>
        <v/>
      </c>
      <c r="Y203" s="157" t="n">
        <v>9357.25</v>
      </c>
      <c r="Z203" s="157" t="n">
        <v>18.95</v>
      </c>
      <c r="AA203" s="159">
        <f>Y203/Z203</f>
        <v/>
      </c>
      <c r="AB203" s="159">
        <f>(AA203/Y203)*100</f>
        <v/>
      </c>
    </row>
    <row r="204" ht="12.95" customHeight="1">
      <c r="A204" s="155" t="n">
        <v>203</v>
      </c>
      <c r="B204" s="160" t="n">
        <v>44861</v>
      </c>
      <c r="C204" s="159" t="n">
        <v>27705193</v>
      </c>
      <c r="D204" s="174">
        <f>C204/E204</f>
        <v/>
      </c>
      <c r="E204" s="159" t="n">
        <v>82.43000000000001</v>
      </c>
      <c r="F204" s="159">
        <f>D204/100000</f>
        <v/>
      </c>
      <c r="G204" s="159">
        <f>(F204/DataSheet!$C$9*100)</f>
        <v/>
      </c>
      <c r="H204" s="159">
        <f>K204/I204</f>
        <v/>
      </c>
      <c r="I204" s="159">
        <f>(J204/L204)*100</f>
        <v/>
      </c>
      <c r="J204" s="159">
        <f>L204/O204</f>
        <v/>
      </c>
      <c r="K204" s="159" t="n">
        <v>7.413</v>
      </c>
      <c r="L204" s="159" t="n">
        <v>17736.95</v>
      </c>
      <c r="M204" s="159" t="n">
        <v>4.17</v>
      </c>
      <c r="N204" s="159">
        <f>K204-I204</f>
        <v/>
      </c>
      <c r="O204" s="159" t="n">
        <v>21.1</v>
      </c>
      <c r="P204" s="159" t="n">
        <v>4.06</v>
      </c>
      <c r="Q204" s="159">
        <f>K204-P204</f>
        <v/>
      </c>
      <c r="R204" s="159" t="n">
        <v>110.1</v>
      </c>
      <c r="S204" s="159">
        <f>(O204*T204)/100</f>
        <v/>
      </c>
      <c r="T204" s="157" t="n">
        <v>6.38</v>
      </c>
      <c r="U204" s="157" t="n">
        <v>11791.8</v>
      </c>
      <c r="V204" s="157" t="n">
        <v>24.38</v>
      </c>
      <c r="W204" s="159">
        <f>U204/V204</f>
        <v/>
      </c>
      <c r="X204" s="159">
        <f>(W204/U204)*100</f>
        <v/>
      </c>
      <c r="Y204" s="157" t="n">
        <v>9394.450000000001</v>
      </c>
      <c r="Z204" s="157" t="n">
        <v>19.03</v>
      </c>
      <c r="AA204" s="159">
        <f>Y204/Z204</f>
        <v/>
      </c>
      <c r="AB204" s="159">
        <f>(AA204/Y204)*100</f>
        <v/>
      </c>
    </row>
    <row r="205" ht="12.95" customHeight="1">
      <c r="A205" s="155" t="n">
        <v>204</v>
      </c>
      <c r="B205" s="160" t="n">
        <v>44862</v>
      </c>
      <c r="C205" s="159" t="n">
        <v>27688451</v>
      </c>
      <c r="D205" s="174">
        <f>C205/E205</f>
        <v/>
      </c>
      <c r="E205" s="159" t="n">
        <v>82.44</v>
      </c>
      <c r="F205" s="159">
        <f>D205/100000</f>
        <v/>
      </c>
      <c r="G205" s="159">
        <f>(F205/DataSheet!$C$9*100)</f>
        <v/>
      </c>
      <c r="H205" s="159">
        <f>K205/I205</f>
        <v/>
      </c>
      <c r="I205" s="159">
        <f>(J205/L205)*100</f>
        <v/>
      </c>
      <c r="J205" s="159">
        <f>L205/O205</f>
        <v/>
      </c>
      <c r="K205" s="159" t="n">
        <v>7.418</v>
      </c>
      <c r="L205" s="159" t="n">
        <v>17786.8</v>
      </c>
      <c r="M205" s="159" t="n">
        <v>4.18</v>
      </c>
      <c r="N205" s="159">
        <f>K205-I205</f>
        <v/>
      </c>
      <c r="O205" s="159" t="n">
        <v>21.15</v>
      </c>
      <c r="P205" s="159" t="n">
        <v>4</v>
      </c>
      <c r="Q205" s="159">
        <f>K205-P205</f>
        <v/>
      </c>
      <c r="R205" s="159" t="n">
        <v>110.68</v>
      </c>
      <c r="S205" s="159">
        <f>(O205*T205)/100</f>
        <v/>
      </c>
      <c r="T205" s="157" t="n">
        <v>6.45</v>
      </c>
      <c r="U205" s="157" t="n">
        <v>11715.55</v>
      </c>
      <c r="V205" s="157" t="n">
        <v>24.23</v>
      </c>
      <c r="W205" s="159">
        <f>U205/V205</f>
        <v/>
      </c>
      <c r="X205" s="159">
        <f>(W205/U205)*100</f>
        <v/>
      </c>
      <c r="Y205" s="157" t="n">
        <v>9337</v>
      </c>
      <c r="Z205" s="157" t="n">
        <v>18.96</v>
      </c>
      <c r="AA205" s="159">
        <f>Y205/Z205</f>
        <v/>
      </c>
      <c r="AB205" s="159">
        <f>(AA205/Y205)*100</f>
        <v/>
      </c>
    </row>
    <row r="206" ht="12.95" customHeight="1">
      <c r="A206" s="155" t="n">
        <v>205</v>
      </c>
      <c r="B206" s="160" t="n">
        <v>44865</v>
      </c>
      <c r="C206" s="159" t="n">
        <v>27994094</v>
      </c>
      <c r="D206" s="174">
        <f>C206/E206</f>
        <v/>
      </c>
      <c r="E206" s="159" t="n">
        <v>82.84</v>
      </c>
      <c r="F206" s="159">
        <f>D206/100000</f>
        <v/>
      </c>
      <c r="G206" s="159">
        <f>(F206/DataSheet!$C$9*100)</f>
        <v/>
      </c>
      <c r="H206" s="159">
        <f>K206/I206</f>
        <v/>
      </c>
      <c r="I206" s="159">
        <f>(J206/L206)*100</f>
        <v/>
      </c>
      <c r="J206" s="159">
        <f>L206/O206</f>
        <v/>
      </c>
      <c r="K206" s="159" t="n">
        <v>7.447</v>
      </c>
      <c r="L206" s="159" t="n">
        <v>18012.2</v>
      </c>
      <c r="M206" s="159" t="n">
        <v>4.23</v>
      </c>
      <c r="N206" s="159">
        <f>K206-I206</f>
        <v/>
      </c>
      <c r="O206" s="159" t="n">
        <v>21.42</v>
      </c>
      <c r="P206" s="159" t="n">
        <v>4.05</v>
      </c>
      <c r="Q206" s="159">
        <f>K206-P206</f>
        <v/>
      </c>
      <c r="R206" s="159" t="n">
        <v>111.08</v>
      </c>
      <c r="S206" s="159">
        <f>(O206*T206)/100</f>
        <v/>
      </c>
      <c r="T206" s="157" t="n">
        <v>6.44</v>
      </c>
      <c r="U206" s="157" t="n">
        <v>11868.15</v>
      </c>
      <c r="V206" s="157" t="n">
        <v>24.45</v>
      </c>
      <c r="W206" s="159">
        <f>U206/V206</f>
        <v/>
      </c>
      <c r="X206" s="159">
        <f>(W206/U206)*100</f>
        <v/>
      </c>
      <c r="Y206" s="157" t="n">
        <v>9372</v>
      </c>
      <c r="Z206" s="157" t="n">
        <v>19.05</v>
      </c>
      <c r="AA206" s="159">
        <f>Y206/Z206</f>
        <v/>
      </c>
      <c r="AB206" s="159">
        <f>(AA206/Y206)*100</f>
        <v/>
      </c>
    </row>
    <row r="207" ht="12.95" customHeight="1">
      <c r="A207" s="155" t="n">
        <v>206</v>
      </c>
      <c r="B207" s="160" t="n">
        <v>44866</v>
      </c>
      <c r="C207" s="159" t="n">
        <v>28228225.73</v>
      </c>
      <c r="D207" s="174">
        <f>C207/E207</f>
        <v/>
      </c>
      <c r="E207" s="159" t="n">
        <v>82.65000000000001</v>
      </c>
      <c r="F207" s="159">
        <f>D207/100000</f>
        <v/>
      </c>
      <c r="G207" s="159">
        <f>(F207/DataSheet!$C$9*100)</f>
        <v/>
      </c>
      <c r="H207" s="159">
        <f>K207/I207</f>
        <v/>
      </c>
      <c r="I207" s="159">
        <f>(J207/L207)*100</f>
        <v/>
      </c>
      <c r="J207" s="159">
        <f>L207/O207</f>
        <v/>
      </c>
      <c r="K207" s="159" t="n">
        <v>7.396</v>
      </c>
      <c r="L207" s="159" t="n">
        <v>18145.4</v>
      </c>
      <c r="M207" s="159" t="n">
        <v>4.3</v>
      </c>
      <c r="N207" s="159">
        <f>K207-I207</f>
        <v/>
      </c>
      <c r="O207" s="159" t="n">
        <v>22</v>
      </c>
      <c r="P207" s="159" t="n">
        <v>4.05</v>
      </c>
      <c r="Q207" s="159">
        <f>K207-P207</f>
        <v/>
      </c>
      <c r="R207" s="159" t="n">
        <v>111.35</v>
      </c>
      <c r="S207" s="159">
        <f>(O207*T207)/100</f>
        <v/>
      </c>
      <c r="T207" s="157" t="n">
        <v>6.45</v>
      </c>
      <c r="U207" s="157" t="n">
        <v>11967.9</v>
      </c>
      <c r="V207" s="157" t="n">
        <v>24.66</v>
      </c>
      <c r="W207" s="159">
        <f>U207/V207</f>
        <v/>
      </c>
      <c r="X207" s="159">
        <f>(W207/U207)*100</f>
        <v/>
      </c>
      <c r="Y207" s="157" t="n">
        <v>9385.299999999999</v>
      </c>
      <c r="Z207" s="157" t="n">
        <v>19.15</v>
      </c>
      <c r="AA207" s="159">
        <f>Y207/Z207</f>
        <v/>
      </c>
      <c r="AB207" s="159">
        <f>(AA207/Y207)*100</f>
        <v/>
      </c>
    </row>
    <row r="208" ht="12.95" customHeight="1">
      <c r="A208" s="155" t="n">
        <v>207</v>
      </c>
      <c r="B208" s="160" t="n">
        <v>44867</v>
      </c>
      <c r="C208" s="159" t="n">
        <v>28175407.53</v>
      </c>
      <c r="D208" s="174">
        <f>C208/E208</f>
        <v/>
      </c>
      <c r="E208" s="159" t="n">
        <v>82.70999999999999</v>
      </c>
      <c r="F208" s="159">
        <f>D208/100000</f>
        <v/>
      </c>
      <c r="G208" s="159">
        <f>(F208/DataSheet!$C$9*100)</f>
        <v/>
      </c>
      <c r="H208" s="159">
        <f>K208/I208</f>
        <v/>
      </c>
      <c r="I208" s="159">
        <f>(J208/L208)*100</f>
        <v/>
      </c>
      <c r="J208" s="159">
        <f>L208/O208</f>
        <v/>
      </c>
      <c r="K208" s="159" t="n">
        <v>7.404</v>
      </c>
      <c r="L208" s="159" t="n">
        <v>18082.85</v>
      </c>
      <c r="M208" s="159" t="n">
        <v>4.25</v>
      </c>
      <c r="N208" s="159">
        <f>K208-I208</f>
        <v/>
      </c>
      <c r="O208" s="159" t="n">
        <v>21.82</v>
      </c>
      <c r="P208" s="159" t="n">
        <v>4.06</v>
      </c>
      <c r="Q208" s="159">
        <f>K208-P208</f>
        <v/>
      </c>
      <c r="R208" s="159" t="n">
        <v>111.22</v>
      </c>
      <c r="S208" s="159">
        <f>(O208*T208)/100</f>
        <v/>
      </c>
      <c r="T208" s="157" t="n">
        <v>6.47</v>
      </c>
      <c r="U208" s="157" t="n">
        <v>11965.65</v>
      </c>
      <c r="V208" s="157" t="n">
        <v>24.69</v>
      </c>
      <c r="W208" s="159">
        <f>U208/V208</f>
        <v/>
      </c>
      <c r="X208" s="159">
        <f>(W208/U208)*100</f>
        <v/>
      </c>
      <c r="Y208" s="157" t="n">
        <v>9386.9</v>
      </c>
      <c r="Z208" s="157" t="n">
        <v>19.18</v>
      </c>
      <c r="AA208" s="159">
        <f>Y208/Z208</f>
        <v/>
      </c>
      <c r="AB208" s="159">
        <f>(AA208/Y208)*100</f>
        <v/>
      </c>
    </row>
    <row r="209" ht="12.95" customHeight="1">
      <c r="A209" s="155" t="n">
        <v>208</v>
      </c>
      <c r="B209" s="160" t="n">
        <v>44868</v>
      </c>
      <c r="C209" s="159" t="n">
        <v>28157664</v>
      </c>
      <c r="D209" s="174">
        <f>C209/E209</f>
        <v/>
      </c>
      <c r="E209" s="159" t="n">
        <v>82.89</v>
      </c>
      <c r="F209" s="159">
        <f>D209/100000</f>
        <v/>
      </c>
      <c r="G209" s="159">
        <f>(F209/DataSheet!$C$9*100)</f>
        <v/>
      </c>
      <c r="H209" s="159">
        <f>K209/I209</f>
        <v/>
      </c>
      <c r="I209" s="159">
        <f>(J209/L209)*100</f>
        <v/>
      </c>
      <c r="J209" s="159">
        <f>L209/O209</f>
        <v/>
      </c>
      <c r="K209" s="159" t="n">
        <v>7.483</v>
      </c>
      <c r="L209" s="159" t="n">
        <v>18052.7</v>
      </c>
      <c r="M209" s="159" t="n">
        <v>4.24</v>
      </c>
      <c r="N209" s="159">
        <f>K209-I209</f>
        <v/>
      </c>
      <c r="O209" s="159" t="n">
        <v>21.79</v>
      </c>
      <c r="P209" s="159" t="n">
        <v>4.19</v>
      </c>
      <c r="Q209" s="159">
        <f>K209-P209</f>
        <v/>
      </c>
      <c r="R209" s="159" t="n">
        <v>112.82</v>
      </c>
      <c r="S209" s="159">
        <f>(O209*T209)/100</f>
        <v/>
      </c>
      <c r="T209" s="157" t="n">
        <v>6.46</v>
      </c>
      <c r="U209" s="157" t="n">
        <v>11984.75</v>
      </c>
      <c r="V209" s="157" t="n">
        <v>24.81</v>
      </c>
      <c r="W209" s="159">
        <f>U209/V209</f>
        <v/>
      </c>
      <c r="X209" s="159">
        <f>(W209/U209)*100</f>
        <v/>
      </c>
      <c r="Y209" s="157" t="n">
        <v>9398.75</v>
      </c>
      <c r="Z209" s="157" t="n">
        <v>19.21</v>
      </c>
      <c r="AA209" s="159">
        <f>Y209/Z209</f>
        <v/>
      </c>
      <c r="AB209" s="159">
        <f>(AA209/Y209)*100</f>
        <v/>
      </c>
    </row>
    <row r="210" ht="12.95" customHeight="1">
      <c r="A210" s="155" t="n">
        <v>209</v>
      </c>
      <c r="B210" s="160" t="n">
        <v>44869</v>
      </c>
      <c r="C210" s="159" t="n">
        <v>28324925.35</v>
      </c>
      <c r="D210" s="174">
        <f>C210/E210</f>
        <v/>
      </c>
      <c r="E210" s="159" t="n">
        <v>81.95999999999999</v>
      </c>
      <c r="F210" s="159">
        <f>D210/100000</f>
        <v/>
      </c>
      <c r="G210" s="159">
        <f>(F210/DataSheet!$C$9*100)</f>
        <v/>
      </c>
      <c r="H210" s="159">
        <f>K210/I210</f>
        <v/>
      </c>
      <c r="I210" s="159">
        <f>(J210/L210)*100</f>
        <v/>
      </c>
      <c r="J210" s="159">
        <f>L210/O210</f>
        <v/>
      </c>
      <c r="K210" s="159" t="n">
        <v>7.469</v>
      </c>
      <c r="L210" s="159" t="n">
        <v>18117.25</v>
      </c>
      <c r="M210" s="159" t="n">
        <v>4.26</v>
      </c>
      <c r="N210" s="159">
        <f>K210-I210</f>
        <v/>
      </c>
      <c r="O210" s="159" t="n">
        <v>21.77</v>
      </c>
      <c r="P210" s="159" t="n">
        <v>4.15</v>
      </c>
      <c r="Q210" s="159">
        <f>K210-P210</f>
        <v/>
      </c>
      <c r="R210" s="159" t="n">
        <v>110.774</v>
      </c>
      <c r="S210" s="159">
        <f>(O210*T210)/100</f>
        <v/>
      </c>
      <c r="T210" s="157" t="n">
        <v>6.48</v>
      </c>
      <c r="U210" s="157" t="n">
        <v>11978.15</v>
      </c>
      <c r="V210" s="157" t="n">
        <v>25.66</v>
      </c>
      <c r="W210" s="159">
        <f>U210/V210</f>
        <v/>
      </c>
      <c r="X210" s="159">
        <f>(W210/U210)*100</f>
        <v/>
      </c>
      <c r="Y210" s="157" t="n">
        <v>9442.1</v>
      </c>
      <c r="Z210" s="157" t="n">
        <v>19.25</v>
      </c>
      <c r="AA210" s="159">
        <f>Y210/Z210</f>
        <v/>
      </c>
      <c r="AB210" s="159">
        <f>(AA210/Y210)*100</f>
        <v/>
      </c>
    </row>
    <row r="211" ht="12.95" customHeight="1">
      <c r="A211" s="155" t="n">
        <v>210</v>
      </c>
      <c r="B211" s="160" t="n">
        <v>44872</v>
      </c>
      <c r="C211" s="159" t="n">
        <v>28477828</v>
      </c>
      <c r="D211" s="174">
        <f>C211/E211</f>
        <v/>
      </c>
      <c r="E211" s="159" t="n">
        <v>81.92</v>
      </c>
      <c r="F211" s="159">
        <f>D211/100000</f>
        <v/>
      </c>
      <c r="G211" s="159">
        <f>(F211/DataSheet!$C$9*100)</f>
        <v/>
      </c>
      <c r="H211" s="159">
        <f>K211/I211</f>
        <v/>
      </c>
      <c r="I211" s="159">
        <f>(J211/L211)*100</f>
        <v/>
      </c>
      <c r="J211" s="159">
        <f>L211/O211</f>
        <v/>
      </c>
      <c r="K211" s="159" t="n">
        <v>7.437</v>
      </c>
      <c r="L211" s="159" t="n">
        <v>18202.8</v>
      </c>
      <c r="M211" s="159" t="n">
        <v>4.28</v>
      </c>
      <c r="N211" s="159">
        <f>K211-I211</f>
        <v/>
      </c>
      <c r="O211" s="159" t="n">
        <v>21.71</v>
      </c>
      <c r="P211" s="159" t="n">
        <v>4.13</v>
      </c>
      <c r="Q211" s="159">
        <f>K211-P211</f>
        <v/>
      </c>
      <c r="R211" s="159" t="n">
        <v>110.37</v>
      </c>
      <c r="S211" s="159">
        <f>(O211*T211)/100</f>
        <v/>
      </c>
      <c r="T211" s="157" t="n">
        <v>6.47</v>
      </c>
      <c r="U211" s="157" t="n">
        <v>12066.05</v>
      </c>
      <c r="V211" s="157" t="n">
        <v>25.83</v>
      </c>
      <c r="W211" s="159">
        <f>U211/V211</f>
        <v/>
      </c>
      <c r="X211" s="159">
        <f>(W211/U211)*100</f>
        <v/>
      </c>
      <c r="Y211" s="157" t="n">
        <v>9512.799999999999</v>
      </c>
      <c r="Z211" s="157" t="n">
        <v>19.23</v>
      </c>
      <c r="AA211" s="159">
        <f>Y211/Z211</f>
        <v/>
      </c>
      <c r="AB211" s="159">
        <f>(AA211/Y211)*100</f>
        <v/>
      </c>
    </row>
    <row r="212" ht="12.95" customHeight="1">
      <c r="A212" s="155" t="n">
        <v>211</v>
      </c>
      <c r="B212" s="160" t="n">
        <v>44874</v>
      </c>
      <c r="C212" s="159" t="n">
        <v>28401452</v>
      </c>
      <c r="D212" s="174">
        <f>C212/E212</f>
        <v/>
      </c>
      <c r="E212" s="159" t="n">
        <v>81.38</v>
      </c>
      <c r="F212" s="159">
        <f>D212/100000</f>
        <v/>
      </c>
      <c r="G212" s="159">
        <f>(F212/DataSheet!$C$9*100)</f>
        <v/>
      </c>
      <c r="H212" s="159">
        <f>K212/I212</f>
        <v/>
      </c>
      <c r="I212" s="159">
        <f>(J212/L212)*100</f>
        <v/>
      </c>
      <c r="J212" s="159">
        <f>L212/O212</f>
        <v/>
      </c>
      <c r="K212" s="159" t="n">
        <v>7.387</v>
      </c>
      <c r="L212" s="159" t="n">
        <v>18157</v>
      </c>
      <c r="M212" s="159" t="n">
        <v>4.27</v>
      </c>
      <c r="N212" s="159">
        <f>K212-I212</f>
        <v/>
      </c>
      <c r="O212" s="159" t="n">
        <v>21.66</v>
      </c>
      <c r="P212" s="159" t="n">
        <v>4.13</v>
      </c>
      <c r="Q212" s="159">
        <f>K212-P212</f>
        <v/>
      </c>
      <c r="R212" s="159" t="n">
        <v>109.83</v>
      </c>
      <c r="S212" s="159">
        <f>(O212*T212)/100</f>
        <v/>
      </c>
      <c r="T212" s="157" t="n">
        <v>6.45</v>
      </c>
      <c r="U212" s="157" t="n">
        <v>11991.25</v>
      </c>
      <c r="V212" s="157" t="n">
        <v>25.67</v>
      </c>
      <c r="W212" s="159">
        <f>U212/V212</f>
        <v/>
      </c>
      <c r="X212" s="159">
        <f>(W212/U212)*100</f>
        <v/>
      </c>
      <c r="Y212" s="157" t="n">
        <v>9475.85</v>
      </c>
      <c r="Z212" s="157" t="n">
        <v>19.16</v>
      </c>
      <c r="AA212" s="159">
        <f>Y212/Z212</f>
        <v/>
      </c>
      <c r="AB212" s="159">
        <f>(AA212/Y212)*100</f>
        <v/>
      </c>
    </row>
    <row r="213" ht="12.95" customHeight="1">
      <c r="A213" s="155" t="n">
        <v>212</v>
      </c>
      <c r="B213" s="160" t="n">
        <v>44875</v>
      </c>
      <c r="C213" s="159" t="n">
        <v>28159222</v>
      </c>
      <c r="D213" s="174">
        <f>C213/E213</f>
        <v/>
      </c>
      <c r="E213" s="159" t="n">
        <v>81.70999999999999</v>
      </c>
      <c r="F213" s="159">
        <f>D213/100000</f>
        <v/>
      </c>
      <c r="G213" s="159">
        <f>(F213/DataSheet!$C$9*100)</f>
        <v/>
      </c>
      <c r="H213" s="159">
        <f>K213/I213</f>
        <v/>
      </c>
      <c r="I213" s="159">
        <f>(J213/L213)*100</f>
        <v/>
      </c>
      <c r="J213" s="159">
        <f>L213/O213</f>
        <v/>
      </c>
      <c r="K213" s="159" t="n">
        <v>7.349</v>
      </c>
      <c r="L213" s="159" t="n">
        <v>18028.2</v>
      </c>
      <c r="M213" s="159" t="n">
        <v>4.24</v>
      </c>
      <c r="N213" s="159">
        <f>K213-I213</f>
        <v/>
      </c>
      <c r="O213" s="159" t="n">
        <v>21.53</v>
      </c>
      <c r="P213" s="159" t="n">
        <v>4.1</v>
      </c>
      <c r="Q213" s="159">
        <f>K213-P213</f>
        <v/>
      </c>
      <c r="R213" s="159" t="n">
        <v>110.73</v>
      </c>
      <c r="S213" s="159">
        <f>(O213*T213)/100</f>
        <v/>
      </c>
      <c r="T213" s="157" t="n">
        <v>6.45</v>
      </c>
      <c r="U213" s="157" t="n">
        <v>11881.95</v>
      </c>
      <c r="V213" s="157" t="n">
        <v>25.41</v>
      </c>
      <c r="W213" s="159">
        <f>U213/V213</f>
        <v/>
      </c>
      <c r="X213" s="159">
        <f>(W213/U213)*100</f>
        <v/>
      </c>
      <c r="Y213" s="157" t="n">
        <v>9359.5</v>
      </c>
      <c r="Z213" s="157" t="n">
        <v>18.98</v>
      </c>
      <c r="AA213" s="159">
        <f>Y213/Z213</f>
        <v/>
      </c>
      <c r="AB213" s="159">
        <f>(AA213/Y213)*100</f>
        <v/>
      </c>
    </row>
    <row r="214" ht="12.95" customHeight="1">
      <c r="A214" s="155" t="n">
        <v>213</v>
      </c>
      <c r="B214" s="160" t="n">
        <v>44876</v>
      </c>
      <c r="C214" s="159" t="n">
        <v>28480625.64</v>
      </c>
      <c r="D214" s="174">
        <f>C214/E214</f>
        <v/>
      </c>
      <c r="E214" s="159" t="n">
        <v>80.47</v>
      </c>
      <c r="F214" s="159">
        <f>D214/100000</f>
        <v/>
      </c>
      <c r="G214" s="159">
        <f>(F214/DataSheet!$C$9*100)</f>
        <v/>
      </c>
      <c r="H214" s="159">
        <f>K214/I214</f>
        <v/>
      </c>
      <c r="I214" s="159">
        <f>(J214/L214)*100</f>
        <v/>
      </c>
      <c r="J214" s="159">
        <f>L214/O214</f>
        <v/>
      </c>
      <c r="K214" s="159" t="n">
        <v>7.307</v>
      </c>
      <c r="L214" s="159" t="n">
        <v>18349.7</v>
      </c>
      <c r="M214" s="159" t="n">
        <v>4.31</v>
      </c>
      <c r="N214" s="159">
        <f>K214-I214</f>
        <v/>
      </c>
      <c r="O214" s="159" t="n">
        <v>21.92</v>
      </c>
      <c r="P214" s="159" t="n">
        <v>3.81</v>
      </c>
      <c r="Q214" s="159">
        <f>K214-P214</f>
        <v/>
      </c>
      <c r="R214" s="159" t="n">
        <v>106.29</v>
      </c>
      <c r="S214" s="159">
        <f>(O214*T214)/100</f>
        <v/>
      </c>
      <c r="T214" s="157" t="n">
        <v>6.43</v>
      </c>
      <c r="U214" s="157" t="n">
        <v>11898.55</v>
      </c>
      <c r="V214" s="157" t="n">
        <v>25.42</v>
      </c>
      <c r="W214" s="159">
        <f>U214/V214</f>
        <v/>
      </c>
      <c r="X214" s="159">
        <f>(W214/U214)*100</f>
        <v/>
      </c>
      <c r="Y214" s="157" t="n">
        <v>9391.1</v>
      </c>
      <c r="Z214" s="157" t="n">
        <v>19.1</v>
      </c>
      <c r="AA214" s="159">
        <f>Y214/Z214</f>
        <v/>
      </c>
      <c r="AB214" s="159">
        <f>(AA214/Y214)*100</f>
        <v/>
      </c>
    </row>
    <row r="215" ht="12.95" customHeight="1">
      <c r="A215" s="155" t="n">
        <v>214</v>
      </c>
      <c r="B215" s="160" t="n">
        <v>44879</v>
      </c>
      <c r="C215" s="159" t="n">
        <v>28498815.4</v>
      </c>
      <c r="D215" s="174">
        <f>C215/E215</f>
        <v/>
      </c>
      <c r="E215" s="159" t="n">
        <v>80.95999999999999</v>
      </c>
      <c r="F215" s="159">
        <f>D215/100000</f>
        <v/>
      </c>
      <c r="G215" s="159">
        <f>(F215/DataSheet!$C$9*100)</f>
        <v/>
      </c>
      <c r="H215" s="159">
        <f>K215/I215</f>
        <v/>
      </c>
      <c r="I215" s="159">
        <f>(J215/L215)*100</f>
        <v/>
      </c>
      <c r="J215" s="159">
        <f>L215/O215</f>
        <v/>
      </c>
      <c r="K215" s="159" t="n">
        <v>7.287</v>
      </c>
      <c r="L215" s="159" t="n">
        <v>18329.15</v>
      </c>
      <c r="M215" s="159" t="n">
        <v>4.31</v>
      </c>
      <c r="N215" s="159">
        <f>K215-I215</f>
        <v/>
      </c>
      <c r="O215" s="159" t="n">
        <v>21.79</v>
      </c>
      <c r="P215" s="159" t="n">
        <v>3.89</v>
      </c>
      <c r="Q215" s="159">
        <f>K215-P215</f>
        <v/>
      </c>
      <c r="R215" s="159" t="n">
        <v>106.66</v>
      </c>
      <c r="S215" s="159">
        <f>(O215*T215)/100</f>
        <v/>
      </c>
      <c r="T215" s="157" t="n">
        <v>6.48</v>
      </c>
      <c r="U215" s="157" t="n">
        <v>11893.6</v>
      </c>
      <c r="V215" s="157" t="n">
        <v>25.88</v>
      </c>
      <c r="W215" s="159">
        <f>U215/V215</f>
        <v/>
      </c>
      <c r="X215" s="159">
        <f>(W215/U215)*100</f>
        <v/>
      </c>
      <c r="Y215" s="157" t="n">
        <v>9433.700000000001</v>
      </c>
      <c r="Z215" s="157" t="n">
        <v>19.12</v>
      </c>
      <c r="AA215" s="159">
        <f>Y215/Z215</f>
        <v/>
      </c>
      <c r="AB215" s="159">
        <f>(AA215/Y215)*100</f>
        <v/>
      </c>
    </row>
    <row r="216" ht="12.95" customHeight="1">
      <c r="A216" s="155" t="n">
        <v>215</v>
      </c>
      <c r="B216" s="160" t="n">
        <v>44880</v>
      </c>
      <c r="C216" s="159" t="n">
        <v>28541003.57</v>
      </c>
      <c r="D216" s="174">
        <f>C216/E216</f>
        <v/>
      </c>
      <c r="E216" s="159" t="n">
        <v>81.06</v>
      </c>
      <c r="F216" s="159">
        <f>D216/100000</f>
        <v/>
      </c>
      <c r="G216" s="159">
        <f>(F216/DataSheet!$C$9*100)</f>
        <v/>
      </c>
      <c r="H216" s="159">
        <f>K216/I216</f>
        <v/>
      </c>
      <c r="I216" s="159">
        <f>(J216/L216)*100</f>
        <v/>
      </c>
      <c r="J216" s="159">
        <f>L216/O216</f>
        <v/>
      </c>
      <c r="K216" s="159" t="n">
        <v>7.261</v>
      </c>
      <c r="L216" s="159" t="n">
        <v>18403.4</v>
      </c>
      <c r="M216" s="159" t="n">
        <v>4.32</v>
      </c>
      <c r="N216" s="159">
        <f>K216-I216</f>
        <v/>
      </c>
      <c r="O216" s="159" t="n">
        <v>21.89</v>
      </c>
      <c r="P216" s="159" t="n">
        <v>3.86</v>
      </c>
      <c r="Q216" s="159">
        <f>K216-P216</f>
        <v/>
      </c>
      <c r="R216" s="159" t="n">
        <v>106.4</v>
      </c>
      <c r="S216" s="159">
        <f>(O216*T216)/100</f>
        <v/>
      </c>
      <c r="T216" s="157" t="n">
        <v>6.48</v>
      </c>
      <c r="U216" s="157" t="n">
        <v>11888.25</v>
      </c>
      <c r="V216" s="157" t="n">
        <v>26</v>
      </c>
      <c r="W216" s="159">
        <f>U216/V216</f>
        <v/>
      </c>
      <c r="X216" s="159">
        <f>(W216/U216)*100</f>
        <v/>
      </c>
      <c r="Y216" s="157" t="n">
        <v>9439</v>
      </c>
      <c r="Z216" s="157" t="n">
        <v>18.82</v>
      </c>
      <c r="AA216" s="159">
        <f>Y216/Z216</f>
        <v/>
      </c>
      <c r="AB216" s="159">
        <f>(AA216/Y216)*100</f>
        <v/>
      </c>
    </row>
    <row r="217" ht="12.95" customHeight="1">
      <c r="A217" s="155" t="n">
        <v>216</v>
      </c>
      <c r="B217" s="160" t="n">
        <v>44881</v>
      </c>
      <c r="C217" s="159" t="n">
        <v>28458400.38</v>
      </c>
      <c r="D217" s="174">
        <f>C217/E217</f>
        <v/>
      </c>
      <c r="E217" s="159" t="n">
        <v>81.48</v>
      </c>
      <c r="F217" s="159">
        <f>D217/100000</f>
        <v/>
      </c>
      <c r="G217" s="159">
        <f>(F217/DataSheet!$C$9*100)</f>
        <v/>
      </c>
      <c r="H217" s="159">
        <f>K217/I217</f>
        <v/>
      </c>
      <c r="I217" s="159">
        <f>(J217/L217)*100</f>
        <v/>
      </c>
      <c r="J217" s="159">
        <f>L217/O217</f>
        <v/>
      </c>
      <c r="K217" s="159" t="n">
        <v>7.274</v>
      </c>
      <c r="L217" s="159" t="n">
        <v>18409.65</v>
      </c>
      <c r="M217" s="159" t="n">
        <v>4.32</v>
      </c>
      <c r="N217" s="159">
        <f>K217-I217</f>
        <v/>
      </c>
      <c r="O217" s="159" t="n">
        <v>21.91</v>
      </c>
      <c r="P217" s="159" t="n">
        <v>3.77</v>
      </c>
      <c r="Q217" s="159">
        <f>K217-P217</f>
        <v/>
      </c>
      <c r="R217" s="159" t="n">
        <v>106.28</v>
      </c>
      <c r="S217" s="159">
        <f>(O217*T217)/100</f>
        <v/>
      </c>
      <c r="T217" s="157" t="n">
        <v>6.45</v>
      </c>
      <c r="U217" s="157" t="n">
        <v>11816.55</v>
      </c>
      <c r="V217" s="157" t="n">
        <v>25.85</v>
      </c>
      <c r="W217" s="159">
        <f>U217/V217</f>
        <v/>
      </c>
      <c r="X217" s="159">
        <f>(W217/U217)*100</f>
        <v/>
      </c>
      <c r="Y217" s="157" t="n">
        <v>9407.6</v>
      </c>
      <c r="Z217" s="157" t="n">
        <v>18.61</v>
      </c>
      <c r="AA217" s="159">
        <f>Y217/Z217</f>
        <v/>
      </c>
      <c r="AB217" s="159">
        <f>(AA217/Y217)*100</f>
        <v/>
      </c>
    </row>
    <row r="218" ht="12.95" customHeight="1">
      <c r="A218" s="155" t="n">
        <v>217</v>
      </c>
      <c r="B218" s="160" t="n">
        <v>44882</v>
      </c>
      <c r="C218" s="159" t="n">
        <v>28344662.25</v>
      </c>
      <c r="D218" s="174">
        <f>C218/E218</f>
        <v/>
      </c>
      <c r="E218" s="159" t="n">
        <v>81.51000000000001</v>
      </c>
      <c r="F218" s="159">
        <f>D218/100000</f>
        <v/>
      </c>
      <c r="G218" s="159">
        <f>(F218/DataSheet!$C$9*100)</f>
        <v/>
      </c>
      <c r="H218" s="159">
        <f>K218/I218</f>
        <v/>
      </c>
      <c r="I218" s="159">
        <f>(J218/L218)*100</f>
        <v/>
      </c>
      <c r="J218" s="159">
        <f>L218/O218</f>
        <v/>
      </c>
      <c r="K218" s="159" t="n">
        <v>7.281</v>
      </c>
      <c r="L218" s="159" t="n">
        <v>18434.9</v>
      </c>
      <c r="M218" s="159" t="n">
        <v>4.31</v>
      </c>
      <c r="N218" s="159">
        <f>K218-I218</f>
        <v/>
      </c>
      <c r="O218" s="159" t="n">
        <v>21.83</v>
      </c>
      <c r="P218" s="159" t="n">
        <v>3.69</v>
      </c>
      <c r="Q218" s="159">
        <f>K218-P218</f>
        <v/>
      </c>
      <c r="R218" s="159" t="n">
        <v>106.69</v>
      </c>
      <c r="S218" s="159">
        <f>(O218*T218)/100</f>
        <v/>
      </c>
      <c r="T218" s="157" t="n">
        <v>6.43</v>
      </c>
      <c r="U218" s="157" t="n">
        <v>11767.05</v>
      </c>
      <c r="V218" s="157" t="n">
        <v>25.73</v>
      </c>
      <c r="W218" s="159">
        <f>U218/V218</f>
        <v/>
      </c>
      <c r="X218" s="159">
        <f>(W218/U218)*100</f>
        <v/>
      </c>
      <c r="Y218" s="157" t="n">
        <v>9395.75</v>
      </c>
      <c r="Z218" s="157" t="n">
        <v>18.58</v>
      </c>
      <c r="AA218" s="159">
        <f>Y218/Z218</f>
        <v/>
      </c>
      <c r="AB218" s="159">
        <f>(AA218/Y218)*100</f>
        <v/>
      </c>
    </row>
    <row r="219" ht="12.95" customHeight="1">
      <c r="A219" s="155" t="n">
        <v>218</v>
      </c>
      <c r="B219" s="160" t="n">
        <v>44883</v>
      </c>
      <c r="C219" s="159" t="n">
        <v>28254867.39</v>
      </c>
      <c r="D219" s="174">
        <f>C219/E219</f>
        <v/>
      </c>
      <c r="E219" s="159" t="n">
        <v>81.61</v>
      </c>
      <c r="F219" s="159">
        <f>D219/100000</f>
        <v/>
      </c>
      <c r="G219" s="159">
        <f>(F219/DataSheet!$C$9*100)</f>
        <v/>
      </c>
      <c r="H219" s="159">
        <f>K219/I219</f>
        <v/>
      </c>
      <c r="I219" s="159">
        <f>(J219/L219)*100</f>
        <v/>
      </c>
      <c r="J219" s="159">
        <f>L219/O219</f>
        <v/>
      </c>
      <c r="K219" s="159" t="n">
        <v>7.307</v>
      </c>
      <c r="L219" s="159" t="n">
        <v>18307.65</v>
      </c>
      <c r="M219" s="159" t="n">
        <v>4.3</v>
      </c>
      <c r="N219" s="159">
        <f>K219-I219</f>
        <v/>
      </c>
      <c r="O219" s="159" t="n">
        <v>21.79</v>
      </c>
      <c r="P219" s="159" t="n">
        <v>3.76</v>
      </c>
      <c r="Q219" s="159">
        <f>K219-P219</f>
        <v/>
      </c>
      <c r="R219" s="159" t="n">
        <v>106.97</v>
      </c>
      <c r="S219" s="159">
        <f>(O219*T219)/100</f>
        <v/>
      </c>
      <c r="T219" s="157" t="n">
        <v>6.43</v>
      </c>
      <c r="U219" s="157" t="n">
        <v>11719.95</v>
      </c>
      <c r="V219" s="157" t="n">
        <v>25.57</v>
      </c>
      <c r="W219" s="159">
        <f>U219/V219</f>
        <v/>
      </c>
      <c r="X219" s="159">
        <f>(W219/U219)*100</f>
        <v/>
      </c>
      <c r="Y219" s="157" t="n">
        <v>9353.5</v>
      </c>
      <c r="Z219" s="157" t="n">
        <v>18.48</v>
      </c>
      <c r="AA219" s="159">
        <f>Y219/Z219</f>
        <v/>
      </c>
      <c r="AB219" s="159">
        <f>(AA219/Y219)*100</f>
        <v/>
      </c>
    </row>
    <row r="220" ht="12.95" customHeight="1">
      <c r="A220" s="155" t="n">
        <v>219</v>
      </c>
      <c r="B220" s="160" t="n">
        <v>44886</v>
      </c>
      <c r="C220" s="159" t="n">
        <v>28116258.97</v>
      </c>
      <c r="D220" s="174">
        <f>C220/E220</f>
        <v/>
      </c>
      <c r="E220" s="159" t="n">
        <v>81.72</v>
      </c>
      <c r="F220" s="159">
        <f>D220/100000</f>
        <v/>
      </c>
      <c r="G220" s="159">
        <f>(F220/DataSheet!$C$9*100)</f>
        <v/>
      </c>
      <c r="H220" s="159">
        <f>K220/I220</f>
        <v/>
      </c>
      <c r="I220" s="159">
        <f>(J220/L220)*100</f>
        <v/>
      </c>
      <c r="J220" s="159">
        <f>L220/O220</f>
        <v/>
      </c>
      <c r="K220" s="159" t="n">
        <v>7.32</v>
      </c>
      <c r="L220" s="159" t="n">
        <v>18159.95</v>
      </c>
      <c r="M220" s="159" t="n">
        <v>4.26</v>
      </c>
      <c r="N220" s="159">
        <f>K220-I220</f>
        <v/>
      </c>
      <c r="O220" s="159" t="n">
        <v>21.82</v>
      </c>
      <c r="P220" s="159" t="n">
        <v>3.83</v>
      </c>
      <c r="Q220" s="159">
        <f>K220-P220</f>
        <v/>
      </c>
      <c r="R220" s="159" t="n">
        <v>107.78</v>
      </c>
      <c r="S220" s="159">
        <f>(O220*T220)/100</f>
        <v/>
      </c>
      <c r="T220" s="157" t="n">
        <v>6.43</v>
      </c>
      <c r="U220" s="157" t="n">
        <v>11719.55</v>
      </c>
      <c r="V220" s="157" t="n">
        <v>25.56</v>
      </c>
      <c r="W220" s="159">
        <f>U220/V220</f>
        <v/>
      </c>
      <c r="X220" s="159">
        <f>(W220/U220)*100</f>
        <v/>
      </c>
      <c r="Y220" s="157" t="n">
        <v>9363.65</v>
      </c>
      <c r="Z220" s="157" t="n">
        <v>18.5</v>
      </c>
      <c r="AA220" s="159">
        <f>Y220/Z220</f>
        <v/>
      </c>
      <c r="AB220" s="159">
        <f>(AA220/Y220)*100</f>
        <v/>
      </c>
    </row>
    <row r="221" ht="12.95" customHeight="1">
      <c r="A221" s="155" t="n">
        <v>220</v>
      </c>
      <c r="B221" s="160" t="n">
        <v>44887</v>
      </c>
      <c r="C221" s="159" t="n">
        <v>28185214</v>
      </c>
      <c r="D221" s="174">
        <f>C221/E221</f>
        <v/>
      </c>
      <c r="E221" s="159" t="n">
        <v>81.70999999999999</v>
      </c>
      <c r="F221" s="159">
        <f>D221/100000</f>
        <v/>
      </c>
      <c r="G221" s="159">
        <f>(F221/DataSheet!$C$9*100)</f>
        <v/>
      </c>
      <c r="H221" s="159">
        <f>K221/I221</f>
        <v/>
      </c>
      <c r="I221" s="159">
        <f>(J221/L221)*100</f>
        <v/>
      </c>
      <c r="J221" s="159">
        <f>L221/O221</f>
        <v/>
      </c>
      <c r="K221" s="159" t="n">
        <v>7.285</v>
      </c>
      <c r="L221" s="159" t="n">
        <v>18244.2</v>
      </c>
      <c r="M221" s="159" t="n">
        <v>4.28</v>
      </c>
      <c r="N221" s="159">
        <f>K221-I221</f>
        <v/>
      </c>
      <c r="O221" s="159" t="n">
        <v>21.93</v>
      </c>
      <c r="P221" s="159" t="n">
        <v>3.75</v>
      </c>
      <c r="Q221" s="159">
        <f>K221-P221</f>
        <v/>
      </c>
      <c r="R221" s="159" t="n">
        <v>107.15</v>
      </c>
      <c r="S221" s="159">
        <f>(O221*T221)/100</f>
        <v/>
      </c>
      <c r="T221" s="157" t="n">
        <v>6.43</v>
      </c>
      <c r="U221" s="157" t="n">
        <v>11762.55</v>
      </c>
      <c r="V221" s="157" t="n">
        <v>25.65</v>
      </c>
      <c r="W221" s="159">
        <f>U221/V221</f>
        <v/>
      </c>
      <c r="X221" s="159">
        <f>(W221/U221)*100</f>
        <v/>
      </c>
      <c r="Y221" s="157" t="n">
        <v>9355.35</v>
      </c>
      <c r="Z221" s="157" t="n">
        <v>18.48</v>
      </c>
      <c r="AA221" s="159">
        <f>Y221/Z221</f>
        <v/>
      </c>
      <c r="AB221" s="159">
        <f>(AA221/Y221)*100</f>
        <v/>
      </c>
    </row>
    <row r="222" ht="12.95" customHeight="1">
      <c r="A222" s="155" t="n">
        <v>221</v>
      </c>
      <c r="B222" s="160" t="n">
        <v>44888</v>
      </c>
      <c r="C222" s="159" t="n">
        <v>28225366.32</v>
      </c>
      <c r="D222" s="174">
        <f>C222/E222</f>
        <v/>
      </c>
      <c r="E222" s="159" t="n">
        <v>81.63</v>
      </c>
      <c r="F222" s="159">
        <f>D222/100000</f>
        <v/>
      </c>
      <c r="G222" s="159">
        <f>(F222/DataSheet!$C$9*100)</f>
        <v/>
      </c>
      <c r="H222" s="159">
        <f>K222/I222</f>
        <v/>
      </c>
      <c r="I222" s="159">
        <f>(J222/L222)*100</f>
        <v/>
      </c>
      <c r="J222" s="159">
        <f>L222/O222</f>
        <v/>
      </c>
      <c r="K222" s="159" t="n">
        <v>7.291</v>
      </c>
      <c r="L222" s="159" t="n">
        <v>18267.25</v>
      </c>
      <c r="M222" s="159" t="n">
        <v>4.29</v>
      </c>
      <c r="N222" s="159">
        <f>K222-I222</f>
        <v/>
      </c>
      <c r="O222" s="159" t="n">
        <v>21.95</v>
      </c>
      <c r="P222" s="159" t="n">
        <v>3.68</v>
      </c>
      <c r="Q222" s="159">
        <f>K222-P222</f>
        <v/>
      </c>
      <c r="R222" s="159" t="n">
        <v>106.1</v>
      </c>
      <c r="S222" s="159">
        <f>(O222*T222)/100</f>
        <v/>
      </c>
      <c r="T222" s="157" t="n">
        <v>6.44</v>
      </c>
      <c r="U222" s="157" t="n">
        <v>11790.2</v>
      </c>
      <c r="V222" s="157" t="n">
        <v>25.7</v>
      </c>
      <c r="W222" s="159">
        <f>U222/V222</f>
        <v/>
      </c>
      <c r="X222" s="159">
        <f>(W222/U222)*100</f>
        <v/>
      </c>
      <c r="Y222" s="157" t="n">
        <v>9410</v>
      </c>
      <c r="Z222" s="157" t="n">
        <v>18.59</v>
      </c>
      <c r="AA222" s="159">
        <f>Y222/Z222</f>
        <v/>
      </c>
      <c r="AB222" s="159">
        <f>(AA222/Y222)*100</f>
        <v/>
      </c>
    </row>
    <row r="223" ht="12.95" customHeight="1">
      <c r="A223" s="155" t="n">
        <v>222</v>
      </c>
      <c r="B223" s="160" t="n">
        <v>44889</v>
      </c>
      <c r="C223" s="159" t="n">
        <v>28370058</v>
      </c>
      <c r="D223" s="174">
        <f>C223/E223</f>
        <v/>
      </c>
      <c r="E223" s="159" t="n">
        <v>81.67</v>
      </c>
      <c r="F223" s="159">
        <f>D223/100000</f>
        <v/>
      </c>
      <c r="G223" s="159">
        <f>(F223/DataSheet!$C$9*100)</f>
        <v/>
      </c>
      <c r="H223" s="159">
        <f>K223/I223</f>
        <v/>
      </c>
      <c r="I223" s="159">
        <f>(J223/L223)*100</f>
        <v/>
      </c>
      <c r="J223" s="159">
        <f>L223/O223</f>
        <v/>
      </c>
      <c r="K223" s="159" t="n">
        <v>7.25</v>
      </c>
      <c r="L223" s="159" t="n">
        <v>18484.1</v>
      </c>
      <c r="M223" s="159" t="n">
        <v>4.34</v>
      </c>
      <c r="N223" s="159">
        <f>K223-I223</f>
        <v/>
      </c>
      <c r="O223" s="159" t="n">
        <v>22.21</v>
      </c>
      <c r="P223" s="159" t="n">
        <v>3.68</v>
      </c>
      <c r="Q223" s="159">
        <f>K223-P223</f>
        <v/>
      </c>
      <c r="R223" s="159" t="n">
        <v>105.88</v>
      </c>
      <c r="S223" s="159">
        <f>(O223*T223)/100</f>
        <v/>
      </c>
      <c r="T223" s="157" t="n">
        <v>6.42</v>
      </c>
      <c r="U223" s="157" t="n">
        <v>11837.6</v>
      </c>
      <c r="V223" s="157" t="n">
        <v>25.8</v>
      </c>
      <c r="W223" s="159">
        <f>U223/V223</f>
        <v/>
      </c>
      <c r="X223" s="159">
        <f>(W223/U223)*100</f>
        <v/>
      </c>
      <c r="Y223" s="157" t="n">
        <v>9461.299999999999</v>
      </c>
      <c r="Z223" s="157" t="n">
        <v>18.69</v>
      </c>
      <c r="AA223" s="159">
        <f>Y223/Z223</f>
        <v/>
      </c>
      <c r="AB223" s="159">
        <f>(AA223/Y223)*100</f>
        <v/>
      </c>
    </row>
    <row r="224" ht="12.95" customHeight="1">
      <c r="A224" s="155" t="n">
        <v>223</v>
      </c>
      <c r="B224" s="160" t="n">
        <v>44890</v>
      </c>
      <c r="C224" s="159" t="n">
        <v>28456423</v>
      </c>
      <c r="D224" s="174">
        <f>C224/E224</f>
        <v/>
      </c>
      <c r="E224" s="159" t="n">
        <v>81.63</v>
      </c>
      <c r="F224" s="159">
        <f>D224/100000</f>
        <v/>
      </c>
      <c r="G224" s="159">
        <f>(F224/DataSheet!$C$9*100)</f>
        <v/>
      </c>
      <c r="H224" s="159">
        <f>K224/I224</f>
        <v/>
      </c>
      <c r="I224" s="159">
        <f>(J224/L224)*100</f>
        <v/>
      </c>
      <c r="J224" s="159">
        <f>L224/O224</f>
        <v/>
      </c>
      <c r="K224" s="159" t="n">
        <v>7.3</v>
      </c>
      <c r="L224" s="159" t="n">
        <v>18512.75</v>
      </c>
      <c r="M224" s="159" t="n">
        <v>4.35</v>
      </c>
      <c r="N224" s="159">
        <f>K224-I224</f>
        <v/>
      </c>
      <c r="O224" s="159" t="n">
        <v>22.25</v>
      </c>
      <c r="P224" s="159" t="n">
        <v>3.71</v>
      </c>
      <c r="Q224" s="159">
        <f>K224-P224</f>
        <v/>
      </c>
      <c r="R224" s="159" t="n">
        <v>106</v>
      </c>
      <c r="S224" s="159">
        <f>(O224*T224)/100</f>
        <v/>
      </c>
      <c r="T224" s="157" t="n">
        <v>6.45</v>
      </c>
      <c r="U224" s="157" t="n">
        <v>11943.55</v>
      </c>
      <c r="V224" s="157" t="n">
        <v>26.03</v>
      </c>
      <c r="W224" s="159">
        <f>U224/V224</f>
        <v/>
      </c>
      <c r="X224" s="159">
        <f>(W224/U224)*100</f>
        <v/>
      </c>
      <c r="Y224" s="157" t="n">
        <v>9534.549999999999</v>
      </c>
      <c r="Z224" s="157" t="n">
        <v>18.84</v>
      </c>
      <c r="AA224" s="159">
        <f>Y224/Z224</f>
        <v/>
      </c>
      <c r="AB224" s="159">
        <f>(AA224/Y224)*100</f>
        <v/>
      </c>
    </row>
    <row r="225" ht="12.95" customHeight="1">
      <c r="A225" s="155" t="n">
        <v>224</v>
      </c>
      <c r="B225" s="160" t="n">
        <v>44893</v>
      </c>
      <c r="C225" s="159" t="n">
        <v>28659078.46</v>
      </c>
      <c r="D225" s="174">
        <f>C225/E225</f>
        <v/>
      </c>
      <c r="E225" s="159" t="n">
        <v>81.64</v>
      </c>
      <c r="F225" s="159">
        <f>D225/100000</f>
        <v/>
      </c>
      <c r="G225" s="159">
        <f>(F225/DataSheet!$C$9*100)</f>
        <v/>
      </c>
      <c r="H225" s="159">
        <f>K225/I225</f>
        <v/>
      </c>
      <c r="I225" s="159">
        <f>(J225/L225)*100</f>
        <v/>
      </c>
      <c r="J225" s="159">
        <f>L225/O225</f>
        <v/>
      </c>
      <c r="K225" s="159" t="n">
        <v>7.27</v>
      </c>
      <c r="L225" s="159" t="n">
        <v>18562.75</v>
      </c>
      <c r="M225" s="159" t="n">
        <v>4.36</v>
      </c>
      <c r="N225" s="159">
        <f>K225-I225</f>
        <v/>
      </c>
      <c r="O225" s="159" t="n">
        <v>22.31</v>
      </c>
      <c r="P225" s="159" t="n">
        <v>3.7</v>
      </c>
      <c r="Q225" s="159">
        <f>K225-P225</f>
        <v/>
      </c>
      <c r="R225" s="159" t="n">
        <v>106.63</v>
      </c>
      <c r="S225" s="159">
        <f>(O225*T225)/100</f>
        <v/>
      </c>
      <c r="T225" s="157" t="n">
        <v>6.42</v>
      </c>
      <c r="U225" s="157" t="n">
        <v>12025.95</v>
      </c>
      <c r="V225" s="157" t="n">
        <v>26.21</v>
      </c>
      <c r="W225" s="159">
        <f>U225/V225</f>
        <v/>
      </c>
      <c r="X225" s="159">
        <f>(W225/U225)*100</f>
        <v/>
      </c>
      <c r="Y225" s="157" t="n">
        <v>9636.6</v>
      </c>
      <c r="Z225" s="157" t="n">
        <v>19.04</v>
      </c>
      <c r="AA225" s="159">
        <f>Y225/Z225</f>
        <v/>
      </c>
      <c r="AB225" s="159">
        <f>(AA225/Y225)*100</f>
        <v/>
      </c>
    </row>
    <row r="226" ht="12.95" customHeight="1">
      <c r="A226" s="155" t="n">
        <v>225</v>
      </c>
      <c r="B226" s="160" t="n">
        <v>44894</v>
      </c>
      <c r="C226" s="159" t="n">
        <v>28711500.84</v>
      </c>
      <c r="D226" s="174">
        <f>C226/E226</f>
        <v/>
      </c>
      <c r="E226" s="159" t="n">
        <v>81.62</v>
      </c>
      <c r="F226" s="159">
        <f>D226/100000</f>
        <v/>
      </c>
      <c r="G226" s="159">
        <f>(F226/DataSheet!$C$9*100)</f>
        <v/>
      </c>
      <c r="H226" s="159">
        <f>K226/I226</f>
        <v/>
      </c>
      <c r="I226" s="159">
        <f>(J226/L226)*100</f>
        <v/>
      </c>
      <c r="J226" s="159">
        <f>L226/O226</f>
        <v/>
      </c>
      <c r="K226" s="159" t="n">
        <v>7.27</v>
      </c>
      <c r="L226" s="159" t="n">
        <v>18618.05</v>
      </c>
      <c r="M226" s="159" t="n">
        <v>4.37</v>
      </c>
      <c r="N226" s="159">
        <f>K226-I226</f>
        <v/>
      </c>
      <c r="O226" s="159" t="n">
        <v>22.37</v>
      </c>
      <c r="P226" s="159" t="n">
        <v>3.75</v>
      </c>
      <c r="Q226" s="159">
        <f>K226-P226</f>
        <v/>
      </c>
      <c r="R226" s="159" t="n">
        <v>106.82</v>
      </c>
      <c r="S226" s="159">
        <f>(O226*T226)/100</f>
        <v/>
      </c>
      <c r="T226" s="157" t="n">
        <v>6.42</v>
      </c>
      <c r="U226" s="157" t="n">
        <v>11983.1</v>
      </c>
      <c r="V226" s="157" t="n">
        <v>26.07</v>
      </c>
      <c r="W226" s="159">
        <f>U226/V226</f>
        <v/>
      </c>
      <c r="X226" s="159">
        <f>(W226/U226)*100</f>
        <v/>
      </c>
      <c r="Y226" s="157" t="n">
        <v>9602.200000000001</v>
      </c>
      <c r="Z226" s="157" t="n">
        <v>18.97</v>
      </c>
      <c r="AA226" s="159">
        <f>Y226/Z226</f>
        <v/>
      </c>
      <c r="AB226" s="159">
        <f>(AA226/Y226)*100</f>
        <v/>
      </c>
    </row>
    <row r="227" ht="12.95" customHeight="1">
      <c r="A227" s="155" t="n">
        <v>226</v>
      </c>
      <c r="B227" s="160" t="n">
        <v>44895</v>
      </c>
      <c r="C227" s="159" t="n">
        <v>28938267.36</v>
      </c>
      <c r="D227" s="174">
        <f>C227/E227</f>
        <v/>
      </c>
      <c r="E227" s="159" t="n">
        <v>81.37</v>
      </c>
      <c r="F227" s="159">
        <f>D227/100000</f>
        <v/>
      </c>
      <c r="G227" s="159">
        <f>(F227/DataSheet!$C$9*100)</f>
        <v/>
      </c>
      <c r="H227" s="159">
        <f>K227/I227</f>
        <v/>
      </c>
      <c r="I227" s="159">
        <f>(J227/L227)*100</f>
        <v/>
      </c>
      <c r="J227" s="159">
        <f>L227/O227</f>
        <v/>
      </c>
      <c r="K227" s="159" t="n">
        <v>7.28</v>
      </c>
      <c r="L227" s="159" t="n">
        <v>18758.35</v>
      </c>
      <c r="M227" s="159" t="n">
        <v>4.4</v>
      </c>
      <c r="N227" s="159">
        <f>K227-I227</f>
        <v/>
      </c>
      <c r="O227" s="159" t="n">
        <v>22.54</v>
      </c>
      <c r="P227" s="159" t="n">
        <v>3.61</v>
      </c>
      <c r="Q227" s="159">
        <f>K227-P227</f>
        <v/>
      </c>
      <c r="R227" s="159" t="n">
        <v>105.95</v>
      </c>
      <c r="S227" s="159">
        <f>(O227*T227)/100</f>
        <v/>
      </c>
      <c r="T227" s="157" t="n">
        <v>6.41</v>
      </c>
      <c r="U227" s="157" t="n">
        <v>12093.5</v>
      </c>
      <c r="V227" s="157" t="n">
        <v>26.31</v>
      </c>
      <c r="W227" s="159">
        <f>U227/V227</f>
        <v/>
      </c>
      <c r="X227" s="159">
        <f>(W227/U227)*100</f>
        <v/>
      </c>
      <c r="Y227" s="157" t="n">
        <v>9651.049999999999</v>
      </c>
      <c r="Z227" s="157" t="n">
        <v>19.07</v>
      </c>
      <c r="AA227" s="159">
        <f>Y227/Z227</f>
        <v/>
      </c>
      <c r="AB227" s="159">
        <f>(AA227/Y227)*100</f>
        <v/>
      </c>
    </row>
    <row r="228" ht="12.95" customHeight="1">
      <c r="A228" s="155" t="n">
        <v>227</v>
      </c>
      <c r="B228" s="160" t="n">
        <v>44896</v>
      </c>
      <c r="C228" s="159" t="n">
        <v>29075831.84</v>
      </c>
      <c r="D228" s="174">
        <f>C228/E228</f>
        <v/>
      </c>
      <c r="E228" s="159" t="n">
        <v>81.12</v>
      </c>
      <c r="F228" s="159">
        <f>D228/100000</f>
        <v/>
      </c>
      <c r="G228" s="159">
        <f>(F228/DataSheet!$C$9*100)</f>
        <v/>
      </c>
      <c r="H228" s="159">
        <f>K228/I228</f>
        <v/>
      </c>
      <c r="I228" s="159">
        <f>(J228/L228)*100</f>
        <v/>
      </c>
      <c r="J228" s="159">
        <f>L228/O228</f>
        <v/>
      </c>
      <c r="K228" s="159" t="n">
        <v>7.21</v>
      </c>
      <c r="L228" s="159" t="n">
        <v>18812.5</v>
      </c>
      <c r="M228" s="159" t="n">
        <v>4.42</v>
      </c>
      <c r="N228" s="159">
        <f>K228-I228</f>
        <v/>
      </c>
      <c r="O228" s="159" t="n">
        <v>22.61</v>
      </c>
      <c r="P228" s="159" t="n">
        <v>3.51</v>
      </c>
      <c r="Q228" s="159">
        <f>K228-P228</f>
        <v/>
      </c>
      <c r="R228" s="159" t="n">
        <v>104.73</v>
      </c>
      <c r="S228" s="159">
        <f>(O228*T228)/100</f>
        <v/>
      </c>
      <c r="T228" s="157" t="n">
        <v>6.39</v>
      </c>
      <c r="U228" s="157" t="n">
        <v>12185.25</v>
      </c>
      <c r="V228" s="157" t="n">
        <v>26.51</v>
      </c>
      <c r="W228" s="159">
        <f>U228/V228</f>
        <v/>
      </c>
      <c r="X228" s="159">
        <f>(W228/U228)*100</f>
        <v/>
      </c>
      <c r="Y228" s="157" t="n">
        <v>9693.85</v>
      </c>
      <c r="Z228" s="157" t="n">
        <v>19.15</v>
      </c>
      <c r="AA228" s="159">
        <f>Y228/Z228</f>
        <v/>
      </c>
      <c r="AB228" s="159">
        <f>(AA228/Y228)*100</f>
        <v/>
      </c>
    </row>
    <row r="229" ht="12.95" customHeight="1">
      <c r="A229" s="155" t="n">
        <v>228</v>
      </c>
      <c r="B229" s="160" t="n">
        <v>44897</v>
      </c>
      <c r="C229" s="159" t="n">
        <v>29042825.88</v>
      </c>
      <c r="D229" s="174">
        <f>C229/E229</f>
        <v/>
      </c>
      <c r="E229" s="159" t="n">
        <v>81.41</v>
      </c>
      <c r="F229" s="159">
        <f>D229/100000</f>
        <v/>
      </c>
      <c r="G229" s="159">
        <f>(F229/DataSheet!$C$9*100)</f>
        <v/>
      </c>
      <c r="H229" s="159">
        <f>K229/I229</f>
        <v/>
      </c>
      <c r="I229" s="159">
        <f>(J229/L229)*100</f>
        <v/>
      </c>
      <c r="J229" s="159">
        <f>L229/O229</f>
        <v/>
      </c>
      <c r="K229" s="159" t="n">
        <v>7.22</v>
      </c>
      <c r="L229" s="159" t="n">
        <v>18781.95</v>
      </c>
      <c r="M229" s="159" t="n">
        <v>4.39</v>
      </c>
      <c r="N229" s="159">
        <f>K229-I229</f>
        <v/>
      </c>
      <c r="O229" s="159" t="n">
        <v>22.47</v>
      </c>
      <c r="P229" s="159" t="n">
        <v>3.49</v>
      </c>
      <c r="Q229" s="159">
        <f>K229-P229</f>
        <v/>
      </c>
      <c r="R229" s="159" t="n">
        <v>104.55</v>
      </c>
      <c r="S229" s="159">
        <f>(O229*T229)/100</f>
        <v/>
      </c>
      <c r="T229" s="157" t="n">
        <v>6.37</v>
      </c>
      <c r="U229" s="157" t="n">
        <v>12289.6</v>
      </c>
      <c r="V229" s="157" t="n">
        <v>26.73</v>
      </c>
      <c r="W229" s="159">
        <f>U229/V229</f>
        <v/>
      </c>
      <c r="X229" s="159">
        <f>(W229/U229)*100</f>
        <v/>
      </c>
      <c r="Y229" s="157" t="n">
        <v>9758.15</v>
      </c>
      <c r="Z229" s="157" t="n">
        <v>19.28</v>
      </c>
      <c r="AA229" s="159">
        <f>Y229/Z229</f>
        <v/>
      </c>
      <c r="AB229" s="159">
        <f>(AA229/Y229)*100</f>
        <v/>
      </c>
    </row>
    <row r="230" ht="12.95" customHeight="1">
      <c r="A230" s="155" t="n">
        <v>229</v>
      </c>
      <c r="B230" s="160" t="n">
        <v>44900</v>
      </c>
      <c r="C230" s="159" t="n">
        <v>29121652.07</v>
      </c>
      <c r="D230" s="174">
        <f>C230/E230</f>
        <v/>
      </c>
      <c r="E230" s="159" t="n">
        <v>81.89</v>
      </c>
      <c r="F230" s="159">
        <f>D230/100000</f>
        <v/>
      </c>
      <c r="G230" s="159">
        <f>(F230/DataSheet!$C$9*100)</f>
        <v/>
      </c>
      <c r="H230" s="159">
        <f>K230/I230</f>
        <v/>
      </c>
      <c r="I230" s="159">
        <f>(J230/L230)*100</f>
        <v/>
      </c>
      <c r="J230" s="159">
        <f>L230/O230</f>
        <v/>
      </c>
      <c r="K230" s="159" t="n">
        <v>7.22</v>
      </c>
      <c r="L230" s="159" t="n">
        <v>18701.05</v>
      </c>
      <c r="M230" s="159" t="n">
        <v>4.39</v>
      </c>
      <c r="N230" s="159">
        <f>K230-I230</f>
        <v/>
      </c>
      <c r="O230" s="159" t="n">
        <v>22.47</v>
      </c>
      <c r="P230" s="159" t="n">
        <v>3.58</v>
      </c>
      <c r="Q230" s="159">
        <f>K230-P230</f>
        <v/>
      </c>
      <c r="R230" s="159" t="n">
        <v>105.29</v>
      </c>
      <c r="S230" s="159">
        <f>(O230*T230)/100</f>
        <v/>
      </c>
      <c r="T230" s="157" t="n">
        <v>6.36</v>
      </c>
      <c r="U230" s="157" t="n">
        <v>12298.5</v>
      </c>
      <c r="V230" s="157" t="n">
        <v>26.75</v>
      </c>
      <c r="W230" s="159">
        <f>U230/V230</f>
        <v/>
      </c>
      <c r="X230" s="159">
        <f>(W230/U230)*100</f>
        <v/>
      </c>
      <c r="Y230" s="157" t="n">
        <v>9790.5</v>
      </c>
      <c r="Z230" s="157" t="n">
        <v>19.34</v>
      </c>
      <c r="AA230" s="159">
        <f>Y230/Z230</f>
        <v/>
      </c>
      <c r="AB230" s="159">
        <f>(AA230/Y230)*100</f>
        <v/>
      </c>
    </row>
    <row r="231" ht="12.95" customHeight="1">
      <c r="A231" s="155" t="n">
        <v>230</v>
      </c>
      <c r="B231" s="160" t="n">
        <v>44901</v>
      </c>
      <c r="C231" s="159" t="n">
        <v>29079423.52</v>
      </c>
      <c r="D231" s="174">
        <f>C231/E231</f>
        <v/>
      </c>
      <c r="E231" s="159" t="n">
        <v>82.48</v>
      </c>
      <c r="F231" s="159">
        <f>D231/100000</f>
        <v/>
      </c>
      <c r="G231" s="159">
        <f>(F231/DataSheet!$C$9*100)</f>
        <v/>
      </c>
      <c r="H231" s="159">
        <f>K231/I231</f>
        <v/>
      </c>
      <c r="I231" s="159">
        <f>(J231/L231)*100</f>
        <v/>
      </c>
      <c r="J231" s="159">
        <f>L231/O231</f>
        <v/>
      </c>
      <c r="K231" s="159" t="n">
        <v>7.24</v>
      </c>
      <c r="L231" s="159" t="n">
        <v>18642.75</v>
      </c>
      <c r="M231" s="159" t="n">
        <v>4.38</v>
      </c>
      <c r="N231" s="159">
        <f>K231-I231</f>
        <v/>
      </c>
      <c r="O231" s="159" t="n">
        <v>22.4</v>
      </c>
      <c r="P231" s="159" t="n">
        <v>3.53</v>
      </c>
      <c r="Q231" s="159">
        <f>K231-P231</f>
        <v/>
      </c>
      <c r="R231" s="159" t="n">
        <v>105.58</v>
      </c>
      <c r="S231" s="159">
        <f>(O231*T231)/100</f>
        <v/>
      </c>
      <c r="T231" s="157" t="n">
        <v>6.36</v>
      </c>
      <c r="U231" s="157" t="n">
        <v>12239.3</v>
      </c>
      <c r="V231" s="157" t="n">
        <v>26.62</v>
      </c>
      <c r="W231" s="159">
        <f>U231/V231</f>
        <v/>
      </c>
      <c r="X231" s="159">
        <f>(W231/U231)*100</f>
        <v/>
      </c>
      <c r="Y231" s="157" t="n">
        <v>9767.5</v>
      </c>
      <c r="Z231" s="157" t="n">
        <v>19.3</v>
      </c>
      <c r="AA231" s="159">
        <f>Y231/Z231</f>
        <v/>
      </c>
      <c r="AB231" s="159">
        <f>(AA231/Y231)*100</f>
        <v/>
      </c>
    </row>
    <row r="232" ht="12.95" customHeight="1">
      <c r="A232" s="155" t="n">
        <v>231</v>
      </c>
      <c r="B232" s="160" t="n">
        <v>44902</v>
      </c>
      <c r="C232" s="159" t="n">
        <v>28983371.75</v>
      </c>
      <c r="D232" s="174">
        <f>C232/E232</f>
        <v/>
      </c>
      <c r="E232" s="159" t="n">
        <v>82.2</v>
      </c>
      <c r="F232" s="159">
        <f>D232/100000</f>
        <v/>
      </c>
      <c r="G232" s="159">
        <f>(F232/DataSheet!$C$9*100)</f>
        <v/>
      </c>
      <c r="H232" s="159">
        <f>K232/I232</f>
        <v/>
      </c>
      <c r="I232" s="159">
        <f>(J232/L232)*100</f>
        <v/>
      </c>
      <c r="J232" s="159">
        <f>L232/O232</f>
        <v/>
      </c>
      <c r="K232" s="159" t="n">
        <v>7.26</v>
      </c>
      <c r="L232" s="159" t="n">
        <v>18560.5</v>
      </c>
      <c r="M232" s="159" t="n">
        <v>4.36</v>
      </c>
      <c r="N232" s="159">
        <f>K232-I232</f>
        <v/>
      </c>
      <c r="O232" s="159" t="n">
        <v>22.31</v>
      </c>
      <c r="P232" s="159" t="n">
        <v>3.42</v>
      </c>
      <c r="Q232" s="159">
        <f>K232-P232</f>
        <v/>
      </c>
      <c r="R232" s="159" t="n">
        <v>105.1</v>
      </c>
      <c r="S232" s="159">
        <f>(O232*T232)/100</f>
        <v/>
      </c>
      <c r="T232" s="157" t="n">
        <v>6.4</v>
      </c>
      <c r="U232" s="157" t="n">
        <v>12178.85</v>
      </c>
      <c r="V232" s="157" t="n">
        <v>26.49</v>
      </c>
      <c r="W232" s="159">
        <f>U232/V232</f>
        <v/>
      </c>
      <c r="X232" s="159">
        <f>(W232/U232)*100</f>
        <v/>
      </c>
      <c r="Y232" s="157" t="n">
        <v>9729.65</v>
      </c>
      <c r="Z232" s="157" t="n">
        <v>19.22</v>
      </c>
      <c r="AA232" s="159">
        <f>Y232/Z232</f>
        <v/>
      </c>
      <c r="AB232" s="159">
        <f>(AA232/Y232)*100</f>
        <v/>
      </c>
    </row>
    <row r="233" ht="12.95" customHeight="1">
      <c r="A233" s="155" t="n">
        <v>232</v>
      </c>
      <c r="B233" s="160" t="n">
        <v>44903</v>
      </c>
      <c r="C233" s="159" t="n">
        <v>29056039.68</v>
      </c>
      <c r="D233" s="174">
        <f>C233/E233</f>
        <v/>
      </c>
      <c r="E233" s="159" t="n">
        <v>82.28</v>
      </c>
      <c r="F233" s="159">
        <f>D233/100000</f>
        <v/>
      </c>
      <c r="G233" s="159">
        <f>(F233/DataSheet!$C$9*100)</f>
        <v/>
      </c>
      <c r="H233" s="159">
        <f>K233/I233</f>
        <v/>
      </c>
      <c r="I233" s="159">
        <f>(J233/L233)*100</f>
        <v/>
      </c>
      <c r="J233" s="159">
        <f>L233/O233</f>
        <v/>
      </c>
      <c r="K233" s="159" t="n">
        <v>7.28</v>
      </c>
      <c r="L233" s="159" t="n">
        <v>18609.35</v>
      </c>
      <c r="M233" s="159" t="n">
        <v>4.37</v>
      </c>
      <c r="N233" s="159">
        <f>K233-I233</f>
        <v/>
      </c>
      <c r="O233" s="159" t="n">
        <v>22.36</v>
      </c>
      <c r="P233" s="159" t="n">
        <v>3.48</v>
      </c>
      <c r="Q233" s="159">
        <f>K233-P233</f>
        <v/>
      </c>
      <c r="R233" s="159" t="n">
        <v>104.77</v>
      </c>
      <c r="S233" s="159">
        <f>(O233*T233)/100</f>
        <v/>
      </c>
      <c r="T233" s="157" t="n">
        <v>6.4</v>
      </c>
      <c r="U233" s="157" t="n">
        <v>12237.05</v>
      </c>
      <c r="V233" s="157" t="n">
        <v>26.62</v>
      </c>
      <c r="W233" s="159">
        <f>U233/V233</f>
        <v/>
      </c>
      <c r="X233" s="159">
        <f>(W233/U233)*100</f>
        <v/>
      </c>
      <c r="Y233" s="157" t="n">
        <v>9783.200000000001</v>
      </c>
      <c r="Z233" s="157" t="n">
        <v>19.33</v>
      </c>
      <c r="AA233" s="159">
        <f>Y233/Z233</f>
        <v/>
      </c>
      <c r="AB233" s="159">
        <f>(AA233/Y233)*100</f>
        <v/>
      </c>
    </row>
    <row r="234" ht="12.95" customHeight="1">
      <c r="A234" s="155" t="n">
        <v>233</v>
      </c>
      <c r="B234" s="160" t="n">
        <v>44904</v>
      </c>
      <c r="C234" s="159" t="n">
        <v>28918266.54</v>
      </c>
      <c r="D234" s="174">
        <f>C234/E234</f>
        <v/>
      </c>
      <c r="E234" s="159" t="n">
        <v>82.41</v>
      </c>
      <c r="F234" s="159">
        <f>D234/100000</f>
        <v/>
      </c>
      <c r="G234" s="159">
        <f>(F234/DataSheet!$C$9*100)</f>
        <v/>
      </c>
      <c r="H234" s="159">
        <f>K234/I234</f>
        <v/>
      </c>
      <c r="I234" s="159">
        <f>(J234/L234)*100</f>
        <v/>
      </c>
      <c r="J234" s="159">
        <f>L234/O234</f>
        <v/>
      </c>
      <c r="K234" s="159" t="n">
        <v>7.29</v>
      </c>
      <c r="L234" s="159" t="n">
        <v>18496.6</v>
      </c>
      <c r="M234" s="159" t="n">
        <v>4.34</v>
      </c>
      <c r="N234" s="159">
        <f>K234-I234</f>
        <v/>
      </c>
      <c r="O234" s="159" t="n">
        <v>22.23</v>
      </c>
      <c r="P234" s="159" t="n">
        <v>3.58</v>
      </c>
      <c r="Q234" s="159">
        <f>K234-P234</f>
        <v/>
      </c>
      <c r="R234" s="159" t="n">
        <v>104.81</v>
      </c>
      <c r="S234" s="159">
        <f>(O234*T234)/100</f>
        <v/>
      </c>
      <c r="T234" s="157" t="n">
        <v>6.38</v>
      </c>
      <c r="U234" s="157" t="n">
        <v>12181.6</v>
      </c>
      <c r="V234" s="157" t="n">
        <v>26.5</v>
      </c>
      <c r="W234" s="159">
        <f>U234/V234</f>
        <v/>
      </c>
      <c r="X234" s="159">
        <f>(W234/U234)*100</f>
        <v/>
      </c>
      <c r="Y234" s="157" t="n">
        <v>9681.799999999999</v>
      </c>
      <c r="Z234" s="157" t="n">
        <v>19.13</v>
      </c>
      <c r="AA234" s="159">
        <f>Y234/Z234</f>
        <v/>
      </c>
      <c r="AB234" s="159">
        <f>(AA234/Y234)*100</f>
        <v/>
      </c>
    </row>
    <row r="235" ht="12.95" customHeight="1">
      <c r="A235" s="155" t="n">
        <v>234</v>
      </c>
      <c r="B235" s="160" t="n">
        <v>44907</v>
      </c>
      <c r="C235" s="159" t="n">
        <v>28917889.93</v>
      </c>
      <c r="D235" s="174">
        <f>C235/E235</f>
        <v/>
      </c>
      <c r="E235" s="159" t="n">
        <v>82.63</v>
      </c>
      <c r="F235" s="159">
        <f>D235/100000</f>
        <v/>
      </c>
      <c r="G235" s="159">
        <f>(F235/DataSheet!$C$9*100)</f>
        <v/>
      </c>
      <c r="H235" s="159">
        <f>K235/I235</f>
        <v/>
      </c>
      <c r="I235" s="159">
        <f>(J235/L235)*100</f>
        <v/>
      </c>
      <c r="J235" s="159">
        <f>L235/O235</f>
        <v/>
      </c>
      <c r="K235" s="159" t="n">
        <v>7.29</v>
      </c>
      <c r="L235" s="159" t="n">
        <v>18497.15</v>
      </c>
      <c r="M235" s="159" t="n">
        <v>4.34</v>
      </c>
      <c r="N235" s="159">
        <f>K235-I235</f>
        <v/>
      </c>
      <c r="O235" s="159" t="n">
        <v>22.23</v>
      </c>
      <c r="P235" s="159" t="n">
        <v>3.61</v>
      </c>
      <c r="Q235" s="159">
        <f>K235-P235</f>
        <v/>
      </c>
      <c r="R235" s="159" t="n">
        <v>105.13</v>
      </c>
      <c r="S235" s="159">
        <f>(O235*T235)/100</f>
        <v/>
      </c>
      <c r="T235" s="157" t="n">
        <v>6.4</v>
      </c>
      <c r="U235" s="157" t="n">
        <v>12218.95</v>
      </c>
      <c r="V235" s="157" t="n">
        <v>26.58</v>
      </c>
      <c r="W235" s="159">
        <f>U235/V235</f>
        <v/>
      </c>
      <c r="X235" s="159">
        <f>(W235/U235)*100</f>
        <v/>
      </c>
      <c r="Y235" s="157" t="n">
        <v>9733.25</v>
      </c>
      <c r="Z235" s="157" t="n">
        <v>19.23</v>
      </c>
      <c r="AA235" s="159">
        <f>Y235/Z235</f>
        <v/>
      </c>
      <c r="AB235" s="159">
        <f>(AA235/Y235)*100</f>
        <v/>
      </c>
    </row>
    <row r="236" ht="12.95" customHeight="1">
      <c r="A236" s="155" t="n">
        <v>235</v>
      </c>
      <c r="B236" s="160" t="n">
        <v>44908</v>
      </c>
      <c r="C236" s="159" t="n">
        <v>29087813.71</v>
      </c>
      <c r="D236" s="174">
        <f>C236/E236</f>
        <v/>
      </c>
      <c r="E236" s="159" t="n">
        <v>82.37</v>
      </c>
      <c r="F236" s="159">
        <f>D236/100000</f>
        <v/>
      </c>
      <c r="G236" s="159">
        <f>(F236/DataSheet!$C$9*100)</f>
        <v/>
      </c>
      <c r="H236" s="159">
        <f>K236/I236</f>
        <v/>
      </c>
      <c r="I236" s="159">
        <f>(J236/L236)*100</f>
        <v/>
      </c>
      <c r="J236" s="159">
        <f>L236/O236</f>
        <v/>
      </c>
      <c r="K236" s="159" t="n">
        <v>7.26</v>
      </c>
      <c r="L236" s="159" t="n">
        <v>18608</v>
      </c>
      <c r="M236" s="159" t="n">
        <v>4.37</v>
      </c>
      <c r="N236" s="159">
        <f>K236-I236</f>
        <v/>
      </c>
      <c r="O236" s="159" t="n">
        <v>22.36</v>
      </c>
      <c r="P236" s="159" t="n">
        <v>3.5</v>
      </c>
      <c r="Q236" s="159">
        <f>K236-P236</f>
        <v/>
      </c>
      <c r="R236" s="159" t="n">
        <v>103.98</v>
      </c>
      <c r="S236" s="159">
        <f>(O236*T236)/100</f>
        <v/>
      </c>
      <c r="T236" s="157" t="n">
        <v>6.37</v>
      </c>
      <c r="U236" s="157" t="n">
        <v>12270.45</v>
      </c>
      <c r="V236" s="157" t="n">
        <v>26.69</v>
      </c>
      <c r="W236" s="159">
        <f>U236/V236</f>
        <v/>
      </c>
      <c r="X236" s="159">
        <f>(W236/U236)*100</f>
        <v/>
      </c>
      <c r="Y236" s="157" t="n">
        <v>9788.700000000001</v>
      </c>
      <c r="Z236" s="157" t="n">
        <v>19.34</v>
      </c>
      <c r="AA236" s="159">
        <f>Y236/Z236</f>
        <v/>
      </c>
      <c r="AB236" s="159">
        <f>(AA236/Y236)*100</f>
        <v/>
      </c>
    </row>
    <row r="237" ht="12.95" customHeight="1">
      <c r="A237" s="155" t="n">
        <v>236</v>
      </c>
      <c r="B237" s="160" t="n">
        <v>44909</v>
      </c>
      <c r="C237" s="159" t="n">
        <v>29211638.35</v>
      </c>
      <c r="D237" s="174">
        <f>C237/E237</f>
        <v/>
      </c>
      <c r="E237" s="159" t="n">
        <v>82.47</v>
      </c>
      <c r="F237" s="159">
        <f>D237/100000</f>
        <v/>
      </c>
      <c r="G237" s="159">
        <f>(F237/DataSheet!$C$9*100)</f>
        <v/>
      </c>
      <c r="H237" s="159">
        <f>K237/I237</f>
        <v/>
      </c>
      <c r="I237" s="159">
        <f>(J237/L237)*100</f>
        <v/>
      </c>
      <c r="J237" s="159">
        <f>L237/O237</f>
        <v/>
      </c>
      <c r="K237" s="159" t="n">
        <v>7.22</v>
      </c>
      <c r="L237" s="159" t="n">
        <v>18660.3</v>
      </c>
      <c r="M237" s="159" t="n">
        <v>4.38</v>
      </c>
      <c r="N237" s="159">
        <f>K237-I237</f>
        <v/>
      </c>
      <c r="O237" s="159" t="n">
        <v>22.43</v>
      </c>
      <c r="P237" s="159" t="n">
        <v>3.47</v>
      </c>
      <c r="Q237" s="159">
        <f>K237-P237</f>
        <v/>
      </c>
      <c r="R237" s="159" t="n">
        <v>103.77</v>
      </c>
      <c r="S237" s="159">
        <f>(O237*T237)/100</f>
        <v/>
      </c>
      <c r="T237" s="157" t="n">
        <v>6.41</v>
      </c>
      <c r="U237" s="157" t="n">
        <v>12349.7</v>
      </c>
      <c r="V237" s="157" t="n">
        <v>26.86</v>
      </c>
      <c r="W237" s="159">
        <f>U237/V237</f>
        <v/>
      </c>
      <c r="X237" s="159">
        <f>(W237/U237)*100</f>
        <v/>
      </c>
      <c r="Y237" s="157" t="n">
        <v>9852.65</v>
      </c>
      <c r="Z237" s="157" t="n">
        <v>19.47</v>
      </c>
      <c r="AA237" s="159">
        <f>Y237/Z237</f>
        <v/>
      </c>
      <c r="AB237" s="159">
        <f>(AA237/Y237)*100</f>
        <v/>
      </c>
    </row>
    <row r="238" ht="12.95" customHeight="1">
      <c r="A238" s="155" t="n">
        <v>237</v>
      </c>
      <c r="B238" s="160" t="n">
        <v>44910</v>
      </c>
      <c r="C238" s="159" t="n">
        <v>28934812.59</v>
      </c>
      <c r="D238" s="174">
        <f>C238/E238</f>
        <v/>
      </c>
      <c r="E238" s="159" t="n">
        <v>82.84</v>
      </c>
      <c r="F238" s="159">
        <f>D238/100000</f>
        <v/>
      </c>
      <c r="G238" s="159">
        <f>(F238/DataSheet!$C$9*100)</f>
        <v/>
      </c>
      <c r="H238" s="159">
        <f>K238/I238</f>
        <v/>
      </c>
      <c r="I238" s="159">
        <f>(J238/L238)*100</f>
        <v/>
      </c>
      <c r="J238" s="159">
        <f>L238/O238</f>
        <v/>
      </c>
      <c r="K238" s="159" t="n">
        <v>7.26</v>
      </c>
      <c r="L238" s="159" t="n">
        <v>18414.9</v>
      </c>
      <c r="M238" s="159" t="n">
        <v>4.32</v>
      </c>
      <c r="N238" s="159">
        <f>K238-I238</f>
        <v/>
      </c>
      <c r="O238" s="159" t="n">
        <v>22.13</v>
      </c>
      <c r="P238" s="159" t="n">
        <v>3.45</v>
      </c>
      <c r="Q238" s="159">
        <f>K238-P238</f>
        <v/>
      </c>
      <c r="R238" s="159" t="n">
        <v>104.56</v>
      </c>
      <c r="S238" s="159">
        <f>(O238*T238)/100</f>
        <v/>
      </c>
      <c r="T238" s="157" t="n">
        <v>6.42</v>
      </c>
      <c r="U238" s="157" t="n">
        <v>12237.9</v>
      </c>
      <c r="V238" s="157" t="n">
        <v>26.62</v>
      </c>
      <c r="W238" s="159">
        <f>U238/V238</f>
        <v/>
      </c>
      <c r="X238" s="159">
        <f>(W238/U238)*100</f>
        <v/>
      </c>
      <c r="Y238" s="157" t="n">
        <v>9810.200000000001</v>
      </c>
      <c r="Z238" s="157" t="n">
        <v>19.38</v>
      </c>
      <c r="AA238" s="159">
        <f>Y238/Z238</f>
        <v/>
      </c>
      <c r="AB238" s="159">
        <f>(AA238/Y238)*100</f>
        <v/>
      </c>
    </row>
    <row r="239" ht="12.95" customHeight="1">
      <c r="A239" s="155" t="n">
        <v>238</v>
      </c>
      <c r="B239" s="160" t="n">
        <v>44911</v>
      </c>
      <c r="C239" s="159" t="n">
        <v>28634300.27</v>
      </c>
      <c r="D239" s="174">
        <f>C239/E239</f>
        <v/>
      </c>
      <c r="E239" s="159" t="n">
        <v>82.7</v>
      </c>
      <c r="F239" s="159">
        <f>D239/100000</f>
        <v/>
      </c>
      <c r="G239" s="159">
        <f>(F239/DataSheet!$C$9*100)</f>
        <v/>
      </c>
      <c r="H239" s="159">
        <f>K239/I239</f>
        <v/>
      </c>
      <c r="I239" s="159">
        <f>(J239/L239)*100</f>
        <v/>
      </c>
      <c r="J239" s="159">
        <f>L239/O239</f>
        <v/>
      </c>
      <c r="K239" s="159" t="n">
        <v>7.27</v>
      </c>
      <c r="L239" s="159" t="n">
        <v>18269</v>
      </c>
      <c r="M239" s="159" t="n">
        <v>4.29</v>
      </c>
      <c r="N239" s="159">
        <f>K239-I239</f>
        <v/>
      </c>
      <c r="O239" s="159" t="n">
        <v>21.96</v>
      </c>
      <c r="P239" s="159" t="n">
        <v>3.48</v>
      </c>
      <c r="Q239" s="159">
        <f>K239-P239</f>
        <v/>
      </c>
      <c r="R239" s="159" t="n">
        <v>104.7</v>
      </c>
      <c r="S239" s="159">
        <f>(O239*T239)/100</f>
        <v/>
      </c>
      <c r="T239" s="157" t="n">
        <v>6.42</v>
      </c>
      <c r="U239" s="157" t="n">
        <v>12061.25</v>
      </c>
      <c r="V239" s="157" t="n">
        <v>26.24</v>
      </c>
      <c r="W239" s="159">
        <f>U239/V239</f>
        <v/>
      </c>
      <c r="X239" s="159">
        <f>(W239/U239)*100</f>
        <v/>
      </c>
      <c r="Y239" s="157" t="n">
        <v>9732.299999999999</v>
      </c>
      <c r="Z239" s="157" t="n">
        <v>19.23</v>
      </c>
      <c r="AA239" s="159">
        <f>Y239/Z239</f>
        <v/>
      </c>
      <c r="AB239" s="159">
        <f>(AA239/Y239)*100</f>
        <v/>
      </c>
    </row>
    <row r="240" ht="12.95" customHeight="1">
      <c r="A240" s="155" t="n">
        <v>239</v>
      </c>
      <c r="B240" s="160" t="n">
        <v>44914</v>
      </c>
      <c r="C240" s="159" t="n">
        <v>28863824.61</v>
      </c>
      <c r="D240" s="174">
        <f>C240/E240</f>
        <v/>
      </c>
      <c r="E240" s="159" t="n">
        <v>82.64</v>
      </c>
      <c r="F240" s="159">
        <f>D240/100000</f>
        <v/>
      </c>
      <c r="G240" s="159">
        <f>(F240/DataSheet!$C$9*100)</f>
        <v/>
      </c>
      <c r="H240" s="159">
        <f>K240/I240</f>
        <v/>
      </c>
      <c r="I240" s="159">
        <f>(J240/L240)*100</f>
        <v/>
      </c>
      <c r="J240" s="159">
        <f>L240/O240</f>
        <v/>
      </c>
      <c r="K240" s="159" t="n">
        <v>7.29</v>
      </c>
      <c r="L240" s="159" t="n">
        <v>18420.45</v>
      </c>
      <c r="M240" s="159" t="n">
        <v>4.32</v>
      </c>
      <c r="N240" s="159">
        <f>K240-I240</f>
        <v/>
      </c>
      <c r="O240" s="159" t="n">
        <v>22.14</v>
      </c>
      <c r="P240" s="159" t="n">
        <v>3.59</v>
      </c>
      <c r="Q240" s="159">
        <f>K240-P240</f>
        <v/>
      </c>
      <c r="R240" s="159" t="n">
        <v>104.59</v>
      </c>
      <c r="S240" s="159">
        <f>(O240*T240)/100</f>
        <v/>
      </c>
      <c r="T240" s="157" t="n">
        <v>6.43</v>
      </c>
      <c r="U240" s="157" t="n">
        <v>12118.95</v>
      </c>
      <c r="V240" s="157" t="n">
        <v>26.36</v>
      </c>
      <c r="W240" s="159">
        <f>U240/V240</f>
        <v/>
      </c>
      <c r="X240" s="159">
        <f>(W240/U240)*100</f>
        <v/>
      </c>
      <c r="Y240" s="157" t="n">
        <v>9761.450000000001</v>
      </c>
      <c r="Z240" s="157" t="n">
        <v>19.28</v>
      </c>
      <c r="AA240" s="159">
        <f>Y240/Z240</f>
        <v/>
      </c>
      <c r="AB240" s="159">
        <f>(AA240/Y240)*100</f>
        <v/>
      </c>
    </row>
    <row r="241" ht="12.95" customHeight="1">
      <c r="A241" s="155" t="n">
        <v>240</v>
      </c>
      <c r="B241" s="160" t="n">
        <v>44915</v>
      </c>
      <c r="C241" s="159" t="n">
        <v>28827518.88</v>
      </c>
      <c r="D241" s="174">
        <f>C241/E241</f>
        <v/>
      </c>
      <c r="E241" s="159" t="n">
        <v>82.59999999999999</v>
      </c>
      <c r="F241" s="159">
        <f>D241/100000</f>
        <v/>
      </c>
      <c r="G241" s="159">
        <f>(F241/DataSheet!$C$9*100)</f>
        <v/>
      </c>
      <c r="H241" s="159">
        <f>K241/I241</f>
        <v/>
      </c>
      <c r="I241" s="159">
        <f>(J241/L241)*100</f>
        <v/>
      </c>
      <c r="J241" s="159">
        <f>L241/O241</f>
        <v/>
      </c>
      <c r="K241" s="159" t="n">
        <v>7.29</v>
      </c>
      <c r="L241" s="159" t="n">
        <v>18385.3</v>
      </c>
      <c r="M241" s="159" t="n">
        <v>4.32</v>
      </c>
      <c r="N241" s="159">
        <f>K241-I241</f>
        <v/>
      </c>
      <c r="O241" s="159" t="n">
        <v>22.1</v>
      </c>
      <c r="P241" s="159" t="n">
        <v>3.69</v>
      </c>
      <c r="Q241" s="159">
        <f>K241-P241</f>
        <v/>
      </c>
      <c r="R241" s="159" t="n">
        <v>103.6</v>
      </c>
      <c r="S241" s="159">
        <f>(O241*T241)/100</f>
        <v/>
      </c>
      <c r="T241" s="157" t="n">
        <v>6.43</v>
      </c>
      <c r="U241" s="157" t="n">
        <v>12098.55</v>
      </c>
      <c r="V241" s="157" t="n">
        <v>26.32</v>
      </c>
      <c r="W241" s="159">
        <f>U241/V241</f>
        <v/>
      </c>
      <c r="X241" s="159">
        <f>(W241/U241)*100</f>
        <v/>
      </c>
      <c r="Y241" s="157" t="n">
        <v>9741.25</v>
      </c>
      <c r="Z241" s="157" t="n">
        <v>19.24</v>
      </c>
      <c r="AA241" s="159">
        <f>Y241/Z241</f>
        <v/>
      </c>
      <c r="AB241" s="159">
        <f>(AA241/Y241)*100</f>
        <v/>
      </c>
    </row>
    <row r="242" ht="12.95" customHeight="1">
      <c r="A242" s="155" t="n">
        <v>241</v>
      </c>
      <c r="B242" s="160" t="n">
        <v>44916</v>
      </c>
      <c r="C242" s="159" t="n">
        <v>28382083.09</v>
      </c>
      <c r="D242" s="174">
        <f>C242/E242</f>
        <v/>
      </c>
      <c r="E242" s="159" t="n">
        <v>82.88</v>
      </c>
      <c r="F242" s="159">
        <f>D242/100000</f>
        <v/>
      </c>
      <c r="G242" s="159">
        <f>(F242/DataSheet!$C$9*100)</f>
        <v/>
      </c>
      <c r="H242" s="159">
        <f>K242/I242</f>
        <v/>
      </c>
      <c r="I242" s="159">
        <f>(J242/L242)*100</f>
        <v/>
      </c>
      <c r="J242" s="159">
        <f>L242/O242</f>
        <v/>
      </c>
      <c r="K242" s="159" t="n">
        <v>7.28</v>
      </c>
      <c r="L242" s="159" t="n">
        <v>18199.1</v>
      </c>
      <c r="M242" s="159" t="n">
        <v>4.27</v>
      </c>
      <c r="N242" s="159">
        <f>K242-I242</f>
        <v/>
      </c>
      <c r="O242" s="159" t="n">
        <v>21.87</v>
      </c>
      <c r="P242" s="159" t="n">
        <v>3.67</v>
      </c>
      <c r="Q242" s="159">
        <f>K242-P242</f>
        <v/>
      </c>
      <c r="R242" s="159" t="n">
        <v>103.84</v>
      </c>
      <c r="S242" s="159">
        <f>(O242*T242)/100</f>
        <v/>
      </c>
      <c r="T242" s="157" t="n">
        <v>6.46</v>
      </c>
      <c r="U242" s="157" t="n">
        <v>11908.15</v>
      </c>
      <c r="V242" s="157" t="n">
        <v>25.9</v>
      </c>
      <c r="W242" s="159">
        <f>U242/V242</f>
        <v/>
      </c>
      <c r="X242" s="159">
        <f>(W242/U242)*100</f>
        <v/>
      </c>
      <c r="Y242" s="157" t="n">
        <v>9540</v>
      </c>
      <c r="Z242" s="157" t="n">
        <v>18.85</v>
      </c>
      <c r="AA242" s="159">
        <f>Y242/Z242</f>
        <v/>
      </c>
      <c r="AB242" s="159">
        <f>(AA242/Y242)*100</f>
        <v/>
      </c>
    </row>
    <row r="243" ht="12.95" customHeight="1">
      <c r="A243" s="155" t="n">
        <v>242</v>
      </c>
      <c r="B243" s="160" t="n">
        <v>44917</v>
      </c>
      <c r="C243" s="159" t="n">
        <v>28142937.85</v>
      </c>
      <c r="D243" s="174">
        <f>C243/E243</f>
        <v/>
      </c>
      <c r="E243" s="159" t="n">
        <v>82.95999999999999</v>
      </c>
      <c r="F243" s="159">
        <f>D243/100000</f>
        <v/>
      </c>
      <c r="G243" s="159">
        <f>(F243/DataSheet!$C$9*100)</f>
        <v/>
      </c>
      <c r="H243" s="159">
        <f>K243/I243</f>
        <v/>
      </c>
      <c r="I243" s="159">
        <f>(J243/L243)*100</f>
        <v/>
      </c>
      <c r="J243" s="159">
        <f>L243/O243</f>
        <v/>
      </c>
      <c r="K243" s="159" t="n">
        <v>7.31</v>
      </c>
      <c r="L243" s="159" t="n">
        <v>18127.35</v>
      </c>
      <c r="M243" s="159" t="n">
        <v>4.26</v>
      </c>
      <c r="N243" s="159">
        <f>K243-I243</f>
        <v/>
      </c>
      <c r="O243" s="159" t="n">
        <v>21.79</v>
      </c>
      <c r="P243" s="159" t="n">
        <v>3.68</v>
      </c>
      <c r="Q243" s="159">
        <f>K243-P243</f>
        <v/>
      </c>
      <c r="R243" s="159" t="n">
        <v>104.12</v>
      </c>
      <c r="S243" s="159">
        <f>(O243*T243)/100</f>
        <v/>
      </c>
      <c r="T243" s="157" t="n">
        <v>6.38</v>
      </c>
      <c r="U243" s="157" t="n">
        <v>11797.05</v>
      </c>
      <c r="V243" s="157" t="n">
        <v>25.66</v>
      </c>
      <c r="W243" s="159">
        <f>U243/V243</f>
        <v/>
      </c>
      <c r="X243" s="159">
        <f>(W243/U243)*100</f>
        <v/>
      </c>
      <c r="Y243" s="157" t="n">
        <v>9373.85</v>
      </c>
      <c r="Z243" s="157" t="n">
        <v>18.52</v>
      </c>
      <c r="AA243" s="159">
        <f>Y243/Z243</f>
        <v/>
      </c>
      <c r="AB243" s="159">
        <f>(AA243/Y243)*100</f>
        <v/>
      </c>
    </row>
    <row r="244" ht="12.95" customHeight="1">
      <c r="A244" s="155" t="n">
        <v>243</v>
      </c>
      <c r="B244" s="160" t="n">
        <v>44918</v>
      </c>
      <c r="C244" s="159" t="n">
        <v>27298446.79</v>
      </c>
      <c r="D244" s="174">
        <f>C244/E244</f>
        <v/>
      </c>
      <c r="E244" s="159" t="n">
        <v>82.78</v>
      </c>
      <c r="F244" s="159">
        <f>D244/100000</f>
        <v/>
      </c>
      <c r="G244" s="159">
        <f>(F244/DataSheet!$C$9*100)</f>
        <v/>
      </c>
      <c r="H244" s="159">
        <f>K244/I244</f>
        <v/>
      </c>
      <c r="I244" s="159">
        <f>(J244/L244)*100</f>
        <v/>
      </c>
      <c r="J244" s="159">
        <f>L244/O244</f>
        <v/>
      </c>
      <c r="K244" s="159" t="n">
        <v>7.31</v>
      </c>
      <c r="L244" s="159" t="n">
        <v>17806.8</v>
      </c>
      <c r="M244" s="159" t="n">
        <v>4.18</v>
      </c>
      <c r="N244" s="159">
        <f>K244-I244</f>
        <v/>
      </c>
      <c r="O244" s="159" t="n">
        <v>21.4</v>
      </c>
      <c r="P244" s="159" t="n">
        <v>3.71</v>
      </c>
      <c r="Q244" s="159">
        <f>K244-P244</f>
        <v/>
      </c>
      <c r="R244" s="159" t="n">
        <v>103.95</v>
      </c>
      <c r="S244" s="159">
        <f>(O244*T244)/100</f>
        <v/>
      </c>
      <c r="T244" s="157" t="n">
        <v>6.39</v>
      </c>
      <c r="U244" s="157" t="n">
        <v>11383.05</v>
      </c>
      <c r="V244" s="157" t="n">
        <v>24.76</v>
      </c>
      <c r="W244" s="159">
        <f>U244/V244</f>
        <v/>
      </c>
      <c r="X244" s="159">
        <f>(W244/U244)*100</f>
        <v/>
      </c>
      <c r="Y244" s="157" t="n">
        <v>8962.5</v>
      </c>
      <c r="Z244" s="157" t="n">
        <v>17.71</v>
      </c>
      <c r="AA244" s="159">
        <f>Y244/Z244</f>
        <v/>
      </c>
      <c r="AB244" s="159">
        <f>(AA244/Y244)*100</f>
        <v/>
      </c>
    </row>
    <row r="245" ht="12.95" customHeight="1">
      <c r="A245" s="155" t="n">
        <v>244</v>
      </c>
      <c r="B245" s="160" t="n">
        <v>44921</v>
      </c>
      <c r="C245" s="159" t="n">
        <v>27859586.2</v>
      </c>
      <c r="D245" s="174">
        <f>C245/E245</f>
        <v/>
      </c>
      <c r="E245" s="159" t="n">
        <v>82.65000000000001</v>
      </c>
      <c r="F245" s="159">
        <f>D245/100000</f>
        <v/>
      </c>
      <c r="G245" s="159">
        <f>(F245/DataSheet!$C$9*100)</f>
        <v/>
      </c>
      <c r="H245" s="159">
        <f>K245/I245</f>
        <v/>
      </c>
      <c r="I245" s="159">
        <f>(J245/L245)*100</f>
        <v/>
      </c>
      <c r="J245" s="159">
        <f>L245/O245</f>
        <v/>
      </c>
      <c r="K245" s="159" t="n">
        <v>7.31</v>
      </c>
      <c r="L245" s="159" t="n">
        <v>18014.6</v>
      </c>
      <c r="M245" s="159" t="n">
        <v>4.23</v>
      </c>
      <c r="N245" s="159">
        <f>K245-I245</f>
        <v/>
      </c>
      <c r="O245" s="159" t="n">
        <v>21.65</v>
      </c>
      <c r="P245" s="159" t="n">
        <v>3.74</v>
      </c>
      <c r="Q245" s="159">
        <f>K245-P245</f>
        <v/>
      </c>
      <c r="R245" s="159" t="n">
        <v>104.33</v>
      </c>
      <c r="S245" s="159">
        <f>(O245*T245)/100</f>
        <v/>
      </c>
      <c r="T245" s="157" t="n">
        <v>6.37</v>
      </c>
      <c r="U245" s="157" t="n">
        <v>11665.3</v>
      </c>
      <c r="V245" s="157" t="n">
        <v>25.38</v>
      </c>
      <c r="W245" s="159">
        <f>U245/V245</f>
        <v/>
      </c>
      <c r="X245" s="159">
        <f>(W245/U245)*100</f>
        <v/>
      </c>
      <c r="Y245" s="157" t="n">
        <v>9262.700000000001</v>
      </c>
      <c r="Z245" s="157" t="n">
        <v>18.3</v>
      </c>
      <c r="AA245" s="159">
        <f>Y245/Z245</f>
        <v/>
      </c>
      <c r="AB245" s="159">
        <f>(AA245/Y245)*100</f>
        <v/>
      </c>
    </row>
    <row r="246" ht="12.95" customHeight="1">
      <c r="A246" s="155" t="n">
        <v>245</v>
      </c>
      <c r="B246" s="160" t="n">
        <v>44922</v>
      </c>
      <c r="C246" s="159" t="n">
        <v>28128814.01</v>
      </c>
      <c r="D246" s="174">
        <f>C246/E246</f>
        <v/>
      </c>
      <c r="E246" s="159" t="n">
        <v>82.83</v>
      </c>
      <c r="F246" s="159">
        <f>D246/100000</f>
        <v/>
      </c>
      <c r="G246" s="159">
        <f>(F246/DataSheet!$C$9*100)</f>
        <v/>
      </c>
      <c r="H246" s="159">
        <f>K246/I246</f>
        <v/>
      </c>
      <c r="I246" s="159">
        <f>(J246/L246)*100</f>
        <v/>
      </c>
      <c r="J246" s="159">
        <f>L246/O246</f>
        <v/>
      </c>
      <c r="K246" s="159" t="n">
        <v>7.3</v>
      </c>
      <c r="L246" s="159" t="n">
        <v>18132.3</v>
      </c>
      <c r="M246" s="159" t="n">
        <v>4.26</v>
      </c>
      <c r="N246" s="159">
        <f>K246-I246</f>
        <v/>
      </c>
      <c r="O246" s="159" t="n">
        <v>21.79</v>
      </c>
      <c r="P246" s="159" t="n">
        <v>3.84</v>
      </c>
      <c r="Q246" s="159">
        <f>K246-P246</f>
        <v/>
      </c>
      <c r="R246" s="159" t="n">
        <v>104.19</v>
      </c>
      <c r="S246" s="159">
        <f>(O246*T246)/100</f>
        <v/>
      </c>
      <c r="T246" s="157" t="n">
        <v>6.38</v>
      </c>
      <c r="U246" s="157" t="n">
        <v>11774.15</v>
      </c>
      <c r="V246" s="157" t="n">
        <v>25.61</v>
      </c>
      <c r="W246" s="159">
        <f>U246/V246</f>
        <v/>
      </c>
      <c r="X246" s="159">
        <f>(W246/U246)*100</f>
        <v/>
      </c>
      <c r="Y246" s="157" t="n">
        <v>9377.049999999999</v>
      </c>
      <c r="Z246" s="157" t="n">
        <v>18.52</v>
      </c>
      <c r="AA246" s="159">
        <f>Y246/Z246</f>
        <v/>
      </c>
      <c r="AB246" s="159">
        <f>(AA246/Y246)*100</f>
        <v/>
      </c>
    </row>
    <row r="247" ht="12.95" customHeight="1">
      <c r="A247" s="155" t="n">
        <v>246</v>
      </c>
      <c r="B247" s="160" t="n">
        <v>44923</v>
      </c>
      <c r="C247" s="159" t="n">
        <v>28197413.06</v>
      </c>
      <c r="D247" s="174">
        <f>C247/E247</f>
        <v/>
      </c>
      <c r="E247" s="159" t="n">
        <v>82.73</v>
      </c>
      <c r="F247" s="159">
        <f>D247/100000</f>
        <v/>
      </c>
      <c r="G247" s="159">
        <f>(F247/DataSheet!$C$9*100)</f>
        <v/>
      </c>
      <c r="H247" s="159">
        <f>K247/I247</f>
        <v/>
      </c>
      <c r="I247" s="159">
        <f>(J247/L247)*100</f>
        <v/>
      </c>
      <c r="J247" s="159">
        <f>L247/O247</f>
        <v/>
      </c>
      <c r="K247" s="159" t="n">
        <v>7.31</v>
      </c>
      <c r="L247" s="159" t="n">
        <v>18122.5</v>
      </c>
      <c r="M247" s="159" t="n">
        <v>4.25</v>
      </c>
      <c r="N247" s="159">
        <f>K247-I247</f>
        <v/>
      </c>
      <c r="O247" s="159" t="n">
        <v>21.78</v>
      </c>
      <c r="P247" s="159" t="n">
        <v>3.88</v>
      </c>
      <c r="Q247" s="159">
        <f>K247-P247</f>
        <v/>
      </c>
      <c r="R247" s="159" t="n">
        <v>104.18</v>
      </c>
      <c r="S247" s="159">
        <f>(O247*T247)/100</f>
        <v/>
      </c>
      <c r="T247" s="157" t="n">
        <v>6.34</v>
      </c>
      <c r="U247" s="157" t="n">
        <v>11812.2</v>
      </c>
      <c r="V247" s="157" t="n">
        <v>25.7</v>
      </c>
      <c r="W247" s="159">
        <f>U247/V247</f>
        <v/>
      </c>
      <c r="X247" s="159">
        <f>(W247/U247)*100</f>
        <v/>
      </c>
      <c r="Y247" s="157" t="n">
        <v>9397.049999999999</v>
      </c>
      <c r="Z247" s="157" t="n">
        <v>18.56</v>
      </c>
      <c r="AA247" s="159">
        <f>Y247/Z247</f>
        <v/>
      </c>
      <c r="AB247" s="159">
        <f>(AA247/Y247)*100</f>
        <v/>
      </c>
    </row>
    <row r="248" ht="12.95" customHeight="1">
      <c r="A248" s="155" t="n">
        <v>247</v>
      </c>
      <c r="B248" s="160" t="n">
        <v>44924</v>
      </c>
      <c r="C248" s="159" t="n">
        <v>28320834.65</v>
      </c>
      <c r="D248" s="174">
        <f>C248/E248</f>
        <v/>
      </c>
      <c r="E248" s="159" t="n">
        <v>82.75</v>
      </c>
      <c r="F248" s="159">
        <f>D248/100000</f>
        <v/>
      </c>
      <c r="G248" s="159">
        <f>(F248/DataSheet!$C$9*100)</f>
        <v/>
      </c>
      <c r="H248" s="159">
        <f>K248/I248</f>
        <v/>
      </c>
      <c r="I248" s="159">
        <f>(J248/L248)*100</f>
        <v/>
      </c>
      <c r="J248" s="159">
        <f>L248/O248</f>
        <v/>
      </c>
      <c r="K248" s="159" t="n">
        <v>7.31</v>
      </c>
      <c r="L248" s="159" t="n">
        <v>18191</v>
      </c>
      <c r="M248" s="159" t="n">
        <v>4.27</v>
      </c>
      <c r="N248" s="159">
        <f>K248-I248</f>
        <v/>
      </c>
      <c r="O248" s="159" t="n">
        <v>21.86</v>
      </c>
      <c r="P248" s="159" t="n">
        <v>3.82</v>
      </c>
      <c r="Q248" s="159">
        <f>K248-P248</f>
        <v/>
      </c>
      <c r="R248" s="159" t="n">
        <v>103.58</v>
      </c>
      <c r="S248" s="159">
        <f>(O248*T248)/100</f>
        <v/>
      </c>
      <c r="T248" s="157" t="n">
        <v>6.31</v>
      </c>
      <c r="U248" s="157" t="n">
        <v>11829.25</v>
      </c>
      <c r="V248" s="157" t="n">
        <v>25.73</v>
      </c>
      <c r="W248" s="159">
        <f>U248/V248</f>
        <v/>
      </c>
      <c r="X248" s="159">
        <f>(W248/U248)*100</f>
        <v/>
      </c>
      <c r="Y248" s="157" t="n">
        <v>9408.35</v>
      </c>
      <c r="Z248" s="157" t="n">
        <v>18.59</v>
      </c>
      <c r="AA248" s="159">
        <f>Y248/Z248</f>
        <v/>
      </c>
      <c r="AB248" s="159">
        <f>(AA248/Y248)*100</f>
        <v/>
      </c>
    </row>
    <row r="249" ht="12.95" customHeight="1">
      <c r="A249" s="155" t="n">
        <v>248</v>
      </c>
      <c r="B249" s="160" t="n">
        <v>44925</v>
      </c>
      <c r="C249" s="159" t="n">
        <v>28323372.4</v>
      </c>
      <c r="D249" s="174">
        <f>C249/E249</f>
        <v/>
      </c>
      <c r="E249" s="159" t="n">
        <v>82.70999999999999</v>
      </c>
      <c r="F249" s="159">
        <f>D249/100000</f>
        <v/>
      </c>
      <c r="G249" s="159">
        <f>(F249/DataSheet!$C$9*100)</f>
        <v/>
      </c>
      <c r="H249" s="159">
        <f>K249/I249</f>
        <v/>
      </c>
      <c r="I249" s="159">
        <f>(J249/L249)*100</f>
        <v/>
      </c>
      <c r="J249" s="159">
        <f>L249/O249</f>
        <v/>
      </c>
      <c r="K249" s="159" t="n">
        <v>7.32</v>
      </c>
      <c r="L249" s="159" t="n">
        <v>18105.3</v>
      </c>
      <c r="M249" s="159" t="n">
        <v>4.25</v>
      </c>
      <c r="N249" s="159">
        <f>K249-I249</f>
        <v/>
      </c>
      <c r="O249" s="159" t="n">
        <v>21.79</v>
      </c>
      <c r="P249" s="159" t="n">
        <v>3.87</v>
      </c>
      <c r="Q249" s="159">
        <f>K249-P249</f>
        <v/>
      </c>
      <c r="R249" s="159" t="n">
        <v>103.26</v>
      </c>
      <c r="S249" s="159">
        <f>(O249*T249)/100</f>
        <v/>
      </c>
      <c r="T249" s="157" t="n">
        <v>6.34</v>
      </c>
      <c r="U249" s="157" t="n">
        <v>11885.75</v>
      </c>
      <c r="V249" s="157" t="n">
        <v>26.12</v>
      </c>
      <c r="W249" s="159">
        <f>U249/V249</f>
        <v/>
      </c>
      <c r="X249" s="159">
        <f>(W249/U249)*100</f>
        <v/>
      </c>
      <c r="Y249" s="157" t="n">
        <v>9481.25</v>
      </c>
      <c r="Z249" s="157" t="n">
        <v>19.04</v>
      </c>
      <c r="AA249" s="159">
        <f>Y249/Z249</f>
        <v/>
      </c>
      <c r="AB249" s="159">
        <f>(AA249/Y249)*100</f>
        <v/>
      </c>
    </row>
    <row r="250" ht="12.95" customFormat="1" customHeight="1" s="167">
      <c r="A250" s="152" t="n">
        <v>249</v>
      </c>
      <c r="B250" s="153" t="n">
        <v>44928</v>
      </c>
      <c r="C250" s="154" t="n">
        <v>28454959.14</v>
      </c>
      <c r="D250" s="172">
        <f>C250/E250</f>
        <v/>
      </c>
      <c r="E250" s="154" t="n">
        <v>82.73999999999999</v>
      </c>
      <c r="F250" s="154">
        <f>D250/100000</f>
        <v/>
      </c>
      <c r="G250" s="154">
        <f>(F250/DataSheet!$C$10*100)</f>
        <v/>
      </c>
      <c r="H250" s="154">
        <f>K250/I250</f>
        <v/>
      </c>
      <c r="I250" s="154">
        <f>(J250/L250)*100</f>
        <v/>
      </c>
      <c r="J250" s="154">
        <f>L250/O250</f>
        <v/>
      </c>
      <c r="K250" s="154" t="n">
        <v>7.34</v>
      </c>
      <c r="L250" s="154" t="n">
        <v>18197.45</v>
      </c>
      <c r="M250" s="154" t="n">
        <v>4.27</v>
      </c>
      <c r="N250" s="154">
        <f>K250-I250</f>
        <v/>
      </c>
      <c r="O250" s="154" t="n">
        <v>21.9</v>
      </c>
      <c r="P250" s="154" t="n">
        <v>3.87</v>
      </c>
      <c r="Q250" s="154">
        <f>K250-P250</f>
        <v/>
      </c>
      <c r="R250" s="154" t="n">
        <v>104.41</v>
      </c>
      <c r="S250" s="162">
        <f>(O250*T250)/100</f>
        <v/>
      </c>
      <c r="T250" s="154" t="n">
        <v>6.29</v>
      </c>
      <c r="U250" s="154" t="n">
        <v>11970.3</v>
      </c>
      <c r="V250" s="154" t="n">
        <v>26.31</v>
      </c>
      <c r="W250" s="154">
        <f>U250/V250</f>
        <v/>
      </c>
      <c r="X250" s="154">
        <f>(W250/U250)*100</f>
        <v/>
      </c>
      <c r="Y250" s="154" t="n">
        <v>9552.799999999999</v>
      </c>
      <c r="Z250" s="154" t="n">
        <v>19.18</v>
      </c>
      <c r="AA250" s="154">
        <f>Y250/Z250</f>
        <v/>
      </c>
      <c r="AB250" s="154">
        <f>(AA250/Y250)*100</f>
        <v/>
      </c>
    </row>
    <row r="251" ht="12.95" customHeight="1">
      <c r="A251" s="155" t="n">
        <v>250</v>
      </c>
      <c r="B251" s="160" t="n">
        <v>44929</v>
      </c>
      <c r="C251" s="159" t="n">
        <v>28548825.78</v>
      </c>
      <c r="D251" s="174">
        <f>C251/E251</f>
        <v/>
      </c>
      <c r="E251" s="159" t="n">
        <v>82.77</v>
      </c>
      <c r="F251" s="159">
        <f>D251/100000</f>
        <v/>
      </c>
      <c r="G251" s="159">
        <f>(F251/DataSheet!$C$10*100)</f>
        <v/>
      </c>
      <c r="H251" s="159">
        <f>K251/I251</f>
        <v/>
      </c>
      <c r="I251" s="159">
        <f>(J251/L251)*100</f>
        <v/>
      </c>
      <c r="J251" s="159">
        <f>L251/O251</f>
        <v/>
      </c>
      <c r="K251" s="159" t="n">
        <v>7.32</v>
      </c>
      <c r="L251" s="159" t="n">
        <v>18232.55</v>
      </c>
      <c r="M251" s="159" t="n">
        <v>4.28</v>
      </c>
      <c r="N251" s="159">
        <f>K251-I251</f>
        <v/>
      </c>
      <c r="O251" s="159" t="n">
        <v>21.94</v>
      </c>
      <c r="P251" s="159" t="n">
        <v>3.75</v>
      </c>
      <c r="Q251" s="159">
        <f>K251-P251</f>
        <v/>
      </c>
      <c r="R251" s="159" t="n">
        <v>104.31</v>
      </c>
      <c r="S251" s="159">
        <f>(O251*T251)/100</f>
        <v/>
      </c>
      <c r="T251" s="157" t="n">
        <v>6.3</v>
      </c>
      <c r="U251" s="157" t="n">
        <v>11994.4</v>
      </c>
      <c r="V251" s="157" t="n">
        <v>26.36</v>
      </c>
      <c r="W251" s="159">
        <f>U251/V251</f>
        <v/>
      </c>
      <c r="X251" s="159">
        <f>(W251/U251)*100</f>
        <v/>
      </c>
      <c r="Y251" s="157" t="n">
        <v>9566.549999999999</v>
      </c>
      <c r="Z251" s="157" t="n">
        <v>19.21</v>
      </c>
      <c r="AA251" s="159">
        <f>Y251/Z251</f>
        <v/>
      </c>
      <c r="AB251" s="159">
        <f>(AA251/Y251)*100</f>
        <v/>
      </c>
    </row>
    <row r="252" ht="12.95" customHeight="1">
      <c r="A252" s="155" t="n">
        <v>251</v>
      </c>
      <c r="B252" s="160" t="n">
        <v>44930</v>
      </c>
      <c r="C252" s="159" t="n">
        <v>28257665.92</v>
      </c>
      <c r="D252" s="174">
        <f>C252/E252</f>
        <v/>
      </c>
      <c r="E252" s="159" t="n">
        <v>82.64</v>
      </c>
      <c r="F252" s="159">
        <f>D252/100000</f>
        <v/>
      </c>
      <c r="G252" s="159">
        <f>(F252/DataSheet!$C$10*100)</f>
        <v/>
      </c>
      <c r="H252" s="159">
        <f>K252/I252</f>
        <v/>
      </c>
      <c r="I252" s="159">
        <f>(J252/L252)*100</f>
        <v/>
      </c>
      <c r="J252" s="159">
        <f>L252/O252</f>
        <v/>
      </c>
      <c r="K252" s="159" t="n">
        <v>7.32</v>
      </c>
      <c r="L252" s="159" t="n">
        <v>18042.95</v>
      </c>
      <c r="M252" s="159" t="n">
        <v>4.23</v>
      </c>
      <c r="N252" s="159">
        <f>K252-I252</f>
        <v/>
      </c>
      <c r="O252" s="159" t="n">
        <v>21.71</v>
      </c>
      <c r="P252" s="159" t="n">
        <v>3.69</v>
      </c>
      <c r="Q252" s="159">
        <f>K252-P252</f>
        <v/>
      </c>
      <c r="R252" s="159" t="n">
        <v>104.02</v>
      </c>
      <c r="S252" s="159">
        <f>(O252*T252)/100</f>
        <v/>
      </c>
      <c r="T252" s="157" t="n">
        <v>6.36</v>
      </c>
      <c r="U252" s="157" t="n">
        <v>11886.95</v>
      </c>
      <c r="V252" s="157" t="n">
        <v>26.12</v>
      </c>
      <c r="W252" s="159">
        <f>U252/V252</f>
        <v/>
      </c>
      <c r="X252" s="159">
        <f>(W252/U252)*100</f>
        <v/>
      </c>
      <c r="Y252" s="157" t="n">
        <v>9480.9</v>
      </c>
      <c r="Z252" s="157" t="n">
        <v>19.04</v>
      </c>
      <c r="AA252" s="159">
        <f>Y252/Z252</f>
        <v/>
      </c>
      <c r="AB252" s="159">
        <f>(AA252/Y252)*100</f>
        <v/>
      </c>
    </row>
    <row r="253" ht="12.95" customHeight="1">
      <c r="A253" s="155" t="n">
        <v>252</v>
      </c>
      <c r="B253" s="160" t="n">
        <v>44931</v>
      </c>
      <c r="C253" s="159" t="n">
        <v>28279705.52</v>
      </c>
      <c r="D253" s="174">
        <f>C253/E253</f>
        <v/>
      </c>
      <c r="E253" s="159" t="n">
        <v>82.56</v>
      </c>
      <c r="F253" s="159">
        <f>D253/100000</f>
        <v/>
      </c>
      <c r="G253" s="159">
        <f>(F253/DataSheet!$C$10*100)</f>
        <v/>
      </c>
      <c r="H253" s="159">
        <f>K253/I253</f>
        <v/>
      </c>
      <c r="I253" s="159">
        <f>(J253/L253)*100</f>
        <v/>
      </c>
      <c r="J253" s="159">
        <f>L253/O253</f>
        <v/>
      </c>
      <c r="K253" s="159" t="n">
        <v>7.32</v>
      </c>
      <c r="L253" s="159" t="n">
        <v>17992.15</v>
      </c>
      <c r="M253" s="159" t="n">
        <v>4.22</v>
      </c>
      <c r="N253" s="159">
        <f>K253-I253</f>
        <v/>
      </c>
      <c r="O253" s="159" t="n">
        <v>21.65</v>
      </c>
      <c r="P253" s="159" t="n">
        <v>3.72</v>
      </c>
      <c r="Q253" s="159">
        <f>K253-P253</f>
        <v/>
      </c>
      <c r="R253" s="159" t="n">
        <v>104.82</v>
      </c>
      <c r="S253" s="159">
        <f>(O253*T253)/100</f>
        <v/>
      </c>
      <c r="T253" s="157" t="n">
        <v>6.37</v>
      </c>
      <c r="U253" s="157" t="n">
        <v>11932.85</v>
      </c>
      <c r="V253" s="157" t="n">
        <v>26.22</v>
      </c>
      <c r="W253" s="159">
        <f>U253/V253</f>
        <v/>
      </c>
      <c r="X253" s="159">
        <f>(W253/U253)*100</f>
        <v/>
      </c>
      <c r="Y253" s="157" t="n">
        <v>9479.5</v>
      </c>
      <c r="Z253" s="157" t="n">
        <v>19.03</v>
      </c>
      <c r="AA253" s="159">
        <f>Y253/Z253</f>
        <v/>
      </c>
      <c r="AB253" s="159">
        <f>(AA253/Y253)*100</f>
        <v/>
      </c>
    </row>
    <row r="254" ht="12.95" customHeight="1">
      <c r="A254" s="155" t="n">
        <v>253</v>
      </c>
      <c r="B254" s="160" t="n">
        <v>44932</v>
      </c>
      <c r="C254" s="159" t="n">
        <v>28057696.47</v>
      </c>
      <c r="D254" s="174">
        <f>C254/E254</f>
        <v/>
      </c>
      <c r="E254" s="159" t="n">
        <v>82.27</v>
      </c>
      <c r="F254" s="159">
        <f>D254/100000</f>
        <v/>
      </c>
      <c r="G254" s="159">
        <f>(F254/DataSheet!$C$10*100)</f>
        <v/>
      </c>
      <c r="H254" s="159">
        <f>K254/I254</f>
        <v/>
      </c>
      <c r="I254" s="159">
        <f>(J254/L254)*100</f>
        <v/>
      </c>
      <c r="J254" s="159">
        <f>L254/O254</f>
        <v/>
      </c>
      <c r="K254" s="159" t="n">
        <v>7.37</v>
      </c>
      <c r="L254" s="159" t="n">
        <v>17859.45</v>
      </c>
      <c r="M254" s="159" t="n">
        <v>4.19</v>
      </c>
      <c r="N254" s="159">
        <f>K254-I254</f>
        <v/>
      </c>
      <c r="O254" s="159" t="n">
        <v>21.49</v>
      </c>
      <c r="P254" s="159" t="n">
        <v>3.56</v>
      </c>
      <c r="Q254" s="159">
        <f>K254-P254</f>
        <v/>
      </c>
      <c r="R254" s="159" t="n">
        <v>103.64</v>
      </c>
      <c r="S254" s="159">
        <f>(O254*T254)/100</f>
        <v/>
      </c>
      <c r="T254" s="157" t="n">
        <v>6.37</v>
      </c>
      <c r="U254" s="157" t="n">
        <v>11850.6</v>
      </c>
      <c r="V254" s="157" t="n">
        <v>26.04</v>
      </c>
      <c r="W254" s="159">
        <f>U254/V254</f>
        <v/>
      </c>
      <c r="X254" s="159">
        <f>(W254/U254)*100</f>
        <v/>
      </c>
      <c r="Y254" s="157" t="n">
        <v>9406.75</v>
      </c>
      <c r="Z254" s="157" t="n">
        <v>18.89</v>
      </c>
      <c r="AA254" s="159">
        <f>Y254/Z254</f>
        <v/>
      </c>
      <c r="AB254" s="159">
        <f>(AA254/Y254)*100</f>
        <v/>
      </c>
    </row>
    <row r="255" ht="12.95" customHeight="1">
      <c r="A255" s="155" t="n">
        <v>254</v>
      </c>
      <c r="B255" s="160" t="n">
        <v>44935</v>
      </c>
      <c r="C255" s="159" t="n">
        <v>28374278.26</v>
      </c>
      <c r="D255" s="174">
        <f>C255/E255</f>
        <v/>
      </c>
      <c r="E255" s="159" t="n">
        <v>82.17</v>
      </c>
      <c r="F255" s="159">
        <f>D255/100000</f>
        <v/>
      </c>
      <c r="G255" s="159">
        <f>(F255/DataSheet!$C$10*100)</f>
        <v/>
      </c>
      <c r="H255" s="159">
        <f>K255/I255</f>
        <v/>
      </c>
      <c r="I255" s="159">
        <f>(J255/L255)*100</f>
        <v/>
      </c>
      <c r="J255" s="159">
        <f>L255/O255</f>
        <v/>
      </c>
      <c r="K255" s="159" t="n">
        <v>7.34</v>
      </c>
      <c r="L255" s="159" t="n">
        <v>18101.2</v>
      </c>
      <c r="M255" s="159" t="n">
        <v>4.25</v>
      </c>
      <c r="N255" s="159">
        <f>K255-I255</f>
        <v/>
      </c>
      <c r="O255" s="159" t="n">
        <v>21.78</v>
      </c>
      <c r="P255" s="159" t="n">
        <v>3.52</v>
      </c>
      <c r="Q255" s="159">
        <f>K255-P255</f>
        <v/>
      </c>
      <c r="R255" s="159" t="n">
        <v>102.73</v>
      </c>
      <c r="S255" s="159">
        <f>(O255*T255)/100</f>
        <v/>
      </c>
      <c r="T255" s="157" t="n">
        <v>6.38</v>
      </c>
      <c r="U255" s="157" t="n">
        <v>11948.9</v>
      </c>
      <c r="V255" s="157" t="n">
        <v>26.26</v>
      </c>
      <c r="W255" s="159">
        <f>U255/V255</f>
        <v/>
      </c>
      <c r="X255" s="159">
        <f>(W255/U255)*100</f>
        <v/>
      </c>
      <c r="Y255" s="157" t="n">
        <v>9444.15</v>
      </c>
      <c r="Z255" s="157" t="n">
        <v>18.96</v>
      </c>
      <c r="AA255" s="159">
        <f>Y255/Z255</f>
        <v/>
      </c>
      <c r="AB255" s="159">
        <f>(AA255/Y255)*100</f>
        <v/>
      </c>
    </row>
    <row r="256" ht="12.95" customHeight="1">
      <c r="A256" s="155" t="n">
        <v>255</v>
      </c>
      <c r="B256" s="160" t="n">
        <v>44936</v>
      </c>
      <c r="C256" s="159" t="n">
        <v>28164222.44</v>
      </c>
      <c r="D256" s="174">
        <f>C256/E256</f>
        <v/>
      </c>
      <c r="E256" s="159" t="n">
        <v>81.59999999999999</v>
      </c>
      <c r="F256" s="159">
        <f>D256/100000</f>
        <v/>
      </c>
      <c r="G256" s="159">
        <f>(F256/DataSheet!$C$10*100)</f>
        <v/>
      </c>
      <c r="H256" s="159">
        <f>K256/I256</f>
        <v/>
      </c>
      <c r="I256" s="159">
        <f>(J256/L256)*100</f>
        <v/>
      </c>
      <c r="J256" s="159">
        <f>L256/O256</f>
        <v/>
      </c>
      <c r="K256" s="159" t="n">
        <v>7.31</v>
      </c>
      <c r="L256" s="159" t="n">
        <v>17914.15</v>
      </c>
      <c r="M256" s="159" t="n">
        <v>4.2</v>
      </c>
      <c r="N256" s="159">
        <f>K256-I256</f>
        <v/>
      </c>
      <c r="O256" s="159" t="n">
        <v>21.56</v>
      </c>
      <c r="P256" s="159" t="n">
        <v>3.61</v>
      </c>
      <c r="Q256" s="159">
        <f>K256-P256</f>
        <v/>
      </c>
      <c r="R256" s="159" t="n">
        <v>102.98</v>
      </c>
      <c r="S256" s="159">
        <f>(O256*T256)/100</f>
        <v/>
      </c>
      <c r="T256" s="157" t="n">
        <v>6.38</v>
      </c>
      <c r="U256" s="157" t="n">
        <v>11899.55</v>
      </c>
      <c r="V256" s="157" t="n">
        <v>26.15</v>
      </c>
      <c r="W256" s="159">
        <f>U256/V256</f>
        <v/>
      </c>
      <c r="X256" s="159">
        <f>(W256/U256)*100</f>
        <v/>
      </c>
      <c r="Y256" s="157" t="n">
        <v>9398</v>
      </c>
      <c r="Z256" s="157" t="n">
        <v>18.87</v>
      </c>
      <c r="AA256" s="159">
        <f>Y256/Z256</f>
        <v/>
      </c>
      <c r="AB256" s="159">
        <f>(AA256/Y256)*100</f>
        <v/>
      </c>
    </row>
    <row r="257" ht="12.95" customHeight="1">
      <c r="A257" s="155" t="n">
        <v>256</v>
      </c>
      <c r="B257" s="160" t="n">
        <v>44937</v>
      </c>
      <c r="C257" s="159" t="n">
        <v>28116864.29</v>
      </c>
      <c r="D257" s="174">
        <f>C257/E257</f>
        <v/>
      </c>
      <c r="E257" s="159" t="n">
        <v>81.63</v>
      </c>
      <c r="F257" s="159">
        <f>D257/100000</f>
        <v/>
      </c>
      <c r="G257" s="159">
        <f>(F257/DataSheet!$C$10*100)</f>
        <v/>
      </c>
      <c r="H257" s="159">
        <f>K257/I257</f>
        <v/>
      </c>
      <c r="I257" s="159">
        <f>(J257/L257)*100</f>
        <v/>
      </c>
      <c r="J257" s="159">
        <f>L257/O257</f>
        <v/>
      </c>
      <c r="K257" s="159" t="n">
        <v>7.29</v>
      </c>
      <c r="L257" s="159" t="n">
        <v>17895.7</v>
      </c>
      <c r="M257" s="159" t="n">
        <v>4.2</v>
      </c>
      <c r="N257" s="159">
        <f>K257-I257</f>
        <v/>
      </c>
      <c r="O257" s="159" t="n">
        <v>21.52</v>
      </c>
      <c r="P257" s="159" t="n">
        <v>3.54</v>
      </c>
      <c r="Q257" s="159">
        <f>K257-P257</f>
        <v/>
      </c>
      <c r="R257" s="159" t="n">
        <v>102.92</v>
      </c>
      <c r="S257" s="159">
        <f>(O257*T257)/100</f>
        <v/>
      </c>
      <c r="T257" s="157" t="n">
        <v>6.4</v>
      </c>
      <c r="U257" s="157" t="n">
        <v>11862.85</v>
      </c>
      <c r="V257" s="157" t="n">
        <v>26.07</v>
      </c>
      <c r="W257" s="159">
        <f>U257/V257</f>
        <v/>
      </c>
      <c r="X257" s="159">
        <f>(W257/U257)*100</f>
        <v/>
      </c>
      <c r="Y257" s="157" t="n">
        <v>9403.200000000001</v>
      </c>
      <c r="Z257" s="157" t="n">
        <v>18.88</v>
      </c>
      <c r="AA257" s="159">
        <f>Y257/Z257</f>
        <v/>
      </c>
      <c r="AB257" s="159">
        <f>(AA257/Y257)*100</f>
        <v/>
      </c>
    </row>
    <row r="258" ht="12.95" customHeight="1">
      <c r="A258" s="155" t="n">
        <v>257</v>
      </c>
      <c r="B258" s="160" t="n">
        <v>44938</v>
      </c>
      <c r="C258" s="159" t="n">
        <v>28079394.95</v>
      </c>
      <c r="D258" s="174">
        <f>C258/E258</f>
        <v/>
      </c>
      <c r="E258" s="159" t="n">
        <v>81.09999999999999</v>
      </c>
      <c r="F258" s="159">
        <f>D258/100000</f>
        <v/>
      </c>
      <c r="G258" s="159">
        <f>(F258/DataSheet!$C$10*100)</f>
        <v/>
      </c>
      <c r="H258" s="159">
        <f>K258/I258</f>
        <v/>
      </c>
      <c r="I258" s="159">
        <f>(J258/L258)*100</f>
        <v/>
      </c>
      <c r="J258" s="159">
        <f>L258/O258</f>
        <v/>
      </c>
      <c r="K258" s="159" t="n">
        <v>7.28</v>
      </c>
      <c r="L258" s="159" t="n">
        <v>17858.2</v>
      </c>
      <c r="M258" s="159" t="n">
        <v>4.19</v>
      </c>
      <c r="N258" s="159">
        <f>K258-I258</f>
        <v/>
      </c>
      <c r="O258" s="159" t="n">
        <v>21.47</v>
      </c>
      <c r="P258" s="159" t="n">
        <v>3.44</v>
      </c>
      <c r="Q258" s="159">
        <f>K258-P258</f>
        <v/>
      </c>
      <c r="R258" s="159" t="n">
        <v>101.99</v>
      </c>
      <c r="S258" s="159">
        <f>(O258*T258)/100</f>
        <v/>
      </c>
      <c r="T258" s="157" t="n">
        <v>6.42</v>
      </c>
      <c r="U258" s="157" t="n">
        <v>11836.4</v>
      </c>
      <c r="V258" s="157" t="n">
        <v>26.01</v>
      </c>
      <c r="W258" s="159">
        <f>U258/V258</f>
        <v/>
      </c>
      <c r="X258" s="159">
        <f>(W258/U258)*100</f>
        <v/>
      </c>
      <c r="Y258" s="157" t="n">
        <v>9409.4</v>
      </c>
      <c r="Z258" s="157" t="n">
        <v>18.89</v>
      </c>
      <c r="AA258" s="159">
        <f>Y258/Z258</f>
        <v/>
      </c>
      <c r="AB258" s="159">
        <f>(AA258/Y258)*100</f>
        <v/>
      </c>
    </row>
    <row r="259" ht="12.95" customHeight="1">
      <c r="A259" s="155" t="n">
        <v>258</v>
      </c>
      <c r="B259" s="160" t="n">
        <v>44939</v>
      </c>
      <c r="C259" s="159" t="n">
        <v>28213564.25</v>
      </c>
      <c r="D259" s="174">
        <f>C259/E259</f>
        <v/>
      </c>
      <c r="E259" s="159" t="n">
        <v>81.28</v>
      </c>
      <c r="F259" s="159">
        <f>D259/100000</f>
        <v/>
      </c>
      <c r="G259" s="159">
        <f>(F259/DataSheet!$C$10*100)</f>
        <v/>
      </c>
      <c r="H259" s="159">
        <f>K259/I259</f>
        <v/>
      </c>
      <c r="I259" s="159">
        <f>(J259/L259)*100</f>
        <v/>
      </c>
      <c r="J259" s="159">
        <f>L259/O259</f>
        <v/>
      </c>
      <c r="K259" s="159" t="n">
        <v>7.29</v>
      </c>
      <c r="L259" s="159" t="n">
        <v>17956.6</v>
      </c>
      <c r="M259" s="159" t="n">
        <v>4.21</v>
      </c>
      <c r="N259" s="159">
        <f>K259-I259</f>
        <v/>
      </c>
      <c r="O259" s="159" t="n">
        <v>21.54</v>
      </c>
      <c r="P259" s="159" t="n">
        <v>3.49</v>
      </c>
      <c r="Q259" s="159">
        <f>K259-P259</f>
        <v/>
      </c>
      <c r="R259" s="159" t="n">
        <v>101.94</v>
      </c>
      <c r="S259" s="159">
        <f>(O259*T259)/100</f>
        <v/>
      </c>
      <c r="T259" s="157" t="n">
        <v>6.42</v>
      </c>
      <c r="U259" s="157" t="n">
        <v>11830.4</v>
      </c>
      <c r="V259" s="157" t="n">
        <v>26</v>
      </c>
      <c r="W259" s="159">
        <f>U259/V259</f>
        <v/>
      </c>
      <c r="X259" s="159">
        <f>(W259/U259)*100</f>
        <v/>
      </c>
      <c r="Y259" s="157" t="n">
        <v>9436.25</v>
      </c>
      <c r="Z259" s="157" t="n">
        <v>18.94</v>
      </c>
      <c r="AA259" s="159">
        <f>Y259/Z259</f>
        <v/>
      </c>
      <c r="AB259" s="159">
        <f>(AA259/Y259)*100</f>
        <v/>
      </c>
    </row>
    <row r="260" ht="12.95" customHeight="1">
      <c r="A260" s="155" t="n">
        <v>259</v>
      </c>
      <c r="B260" s="160" t="n">
        <v>44942</v>
      </c>
      <c r="C260" s="159" t="n">
        <v>28147293.2</v>
      </c>
      <c r="D260" s="174">
        <f>C260/E260</f>
        <v/>
      </c>
      <c r="E260" s="159" t="n">
        <v>81.62</v>
      </c>
      <c r="F260" s="159">
        <f>D260/100000</f>
        <v/>
      </c>
      <c r="G260" s="159">
        <f>(F260/DataSheet!$C$10*100)</f>
        <v/>
      </c>
      <c r="H260" s="159">
        <f>K260/I260</f>
        <v/>
      </c>
      <c r="I260" s="159">
        <f>(J260/L260)*100</f>
        <v/>
      </c>
      <c r="J260" s="159">
        <f>L260/O260</f>
        <v/>
      </c>
      <c r="K260" s="159" t="n">
        <v>7.32</v>
      </c>
      <c r="L260" s="159" t="n">
        <v>17894.85</v>
      </c>
      <c r="M260" s="159" t="n">
        <v>4.19</v>
      </c>
      <c r="N260" s="159">
        <f>K260-I260</f>
        <v/>
      </c>
      <c r="O260" s="159" t="n">
        <v>21.34</v>
      </c>
      <c r="P260" s="159" t="n">
        <v>3.52</v>
      </c>
      <c r="Q260" s="159">
        <f>K260-P260</f>
        <v/>
      </c>
      <c r="R260" s="159" t="n">
        <v>101.94</v>
      </c>
      <c r="S260" s="159">
        <f>(O260*T260)/100</f>
        <v/>
      </c>
      <c r="T260" s="157" t="n">
        <v>6.43</v>
      </c>
      <c r="U260" s="157" t="n">
        <v>11800.3</v>
      </c>
      <c r="V260" s="157" t="n">
        <v>26.16</v>
      </c>
      <c r="W260" s="159">
        <f>U260/V260</f>
        <v/>
      </c>
      <c r="X260" s="159">
        <f>(W260/U260)*100</f>
        <v/>
      </c>
      <c r="Y260" s="157" t="n">
        <v>9431.25</v>
      </c>
      <c r="Z260" s="157" t="n">
        <v>18.93</v>
      </c>
      <c r="AA260" s="159">
        <f>Y260/Z260</f>
        <v/>
      </c>
      <c r="AB260" s="159">
        <f>(AA260/Y260)*100</f>
        <v/>
      </c>
    </row>
    <row r="261" ht="12.95" customHeight="1">
      <c r="A261" s="155" t="n">
        <v>260</v>
      </c>
      <c r="B261" s="160" t="n">
        <v>44943</v>
      </c>
      <c r="C261" s="159" t="n">
        <v>28272804.64</v>
      </c>
      <c r="D261" s="174">
        <f>C261/E261</f>
        <v/>
      </c>
      <c r="E261" s="159" t="n">
        <v>81.63</v>
      </c>
      <c r="F261" s="159">
        <f>D261/100000</f>
        <v/>
      </c>
      <c r="G261" s="159">
        <f>(F261/DataSheet!$C$10*100)</f>
        <v/>
      </c>
      <c r="H261" s="159">
        <f>K261/I261</f>
        <v/>
      </c>
      <c r="I261" s="159">
        <f>(J261/L261)*100</f>
        <v/>
      </c>
      <c r="J261" s="159">
        <f>L261/O261</f>
        <v/>
      </c>
      <c r="K261" s="159" t="n">
        <v>7.33</v>
      </c>
      <c r="L261" s="159" t="n">
        <v>18053.3</v>
      </c>
      <c r="M261" s="159" t="n">
        <v>4.23</v>
      </c>
      <c r="N261" s="159">
        <f>K261-I261</f>
        <v/>
      </c>
      <c r="O261" s="159" t="n">
        <v>21.53</v>
      </c>
      <c r="P261" s="159" t="n">
        <v>3.54</v>
      </c>
      <c r="Q261" s="159">
        <f>K261-P261</f>
        <v/>
      </c>
      <c r="R261" s="159" t="n">
        <v>102.14</v>
      </c>
      <c r="S261" s="159">
        <f>(O261*T261)/100</f>
        <v/>
      </c>
      <c r="T261" s="157" t="n">
        <v>6.43</v>
      </c>
      <c r="U261" s="157" t="n">
        <v>11793.6</v>
      </c>
      <c r="V261" s="157" t="n">
        <v>26.03</v>
      </c>
      <c r="W261" s="159">
        <f>U261/V261</f>
        <v/>
      </c>
      <c r="X261" s="159">
        <f>(W261/U261)*100</f>
        <v/>
      </c>
      <c r="Y261" s="157" t="n">
        <v>9417.950000000001</v>
      </c>
      <c r="Z261" s="157" t="n">
        <v>18.87</v>
      </c>
      <c r="AA261" s="159">
        <f>Y261/Z261</f>
        <v/>
      </c>
      <c r="AB261" s="159">
        <f>(AA261/Y261)*100</f>
        <v/>
      </c>
    </row>
    <row r="262" ht="12.95" customHeight="1">
      <c r="A262" s="155" t="n">
        <v>261</v>
      </c>
      <c r="B262" s="160" t="n">
        <v>44944</v>
      </c>
      <c r="C262" s="159" t="n">
        <v>28363289.33</v>
      </c>
      <c r="D262" s="174">
        <f>C262/E262</f>
        <v/>
      </c>
      <c r="E262" s="159" t="n">
        <v>81.44</v>
      </c>
      <c r="F262" s="159">
        <f>D262/100000</f>
        <v/>
      </c>
      <c r="G262" s="159">
        <f>(F262/DataSheet!$C$10*100)</f>
        <v/>
      </c>
      <c r="H262" s="159">
        <f>K262/I262</f>
        <v/>
      </c>
      <c r="I262" s="159">
        <f>(J262/L262)*100</f>
        <v/>
      </c>
      <c r="J262" s="159">
        <f>L262/O262</f>
        <v/>
      </c>
      <c r="K262" s="159" t="n">
        <v>7.32</v>
      </c>
      <c r="L262" s="159" t="n">
        <v>18165.35</v>
      </c>
      <c r="M262" s="159" t="n">
        <v>4.26</v>
      </c>
      <c r="N262" s="159">
        <f>K262-I262</f>
        <v/>
      </c>
      <c r="O262" s="159" t="n">
        <v>21.67</v>
      </c>
      <c r="P262" s="159" t="n">
        <v>3.37</v>
      </c>
      <c r="Q262" s="159">
        <f>K262-P262</f>
        <v/>
      </c>
      <c r="R262" s="159" t="n">
        <v>102.1</v>
      </c>
      <c r="S262" s="159">
        <f>(O262*T262)/100</f>
        <v/>
      </c>
      <c r="T262" s="157" t="n">
        <v>6.46</v>
      </c>
      <c r="U262" s="157" t="n">
        <v>11843.7</v>
      </c>
      <c r="V262" s="157" t="n">
        <v>26.14</v>
      </c>
      <c r="W262" s="159">
        <f>U262/V262</f>
        <v/>
      </c>
      <c r="X262" s="159">
        <f>(W262/U262)*100</f>
        <v/>
      </c>
      <c r="Y262" s="157" t="n">
        <v>9424.049999999999</v>
      </c>
      <c r="Z262" s="157" t="n">
        <v>18.95</v>
      </c>
      <c r="AA262" s="159">
        <f>Y262/Z262</f>
        <v/>
      </c>
      <c r="AB262" s="159">
        <f>(AA262/Y262)*100</f>
        <v/>
      </c>
    </row>
    <row r="263" ht="12.95" customHeight="1">
      <c r="A263" s="155" t="n">
        <v>262</v>
      </c>
      <c r="B263" s="160" t="n">
        <v>44945</v>
      </c>
      <c r="C263" s="159" t="n">
        <v>28269497.64</v>
      </c>
      <c r="D263" s="174">
        <f>C263/E263</f>
        <v/>
      </c>
      <c r="E263" s="159" t="n">
        <v>81.23999999999999</v>
      </c>
      <c r="F263" s="159">
        <f>D263/100000</f>
        <v/>
      </c>
      <c r="G263" s="159">
        <f>(F263/DataSheet!$C$10*100)</f>
        <v/>
      </c>
      <c r="H263" s="159">
        <f>K263/I263</f>
        <v/>
      </c>
      <c r="I263" s="159">
        <f>(J263/L263)*100</f>
        <v/>
      </c>
      <c r="J263" s="159">
        <f>L263/O263</f>
        <v/>
      </c>
      <c r="K263" s="159" t="n">
        <v>7.31</v>
      </c>
      <c r="L263" s="159" t="n">
        <v>18107.85</v>
      </c>
      <c r="M263" s="159" t="n">
        <v>4.24</v>
      </c>
      <c r="N263" s="159">
        <f>K263-I263</f>
        <v/>
      </c>
      <c r="O263" s="159" t="n">
        <v>21.56</v>
      </c>
      <c r="P263" s="159" t="n">
        <v>3.39</v>
      </c>
      <c r="Q263" s="159">
        <f>K263-P263</f>
        <v/>
      </c>
      <c r="R263" s="159" t="n">
        <v>101.83</v>
      </c>
      <c r="S263" s="159">
        <f>(O263*T263)/100</f>
        <v/>
      </c>
      <c r="T263" s="157" t="n">
        <v>6.43</v>
      </c>
      <c r="U263" s="157" t="n">
        <v>11832.35</v>
      </c>
      <c r="V263" s="157" t="n">
        <v>26.1</v>
      </c>
      <c r="W263" s="159">
        <f>U263/V263</f>
        <v/>
      </c>
      <c r="X263" s="159">
        <f>(W263/U263)*100</f>
        <v/>
      </c>
      <c r="Y263" s="157" t="n">
        <v>9396.9</v>
      </c>
      <c r="Z263" s="157" t="n">
        <v>18.91</v>
      </c>
      <c r="AA263" s="159">
        <f>Y263/Z263</f>
        <v/>
      </c>
      <c r="AB263" s="159">
        <f>(AA263/Y263)*100</f>
        <v/>
      </c>
    </row>
    <row r="264" ht="12.95" customHeight="1">
      <c r="A264" s="155" t="n">
        <v>263</v>
      </c>
      <c r="B264" s="160" t="n">
        <v>44946</v>
      </c>
      <c r="C264" s="159" t="n">
        <v>28114163.94</v>
      </c>
      <c r="D264" s="174">
        <f>C264/E264</f>
        <v/>
      </c>
      <c r="E264" s="159" t="n">
        <v>80.97</v>
      </c>
      <c r="F264" s="159">
        <f>D264/100000</f>
        <v/>
      </c>
      <c r="G264" s="159">
        <f>(F264/DataSheet!$C$10*100)</f>
        <v/>
      </c>
      <c r="H264" s="159">
        <f>K264/I264</f>
        <v/>
      </c>
      <c r="I264" s="159">
        <f>(J264/L264)*100</f>
        <v/>
      </c>
      <c r="J264" s="159">
        <f>L264/O264</f>
        <v/>
      </c>
      <c r="K264" s="159" t="n">
        <v>7.34</v>
      </c>
      <c r="L264" s="159" t="n">
        <v>18027.65</v>
      </c>
      <c r="M264" s="159" t="n">
        <v>4.23</v>
      </c>
      <c r="N264" s="159">
        <f>K264-I264</f>
        <v/>
      </c>
      <c r="O264" s="159" t="n">
        <v>21.46</v>
      </c>
      <c r="P264" s="159" t="n">
        <v>3.48</v>
      </c>
      <c r="Q264" s="159">
        <f>K264-P264</f>
        <v/>
      </c>
      <c r="R264" s="159" t="n">
        <v>101.78</v>
      </c>
      <c r="S264" s="159">
        <f>(O264*T264)/100</f>
        <v/>
      </c>
      <c r="T264" s="157" t="n">
        <v>6.45</v>
      </c>
      <c r="U264" s="157" t="n">
        <v>11748.95</v>
      </c>
      <c r="V264" s="157" t="n">
        <v>25.89</v>
      </c>
      <c r="W264" s="159">
        <f>U264/V264</f>
        <v/>
      </c>
      <c r="X264" s="159">
        <f>(W264/U264)*100</f>
        <v/>
      </c>
      <c r="Y264" s="157" t="n">
        <v>9344.950000000001</v>
      </c>
      <c r="Z264" s="157" t="n">
        <v>18.75</v>
      </c>
      <c r="AA264" s="159">
        <f>Y264/Z264</f>
        <v/>
      </c>
      <c r="AB264" s="159">
        <f>(AA264/Y264)*100</f>
        <v/>
      </c>
    </row>
    <row r="265" ht="12.95" customHeight="1">
      <c r="A265" s="155" t="n">
        <v>264</v>
      </c>
      <c r="B265" s="160" t="n">
        <v>44949</v>
      </c>
      <c r="C265" s="159" t="n">
        <v>28167739.33</v>
      </c>
      <c r="D265" s="174">
        <f>C265/E265</f>
        <v/>
      </c>
      <c r="E265" s="159" t="n">
        <v>81.47</v>
      </c>
      <c r="F265" s="159">
        <f>D265/100000</f>
        <v/>
      </c>
      <c r="G265" s="159">
        <f>(F265/DataSheet!$C$10*100)</f>
        <v/>
      </c>
      <c r="H265" s="159">
        <f>K265/I265</f>
        <v/>
      </c>
      <c r="I265" s="159">
        <f>(J265/L265)*100</f>
        <v/>
      </c>
      <c r="J265" s="159">
        <f>L265/O265</f>
        <v/>
      </c>
      <c r="K265" s="159" t="n">
        <v>7.35</v>
      </c>
      <c r="L265" s="159" t="n">
        <v>18118.55</v>
      </c>
      <c r="M265" s="159" t="n">
        <v>4.25</v>
      </c>
      <c r="N265" s="159">
        <f>K265-I265</f>
        <v/>
      </c>
      <c r="O265" s="159" t="n">
        <v>21.6</v>
      </c>
      <c r="P265" s="159" t="n">
        <v>3.52</v>
      </c>
      <c r="Q265" s="159">
        <f>K265-P265</f>
        <v/>
      </c>
      <c r="R265" s="159" t="n">
        <v>101.91</v>
      </c>
      <c r="S265" s="159">
        <f>(O265*T265)/100</f>
        <v/>
      </c>
      <c r="T265" s="157" t="n">
        <v>6.43</v>
      </c>
      <c r="U265" s="157" t="n">
        <v>11771.05</v>
      </c>
      <c r="V265" s="157" t="n">
        <v>25.84</v>
      </c>
      <c r="W265" s="159">
        <f>U265/V265</f>
        <v/>
      </c>
      <c r="X265" s="159">
        <f>(W265/U265)*100</f>
        <v/>
      </c>
      <c r="Y265" s="157" t="n">
        <v>9331.9</v>
      </c>
      <c r="Z265" s="157" t="n">
        <v>18.7</v>
      </c>
      <c r="AA265" s="159">
        <f>Y265/Z265</f>
        <v/>
      </c>
      <c r="AB265" s="159">
        <f>(AA265/Y265)*100</f>
        <v/>
      </c>
    </row>
    <row r="266" ht="12.95" customHeight="1">
      <c r="A266" s="155" t="n">
        <v>265</v>
      </c>
      <c r="B266" s="160" t="n">
        <v>44950</v>
      </c>
      <c r="C266" s="159" t="n">
        <v>28128809.69</v>
      </c>
      <c r="D266" s="174">
        <f>C266/E266</f>
        <v/>
      </c>
      <c r="E266" s="159" t="n">
        <v>81.59</v>
      </c>
      <c r="F266" s="159">
        <f>D266/100000</f>
        <v/>
      </c>
      <c r="G266" s="159">
        <f>(F266/DataSheet!$C$10*100)</f>
        <v/>
      </c>
      <c r="H266" s="159">
        <f>K266/I266</f>
        <v/>
      </c>
      <c r="I266" s="159">
        <f>(J266/L266)*100</f>
        <v/>
      </c>
      <c r="J266" s="159">
        <f>L266/O266</f>
        <v/>
      </c>
      <c r="K266" s="159" t="n">
        <v>7.34</v>
      </c>
      <c r="L266" s="159" t="n">
        <v>18118.3</v>
      </c>
      <c r="M266" s="159" t="n">
        <v>4.25</v>
      </c>
      <c r="N266" s="159">
        <f>K266-I266</f>
        <v/>
      </c>
      <c r="O266" s="159" t="n">
        <v>21.49</v>
      </c>
      <c r="P266" s="159" t="n">
        <v>3.45</v>
      </c>
      <c r="Q266" s="159">
        <f>K266-P266</f>
        <v/>
      </c>
      <c r="R266" s="159" t="n">
        <v>101.67</v>
      </c>
      <c r="S266" s="159">
        <f>(O266*T266)/100</f>
        <v/>
      </c>
      <c r="T266" s="157" t="n">
        <v>6.42</v>
      </c>
      <c r="U266" s="157" t="n">
        <v>11729.9</v>
      </c>
      <c r="V266" s="157" t="n">
        <v>25.55</v>
      </c>
      <c r="W266" s="159">
        <f>U266/V266</f>
        <v/>
      </c>
      <c r="X266" s="159">
        <f>(W266/U266)*100</f>
        <v/>
      </c>
      <c r="Y266" s="157" t="n">
        <v>9294.450000000001</v>
      </c>
      <c r="Z266" s="157" t="n">
        <v>18.58</v>
      </c>
      <c r="AA266" s="159">
        <f>Y266/Z266</f>
        <v/>
      </c>
      <c r="AB266" s="159">
        <f>(AA266/Y266)*100</f>
        <v/>
      </c>
    </row>
    <row r="267" ht="12.95" customHeight="1">
      <c r="A267" s="155" t="n">
        <v>266</v>
      </c>
      <c r="B267" s="160" t="n">
        <v>44951</v>
      </c>
      <c r="C267" s="159" t="n">
        <v>27733829.37</v>
      </c>
      <c r="D267" s="174">
        <f>C267/E267</f>
        <v/>
      </c>
      <c r="E267" s="159" t="n">
        <v>81.48999999999999</v>
      </c>
      <c r="F267" s="159">
        <f>D267/100000</f>
        <v/>
      </c>
      <c r="G267" s="159">
        <f>(F267/DataSheet!$C$10*100)</f>
        <v/>
      </c>
      <c r="H267" s="159">
        <f>K267/I267</f>
        <v/>
      </c>
      <c r="I267" s="159">
        <f>(J267/L267)*100</f>
        <v/>
      </c>
      <c r="J267" s="159">
        <f>L267/O267</f>
        <v/>
      </c>
      <c r="K267" s="159" t="n">
        <v>7.34</v>
      </c>
      <c r="L267" s="159" t="n">
        <v>17891.95</v>
      </c>
      <c r="M267" s="159" t="n">
        <v>4.19</v>
      </c>
      <c r="N267" s="159">
        <f>K267-I267</f>
        <v/>
      </c>
      <c r="O267" s="159" t="n">
        <v>21.19</v>
      </c>
      <c r="P267" s="159" t="n">
        <v>3.44</v>
      </c>
      <c r="Q267" s="159">
        <f>K267-P267</f>
        <v/>
      </c>
      <c r="R267" s="159" t="n">
        <v>101.41</v>
      </c>
      <c r="S267" s="159">
        <f>(O267*T267)/100</f>
        <v/>
      </c>
      <c r="T267" s="157" t="n">
        <v>6.45</v>
      </c>
      <c r="U267" s="157" t="n">
        <v>11583.2</v>
      </c>
      <c r="V267" s="157" t="n">
        <v>25.26</v>
      </c>
      <c r="W267" s="159">
        <f>U267/V267</f>
        <v/>
      </c>
      <c r="X267" s="159">
        <f>(W267/U267)*100</f>
        <v/>
      </c>
      <c r="Y267" s="157" t="n">
        <v>9211.9</v>
      </c>
      <c r="Z267" s="157" t="n">
        <v>18.38</v>
      </c>
      <c r="AA267" s="159">
        <f>Y267/Z267</f>
        <v/>
      </c>
      <c r="AB267" s="159">
        <f>(AA267/Y267)*100</f>
        <v/>
      </c>
    </row>
    <row r="268" ht="12.95" customHeight="1">
      <c r="A268" s="155" t="n">
        <v>267</v>
      </c>
      <c r="B268" s="160" t="n">
        <v>44953</v>
      </c>
      <c r="C268" s="159" t="n">
        <v>27050860.65</v>
      </c>
      <c r="D268" s="174">
        <f>C268/E268</f>
        <v/>
      </c>
      <c r="E268" s="159" t="n">
        <v>81.51000000000001</v>
      </c>
      <c r="F268" s="159">
        <f>D268/100000</f>
        <v/>
      </c>
      <c r="G268" s="159">
        <f>(F268/DataSheet!$C$10*100)</f>
        <v/>
      </c>
      <c r="H268" s="159">
        <f>K268/I268</f>
        <v/>
      </c>
      <c r="I268" s="159">
        <f>(J268/L268)*100</f>
        <v/>
      </c>
      <c r="J268" s="159">
        <f>L268/O268</f>
        <v/>
      </c>
      <c r="K268" s="159" t="n">
        <v>7.38</v>
      </c>
      <c r="L268" s="159" t="n">
        <v>17604.35</v>
      </c>
      <c r="M268" s="159" t="n">
        <v>4.13</v>
      </c>
      <c r="N268" s="159">
        <f>K268-I268</f>
        <v/>
      </c>
      <c r="O268" s="159" t="n">
        <v>20.7</v>
      </c>
      <c r="P268" s="159" t="n">
        <v>3.5</v>
      </c>
      <c r="Q268" s="159">
        <f>K268-P268</f>
        <v/>
      </c>
      <c r="R268" s="159" t="n">
        <v>101.72</v>
      </c>
      <c r="S268" s="159">
        <f>(O268*T268)/100</f>
        <v/>
      </c>
      <c r="T268" s="157" t="n">
        <v>6.48</v>
      </c>
      <c r="U268" s="157" t="n">
        <v>11439.6</v>
      </c>
      <c r="V268" s="157" t="n">
        <v>24.88</v>
      </c>
      <c r="W268" s="159">
        <f>U268/V268</f>
        <v/>
      </c>
      <c r="X268" s="159">
        <f>(W268/U268)*100</f>
        <v/>
      </c>
      <c r="Y268" s="157" t="n">
        <v>9043.65</v>
      </c>
      <c r="Z268" s="157" t="n">
        <v>18.06</v>
      </c>
      <c r="AA268" s="159">
        <f>Y268/Z268</f>
        <v/>
      </c>
      <c r="AB268" s="159">
        <f>(AA268/Y268)*100</f>
        <v/>
      </c>
    </row>
    <row r="269" ht="12.95" customHeight="1">
      <c r="A269" s="155" t="n">
        <v>268</v>
      </c>
      <c r="B269" s="160" t="n">
        <v>44956</v>
      </c>
      <c r="C269" s="159" t="n">
        <v>26928726.69</v>
      </c>
      <c r="D269" s="174">
        <f>C269/E269</f>
        <v/>
      </c>
      <c r="E269" s="159" t="n">
        <v>81.52</v>
      </c>
      <c r="F269" s="159">
        <f>D269/100000</f>
        <v/>
      </c>
      <c r="G269" s="159">
        <f>(F269/DataSheet!$C$10*100)</f>
        <v/>
      </c>
      <c r="H269" s="159">
        <f>K269/I269</f>
        <v/>
      </c>
      <c r="I269" s="159">
        <f>(J269/L269)*100</f>
        <v/>
      </c>
      <c r="J269" s="159">
        <f>L269/O269</f>
        <v/>
      </c>
      <c r="K269" s="159" t="n">
        <v>7.4</v>
      </c>
      <c r="L269" s="159" t="n">
        <v>17648.95</v>
      </c>
      <c r="M269" s="159" t="n">
        <v>4.14</v>
      </c>
      <c r="N269" s="159">
        <f>K269-I269</f>
        <v/>
      </c>
      <c r="O269" s="159" t="n">
        <v>20.73</v>
      </c>
      <c r="P269" s="159" t="n">
        <v>3.54</v>
      </c>
      <c r="Q269" s="159">
        <f>K269-P269</f>
        <v/>
      </c>
      <c r="R269" s="159" t="n">
        <v>102.08</v>
      </c>
      <c r="S269" s="159">
        <f>(O269*T269)/100</f>
        <v/>
      </c>
      <c r="T269" s="157" t="n">
        <v>6.49</v>
      </c>
      <c r="U269" s="157" t="n">
        <v>11422.3</v>
      </c>
      <c r="V269" s="157" t="n">
        <v>24.82</v>
      </c>
      <c r="W269" s="159">
        <f>U269/V269</f>
        <v/>
      </c>
      <c r="X269" s="159">
        <f>(W269/U269)*100</f>
        <v/>
      </c>
      <c r="Y269" s="157" t="n">
        <v>9024.75</v>
      </c>
      <c r="Z269" s="157" t="n">
        <v>17.98</v>
      </c>
      <c r="AA269" s="159">
        <f>Y269/Z269</f>
        <v/>
      </c>
      <c r="AB269" s="159">
        <f>(AA269/Y269)*100</f>
        <v/>
      </c>
    </row>
    <row r="270" ht="12.95" customHeight="1">
      <c r="A270" s="155" t="n">
        <v>269</v>
      </c>
      <c r="B270" s="160" t="n">
        <v>44957</v>
      </c>
      <c r="C270" s="159" t="n">
        <v>27111145.75</v>
      </c>
      <c r="D270" s="174">
        <f>C270/E270</f>
        <v/>
      </c>
      <c r="E270" s="159" t="n">
        <v>81.73</v>
      </c>
      <c r="F270" s="159">
        <f>D270/100000</f>
        <v/>
      </c>
      <c r="G270" s="159">
        <f>(F270/DataSheet!$C$10*100)</f>
        <v/>
      </c>
      <c r="H270" s="159">
        <f>K270/I270</f>
        <v/>
      </c>
      <c r="I270" s="159">
        <f>(J270/L270)*100</f>
        <v/>
      </c>
      <c r="J270" s="159">
        <f>L270/O270</f>
        <v/>
      </c>
      <c r="K270" s="159" t="n">
        <v>7.34</v>
      </c>
      <c r="L270" s="159" t="n">
        <v>17662.15</v>
      </c>
      <c r="M270" s="159" t="n">
        <v>4.14</v>
      </c>
      <c r="N270" s="159">
        <f>K270-I270</f>
        <v/>
      </c>
      <c r="O270" s="159" t="n">
        <v>20.73</v>
      </c>
      <c r="P270" s="159" t="n">
        <v>3.51</v>
      </c>
      <c r="Q270" s="159">
        <f>K270-P270</f>
        <v/>
      </c>
      <c r="R270" s="159" t="n">
        <v>101.91</v>
      </c>
      <c r="S270" s="159">
        <f>(O270*T270)/100</f>
        <v/>
      </c>
      <c r="T270" s="157" t="n">
        <v>6.48</v>
      </c>
      <c r="U270" s="157" t="n">
        <v>11596.65</v>
      </c>
      <c r="V270" s="157" t="n">
        <v>25.21</v>
      </c>
      <c r="W270" s="159">
        <f>U270/V270</f>
        <v/>
      </c>
      <c r="X270" s="159">
        <f>(W270/U270)*100</f>
        <v/>
      </c>
      <c r="Y270" s="157" t="n">
        <v>9261.700000000001</v>
      </c>
      <c r="Z270" s="157" t="n">
        <v>18.48</v>
      </c>
      <c r="AA270" s="159">
        <f>Y270/Z270</f>
        <v/>
      </c>
      <c r="AB270" s="159">
        <f>(AA270/Y270)*100</f>
        <v/>
      </c>
    </row>
    <row r="271" ht="12.95" customHeight="1">
      <c r="A271" s="155" t="n">
        <v>270</v>
      </c>
      <c r="B271" s="160" t="n">
        <v>44958</v>
      </c>
      <c r="C271" s="159" t="n">
        <v>26746400.52</v>
      </c>
      <c r="D271" s="174">
        <f>C271/E271</f>
        <v/>
      </c>
      <c r="E271" s="159" t="n">
        <v>81.73</v>
      </c>
      <c r="F271" s="159">
        <f>D271/100000</f>
        <v/>
      </c>
      <c r="G271" s="159">
        <f>(F271/DataSheet!$C$10*100)</f>
        <v/>
      </c>
      <c r="H271" s="159">
        <f>K271/I271</f>
        <v/>
      </c>
      <c r="I271" s="159">
        <f>(J271/L271)*100</f>
        <v/>
      </c>
      <c r="J271" s="159">
        <f>L271/O271</f>
        <v/>
      </c>
      <c r="K271" s="159" t="n">
        <v>7.27</v>
      </c>
      <c r="L271" s="159" t="n">
        <v>17616.3</v>
      </c>
      <c r="M271" s="159" t="n">
        <v>4.13</v>
      </c>
      <c r="N271" s="159">
        <f>K271-I271</f>
        <v/>
      </c>
      <c r="O271" s="159" t="n">
        <v>20.68</v>
      </c>
      <c r="P271" s="159" t="n">
        <v>3.41</v>
      </c>
      <c r="Q271" s="159">
        <f>K271-P271</f>
        <v/>
      </c>
      <c r="R271" s="159" t="n">
        <v>101.02</v>
      </c>
      <c r="S271" s="159">
        <f>(O271*T271)/100</f>
        <v/>
      </c>
      <c r="T271" s="157" t="n">
        <v>6.51</v>
      </c>
      <c r="U271" s="157" t="n">
        <v>11497.65</v>
      </c>
      <c r="V271" s="157" t="n">
        <v>25</v>
      </c>
      <c r="W271" s="159">
        <f>U271/V271</f>
        <v/>
      </c>
      <c r="X271" s="159">
        <f>(W271/U271)*100</f>
        <v/>
      </c>
      <c r="Y271" s="157" t="n">
        <v>9155.6</v>
      </c>
      <c r="Z271" s="157" t="n">
        <v>18.27</v>
      </c>
      <c r="AA271" s="159">
        <f>Y271/Z271</f>
        <v/>
      </c>
      <c r="AB271" s="159">
        <f>(AA271/Y271)*100</f>
        <v/>
      </c>
    </row>
    <row r="272" ht="12.95" customHeight="1">
      <c r="A272" s="155" t="n">
        <v>271</v>
      </c>
      <c r="B272" s="160" t="n">
        <v>44959</v>
      </c>
      <c r="C272" s="159" t="n">
        <v>26661814.81</v>
      </c>
      <c r="D272" s="174">
        <f>C272/E272</f>
        <v/>
      </c>
      <c r="E272" s="159" t="n">
        <v>82.03</v>
      </c>
      <c r="F272" s="159">
        <f>D272/100000</f>
        <v/>
      </c>
      <c r="G272" s="159">
        <f>(F272/DataSheet!$C$10*100)</f>
        <v/>
      </c>
      <c r="H272" s="159">
        <f>K272/I272</f>
        <v/>
      </c>
      <c r="I272" s="159">
        <f>(J272/L272)*100</f>
        <v/>
      </c>
      <c r="J272" s="159">
        <f>L272/O272</f>
        <v/>
      </c>
      <c r="K272" s="159" t="n">
        <v>7.29</v>
      </c>
      <c r="L272" s="159" t="n">
        <v>17610.4</v>
      </c>
      <c r="M272" s="159" t="n">
        <v>4.13</v>
      </c>
      <c r="N272" s="159">
        <f>K272-I272</f>
        <v/>
      </c>
      <c r="O272" s="159" t="n">
        <v>20.59</v>
      </c>
      <c r="P272" s="159" t="n">
        <v>3.4</v>
      </c>
      <c r="Q272" s="159">
        <f>K272-P272</f>
        <v/>
      </c>
      <c r="R272" s="159" t="n">
        <v>101.57</v>
      </c>
      <c r="S272" s="159">
        <f>(O272*T272)/100</f>
        <v/>
      </c>
      <c r="T272" s="157" t="n">
        <v>6.56</v>
      </c>
      <c r="U272" s="157" t="n">
        <v>11518.05</v>
      </c>
      <c r="V272" s="157" t="n">
        <v>24.78</v>
      </c>
      <c r="W272" s="159">
        <f>U272/V272</f>
        <v/>
      </c>
      <c r="X272" s="159">
        <f>(W272/U272)*100</f>
        <v/>
      </c>
      <c r="Y272" s="157" t="n">
        <v>9195.6</v>
      </c>
      <c r="Z272" s="157" t="n">
        <v>18.24</v>
      </c>
      <c r="AA272" s="159">
        <f>Y272/Z272</f>
        <v/>
      </c>
      <c r="AB272" s="159">
        <f>(AA272/Y272)*100</f>
        <v/>
      </c>
    </row>
    <row r="273" ht="12.95" customHeight="1">
      <c r="A273" s="155" t="n">
        <v>272</v>
      </c>
      <c r="B273" s="160" t="n">
        <v>44960</v>
      </c>
      <c r="C273" s="159" t="n">
        <v>26765509.93</v>
      </c>
      <c r="D273" s="174">
        <f>C273/E273</f>
        <v/>
      </c>
      <c r="E273" s="159" t="n">
        <v>82.2</v>
      </c>
      <c r="F273" s="159">
        <f>D273/100000</f>
        <v/>
      </c>
      <c r="G273" s="159">
        <f>(F273/DataSheet!$C$10*100)</f>
        <v/>
      </c>
      <c r="H273" s="159">
        <f>K273/I273</f>
        <v/>
      </c>
      <c r="I273" s="159">
        <f>(J273/L273)*100</f>
        <v/>
      </c>
      <c r="J273" s="159">
        <f>L273/O273</f>
        <v/>
      </c>
      <c r="K273" s="159" t="n">
        <v>7.27</v>
      </c>
      <c r="L273" s="159" t="n">
        <v>17854.05</v>
      </c>
      <c r="M273" s="159" t="n">
        <v>4.18</v>
      </c>
      <c r="N273" s="159">
        <f>K273-I273</f>
        <v/>
      </c>
      <c r="O273" s="159" t="n">
        <v>20.86</v>
      </c>
      <c r="P273" s="159" t="n">
        <v>3.51</v>
      </c>
      <c r="Q273" s="159">
        <f>K273-P273</f>
        <v/>
      </c>
      <c r="R273" s="159" t="n">
        <v>102.75</v>
      </c>
      <c r="S273" s="159">
        <f>(O273*T273)/100</f>
        <v/>
      </c>
      <c r="T273" s="157" t="n">
        <v>6.57</v>
      </c>
      <c r="U273" s="157" t="n">
        <v>11504.7</v>
      </c>
      <c r="V273" s="157" t="n">
        <v>24.67</v>
      </c>
      <c r="W273" s="159">
        <f>U273/V273</f>
        <v/>
      </c>
      <c r="X273" s="159">
        <f>(W273/U273)*100</f>
        <v/>
      </c>
      <c r="Y273" s="157" t="n">
        <v>9161.549999999999</v>
      </c>
      <c r="Z273" s="157" t="n">
        <v>18.13</v>
      </c>
      <c r="AA273" s="159">
        <f>Y273/Z273</f>
        <v/>
      </c>
      <c r="AB273" s="159">
        <f>(AA273/Y273)*100</f>
        <v/>
      </c>
    </row>
    <row r="274" ht="12.95" customHeight="1">
      <c r="A274" s="155" t="n">
        <v>273</v>
      </c>
      <c r="B274" s="160" t="n">
        <v>44963</v>
      </c>
      <c r="C274" s="159" t="n">
        <v>26741660.66</v>
      </c>
      <c r="D274" s="174">
        <f>C274/E274</f>
        <v/>
      </c>
      <c r="E274" s="159" t="n">
        <v>82.73999999999999</v>
      </c>
      <c r="F274" s="159">
        <f>D274/100000</f>
        <v/>
      </c>
      <c r="G274" s="159">
        <f>(F274/DataSheet!$C$10*100)</f>
        <v/>
      </c>
      <c r="H274" s="159">
        <f>K274/I274</f>
        <v/>
      </c>
      <c r="I274" s="159">
        <f>(J274/L274)*100</f>
        <v/>
      </c>
      <c r="J274" s="159">
        <f>L274/O274</f>
        <v/>
      </c>
      <c r="K274" s="159" t="n">
        <v>7.32</v>
      </c>
      <c r="L274" s="159" t="n">
        <v>17764.6</v>
      </c>
      <c r="M274" s="159" t="n">
        <v>4.16</v>
      </c>
      <c r="N274" s="159">
        <f>K274-I274</f>
        <v/>
      </c>
      <c r="O274" s="159" t="n">
        <v>20.71</v>
      </c>
      <c r="P274" s="159" t="n">
        <v>3.64</v>
      </c>
      <c r="Q274" s="159">
        <f>K274-P274</f>
        <v/>
      </c>
      <c r="R274" s="159" t="n">
        <v>103.49</v>
      </c>
      <c r="S274" s="159">
        <f>(O274*T274)/100</f>
        <v/>
      </c>
      <c r="T274" s="157" t="n">
        <v>6.54</v>
      </c>
      <c r="U274" s="157" t="n">
        <v>11602.95</v>
      </c>
      <c r="V274" s="157" t="n">
        <v>24.59</v>
      </c>
      <c r="W274" s="159">
        <f>U274/V274</f>
        <v/>
      </c>
      <c r="X274" s="159">
        <f>(W274/U274)*100</f>
        <v/>
      </c>
      <c r="Y274" s="157" t="n">
        <v>9185.15</v>
      </c>
      <c r="Z274" s="157" t="n">
        <v>18.15</v>
      </c>
      <c r="AA274" s="159">
        <f>Y274/Z274</f>
        <v/>
      </c>
      <c r="AB274" s="159">
        <f>(AA274/Y274)*100</f>
        <v/>
      </c>
    </row>
    <row r="275" ht="12.95" customHeight="1">
      <c r="A275" s="155" t="n">
        <v>274</v>
      </c>
      <c r="B275" s="160" t="n">
        <v>44964</v>
      </c>
      <c r="C275" s="159" t="n">
        <v>26700115.29</v>
      </c>
      <c r="D275" s="174">
        <f>C275/E275</f>
        <v/>
      </c>
      <c r="E275" s="159" t="n">
        <v>82.86</v>
      </c>
      <c r="F275" s="159">
        <f>D275/100000</f>
        <v/>
      </c>
      <c r="G275" s="159">
        <f>(F275/DataSheet!$C$10*100)</f>
        <v/>
      </c>
      <c r="H275" s="159">
        <f>K275/I275</f>
        <v/>
      </c>
      <c r="I275" s="159">
        <f>(J275/L275)*100</f>
        <v/>
      </c>
      <c r="J275" s="159">
        <f>L275/O275</f>
        <v/>
      </c>
      <c r="K275" s="159" t="n">
        <v>7.3</v>
      </c>
      <c r="L275" s="159" t="n">
        <v>17721.5</v>
      </c>
      <c r="M275" s="159" t="n">
        <v>4.15</v>
      </c>
      <c r="N275" s="159">
        <f>K275-I275</f>
        <v/>
      </c>
      <c r="O275" s="159" t="n">
        <v>20.5</v>
      </c>
      <c r="P275" s="159" t="n">
        <v>3.67</v>
      </c>
      <c r="Q275" s="159">
        <f>K275-P275</f>
        <v/>
      </c>
      <c r="R275" s="159" t="n">
        <v>103.29</v>
      </c>
      <c r="S275" s="159">
        <f>(O275*T275)/100</f>
        <v/>
      </c>
      <c r="T275" s="157" t="n">
        <v>6.56</v>
      </c>
      <c r="U275" s="157" t="n">
        <v>11601.6</v>
      </c>
      <c r="V275" s="157" t="n">
        <v>24.67</v>
      </c>
      <c r="W275" s="159">
        <f>U275/V275</f>
        <v/>
      </c>
      <c r="X275" s="159">
        <f>(W275/U275)*100</f>
        <v/>
      </c>
      <c r="Y275" s="157" t="n">
        <v>9151.35</v>
      </c>
      <c r="Z275" s="157" t="n">
        <v>18.01</v>
      </c>
      <c r="AA275" s="159">
        <f>Y275/Z275</f>
        <v/>
      </c>
      <c r="AB275" s="159">
        <f>(AA275/Y275)*100</f>
        <v/>
      </c>
    </row>
    <row r="276">
      <c r="A276" s="155" t="n">
        <v>275</v>
      </c>
      <c r="B276" s="160" t="n">
        <v>44965</v>
      </c>
      <c r="C276" s="159" t="n">
        <v>26957063.47</v>
      </c>
      <c r="D276" s="174">
        <f>C276/E276</f>
        <v/>
      </c>
      <c r="E276" s="159" t="n">
        <v>82.65000000000001</v>
      </c>
      <c r="F276" s="159">
        <f>D276/100000</f>
        <v/>
      </c>
      <c r="G276" s="159">
        <f>(F276/DataSheet!$C$10*100)</f>
        <v/>
      </c>
      <c r="H276" s="159">
        <f>K276/I276</f>
        <v/>
      </c>
      <c r="I276" s="159">
        <f>(J276/L276)*100</f>
        <v/>
      </c>
      <c r="J276" s="159">
        <f>L276/O276</f>
        <v/>
      </c>
      <c r="K276" s="159" t="n">
        <v>7.34</v>
      </c>
      <c r="L276" s="159" t="n">
        <v>17871.7</v>
      </c>
      <c r="M276" s="159" t="n">
        <v>4.19</v>
      </c>
      <c r="N276" s="159">
        <f>K276-I276</f>
        <v/>
      </c>
      <c r="O276" s="159" t="n">
        <v>21.1</v>
      </c>
      <c r="P276" s="159" t="n">
        <v>3.61</v>
      </c>
      <c r="Q276" s="159">
        <f>K276-P276</f>
        <v/>
      </c>
      <c r="R276" s="159" t="n">
        <v>103.27</v>
      </c>
      <c r="S276" s="159">
        <f>(O276*T276)/100</f>
        <v/>
      </c>
      <c r="T276" s="157" t="n">
        <v>6.58</v>
      </c>
      <c r="U276" s="157" t="n">
        <v>11699.35</v>
      </c>
      <c r="V276" s="157" t="n">
        <v>24.91</v>
      </c>
      <c r="W276" s="159">
        <f>U276/V276</f>
        <v/>
      </c>
      <c r="X276" s="159">
        <f>(W276/U276)*100</f>
        <v/>
      </c>
      <c r="Y276" s="157" t="n">
        <v>9222.15</v>
      </c>
      <c r="Z276" s="157" t="n">
        <v>18.13</v>
      </c>
      <c r="AA276" s="159">
        <f>Y276/Z276</f>
        <v/>
      </c>
      <c r="AB276" s="159">
        <f>(AA276/Y276)*100</f>
        <v/>
      </c>
    </row>
    <row r="277">
      <c r="A277" s="155" t="n">
        <v>276</v>
      </c>
      <c r="B277" s="160" t="n">
        <v>44966</v>
      </c>
      <c r="C277" s="159" t="n">
        <v>26930932.71</v>
      </c>
      <c r="D277" s="174">
        <f>C277/E277</f>
        <v/>
      </c>
      <c r="E277" s="159" t="n">
        <v>82.51000000000001</v>
      </c>
      <c r="F277" s="159">
        <f>D277/100000</f>
        <v/>
      </c>
      <c r="G277" s="159">
        <f>(F277/DataSheet!$C$10*100)</f>
        <v/>
      </c>
      <c r="H277" s="159">
        <f>K277/I277</f>
        <v/>
      </c>
      <c r="I277" s="159">
        <f>(J277/L277)*100</f>
        <v/>
      </c>
      <c r="J277" s="159">
        <f>L277/O277</f>
        <v/>
      </c>
      <c r="K277" s="159" t="n">
        <v>7.34</v>
      </c>
      <c r="L277" s="159" t="n">
        <v>17893.45</v>
      </c>
      <c r="M277" s="159" t="n">
        <v>4.19</v>
      </c>
      <c r="N277" s="159">
        <f>K277-I277</f>
        <v/>
      </c>
      <c r="O277" s="159" t="n">
        <v>21.11</v>
      </c>
      <c r="P277" s="159" t="n">
        <v>3.66</v>
      </c>
      <c r="Q277" s="159">
        <f>K277-P277</f>
        <v/>
      </c>
      <c r="R277" s="159" t="n">
        <v>103.1</v>
      </c>
      <c r="S277" s="159">
        <f>(O277*T277)/100</f>
        <v/>
      </c>
      <c r="T277" s="157" t="n">
        <v>6.69</v>
      </c>
      <c r="U277" s="157" t="n">
        <v>11709.45</v>
      </c>
      <c r="V277" s="157" t="n">
        <v>24.92</v>
      </c>
      <c r="W277" s="159">
        <f>U277/V277</f>
        <v/>
      </c>
      <c r="X277" s="159">
        <f>(W277/U277)*100</f>
        <v/>
      </c>
      <c r="Y277" s="157" t="n">
        <v>9198.85</v>
      </c>
      <c r="Z277" s="157" t="n">
        <v>18.1</v>
      </c>
      <c r="AA277" s="159">
        <f>Y277/Z277</f>
        <v/>
      </c>
      <c r="AB277" s="159">
        <f>(AA277/Y277)*100</f>
        <v/>
      </c>
    </row>
    <row r="278">
      <c r="A278" s="155" t="n">
        <v>277</v>
      </c>
      <c r="B278" s="160" t="n">
        <v>44967</v>
      </c>
      <c r="C278" s="159" t="n">
        <v>26915279.02</v>
      </c>
      <c r="D278" s="174">
        <f>C278/E278</f>
        <v/>
      </c>
      <c r="E278" s="159" t="n">
        <v>82.51000000000001</v>
      </c>
      <c r="F278" s="159">
        <f>D278/100000</f>
        <v/>
      </c>
      <c r="G278" s="159">
        <f>(F278/DataSheet!$C$10*100)</f>
        <v/>
      </c>
      <c r="H278" s="159">
        <f>K278/I278</f>
        <v/>
      </c>
      <c r="I278" s="159">
        <f>(J278/L278)*100</f>
        <v/>
      </c>
      <c r="J278" s="159">
        <f>L278/O278</f>
        <v/>
      </c>
      <c r="K278" s="159" t="n">
        <v>7.36</v>
      </c>
      <c r="L278" s="159" t="n">
        <v>17856.5</v>
      </c>
      <c r="M278" s="159" t="n">
        <v>4.18</v>
      </c>
      <c r="N278" s="159">
        <f>K278-I278</f>
        <v/>
      </c>
      <c r="O278" s="159" t="n">
        <v>21.06</v>
      </c>
      <c r="P278" s="159" t="n">
        <v>3.74</v>
      </c>
      <c r="Q278" s="159">
        <f>K278-P278</f>
        <v/>
      </c>
      <c r="R278" s="159" t="n">
        <v>103.53</v>
      </c>
      <c r="S278" s="159">
        <f>(O278*T278)/100</f>
        <v/>
      </c>
      <c r="T278" s="157" t="n">
        <v>6.69</v>
      </c>
      <c r="U278" s="157" t="n">
        <v>11738.3</v>
      </c>
      <c r="V278" s="157" t="n">
        <v>24.91</v>
      </c>
      <c r="W278" s="159">
        <f>U278/V278</f>
        <v/>
      </c>
      <c r="X278" s="159">
        <f>(W278/U278)*100</f>
        <v/>
      </c>
      <c r="Y278" s="157" t="n">
        <v>9243.6</v>
      </c>
      <c r="Z278" s="157" t="n">
        <v>18.15</v>
      </c>
      <c r="AA278" s="159">
        <f>Y278/Z278</f>
        <v/>
      </c>
      <c r="AB278" s="159">
        <f>(AA278/Y278)*100</f>
        <v/>
      </c>
    </row>
    <row r="279">
      <c r="A279" s="155" t="n">
        <v>278</v>
      </c>
      <c r="B279" s="160" t="n">
        <v>44970</v>
      </c>
      <c r="C279" s="159" t="n">
        <v>26664344.36</v>
      </c>
      <c r="D279" s="174">
        <f>C279/E279</f>
        <v/>
      </c>
      <c r="E279" s="159" t="n">
        <v>82.59</v>
      </c>
      <c r="F279" s="159">
        <f>D279/100000</f>
        <v/>
      </c>
      <c r="G279" s="159">
        <f>(F279/DataSheet!$C$10*100)</f>
        <v/>
      </c>
      <c r="H279" s="159">
        <f>K279/I279</f>
        <v/>
      </c>
      <c r="I279" s="159">
        <f>(J279/L279)*100</f>
        <v/>
      </c>
      <c r="J279" s="159">
        <f>L279/O279</f>
        <v/>
      </c>
      <c r="K279" s="159" t="n">
        <v>7.36</v>
      </c>
      <c r="L279" s="159" t="n">
        <v>17770.9</v>
      </c>
      <c r="M279" s="159" t="n">
        <v>4.16</v>
      </c>
      <c r="N279" s="159">
        <f>K279-I279</f>
        <v/>
      </c>
      <c r="O279" s="159" t="n">
        <v>21.05</v>
      </c>
      <c r="P279" s="159" t="n">
        <v>3.7</v>
      </c>
      <c r="Q279" s="159">
        <f>K279-P279</f>
        <v/>
      </c>
      <c r="R279" s="159" t="n">
        <v>103.24</v>
      </c>
      <c r="S279" s="159">
        <f>(O279*T279)/100</f>
        <v/>
      </c>
      <c r="T279" s="157" t="n">
        <v>6.68</v>
      </c>
      <c r="U279" s="157" t="n">
        <v>11584.95</v>
      </c>
      <c r="V279" s="157" t="n">
        <v>24.81</v>
      </c>
      <c r="W279" s="159">
        <f>U279/V279</f>
        <v/>
      </c>
      <c r="X279" s="159">
        <f>(W279/U279)*100</f>
        <v/>
      </c>
      <c r="Y279" s="157" t="n">
        <v>9133.700000000001</v>
      </c>
      <c r="Z279" s="157" t="n">
        <v>17.87</v>
      </c>
      <c r="AA279" s="159">
        <f>Y279/Z279</f>
        <v/>
      </c>
      <c r="AB279" s="159">
        <f>(AA279/Y279)*100</f>
        <v/>
      </c>
    </row>
    <row r="280">
      <c r="A280" s="155" t="n">
        <v>279</v>
      </c>
      <c r="B280" s="160" t="n">
        <v>44971</v>
      </c>
      <c r="C280" s="159" t="n">
        <v>26694006.67</v>
      </c>
      <c r="D280" s="174">
        <f>C280/E280</f>
        <v/>
      </c>
      <c r="E280" s="159" t="n">
        <v>82.91</v>
      </c>
      <c r="F280" s="159">
        <f>D280/100000</f>
        <v/>
      </c>
      <c r="G280" s="159">
        <f>(F280/DataSheet!$C$10*100)</f>
        <v/>
      </c>
      <c r="H280" s="159">
        <f>K280/I280</f>
        <v/>
      </c>
      <c r="I280" s="159">
        <f>(J280/L280)*100</f>
        <v/>
      </c>
      <c r="J280" s="159">
        <f>L280/O280</f>
        <v/>
      </c>
      <c r="K280" s="159" t="n">
        <v>7.37</v>
      </c>
      <c r="L280" s="159" t="n">
        <v>17929.85</v>
      </c>
      <c r="M280" s="159" t="n">
        <v>4.2</v>
      </c>
      <c r="N280" s="159">
        <f>K280-I280</f>
        <v/>
      </c>
      <c r="O280" s="159" t="n">
        <v>21.21</v>
      </c>
      <c r="P280" s="159" t="n">
        <v>3.75</v>
      </c>
      <c r="Q280" s="159">
        <f>K280-P280</f>
        <v/>
      </c>
      <c r="R280" s="159" t="n">
        <v>103.12</v>
      </c>
      <c r="S280" s="159">
        <f>(O280*T280)/100</f>
        <v/>
      </c>
      <c r="T280" s="157" t="n">
        <v>6.7</v>
      </c>
      <c r="U280" s="157" t="n">
        <v>11535</v>
      </c>
      <c r="V280" s="157" t="n">
        <v>24.78</v>
      </c>
      <c r="W280" s="159">
        <f>U280/V280</f>
        <v/>
      </c>
      <c r="X280" s="159">
        <f>(W280/U280)*100</f>
        <v/>
      </c>
      <c r="Y280" s="157" t="n">
        <v>9085.450000000001</v>
      </c>
      <c r="Z280" s="157" t="n">
        <v>17.76</v>
      </c>
      <c r="AA280" s="159">
        <f>Y280/Z280</f>
        <v/>
      </c>
      <c r="AB280" s="159">
        <f>(AA280/Y280)*100</f>
        <v/>
      </c>
    </row>
    <row r="281">
      <c r="A281" s="155" t="n">
        <v>280</v>
      </c>
      <c r="B281" s="160" t="n">
        <v>44972</v>
      </c>
      <c r="C281" s="159" t="n">
        <v>26818616</v>
      </c>
      <c r="D281" s="174">
        <f>C281/E281</f>
        <v/>
      </c>
      <c r="E281" s="159" t="n">
        <v>82.75</v>
      </c>
      <c r="F281" s="159">
        <f>D281/100000</f>
        <v/>
      </c>
      <c r="G281" s="159">
        <f>(F281/DataSheet!$C$10*100)</f>
        <v/>
      </c>
      <c r="H281" s="159">
        <f>K281/I281</f>
        <v/>
      </c>
      <c r="I281" s="159">
        <f>(J281/L281)*100</f>
        <v/>
      </c>
      <c r="J281" s="159">
        <f>L281/O281</f>
        <v/>
      </c>
      <c r="K281" s="159" t="n">
        <v>7.34</v>
      </c>
      <c r="L281" s="159" t="n">
        <v>18015.85</v>
      </c>
      <c r="M281" s="159" t="n">
        <v>4.22</v>
      </c>
      <c r="N281" s="159">
        <f>K281-I281</f>
        <v/>
      </c>
      <c r="O281" s="159" t="n">
        <v>21.31</v>
      </c>
      <c r="P281" s="159" t="n">
        <v>3.8</v>
      </c>
      <c r="Q281" s="159">
        <f>K281-P281</f>
        <v/>
      </c>
      <c r="R281" s="159" t="n">
        <v>103.83</v>
      </c>
      <c r="S281" s="159">
        <f>(O281*T281)/100</f>
        <v/>
      </c>
      <c r="T281" s="157" t="n">
        <v>6.72</v>
      </c>
      <c r="U281" s="157" t="n">
        <v>11590.35</v>
      </c>
      <c r="V281" s="157" t="n">
        <v>25.04</v>
      </c>
      <c r="W281" s="159">
        <f>U281/V281</f>
        <v/>
      </c>
      <c r="X281" s="159">
        <f>(W281/U281)*100</f>
        <v/>
      </c>
      <c r="Y281" s="157" t="n">
        <v>9121.450000000001</v>
      </c>
      <c r="Z281" s="157" t="n">
        <v>17.88</v>
      </c>
      <c r="AA281" s="159">
        <f>Y281/Z281</f>
        <v/>
      </c>
      <c r="AB281" s="159">
        <f>(AA281/Y281)*100</f>
        <v/>
      </c>
    </row>
    <row r="282">
      <c r="A282" s="155" t="n">
        <v>281</v>
      </c>
      <c r="B282" s="160" t="n">
        <v>44973</v>
      </c>
      <c r="C282" s="159" t="n">
        <v>26922333.53</v>
      </c>
      <c r="D282" s="174">
        <f>C282/E282</f>
        <v/>
      </c>
      <c r="E282" s="159" t="n">
        <v>82.70999999999999</v>
      </c>
      <c r="F282" s="159">
        <f>D282/100000</f>
        <v/>
      </c>
      <c r="G282" s="159">
        <f>(F282/DataSheet!$C$10*100)</f>
        <v/>
      </c>
      <c r="H282" s="159">
        <f>K282/I282</f>
        <v/>
      </c>
      <c r="I282" s="159">
        <f>(J282/L282)*100</f>
        <v/>
      </c>
      <c r="J282" s="159">
        <f>L282/O282</f>
        <v/>
      </c>
      <c r="K282" s="159" t="n">
        <v>7.34</v>
      </c>
      <c r="L282" s="159" t="n">
        <v>18035.85</v>
      </c>
      <c r="M282" s="159" t="n">
        <v>4.23</v>
      </c>
      <c r="N282" s="159">
        <f>K282-I282</f>
        <v/>
      </c>
      <c r="O282" s="159" t="n">
        <v>21.26</v>
      </c>
      <c r="P282" s="159" t="n">
        <v>3.86</v>
      </c>
      <c r="Q282" s="159">
        <f>K282-P282</f>
        <v/>
      </c>
      <c r="R282" s="159" t="n">
        <v>103.79</v>
      </c>
      <c r="S282" s="159">
        <f>(O282*T282)/100</f>
        <v/>
      </c>
      <c r="T282" s="157" t="n">
        <v>6.75</v>
      </c>
      <c r="U282" s="157" t="n">
        <v>11679.2</v>
      </c>
      <c r="V282" s="157" t="n">
        <v>25.26</v>
      </c>
      <c r="W282" s="159">
        <f>U282/V282</f>
        <v/>
      </c>
      <c r="X282" s="159">
        <f>(W282/U282)*100</f>
        <v/>
      </c>
      <c r="Y282" s="157" t="n">
        <v>9194.35</v>
      </c>
      <c r="Z282" s="157" t="n">
        <v>18.11</v>
      </c>
      <c r="AA282" s="159">
        <f>Y282/Z282</f>
        <v/>
      </c>
      <c r="AB282" s="159">
        <f>(AA282/Y282)*100</f>
        <v/>
      </c>
    </row>
    <row r="283">
      <c r="A283" s="155" t="n">
        <v>282</v>
      </c>
      <c r="B283" s="160" t="n">
        <v>44974</v>
      </c>
      <c r="C283" s="159" t="n">
        <v>26785333.57</v>
      </c>
      <c r="D283" s="174">
        <f>C283/E283</f>
        <v/>
      </c>
      <c r="E283" s="159" t="n">
        <v>82.75</v>
      </c>
      <c r="F283" s="159">
        <f>D283/100000</f>
        <v/>
      </c>
      <c r="G283" s="159">
        <f>(F283/DataSheet!$C$10*100)</f>
        <v/>
      </c>
      <c r="H283" s="159">
        <f>K283/I283</f>
        <v/>
      </c>
      <c r="I283" s="159">
        <f>(J283/L283)*100</f>
        <v/>
      </c>
      <c r="J283" s="159">
        <f>L283/O283</f>
        <v/>
      </c>
      <c r="K283" s="159" t="n">
        <v>7.38</v>
      </c>
      <c r="L283" s="159" t="n">
        <v>17944.2</v>
      </c>
      <c r="M283" s="159" t="n">
        <v>4.2</v>
      </c>
      <c r="N283" s="159">
        <f>K283-I283</f>
        <v/>
      </c>
      <c r="O283" s="159" t="n">
        <v>21.15</v>
      </c>
      <c r="P283" s="159" t="n">
        <v>3.81</v>
      </c>
      <c r="Q283" s="159">
        <f>K283-P283</f>
        <v/>
      </c>
      <c r="R283" s="159" t="n">
        <v>103.78</v>
      </c>
      <c r="S283" s="159">
        <f>(O283*T283)/100</f>
        <v/>
      </c>
      <c r="T283" s="157" t="n">
        <v>6.79</v>
      </c>
      <c r="U283" s="157" t="n">
        <v>11605.65</v>
      </c>
      <c r="V283" s="157" t="n">
        <v>24.42</v>
      </c>
      <c r="W283" s="159">
        <f>U283/V283</f>
        <v/>
      </c>
      <c r="X283" s="159">
        <f>(W283/U283)*100</f>
        <v/>
      </c>
      <c r="Y283" s="157" t="n">
        <v>9162.4</v>
      </c>
      <c r="Z283" s="157" t="n">
        <v>18.26</v>
      </c>
      <c r="AA283" s="159">
        <f>Y283/Z283</f>
        <v/>
      </c>
      <c r="AB283" s="159">
        <f>(AA283/Y283)*100</f>
        <v/>
      </c>
    </row>
    <row r="284">
      <c r="A284" s="155" t="n">
        <v>283</v>
      </c>
      <c r="B284" s="160" t="n">
        <v>44977</v>
      </c>
      <c r="C284" s="159" t="n">
        <v>26684476.87</v>
      </c>
      <c r="D284" s="174">
        <f>C284/E284</f>
        <v/>
      </c>
      <c r="E284" s="159" t="n">
        <v>82.69</v>
      </c>
      <c r="F284" s="159">
        <f>D284/100000</f>
        <v/>
      </c>
      <c r="G284" s="159">
        <f>(F284/DataSheet!$C$10*100)</f>
        <v/>
      </c>
      <c r="H284" s="159">
        <f>K284/I284</f>
        <v/>
      </c>
      <c r="I284" s="159">
        <f>(J284/L284)*100</f>
        <v/>
      </c>
      <c r="J284" s="159">
        <f>L284/O284</f>
        <v/>
      </c>
      <c r="K284" s="159" t="n">
        <v>7.37</v>
      </c>
      <c r="L284" s="159" t="n">
        <v>17844.6</v>
      </c>
      <c r="M284" s="159" t="n">
        <v>4.18</v>
      </c>
      <c r="N284" s="159">
        <f>K284-I284</f>
        <v/>
      </c>
      <c r="O284" s="159" t="n">
        <v>21.04</v>
      </c>
      <c r="P284" s="159" t="n">
        <v>3.85</v>
      </c>
      <c r="Q284" s="159">
        <f>K284-P284</f>
        <v/>
      </c>
      <c r="R284" s="159" t="n">
        <v>103.78</v>
      </c>
      <c r="S284" s="159">
        <f>(O284*T284)/100</f>
        <v/>
      </c>
      <c r="T284" s="157" t="n">
        <v>6.78</v>
      </c>
      <c r="U284" s="157" t="n">
        <v>11606.15</v>
      </c>
      <c r="V284" s="157" t="n">
        <v>24.31</v>
      </c>
      <c r="W284" s="159">
        <f>U284/V284</f>
        <v/>
      </c>
      <c r="X284" s="159">
        <f>(W284/U284)*100</f>
        <v/>
      </c>
      <c r="Y284" s="157" t="n">
        <v>9133.15</v>
      </c>
      <c r="Z284" s="157" t="n">
        <v>18.2</v>
      </c>
      <c r="AA284" s="159">
        <f>Y284/Z284</f>
        <v/>
      </c>
      <c r="AB284" s="159">
        <f>(AA284/Y284)*100</f>
        <v/>
      </c>
    </row>
    <row r="285">
      <c r="A285" s="155" t="n">
        <v>284</v>
      </c>
      <c r="B285" s="160" t="n">
        <v>44978</v>
      </c>
      <c r="C285" s="159" t="n">
        <v>26617539.13</v>
      </c>
      <c r="D285" s="174">
        <f>C285/E285</f>
        <v/>
      </c>
      <c r="E285" s="159" t="n">
        <v>82.86</v>
      </c>
      <c r="F285" s="159">
        <f>D285/100000</f>
        <v/>
      </c>
      <c r="G285" s="159">
        <f>(F285/DataSheet!$C$10*100)</f>
        <v/>
      </c>
      <c r="H285" s="159">
        <f>K285/I285</f>
        <v/>
      </c>
      <c r="I285" s="159">
        <f>(J285/L285)*100</f>
        <v/>
      </c>
      <c r="J285" s="159">
        <f>L285/O285</f>
        <v/>
      </c>
      <c r="K285" s="159" t="n">
        <v>7.39</v>
      </c>
      <c r="L285" s="159" t="n">
        <v>17826.7</v>
      </c>
      <c r="M285" s="159" t="n">
        <v>4.18</v>
      </c>
      <c r="N285" s="159">
        <f>K285-I285</f>
        <v/>
      </c>
      <c r="O285" s="159" t="n">
        <v>21.01</v>
      </c>
      <c r="P285" s="159" t="n">
        <v>3.95</v>
      </c>
      <c r="Q285" s="159">
        <f>K285-P285</f>
        <v/>
      </c>
      <c r="R285" s="159" t="n">
        <v>104.11</v>
      </c>
      <c r="S285" s="159">
        <f>(O285*T285)/100</f>
        <v/>
      </c>
      <c r="T285" s="157" t="n">
        <v>6.8</v>
      </c>
      <c r="U285" s="157" t="n">
        <v>11575.1</v>
      </c>
      <c r="V285" s="157" t="n">
        <v>24.25</v>
      </c>
      <c r="W285" s="159">
        <f>U285/V285</f>
        <v/>
      </c>
      <c r="X285" s="159">
        <f>(W285/U285)*100</f>
        <v/>
      </c>
      <c r="Y285" s="157" t="n">
        <v>9101.25</v>
      </c>
      <c r="Z285" s="157" t="n">
        <v>18.14</v>
      </c>
      <c r="AA285" s="159">
        <f>Y285/Z285</f>
        <v/>
      </c>
      <c r="AB285" s="159">
        <f>(AA285/Y285)*100</f>
        <v/>
      </c>
    </row>
    <row r="286">
      <c r="A286" s="155" t="n">
        <v>285</v>
      </c>
      <c r="B286" s="160" t="n">
        <v>44979</v>
      </c>
      <c r="C286" s="159" t="n">
        <v>26357865.24</v>
      </c>
      <c r="D286" s="174">
        <f>C286/E286</f>
        <v/>
      </c>
      <c r="E286" s="159" t="n">
        <v>82.83</v>
      </c>
      <c r="F286" s="159">
        <f>D286/100000</f>
        <v/>
      </c>
      <c r="G286" s="159">
        <f>(F286/DataSheet!$C$10*100)</f>
        <v/>
      </c>
      <c r="H286" s="159">
        <f>K286/I286</f>
        <v/>
      </c>
      <c r="I286" s="159">
        <f>(J286/L286)*100</f>
        <v/>
      </c>
      <c r="J286" s="159">
        <f>L286/O286</f>
        <v/>
      </c>
      <c r="K286" s="159" t="n">
        <v>7.42</v>
      </c>
      <c r="L286" s="159" t="n">
        <v>17554.3</v>
      </c>
      <c r="M286" s="159" t="n">
        <v>4.11</v>
      </c>
      <c r="N286" s="159">
        <f>K286-I286</f>
        <v/>
      </c>
      <c r="O286" s="159" t="n">
        <v>20.69</v>
      </c>
      <c r="P286" s="159" t="n">
        <v>3.92</v>
      </c>
      <c r="Q286" s="159">
        <f>K286-P286</f>
        <v/>
      </c>
      <c r="R286" s="159" t="n">
        <v>104.52</v>
      </c>
      <c r="S286" s="159">
        <f>(O286*T286)/100</f>
        <v/>
      </c>
      <c r="T286" s="157" t="n">
        <v>6.82</v>
      </c>
      <c r="U286" s="157" t="n">
        <v>11459.2</v>
      </c>
      <c r="V286" s="157" t="n">
        <v>24</v>
      </c>
      <c r="W286" s="159">
        <f>U286/V286</f>
        <v/>
      </c>
      <c r="X286" s="159">
        <f>(W286/U286)*100</f>
        <v/>
      </c>
      <c r="Y286" s="157" t="n">
        <v>8998.4</v>
      </c>
      <c r="Z286" s="157" t="n">
        <v>17.94</v>
      </c>
      <c r="AA286" s="159">
        <f>Y286/Z286</f>
        <v/>
      </c>
      <c r="AB286" s="159">
        <f>(AA286/Y286)*100</f>
        <v/>
      </c>
    </row>
    <row r="287">
      <c r="A287" s="155" t="n">
        <v>286</v>
      </c>
      <c r="B287" s="160" t="n">
        <v>44980</v>
      </c>
      <c r="C287" s="159" t="n">
        <v>26175144.27</v>
      </c>
      <c r="D287" s="174">
        <f>C287/E287</f>
        <v/>
      </c>
      <c r="E287" s="159" t="n">
        <v>82.73999999999999</v>
      </c>
      <c r="F287" s="159">
        <f>D287/100000</f>
        <v/>
      </c>
      <c r="G287" s="159">
        <f>(F287/DataSheet!$C$10*100)</f>
        <v/>
      </c>
      <c r="H287" s="159">
        <f>K287/I287</f>
        <v/>
      </c>
      <c r="I287" s="159">
        <f>(J287/L287)*100</f>
        <v/>
      </c>
      <c r="J287" s="159">
        <f>L287/O287</f>
        <v/>
      </c>
      <c r="K287" s="159" t="n">
        <v>7.39</v>
      </c>
      <c r="L287" s="159" t="n">
        <v>17511.25</v>
      </c>
      <c r="M287" s="159" t="n">
        <v>4.1</v>
      </c>
      <c r="N287" s="159">
        <f>K287-I287</f>
        <v/>
      </c>
      <c r="O287" s="159" t="n">
        <v>20.64</v>
      </c>
      <c r="P287" s="159" t="n">
        <v>3.89</v>
      </c>
      <c r="Q287" s="159">
        <f>K287-P287</f>
        <v/>
      </c>
      <c r="R287" s="159" t="n">
        <v>104.55</v>
      </c>
      <c r="S287" s="159">
        <f>(O287*T287)/100</f>
        <v/>
      </c>
      <c r="T287" s="157" t="n">
        <v>6.86</v>
      </c>
      <c r="U287" s="157" t="n">
        <v>11431.25</v>
      </c>
      <c r="V287" s="157" t="n">
        <v>23.94</v>
      </c>
      <c r="W287" s="159">
        <f>U287/V287</f>
        <v/>
      </c>
      <c r="X287" s="159">
        <f>(W287/U287)*100</f>
        <v/>
      </c>
      <c r="Y287" s="157" t="n">
        <v>9014.799999999999</v>
      </c>
      <c r="Z287" s="157" t="n">
        <v>17.97</v>
      </c>
      <c r="AA287" s="159">
        <f>Y287/Z287</f>
        <v/>
      </c>
      <c r="AB287" s="159">
        <f>(AA287/Y287)*100</f>
        <v/>
      </c>
    </row>
    <row r="288">
      <c r="A288" s="155" t="n">
        <v>287</v>
      </c>
      <c r="B288" s="160" t="n">
        <v>44981</v>
      </c>
      <c r="C288" s="159" t="n">
        <v>26094987.69</v>
      </c>
      <c r="D288" s="174">
        <f>C288/E288</f>
        <v/>
      </c>
      <c r="E288" s="159" t="n">
        <v>82.89</v>
      </c>
      <c r="F288" s="159">
        <f>D288/100000</f>
        <v/>
      </c>
      <c r="G288" s="159">
        <f>(F288/DataSheet!$C$10*100)</f>
        <v/>
      </c>
      <c r="H288" s="159">
        <f>K288/I288</f>
        <v/>
      </c>
      <c r="I288" s="159">
        <f>(J288/L288)*100</f>
        <v/>
      </c>
      <c r="J288" s="159">
        <f>L288/O288</f>
        <v/>
      </c>
      <c r="K288" s="159" t="n">
        <v>7.41</v>
      </c>
      <c r="L288" s="159" t="n">
        <v>17465.8</v>
      </c>
      <c r="M288" s="159" t="n">
        <v>4.09</v>
      </c>
      <c r="N288" s="159">
        <f>K288-I288</f>
        <v/>
      </c>
      <c r="O288" s="159" t="n">
        <v>20.58</v>
      </c>
      <c r="P288" s="159" t="n">
        <v>3.94</v>
      </c>
      <c r="Q288" s="159">
        <f>K288-P288</f>
        <v/>
      </c>
      <c r="R288" s="159" t="n">
        <v>105.15</v>
      </c>
      <c r="S288" s="159">
        <f>(O288*T288)/100</f>
        <v/>
      </c>
      <c r="T288" s="157" t="n">
        <v>6.91</v>
      </c>
      <c r="U288" s="157" t="n">
        <v>11403.35</v>
      </c>
      <c r="V288" s="157" t="n">
        <v>23.87</v>
      </c>
      <c r="W288" s="159">
        <f>U288/V288</f>
        <v/>
      </c>
      <c r="X288" s="159">
        <f>(W288/U288)*100</f>
        <v/>
      </c>
      <c r="Y288" s="157" t="n">
        <v>8999.1</v>
      </c>
      <c r="Z288" s="157" t="n">
        <v>17.92</v>
      </c>
      <c r="AA288" s="159">
        <f>Y288/Z288</f>
        <v/>
      </c>
      <c r="AB288" s="159">
        <f>(AA288/Y288)*100</f>
        <v/>
      </c>
    </row>
    <row r="289">
      <c r="A289" s="155" t="n">
        <v>288</v>
      </c>
      <c r="B289" s="160" t="n">
        <v>44984</v>
      </c>
      <c r="C289" s="159" t="n">
        <v>25877397.68</v>
      </c>
      <c r="D289" s="174">
        <f>C289/E289</f>
        <v/>
      </c>
      <c r="E289" s="159" t="n">
        <v>82.65000000000001</v>
      </c>
      <c r="F289" s="159">
        <f>D289/100000</f>
        <v/>
      </c>
      <c r="G289" s="159">
        <f>(F289/DataSheet!$C$10*100)</f>
        <v/>
      </c>
      <c r="H289" s="159">
        <f>K289/I289</f>
        <v/>
      </c>
      <c r="I289" s="159">
        <f>(J289/L289)*100</f>
        <v/>
      </c>
      <c r="J289" s="159">
        <f>L289/O289</f>
        <v/>
      </c>
      <c r="K289" s="159" t="n">
        <v>7.44</v>
      </c>
      <c r="L289" s="159" t="n">
        <v>17392.7</v>
      </c>
      <c r="M289" s="159" t="n">
        <v>4.07</v>
      </c>
      <c r="N289" s="159">
        <f>K289-I289</f>
        <v/>
      </c>
      <c r="O289" s="159" t="n">
        <v>20.49</v>
      </c>
      <c r="P289" s="159" t="n">
        <v>3.92</v>
      </c>
      <c r="Q289" s="159">
        <f>K289-P289</f>
        <v/>
      </c>
      <c r="R289" s="159" t="n">
        <v>104.6</v>
      </c>
      <c r="S289" s="159">
        <f>(O289*T289)/100</f>
        <v/>
      </c>
      <c r="T289" s="157" t="n">
        <v>6.9</v>
      </c>
      <c r="U289" s="157" t="n">
        <v>11339.85</v>
      </c>
      <c r="V289" s="157" t="n">
        <v>23.74</v>
      </c>
      <c r="W289" s="159">
        <f>U289/V289</f>
        <v/>
      </c>
      <c r="X289" s="159">
        <f>(W289/U289)*100</f>
        <v/>
      </c>
      <c r="Y289" s="157" t="n">
        <v>8893.299999999999</v>
      </c>
      <c r="Z289" s="157" t="n">
        <v>17.71</v>
      </c>
      <c r="AA289" s="159">
        <f>Y289/Z289</f>
        <v/>
      </c>
      <c r="AB289" s="159">
        <f>(AA289/Y289)*100</f>
        <v/>
      </c>
    </row>
    <row r="290">
      <c r="A290" s="155" t="n">
        <v>289</v>
      </c>
      <c r="B290" s="160" t="n">
        <v>44985</v>
      </c>
      <c r="C290" s="159" t="n">
        <v>25868361.12</v>
      </c>
      <c r="D290" s="174">
        <f>C290/E290</f>
        <v/>
      </c>
      <c r="E290" s="159" t="n">
        <v>82.64</v>
      </c>
      <c r="F290" s="159">
        <f>D290/100000</f>
        <v/>
      </c>
      <c r="G290" s="159">
        <f>(F290/DataSheet!$C$10*100)</f>
        <v/>
      </c>
      <c r="H290" s="159">
        <f>K290/I290</f>
        <v/>
      </c>
      <c r="I290" s="159">
        <f>(J290/L290)*100</f>
        <v/>
      </c>
      <c r="J290" s="159">
        <f>L290/O290</f>
        <v/>
      </c>
      <c r="K290" s="159" t="n">
        <v>7.45</v>
      </c>
      <c r="L290" s="159" t="n">
        <v>17303.95</v>
      </c>
      <c r="M290" s="159" t="n">
        <v>4.05</v>
      </c>
      <c r="N290" s="159">
        <f>K290-I290</f>
        <v/>
      </c>
      <c r="O290" s="159" t="n">
        <v>20.39</v>
      </c>
      <c r="P290" s="159" t="n">
        <v>3.93</v>
      </c>
      <c r="Q290" s="159">
        <f>K290-P290</f>
        <v/>
      </c>
      <c r="R290" s="159" t="n">
        <v>104.93</v>
      </c>
      <c r="S290" s="159">
        <f>(O290*T290)/100</f>
        <v/>
      </c>
      <c r="T290" s="157" t="n">
        <v>6.91</v>
      </c>
      <c r="U290" s="157" t="n">
        <v>11411.25</v>
      </c>
      <c r="V290" s="157" t="n">
        <v>23.88</v>
      </c>
      <c r="W290" s="159">
        <f>U290/V290</f>
        <v/>
      </c>
      <c r="X290" s="159">
        <f>(W290/U290)*100</f>
        <v/>
      </c>
      <c r="Y290" s="157" t="n">
        <v>8924.15</v>
      </c>
      <c r="Z290" s="157" t="n">
        <v>17.77</v>
      </c>
      <c r="AA290" s="159">
        <f>Y290/Z290</f>
        <v/>
      </c>
      <c r="AB290" s="159">
        <f>(AA290/Y290)*100</f>
        <v/>
      </c>
    </row>
    <row r="291">
      <c r="A291" s="155" t="n">
        <v>290</v>
      </c>
      <c r="B291" s="160" t="n">
        <v>44986</v>
      </c>
      <c r="C291" s="159" t="n">
        <v>26188931.89</v>
      </c>
      <c r="D291" s="174">
        <f>C291/E291</f>
        <v/>
      </c>
      <c r="E291" s="159" t="n">
        <v>82.43000000000001</v>
      </c>
      <c r="F291" s="159">
        <f>D291/100000</f>
        <v/>
      </c>
      <c r="G291" s="159">
        <f>(F291/DataSheet!$C$10*100)</f>
        <v/>
      </c>
      <c r="H291" s="159">
        <f>K291/I291</f>
        <v/>
      </c>
      <c r="I291" s="159">
        <f>(J291/L291)*100</f>
        <v/>
      </c>
      <c r="J291" s="159">
        <f>L291/O291</f>
        <v/>
      </c>
      <c r="K291" s="159" t="n">
        <v>7.45</v>
      </c>
      <c r="L291" s="159" t="n">
        <v>17450.9</v>
      </c>
      <c r="M291" s="159" t="n">
        <v>4.09</v>
      </c>
      <c r="N291" s="159">
        <f>K291-I291</f>
        <v/>
      </c>
      <c r="O291" s="159" t="n">
        <v>20.56</v>
      </c>
      <c r="P291" s="159" t="n">
        <v>3.99</v>
      </c>
      <c r="Q291" s="159">
        <f>K291-P291</f>
        <v/>
      </c>
      <c r="R291" s="159" t="n">
        <v>104.43</v>
      </c>
      <c r="S291" s="159">
        <f>(O291*T291)/100</f>
        <v/>
      </c>
      <c r="T291" s="157" t="n">
        <v>6.94</v>
      </c>
      <c r="U291" s="157" t="n">
        <v>11572.2</v>
      </c>
      <c r="V291" s="157" t="n">
        <v>24.22</v>
      </c>
      <c r="W291" s="159">
        <f>U291/V291</f>
        <v/>
      </c>
      <c r="X291" s="159">
        <f>(W291/U291)*100</f>
        <v/>
      </c>
      <c r="Y291" s="157" t="n">
        <v>9035.049999999999</v>
      </c>
      <c r="Z291" s="157" t="n">
        <v>17.99</v>
      </c>
      <c r="AA291" s="159">
        <f>Y291/Z291</f>
        <v/>
      </c>
      <c r="AB291" s="159">
        <f>(AA291/Y291)*100</f>
        <v/>
      </c>
    </row>
    <row r="292">
      <c r="A292" s="155" t="n">
        <v>291</v>
      </c>
      <c r="B292" s="160" t="n">
        <v>44987</v>
      </c>
      <c r="C292" s="159" t="n">
        <v>26093404.38</v>
      </c>
      <c r="D292" s="174">
        <f>C292/E292</f>
        <v/>
      </c>
      <c r="E292" s="159" t="n">
        <v>82.34999999999999</v>
      </c>
      <c r="F292" s="159">
        <f>D292/100000</f>
        <v/>
      </c>
      <c r="G292" s="159">
        <f>(F292/DataSheet!$C$10*100)</f>
        <v/>
      </c>
      <c r="H292" s="159">
        <f>K292/I292</f>
        <v/>
      </c>
      <c r="I292" s="159">
        <f>(J292/L292)*100</f>
        <v/>
      </c>
      <c r="J292" s="159">
        <f>L292/O292</f>
        <v/>
      </c>
      <c r="K292" s="159" t="n">
        <v>7.43</v>
      </c>
      <c r="L292" s="159" t="n">
        <v>17321.9</v>
      </c>
      <c r="M292" s="159" t="n">
        <v>4.06</v>
      </c>
      <c r="N292" s="159">
        <f>K292-I292</f>
        <v/>
      </c>
      <c r="O292" s="159" t="n">
        <v>20.41</v>
      </c>
      <c r="P292" s="159" t="n">
        <v>4.06</v>
      </c>
      <c r="Q292" s="159">
        <f>K292-P292</f>
        <v/>
      </c>
      <c r="R292" s="159" t="n">
        <v>104.99</v>
      </c>
      <c r="S292" s="159">
        <f>(O292*T292)/100</f>
        <v/>
      </c>
      <c r="T292" s="157" t="n">
        <v>6.94</v>
      </c>
      <c r="U292" s="157" t="n">
        <v>11547.05</v>
      </c>
      <c r="V292" s="157" t="n">
        <v>24.17</v>
      </c>
      <c r="W292" s="159">
        <f>U292/V292</f>
        <v/>
      </c>
      <c r="X292" s="159">
        <f>(W292/U292)*100</f>
        <v/>
      </c>
      <c r="Y292" s="157" t="n">
        <v>9027.1</v>
      </c>
      <c r="Z292" s="157" t="n">
        <v>17.93</v>
      </c>
      <c r="AA292" s="159">
        <f>Y292/Z292</f>
        <v/>
      </c>
      <c r="AB292" s="159">
        <f>(AA292/Y292)*100</f>
        <v/>
      </c>
    </row>
    <row r="293">
      <c r="A293" s="155" t="n">
        <v>292</v>
      </c>
      <c r="B293" s="160" t="n">
        <v>44988</v>
      </c>
      <c r="C293" s="159" t="n">
        <v>26437737.79</v>
      </c>
      <c r="D293" s="174">
        <f>C293/E293</f>
        <v/>
      </c>
      <c r="E293" s="159" t="n">
        <v>81.68000000000001</v>
      </c>
      <c r="F293" s="159">
        <f>D293/100000</f>
        <v/>
      </c>
      <c r="G293" s="159">
        <f>(F293/DataSheet!$C$10*100)</f>
        <v/>
      </c>
      <c r="H293" s="159">
        <f>K293/I293</f>
        <v/>
      </c>
      <c r="I293" s="159">
        <f>(J293/L293)*100</f>
        <v/>
      </c>
      <c r="J293" s="159">
        <f>L293/O293</f>
        <v/>
      </c>
      <c r="K293" s="159" t="n">
        <v>7.41</v>
      </c>
      <c r="L293" s="159" t="n">
        <v>17594.35</v>
      </c>
      <c r="M293" s="159" t="n">
        <v>4.12</v>
      </c>
      <c r="N293" s="159">
        <f>K293-I293</f>
        <v/>
      </c>
      <c r="O293" s="159" t="n">
        <v>20.73</v>
      </c>
      <c r="P293" s="159" t="n">
        <v>3.95</v>
      </c>
      <c r="Q293" s="159">
        <f>K293-P293</f>
        <v/>
      </c>
      <c r="R293" s="159" t="n">
        <v>104.48</v>
      </c>
      <c r="S293" s="159">
        <f>(O293*T293)/100</f>
        <v/>
      </c>
      <c r="T293" s="157" t="n">
        <v>6.95</v>
      </c>
      <c r="U293" s="157" t="n">
        <v>11605.2</v>
      </c>
      <c r="V293" s="157" t="n">
        <v>24.29</v>
      </c>
      <c r="W293" s="159">
        <f>U293/V293</f>
        <v/>
      </c>
      <c r="X293" s="159">
        <f>(W293/U293)*100</f>
        <v/>
      </c>
      <c r="Y293" s="157" t="n">
        <v>9090.65</v>
      </c>
      <c r="Z293" s="157" t="n">
        <v>18.06</v>
      </c>
      <c r="AA293" s="159">
        <f>Y293/Z293</f>
        <v/>
      </c>
      <c r="AB293" s="159">
        <f>(AA293/Y293)*100</f>
        <v/>
      </c>
    </row>
    <row r="294">
      <c r="A294" s="155" t="n">
        <v>293</v>
      </c>
      <c r="B294" s="160" t="n">
        <v>44991</v>
      </c>
      <c r="C294" s="159" t="n">
        <v>26633874.88</v>
      </c>
      <c r="D294" s="174">
        <f>C294/E294</f>
        <v/>
      </c>
      <c r="E294" s="159" t="n">
        <v>81.81</v>
      </c>
      <c r="F294" s="159">
        <f>D294/100000</f>
        <v/>
      </c>
      <c r="G294" s="159">
        <f>(F294/DataSheet!$C$10*100)</f>
        <v/>
      </c>
      <c r="H294" s="159">
        <f>K294/I294</f>
        <v/>
      </c>
      <c r="I294" s="159">
        <f>(J294/L294)*100</f>
        <v/>
      </c>
      <c r="J294" s="159">
        <f>L294/O294</f>
        <v/>
      </c>
      <c r="K294" s="159" t="n">
        <v>7.41</v>
      </c>
      <c r="L294" s="159" t="n">
        <v>17711.45</v>
      </c>
      <c r="M294" s="159" t="n">
        <v>4.15</v>
      </c>
      <c r="N294" s="159">
        <f>K294-I294</f>
        <v/>
      </c>
      <c r="O294" s="159" t="n">
        <v>20.87</v>
      </c>
      <c r="P294" s="159" t="n">
        <v>3.96</v>
      </c>
      <c r="Q294" s="159">
        <f>K294-P294</f>
        <v/>
      </c>
      <c r="R294" s="159" t="n">
        <v>104.24</v>
      </c>
      <c r="S294" s="159">
        <f>(O294*T294)/100</f>
        <v/>
      </c>
      <c r="T294" s="157" t="n">
        <v>6.92</v>
      </c>
      <c r="U294" s="157" t="n">
        <v>11686.9</v>
      </c>
      <c r="V294" s="157" t="n">
        <v>24.46</v>
      </c>
      <c r="W294" s="159">
        <f>U294/V294</f>
        <v/>
      </c>
      <c r="X294" s="159">
        <f>(W294/U294)*100</f>
        <v/>
      </c>
      <c r="Y294" s="157" t="n">
        <v>9184.1</v>
      </c>
      <c r="Z294" s="157" t="n">
        <v>18.24</v>
      </c>
      <c r="AA294" s="159">
        <f>Y294/Z294</f>
        <v/>
      </c>
      <c r="AB294" s="159">
        <f>(AA294/Y294)*100</f>
        <v/>
      </c>
    </row>
    <row r="295">
      <c r="A295" s="155" t="n">
        <v>294</v>
      </c>
      <c r="B295" s="160" t="n">
        <v>44993</v>
      </c>
      <c r="C295" s="159" t="n">
        <v>26721005.23</v>
      </c>
      <c r="D295" s="174">
        <f>C295/E295</f>
        <v/>
      </c>
      <c r="E295" s="159" t="n">
        <v>81.95</v>
      </c>
      <c r="F295" s="159">
        <f>D295/100000</f>
        <v/>
      </c>
      <c r="G295" s="159">
        <f>(F295/DataSheet!$C$10*100)</f>
        <v/>
      </c>
      <c r="H295" s="159">
        <f>K295/I295</f>
        <v/>
      </c>
      <c r="I295" s="159">
        <f>(J295/L295)*100</f>
        <v/>
      </c>
      <c r="J295" s="159">
        <f>L295/O295</f>
        <v/>
      </c>
      <c r="K295" s="159" t="n">
        <v>7.45</v>
      </c>
      <c r="L295" s="159" t="n">
        <v>17754.4</v>
      </c>
      <c r="M295" s="159" t="n">
        <v>4.16</v>
      </c>
      <c r="N295" s="159">
        <f>K295-I295</f>
        <v/>
      </c>
      <c r="O295" s="159" t="n">
        <v>20.92</v>
      </c>
      <c r="P295" s="159" t="n">
        <v>3.98</v>
      </c>
      <c r="Q295" s="159">
        <f>K295-P295</f>
        <v/>
      </c>
      <c r="R295" s="159" t="n">
        <v>105.63</v>
      </c>
      <c r="S295" s="159">
        <f>(O295*T295)/100</f>
        <v/>
      </c>
      <c r="T295" s="157" t="n">
        <v>6.95</v>
      </c>
      <c r="U295" s="157" t="n">
        <v>11724.6</v>
      </c>
      <c r="V295" s="157" t="n">
        <v>24.54</v>
      </c>
      <c r="W295" s="159">
        <f>U295/V295</f>
        <v/>
      </c>
      <c r="X295" s="159">
        <f>(W295/U295)*100</f>
        <v/>
      </c>
      <c r="Y295" s="157" t="n">
        <v>9208.75</v>
      </c>
      <c r="Z295" s="157" t="n">
        <v>18.29</v>
      </c>
      <c r="AA295" s="159">
        <f>Y295/Z295</f>
        <v/>
      </c>
      <c r="AB295" s="159">
        <f>(AA295/Y295)*100</f>
        <v/>
      </c>
    </row>
    <row r="296">
      <c r="A296" s="155" t="n">
        <v>295</v>
      </c>
      <c r="B296" s="160" t="n">
        <v>44994</v>
      </c>
      <c r="C296" s="159" t="n">
        <v>26536568.51</v>
      </c>
      <c r="D296" s="174">
        <f>C296/E296</f>
        <v/>
      </c>
      <c r="E296" s="159" t="n">
        <v>82.02</v>
      </c>
      <c r="F296" s="159">
        <f>D296/100000</f>
        <v/>
      </c>
      <c r="G296" s="159">
        <f>(F296/DataSheet!$C$10*100)</f>
        <v/>
      </c>
      <c r="H296" s="159">
        <f>K296/I296</f>
        <v/>
      </c>
      <c r="I296" s="159">
        <f>(J296/L296)*100</f>
        <v/>
      </c>
      <c r="J296" s="159">
        <f>L296/O296</f>
        <v/>
      </c>
      <c r="K296" s="159" t="n">
        <v>7.44</v>
      </c>
      <c r="L296" s="159" t="n">
        <v>17589.6</v>
      </c>
      <c r="M296" s="159" t="n">
        <v>4.12</v>
      </c>
      <c r="N296" s="159">
        <f>K296-I296</f>
        <v/>
      </c>
      <c r="O296" s="159" t="n">
        <v>20.73</v>
      </c>
      <c r="P296" s="159" t="n">
        <v>3.9</v>
      </c>
      <c r="Q296" s="159">
        <f>K296-P296</f>
        <v/>
      </c>
      <c r="R296" s="159" t="n">
        <v>105.3</v>
      </c>
      <c r="S296" s="159">
        <f>(O296*T296)/100</f>
        <v/>
      </c>
      <c r="T296" s="157" t="n">
        <v>6.97</v>
      </c>
      <c r="U296" s="157" t="n">
        <v>11660</v>
      </c>
      <c r="V296" s="157" t="n">
        <v>24.41</v>
      </c>
      <c r="W296" s="159">
        <f>U296/V296</f>
        <v/>
      </c>
      <c r="X296" s="159">
        <f>(W296/U296)*100</f>
        <v/>
      </c>
      <c r="Y296" s="157" t="n">
        <v>9178.200000000001</v>
      </c>
      <c r="Z296" s="157" t="n">
        <v>18.23</v>
      </c>
      <c r="AA296" s="159">
        <f>Y296/Z296</f>
        <v/>
      </c>
      <c r="AB296" s="159">
        <f>(AA296/Y296)*100</f>
        <v/>
      </c>
    </row>
    <row r="297">
      <c r="A297" s="155" t="n">
        <v>296</v>
      </c>
      <c r="B297" s="160" t="n">
        <v>44995</v>
      </c>
      <c r="C297" s="159" t="n">
        <v>26402869.56</v>
      </c>
      <c r="D297" s="174">
        <f>C297/E297</f>
        <v/>
      </c>
      <c r="E297" s="159" t="n">
        <v>81.95999999999999</v>
      </c>
      <c r="F297" s="159">
        <f>D297/100000</f>
        <v/>
      </c>
      <c r="G297" s="159">
        <f>(F297/DataSheet!$C$10*100)</f>
        <v/>
      </c>
      <c r="H297" s="159">
        <f>K297/I297</f>
        <v/>
      </c>
      <c r="I297" s="159">
        <f>(J297/L297)*100</f>
        <v/>
      </c>
      <c r="J297" s="159">
        <f>L297/O297</f>
        <v/>
      </c>
      <c r="K297" s="159" t="n">
        <v>7.42</v>
      </c>
      <c r="L297" s="159" t="n">
        <v>17412.9</v>
      </c>
      <c r="M297" s="159" t="n">
        <v>4.08</v>
      </c>
      <c r="N297" s="159">
        <f>K297-I297</f>
        <v/>
      </c>
      <c r="O297" s="159" t="n">
        <v>20.52</v>
      </c>
      <c r="P297" s="159" t="n">
        <v>3.7</v>
      </c>
      <c r="Q297" s="159">
        <f>K297-P297</f>
        <v/>
      </c>
      <c r="R297" s="159" t="n">
        <v>104.55</v>
      </c>
      <c r="S297" s="159">
        <f>(O297*T297)/100</f>
        <v/>
      </c>
      <c r="T297" s="157" t="n">
        <v>6.9</v>
      </c>
      <c r="U297" s="157" t="n">
        <v>11582.15</v>
      </c>
      <c r="V297" s="157" t="n">
        <v>24.24</v>
      </c>
      <c r="W297" s="159">
        <f>U297/V297</f>
        <v/>
      </c>
      <c r="X297" s="159">
        <f>(W297/U297)*100</f>
        <v/>
      </c>
      <c r="Y297" s="157" t="n">
        <v>9112.4</v>
      </c>
      <c r="Z297" s="157" t="n">
        <v>18.1</v>
      </c>
      <c r="AA297" s="159">
        <f>Y297/Z297</f>
        <v/>
      </c>
      <c r="AB297" s="159">
        <f>(AA297/Y297)*100</f>
        <v/>
      </c>
    </row>
    <row r="298">
      <c r="A298" s="155" t="n">
        <v>297</v>
      </c>
      <c r="B298" s="160" t="n">
        <v>44998</v>
      </c>
      <c r="C298" s="159" t="n">
        <v>25959096.38</v>
      </c>
      <c r="D298" s="174">
        <f>C298/E298</f>
        <v/>
      </c>
      <c r="E298" s="159" t="n">
        <v>82.23</v>
      </c>
      <c r="F298" s="159">
        <f>D298/100000</f>
        <v/>
      </c>
      <c r="G298" s="159">
        <f>(F298/DataSheet!$C$10*100)</f>
        <v/>
      </c>
      <c r="H298" s="159">
        <f>K298/I298</f>
        <v/>
      </c>
      <c r="I298" s="159">
        <f>(J298/L298)*100</f>
        <v/>
      </c>
      <c r="J298" s="159">
        <f>L298/O298</f>
        <v/>
      </c>
      <c r="K298" s="159" t="n">
        <v>7.36</v>
      </c>
      <c r="L298" s="159" t="n">
        <v>17154.3</v>
      </c>
      <c r="M298" s="159" t="n">
        <v>4.02</v>
      </c>
      <c r="N298" s="159">
        <f>K298-I298</f>
        <v/>
      </c>
      <c r="O298" s="159" t="n">
        <v>20.21</v>
      </c>
      <c r="P298" s="159" t="n">
        <v>3.54</v>
      </c>
      <c r="Q298" s="159">
        <f>K298-P298</f>
        <v/>
      </c>
      <c r="R298" s="159" t="n">
        <v>103.71</v>
      </c>
      <c r="S298" s="159">
        <f>(O298*T298)/100</f>
        <v/>
      </c>
      <c r="T298" s="157" t="n">
        <v>6.87</v>
      </c>
      <c r="U298" s="157" t="n">
        <v>11375.2</v>
      </c>
      <c r="V298" s="157" t="n">
        <v>23.81</v>
      </c>
      <c r="W298" s="159">
        <f>U298/V298</f>
        <v/>
      </c>
      <c r="X298" s="159">
        <f>(W298/U298)*100</f>
        <v/>
      </c>
      <c r="Y298" s="157" t="n">
        <v>8922.799999999999</v>
      </c>
      <c r="Z298" s="157" t="n">
        <v>17.72</v>
      </c>
      <c r="AA298" s="159">
        <f>Y298/Z298</f>
        <v/>
      </c>
      <c r="AB298" s="159">
        <f>(AA298/Y298)*100</f>
        <v/>
      </c>
    </row>
    <row r="299">
      <c r="A299" s="155" t="n">
        <v>298</v>
      </c>
      <c r="B299" s="160" t="n">
        <v>44999</v>
      </c>
      <c r="C299" s="159" t="n">
        <v>25743073.08</v>
      </c>
      <c r="D299" s="174">
        <f>C299/E299</f>
        <v/>
      </c>
      <c r="E299" s="159" t="n">
        <v>82.23999999999999</v>
      </c>
      <c r="F299" s="159">
        <f>D299/100000</f>
        <v/>
      </c>
      <c r="G299" s="159">
        <f>(F299/DataSheet!$C$10*100)</f>
        <v/>
      </c>
      <c r="H299" s="159">
        <f>K299/I299</f>
        <v/>
      </c>
      <c r="I299" s="159">
        <f>(J299/L299)*100</f>
        <v/>
      </c>
      <c r="J299" s="159">
        <f>L299/O299</f>
        <v/>
      </c>
      <c r="K299" s="159" t="n">
        <v>7.37</v>
      </c>
      <c r="L299" s="159" t="n">
        <v>17043.3</v>
      </c>
      <c r="M299" s="159" t="n">
        <v>3.99</v>
      </c>
      <c r="N299" s="159">
        <f>K299-I299</f>
        <v/>
      </c>
      <c r="O299" s="159" t="n">
        <v>20.08</v>
      </c>
      <c r="P299" s="159" t="n">
        <v>3.68</v>
      </c>
      <c r="Q299" s="159">
        <f>K299-P299</f>
        <v/>
      </c>
      <c r="R299" s="159" t="n">
        <v>103.21</v>
      </c>
      <c r="S299" s="159">
        <f>(O299*T299)/100</f>
        <v/>
      </c>
      <c r="T299" s="157" t="n">
        <v>6.9</v>
      </c>
      <c r="U299" s="157" t="n">
        <v>11304.7</v>
      </c>
      <c r="V299" s="157" t="n">
        <v>23.66</v>
      </c>
      <c r="W299" s="159">
        <f>U299/V299</f>
        <v/>
      </c>
      <c r="X299" s="159">
        <f>(W299/U299)*100</f>
        <v/>
      </c>
      <c r="Y299" s="157" t="n">
        <v>8843</v>
      </c>
      <c r="Z299" s="157" t="n">
        <v>17.57</v>
      </c>
      <c r="AA299" s="159">
        <f>Y299/Z299</f>
        <v/>
      </c>
      <c r="AB299" s="159">
        <f>(AA299/Y299)*100</f>
        <v/>
      </c>
    </row>
    <row r="300">
      <c r="A300" s="155" t="n">
        <v>299</v>
      </c>
      <c r="B300" s="160" t="n">
        <v>45000</v>
      </c>
      <c r="C300" s="159" t="n">
        <v>25697974.78</v>
      </c>
      <c r="D300" s="174">
        <f>C300/E300</f>
        <v/>
      </c>
      <c r="E300" s="159" t="n">
        <v>82.88</v>
      </c>
      <c r="F300" s="159">
        <f>D300/100000</f>
        <v/>
      </c>
      <c r="G300" s="159">
        <f>(F300/DataSheet!$C$10*100)</f>
        <v/>
      </c>
      <c r="H300" s="159">
        <f>K300/I300</f>
        <v/>
      </c>
      <c r="I300" s="159">
        <f>(J300/L300)*100</f>
        <v/>
      </c>
      <c r="J300" s="159">
        <f>L300/O300</f>
        <v/>
      </c>
      <c r="K300" s="159" t="n">
        <v>7.36</v>
      </c>
      <c r="L300" s="159" t="n">
        <v>16972.15</v>
      </c>
      <c r="M300" s="159" t="n">
        <v>3.97</v>
      </c>
      <c r="N300" s="159">
        <f>K300-I300</f>
        <v/>
      </c>
      <c r="O300" s="159" t="n">
        <v>20</v>
      </c>
      <c r="P300" s="159" t="n">
        <v>3.46</v>
      </c>
      <c r="Q300" s="159">
        <f>K300-P300</f>
        <v/>
      </c>
      <c r="R300" s="159" t="n">
        <v>104.27</v>
      </c>
      <c r="S300" s="159">
        <f>(O300*T300)/100</f>
        <v/>
      </c>
      <c r="T300" s="157" t="n">
        <v>6.87</v>
      </c>
      <c r="U300" s="157" t="n">
        <v>11308.8</v>
      </c>
      <c r="V300" s="157" t="n">
        <v>23.67</v>
      </c>
      <c r="W300" s="159">
        <f>U300/V300</f>
        <v/>
      </c>
      <c r="X300" s="159">
        <f>(W300/U300)*100</f>
        <v/>
      </c>
      <c r="Y300" s="157" t="n">
        <v>8859.200000000001</v>
      </c>
      <c r="Z300" s="157" t="n">
        <v>17.6</v>
      </c>
      <c r="AA300" s="159">
        <f>Y300/Z300</f>
        <v/>
      </c>
      <c r="AB300" s="159">
        <f>(AA300/Y300)*100</f>
        <v/>
      </c>
    </row>
    <row r="301">
      <c r="A301" s="155" t="n">
        <v>300</v>
      </c>
      <c r="B301" s="160" t="n">
        <v>45001</v>
      </c>
      <c r="C301" s="159" t="n">
        <v>25708611.52</v>
      </c>
      <c r="D301" s="174">
        <f>C301/E301</f>
        <v/>
      </c>
      <c r="E301" s="159" t="n">
        <v>82.62</v>
      </c>
      <c r="F301" s="159">
        <f>D301/100000</f>
        <v/>
      </c>
      <c r="G301" s="159">
        <f>(F301/DataSheet!$C$10*100)</f>
        <v/>
      </c>
      <c r="H301" s="159">
        <f>K301/I301</f>
        <v/>
      </c>
      <c r="I301" s="159">
        <f>(J301/L301)*100</f>
        <v/>
      </c>
      <c r="J301" s="159">
        <f>L301/O301</f>
        <v/>
      </c>
      <c r="K301" s="159" t="n">
        <v>7.35</v>
      </c>
      <c r="L301" s="159" t="n">
        <v>16985.6</v>
      </c>
      <c r="M301" s="159" t="n">
        <v>3.98</v>
      </c>
      <c r="N301" s="159">
        <f>K301-I301</f>
        <v/>
      </c>
      <c r="O301" s="159" t="n">
        <v>20.01</v>
      </c>
      <c r="P301" s="159" t="n">
        <v>3.57</v>
      </c>
      <c r="Q301" s="159">
        <f>K301-P301</f>
        <v/>
      </c>
      <c r="R301" s="159" t="n">
        <v>104.09</v>
      </c>
      <c r="S301" s="159">
        <f>(O301*T301)/100</f>
        <v/>
      </c>
      <c r="T301" s="157" t="n">
        <v>6.81</v>
      </c>
      <c r="U301" s="157" t="n">
        <v>11305.2</v>
      </c>
      <c r="V301" s="157" t="n">
        <v>23.66</v>
      </c>
      <c r="W301" s="159">
        <f>U301/V301</f>
        <v/>
      </c>
      <c r="X301" s="159">
        <f>(W301/U301)*100</f>
        <v/>
      </c>
      <c r="Y301" s="157" t="n">
        <v>8797.299999999999</v>
      </c>
      <c r="Z301" s="157" t="n">
        <v>17.48</v>
      </c>
      <c r="AA301" s="159">
        <f>Y301/Z301</f>
        <v/>
      </c>
      <c r="AB301" s="159">
        <f>(AA301/Y301)*100</f>
        <v/>
      </c>
    </row>
    <row r="302">
      <c r="A302" s="155" t="n">
        <v>301</v>
      </c>
      <c r="B302" s="160" t="n">
        <v>45002</v>
      </c>
      <c r="C302" s="159" t="n">
        <v>25858831.17</v>
      </c>
      <c r="D302" s="174">
        <f>C302/E302</f>
        <v/>
      </c>
      <c r="E302" s="159" t="n">
        <v>82.52</v>
      </c>
      <c r="F302" s="159">
        <f>D302/100000</f>
        <v/>
      </c>
      <c r="G302" s="159">
        <f>(F302/DataSheet!$C$10*100)</f>
        <v/>
      </c>
      <c r="H302" s="159">
        <f>K302/I302</f>
        <v/>
      </c>
      <c r="I302" s="159">
        <f>(J302/L302)*100</f>
        <v/>
      </c>
      <c r="J302" s="159">
        <f>L302/O302</f>
        <v/>
      </c>
      <c r="K302" s="159" t="n">
        <v>7.35</v>
      </c>
      <c r="L302" s="159" t="n">
        <v>17100.05</v>
      </c>
      <c r="M302" s="159" t="n">
        <v>4</v>
      </c>
      <c r="N302" s="159">
        <f>K302-I302</f>
        <v/>
      </c>
      <c r="O302" s="159" t="n">
        <v>20.15</v>
      </c>
      <c r="P302" s="159" t="n">
        <v>3.43</v>
      </c>
      <c r="Q302" s="159">
        <f>K302-P302</f>
        <v/>
      </c>
      <c r="R302" s="159" t="n">
        <v>103.36</v>
      </c>
      <c r="S302" s="159">
        <f>(O302*T302)/100</f>
        <v/>
      </c>
      <c r="T302" s="157" t="n">
        <v>6.81</v>
      </c>
      <c r="U302" s="157" t="n">
        <v>11354.25</v>
      </c>
      <c r="V302" s="157" t="n">
        <v>23.77</v>
      </c>
      <c r="W302" s="159">
        <f>U302/V302</f>
        <v/>
      </c>
      <c r="X302" s="159">
        <f>(W302/U302)*100</f>
        <v/>
      </c>
      <c r="Y302" s="157" t="n">
        <v>8855.6</v>
      </c>
      <c r="Z302" s="157" t="n">
        <v>17.59</v>
      </c>
      <c r="AA302" s="159">
        <f>Y302/Z302</f>
        <v/>
      </c>
      <c r="AB302" s="159">
        <f>(AA302/Y302)*100</f>
        <v/>
      </c>
    </row>
    <row r="303">
      <c r="A303" s="155" t="n">
        <v>302</v>
      </c>
      <c r="B303" s="160" t="n">
        <v>45005</v>
      </c>
      <c r="C303" s="159" t="n">
        <v>25644938</v>
      </c>
      <c r="D303" s="174">
        <f>C303/E303</f>
        <v/>
      </c>
      <c r="E303" s="159" t="n">
        <v>82.51000000000001</v>
      </c>
      <c r="F303" s="159">
        <f>D303/100000</f>
        <v/>
      </c>
      <c r="G303" s="159">
        <f>(F303/DataSheet!$C$10*100)</f>
        <v/>
      </c>
      <c r="H303" s="159">
        <f>K303/I303</f>
        <v/>
      </c>
      <c r="I303" s="159">
        <f>(J303/L303)*100</f>
        <v/>
      </c>
      <c r="J303" s="159">
        <f>L303/O303</f>
        <v/>
      </c>
      <c r="K303" s="159" t="n">
        <v>7.33</v>
      </c>
      <c r="L303" s="159" t="n">
        <v>16988.4</v>
      </c>
      <c r="M303" s="159" t="n">
        <v>3.98</v>
      </c>
      <c r="N303" s="159">
        <f>K303-I303</f>
        <v/>
      </c>
      <c r="O303" s="159" t="n">
        <v>20.02</v>
      </c>
      <c r="P303" s="159" t="n">
        <v>3.48</v>
      </c>
      <c r="Q303" s="159">
        <f>K303-P303</f>
        <v/>
      </c>
      <c r="R303" s="159" t="n">
        <v>102.93</v>
      </c>
      <c r="S303" s="159">
        <f>(O303*T303)/100</f>
        <v/>
      </c>
      <c r="T303" s="157" t="n">
        <v>6.81</v>
      </c>
      <c r="U303" s="157" t="n">
        <v>11245.6</v>
      </c>
      <c r="V303" s="157" t="n">
        <v>23.54</v>
      </c>
      <c r="W303" s="159">
        <f>U303/V303</f>
        <v/>
      </c>
      <c r="X303" s="159">
        <f>(W303/U303)*100</f>
        <v/>
      </c>
      <c r="Y303" s="157" t="n">
        <v>8779.799999999999</v>
      </c>
      <c r="Z303" s="157" t="n">
        <v>17.44</v>
      </c>
      <c r="AA303" s="159">
        <f>Y303/Z303</f>
        <v/>
      </c>
      <c r="AB303" s="159">
        <f>(AA303/Y303)*100</f>
        <v/>
      </c>
    </row>
    <row r="304">
      <c r="A304" s="155" t="n">
        <v>303</v>
      </c>
      <c r="B304" s="160" t="n">
        <v>45006</v>
      </c>
      <c r="C304" s="159" t="n">
        <v>25795566.99</v>
      </c>
      <c r="D304" s="174">
        <f>C304/E304</f>
        <v/>
      </c>
      <c r="E304" s="159" t="n">
        <v>82.67</v>
      </c>
      <c r="F304" s="159">
        <f>D304/100000</f>
        <v/>
      </c>
      <c r="G304" s="159">
        <f>(F304/DataSheet!$C$10*100)</f>
        <v/>
      </c>
      <c r="H304" s="159">
        <f>K304/I304</f>
        <v/>
      </c>
      <c r="I304" s="159">
        <f>(J304/L304)*100</f>
        <v/>
      </c>
      <c r="J304" s="159">
        <f>L304/O304</f>
        <v/>
      </c>
      <c r="K304" s="159" t="n">
        <v>7.35</v>
      </c>
      <c r="L304" s="159" t="n">
        <v>17107.5</v>
      </c>
      <c r="M304" s="159" t="n">
        <v>4.01</v>
      </c>
      <c r="N304" s="159">
        <f>K304-I304</f>
        <v/>
      </c>
      <c r="O304" s="159" t="n">
        <v>20.16</v>
      </c>
      <c r="P304" s="159" t="n">
        <v>3.6</v>
      </c>
      <c r="Q304" s="159">
        <f>K304-P304</f>
        <v/>
      </c>
      <c r="R304" s="159" t="n">
        <v>102.89</v>
      </c>
      <c r="S304" s="159">
        <f>(O304*T304)/100</f>
        <v/>
      </c>
      <c r="T304" s="157" t="n">
        <v>6.78</v>
      </c>
      <c r="U304" s="157" t="n">
        <v>11308.1</v>
      </c>
      <c r="V304" s="157" t="n">
        <v>23.67</v>
      </c>
      <c r="W304" s="159">
        <f>U304/V304</f>
        <v/>
      </c>
      <c r="X304" s="159">
        <f>(W304/U304)*100</f>
        <v/>
      </c>
      <c r="Y304" s="157" t="n">
        <v>8820.25</v>
      </c>
      <c r="Z304" s="157" t="n">
        <v>17.52</v>
      </c>
      <c r="AA304" s="159">
        <f>Y304/Z304</f>
        <v/>
      </c>
      <c r="AB304" s="159">
        <f>(AA304/Y304)*100</f>
        <v/>
      </c>
    </row>
    <row r="305">
      <c r="A305" s="155" t="n">
        <v>304</v>
      </c>
      <c r="B305" s="160" t="n">
        <v>45007</v>
      </c>
      <c r="C305" s="159" t="n">
        <v>25904836.19</v>
      </c>
      <c r="D305" s="174">
        <f>C305/E305</f>
        <v/>
      </c>
      <c r="E305" s="159" t="n">
        <v>82.5</v>
      </c>
      <c r="F305" s="159">
        <f>D305/100000</f>
        <v/>
      </c>
      <c r="G305" s="159">
        <f>(F305/DataSheet!$C$10*100)</f>
        <v/>
      </c>
      <c r="H305" s="159">
        <f>K305/I305</f>
        <v/>
      </c>
      <c r="I305" s="159">
        <f>(J305/L305)*100</f>
        <v/>
      </c>
      <c r="J305" s="159">
        <f>L305/O305</f>
        <v/>
      </c>
      <c r="K305" s="159" t="n">
        <v>7.35</v>
      </c>
      <c r="L305" s="159" t="n">
        <v>17151.9</v>
      </c>
      <c r="M305" s="159" t="n">
        <v>4.02</v>
      </c>
      <c r="N305" s="159">
        <f>K305-I305</f>
        <v/>
      </c>
      <c r="O305" s="159" t="n">
        <v>20.21</v>
      </c>
      <c r="P305" s="159" t="n">
        <v>3.45</v>
      </c>
      <c r="Q305" s="159">
        <f>K305-P305</f>
        <v/>
      </c>
      <c r="R305" s="159" t="n">
        <v>101.97</v>
      </c>
      <c r="S305" s="159">
        <f>(O305*T305)/100</f>
        <v/>
      </c>
      <c r="T305" s="157" t="n">
        <v>6.78</v>
      </c>
      <c r="U305" s="157" t="n">
        <v>11339.2</v>
      </c>
      <c r="V305" s="157" t="n">
        <v>23.73</v>
      </c>
      <c r="W305" s="159">
        <f>U305/V305</f>
        <v/>
      </c>
      <c r="X305" s="159">
        <f>(W305/U305)*100</f>
        <v/>
      </c>
      <c r="Y305" s="157" t="n">
        <v>8869.450000000001</v>
      </c>
      <c r="Z305" s="157" t="n">
        <v>17.62</v>
      </c>
      <c r="AA305" s="159">
        <f>Y305/Z305</f>
        <v/>
      </c>
      <c r="AB305" s="159">
        <f>(AA305/Y305)*100</f>
        <v/>
      </c>
    </row>
    <row r="306">
      <c r="A306" s="155" t="n">
        <v>305</v>
      </c>
      <c r="B306" s="160" t="n">
        <v>45008</v>
      </c>
      <c r="C306" s="159" t="n">
        <v>25820157.54</v>
      </c>
      <c r="D306" s="174">
        <f>C306/E306</f>
        <v/>
      </c>
      <c r="E306" s="159" t="n">
        <v>82.23</v>
      </c>
      <c r="F306" s="159">
        <f>D306/100000</f>
        <v/>
      </c>
      <c r="G306" s="159">
        <f>(F306/DataSheet!$C$10*100)</f>
        <v/>
      </c>
      <c r="H306" s="159">
        <f>K306/I306</f>
        <v/>
      </c>
      <c r="I306" s="159">
        <f>(J306/L306)*100</f>
        <v/>
      </c>
      <c r="J306" s="159">
        <f>L306/O306</f>
        <v/>
      </c>
      <c r="K306" s="159" t="n">
        <v>7.34</v>
      </c>
      <c r="L306" s="159" t="n">
        <v>17076.9</v>
      </c>
      <c r="M306" s="159" t="n">
        <v>4</v>
      </c>
      <c r="N306" s="159">
        <f>K306-I306</f>
        <v/>
      </c>
      <c r="O306" s="159" t="n">
        <v>20.12</v>
      </c>
      <c r="P306" s="159" t="n">
        <v>3.41</v>
      </c>
      <c r="Q306" s="159">
        <f>K306-P306</f>
        <v/>
      </c>
      <c r="R306" s="159" t="n">
        <v>102.2</v>
      </c>
      <c r="S306" s="159">
        <f>(O306*T306)/100</f>
        <v/>
      </c>
      <c r="T306" s="157" t="n">
        <v>6.78</v>
      </c>
      <c r="U306" s="157" t="n">
        <v>11295.8</v>
      </c>
      <c r="V306" s="157" t="n">
        <v>23.64</v>
      </c>
      <c r="W306" s="159">
        <f>U306/V306</f>
        <v/>
      </c>
      <c r="X306" s="159">
        <f>(W306/U306)*100</f>
        <v/>
      </c>
      <c r="Y306" s="157" t="n">
        <v>8842.299999999999</v>
      </c>
      <c r="Z306" s="157" t="n">
        <v>17.56</v>
      </c>
      <c r="AA306" s="159">
        <f>Y306/Z306</f>
        <v/>
      </c>
      <c r="AB306" s="159">
        <f>(AA306/Y306)*100</f>
        <v/>
      </c>
    </row>
    <row r="307">
      <c r="A307" s="155" t="n">
        <v>306</v>
      </c>
      <c r="B307" s="160" t="n">
        <v>45009</v>
      </c>
      <c r="C307" s="159" t="n">
        <v>25564724.41</v>
      </c>
      <c r="D307" s="174">
        <f>C307/E307</f>
        <v/>
      </c>
      <c r="E307" s="159" t="n">
        <v>82.33</v>
      </c>
      <c r="F307" s="159">
        <f>D307/100000</f>
        <v/>
      </c>
      <c r="G307" s="159">
        <f>(F307/DataSheet!$C$10*100)</f>
        <v/>
      </c>
      <c r="H307" s="159">
        <f>K307/I307</f>
        <v/>
      </c>
      <c r="I307" s="159">
        <f>(J307/L307)*100</f>
        <v/>
      </c>
      <c r="J307" s="159">
        <f>L307/O307</f>
        <v/>
      </c>
      <c r="K307" s="159" t="n">
        <v>7.31</v>
      </c>
      <c r="L307" s="159" t="n">
        <v>16945.05</v>
      </c>
      <c r="M307" s="159" t="n">
        <v>3.97</v>
      </c>
      <c r="N307" s="159">
        <f>K307-I307</f>
        <v/>
      </c>
      <c r="O307" s="159" t="n">
        <v>19.97</v>
      </c>
      <c r="P307" s="159" t="n">
        <v>3.37</v>
      </c>
      <c r="Q307" s="159">
        <f>K307-P307</f>
        <v/>
      </c>
      <c r="R307" s="159" t="n">
        <v>102.76</v>
      </c>
      <c r="S307" s="159">
        <f>(O307*T307)/100</f>
        <v/>
      </c>
      <c r="T307" s="157" t="n">
        <v>6.76</v>
      </c>
      <c r="U307" s="157" t="n">
        <v>11164.65</v>
      </c>
      <c r="V307" s="157" t="n">
        <v>23.37</v>
      </c>
      <c r="W307" s="159">
        <f>U307/V307</f>
        <v/>
      </c>
      <c r="X307" s="159">
        <f>(W307/U307)*100</f>
        <v/>
      </c>
      <c r="Y307" s="157" t="n">
        <v>8707.950000000001</v>
      </c>
      <c r="Z307" s="157" t="n">
        <v>17.3</v>
      </c>
      <c r="AA307" s="159">
        <f>Y307/Z307</f>
        <v/>
      </c>
      <c r="AB307" s="159">
        <f>(AA307/Y307)*100</f>
        <v/>
      </c>
    </row>
    <row r="308">
      <c r="A308" s="155" t="n">
        <v>307</v>
      </c>
      <c r="B308" s="160" t="n">
        <v>45012</v>
      </c>
      <c r="C308" s="159" t="n">
        <v>25359102</v>
      </c>
      <c r="D308" s="174">
        <f>C308/E308</f>
        <v/>
      </c>
      <c r="E308" s="159" t="n">
        <v>82.37</v>
      </c>
      <c r="F308" s="159">
        <f>D308/100000</f>
        <v/>
      </c>
      <c r="G308" s="159">
        <f>(F308/DataSheet!$C$10*100)</f>
        <v/>
      </c>
      <c r="H308" s="159">
        <f>K308/I308</f>
        <v/>
      </c>
      <c r="I308" s="159">
        <f>(J308/L308)*100</f>
        <v/>
      </c>
      <c r="J308" s="159">
        <f>L308/O308</f>
        <v/>
      </c>
      <c r="K308" s="159" t="n">
        <v>7.3</v>
      </c>
      <c r="L308" s="159" t="n">
        <v>16985.7</v>
      </c>
      <c r="M308" s="159" t="n">
        <v>4</v>
      </c>
      <c r="N308" s="159">
        <f>K308-I308</f>
        <v/>
      </c>
      <c r="O308" s="159" t="n">
        <v>20</v>
      </c>
      <c r="P308" s="159" t="n">
        <v>3.47</v>
      </c>
      <c r="Q308" s="159">
        <f>K308-P308</f>
        <v/>
      </c>
      <c r="R308" s="159" t="n">
        <v>102.69</v>
      </c>
      <c r="S308" s="159">
        <f>(O308*T308)/100</f>
        <v/>
      </c>
      <c r="T308" s="157" t="n">
        <v>6.78</v>
      </c>
      <c r="U308" s="157" t="n">
        <v>11102.1</v>
      </c>
      <c r="V308" s="157" t="n">
        <v>23.23</v>
      </c>
      <c r="W308" s="159">
        <f>U308/V308</f>
        <v/>
      </c>
      <c r="X308" s="159">
        <f>(W308/U308)*100</f>
        <v/>
      </c>
      <c r="Y308" s="157" t="n">
        <v>8577.75</v>
      </c>
      <c r="Z308" s="157" t="n">
        <v>17.04</v>
      </c>
      <c r="AA308" s="159">
        <f>Y308/Z308</f>
        <v/>
      </c>
      <c r="AB308" s="159">
        <f>(AA308/Y308)*100</f>
        <v/>
      </c>
    </row>
    <row r="309">
      <c r="A309" s="155" t="n">
        <v>308</v>
      </c>
      <c r="B309" s="160" t="n">
        <v>45013</v>
      </c>
      <c r="C309" s="159" t="n">
        <v>25301383.41</v>
      </c>
      <c r="D309" s="174">
        <f>C309/E309</f>
        <v/>
      </c>
      <c r="E309" s="159" t="n">
        <v>82.17</v>
      </c>
      <c r="F309" s="159">
        <f>D309/100000</f>
        <v/>
      </c>
      <c r="G309" s="159">
        <f>(F309/DataSheet!$C$10*100)</f>
        <v/>
      </c>
      <c r="H309" s="159">
        <f>K309/I309</f>
        <v/>
      </c>
      <c r="I309" s="159">
        <f>(J309/L309)*100</f>
        <v/>
      </c>
      <c r="J309" s="159">
        <f>L309/O309</f>
        <v/>
      </c>
      <c r="K309" s="159" t="n">
        <v>7.32</v>
      </c>
      <c r="L309" s="159" t="n">
        <v>16951.7</v>
      </c>
      <c r="M309" s="159" t="n">
        <v>3.97</v>
      </c>
      <c r="N309" s="159">
        <f>K309-I309</f>
        <v/>
      </c>
      <c r="O309" s="159" t="n">
        <v>19.97</v>
      </c>
      <c r="P309" s="159" t="n">
        <v>3.57</v>
      </c>
      <c r="Q309" s="159">
        <f>K309-P309</f>
        <v/>
      </c>
      <c r="R309" s="159" t="n">
        <v>102.1</v>
      </c>
      <c r="S309" s="159">
        <f>(O309*T309)/100</f>
        <v/>
      </c>
      <c r="T309" s="157" t="n">
        <v>7.03</v>
      </c>
      <c r="U309" s="157" t="n">
        <v>11065.65</v>
      </c>
      <c r="V309" s="157" t="n">
        <v>23.16</v>
      </c>
      <c r="W309" s="159">
        <f>U309/V309</f>
        <v/>
      </c>
      <c r="X309" s="159">
        <f>(W309/U309)*100</f>
        <v/>
      </c>
      <c r="Y309" s="157" t="n">
        <v>8509.9</v>
      </c>
      <c r="Z309" s="157" t="n">
        <v>16.9</v>
      </c>
      <c r="AA309" s="159">
        <f>Y309/Z309</f>
        <v/>
      </c>
      <c r="AB309" s="159">
        <f>(AA309/Y309)*100</f>
        <v/>
      </c>
    </row>
    <row r="310">
      <c r="A310" s="155" t="n">
        <v>309</v>
      </c>
      <c r="B310" s="160" t="n">
        <v>45014</v>
      </c>
      <c r="C310" s="159" t="n">
        <v>25576707.37</v>
      </c>
      <c r="D310" s="174">
        <f>C310/E310</f>
        <v/>
      </c>
      <c r="E310" s="159" t="n">
        <v>82.31999999999999</v>
      </c>
      <c r="F310" s="159">
        <f>D310/100000</f>
        <v/>
      </c>
      <c r="G310" s="159">
        <f>(F310/DataSheet!$C$10*100)</f>
        <v/>
      </c>
      <c r="H310" s="159">
        <f>K310/I310</f>
        <v/>
      </c>
      <c r="I310" s="159">
        <f>(J310/L310)*100</f>
        <v/>
      </c>
      <c r="J310" s="159">
        <f>L310/O310</f>
        <v/>
      </c>
      <c r="K310" s="159" t="n">
        <v>7.29</v>
      </c>
      <c r="L310" s="159" t="n">
        <v>17080.7</v>
      </c>
      <c r="M310" s="159" t="n">
        <v>4</v>
      </c>
      <c r="N310" s="159">
        <f>K310-I310</f>
        <v/>
      </c>
      <c r="O310" s="159" t="n">
        <v>20.13</v>
      </c>
      <c r="P310" s="159" t="n">
        <v>3.59</v>
      </c>
      <c r="Q310" s="159">
        <f>K310-P310</f>
        <v/>
      </c>
      <c r="R310" s="159" t="n">
        <v>102.31</v>
      </c>
      <c r="S310" s="159">
        <f>(O310*T310)/100</f>
        <v/>
      </c>
      <c r="T310" s="157" t="n">
        <v>7.18</v>
      </c>
      <c r="U310" s="157" t="n">
        <v>11250.7</v>
      </c>
      <c r="V310" s="157" t="n">
        <v>23.54</v>
      </c>
      <c r="W310" s="159">
        <f>U310/V310</f>
        <v/>
      </c>
      <c r="X310" s="159">
        <f>(W310/U310)*100</f>
        <v/>
      </c>
      <c r="Y310" s="157" t="n">
        <v>8654.9</v>
      </c>
      <c r="Z310" s="157" t="n">
        <v>17.19</v>
      </c>
      <c r="AA310" s="159">
        <f>Y310/Z310</f>
        <v/>
      </c>
      <c r="AB310" s="159">
        <f>(AA310/Y310)*100</f>
        <v/>
      </c>
    </row>
    <row r="311">
      <c r="A311" s="155" t="n">
        <v>310</v>
      </c>
      <c r="B311" s="160" t="n">
        <v>45016</v>
      </c>
      <c r="C311" s="159" t="n">
        <v>25828863.53</v>
      </c>
      <c r="D311" s="174">
        <f>C311/E311</f>
        <v/>
      </c>
      <c r="E311" s="159" t="n">
        <v>82.16</v>
      </c>
      <c r="F311" s="159">
        <f>D311/100000</f>
        <v/>
      </c>
      <c r="G311" s="159">
        <f>(F311/DataSheet!$C$10*100)</f>
        <v/>
      </c>
      <c r="H311" s="159">
        <f>K311/I311</f>
        <v/>
      </c>
      <c r="I311" s="159">
        <f>(J311/L311)*100</f>
        <v/>
      </c>
      <c r="J311" s="159">
        <f>L311/O311</f>
        <v/>
      </c>
      <c r="K311" s="159" t="n">
        <v>7.31</v>
      </c>
      <c r="L311" s="159" t="n">
        <v>17359.75</v>
      </c>
      <c r="M311" s="159" t="n">
        <v>4.05</v>
      </c>
      <c r="N311" s="159">
        <f>K311-I311</f>
        <v/>
      </c>
      <c r="O311" s="159" t="n">
        <v>20.44</v>
      </c>
      <c r="P311" s="159" t="n">
        <v>3.47</v>
      </c>
      <c r="Q311" s="159">
        <f>K311-P311</f>
        <v/>
      </c>
      <c r="R311" s="159" t="n">
        <v>102.18</v>
      </c>
      <c r="S311" s="159">
        <f>(O311*T311)/100</f>
        <v/>
      </c>
      <c r="T311" s="157" t="n">
        <v>7.03</v>
      </c>
      <c r="U311" s="157" t="n">
        <v>11352.25</v>
      </c>
      <c r="V311" s="157" t="n">
        <v>23.47</v>
      </c>
      <c r="W311" s="159">
        <f>U311/V311</f>
        <v/>
      </c>
      <c r="X311" s="159">
        <f>(W311/U311)*100</f>
        <v/>
      </c>
      <c r="Y311" s="157" t="n">
        <v>8787.9</v>
      </c>
      <c r="Z311" s="157" t="n">
        <v>16.94</v>
      </c>
      <c r="AA311" s="159">
        <f>Y311/Z311</f>
        <v/>
      </c>
      <c r="AB311" s="159">
        <f>(AA311/Y311)*100</f>
        <v/>
      </c>
    </row>
    <row r="312">
      <c r="A312" s="155" t="n">
        <v>311</v>
      </c>
      <c r="B312" s="160" t="n">
        <v>45019</v>
      </c>
      <c r="C312" s="159" t="n">
        <v>25981915.61</v>
      </c>
      <c r="D312" s="174">
        <f>C312/E312</f>
        <v/>
      </c>
      <c r="E312" s="159" t="n">
        <v>82.19</v>
      </c>
      <c r="F312" s="159">
        <f>D312/100000</f>
        <v/>
      </c>
      <c r="G312" s="159">
        <f>(F312/DataSheet!$C$10*100)</f>
        <v/>
      </c>
      <c r="H312" s="159">
        <f>K312/I312</f>
        <v/>
      </c>
      <c r="I312" s="159">
        <f>(J312/L312)*100</f>
        <v/>
      </c>
      <c r="J312" s="159">
        <f>L312/O312</f>
        <v/>
      </c>
      <c r="K312" s="159" t="n">
        <v>7.31</v>
      </c>
      <c r="L312" s="159" t="n">
        <v>17398.05</v>
      </c>
      <c r="M312" s="159" t="n">
        <v>4.06</v>
      </c>
      <c r="N312" s="159">
        <f>K312-I312</f>
        <v/>
      </c>
      <c r="O312" s="159" t="n">
        <v>20.48</v>
      </c>
      <c r="P312" s="159" t="n">
        <v>3.41</v>
      </c>
      <c r="Q312" s="159">
        <f>K312-P312</f>
        <v/>
      </c>
      <c r="R312" s="159" t="n">
        <v>101.78</v>
      </c>
      <c r="S312" s="159">
        <f>(O312*T312)/100</f>
        <v/>
      </c>
      <c r="T312" s="157" t="n">
        <v>6.9</v>
      </c>
      <c r="U312" s="157" t="n">
        <v>11404.35</v>
      </c>
      <c r="V312" s="157" t="n">
        <v>23.58</v>
      </c>
      <c r="W312" s="159">
        <f>U312/V312</f>
        <v/>
      </c>
      <c r="X312" s="159">
        <f>(W312/U312)*100</f>
        <v/>
      </c>
      <c r="Y312" s="157" t="n">
        <v>8857.299999999999</v>
      </c>
      <c r="Z312" s="157" t="n">
        <v>17.07</v>
      </c>
      <c r="AA312" s="159">
        <f>Y312/Z312</f>
        <v/>
      </c>
      <c r="AB312" s="159">
        <f>(AA312/Y312)*100</f>
        <v/>
      </c>
    </row>
    <row r="313">
      <c r="A313" s="155" t="n">
        <v>312</v>
      </c>
      <c r="B313" s="160" t="n">
        <v>45021</v>
      </c>
      <c r="C313" s="159" t="n">
        <v>26161744.23</v>
      </c>
      <c r="D313" s="174">
        <f>C313/E313</f>
        <v/>
      </c>
      <c r="E313" s="159" t="n">
        <v>82.09</v>
      </c>
      <c r="F313" s="159">
        <f>D313/100000</f>
        <v/>
      </c>
      <c r="G313" s="159">
        <f>(F313/DataSheet!$C$10*100)</f>
        <v/>
      </c>
      <c r="H313" s="159">
        <f>K313/I313</f>
        <v/>
      </c>
      <c r="I313" s="159">
        <f>(J313/L313)*100</f>
        <v/>
      </c>
      <c r="J313" s="159">
        <f>L313/O313</f>
        <v/>
      </c>
      <c r="K313" s="159" t="n">
        <v>7.27</v>
      </c>
      <c r="L313" s="159" t="n">
        <v>17557.05</v>
      </c>
      <c r="M313" s="159" t="n">
        <v>4.1</v>
      </c>
      <c r="N313" s="159">
        <f>K313-I313</f>
        <v/>
      </c>
      <c r="O313" s="159" t="n">
        <v>20.67</v>
      </c>
      <c r="P313" s="159" t="n">
        <v>3.3</v>
      </c>
      <c r="Q313" s="159">
        <f>K313-P313</f>
        <v/>
      </c>
      <c r="R313" s="159" t="n">
        <v>101.54</v>
      </c>
      <c r="S313" s="159">
        <f>(O313*T313)/100</f>
        <v/>
      </c>
      <c r="T313" s="157" t="n">
        <v>6.83</v>
      </c>
      <c r="U313" s="157" t="n">
        <v>11415.75</v>
      </c>
      <c r="V313" s="157" t="n">
        <v>23.61</v>
      </c>
      <c r="W313" s="159">
        <f>U313/V313</f>
        <v/>
      </c>
      <c r="X313" s="159">
        <f>(W313/U313)*100</f>
        <v/>
      </c>
      <c r="Y313" s="157" t="n">
        <v>8916.9</v>
      </c>
      <c r="Z313" s="157" t="n">
        <v>17.2</v>
      </c>
      <c r="AA313" s="159">
        <f>Y313/Z313</f>
        <v/>
      </c>
      <c r="AB313" s="159">
        <f>(AA313/Y313)*100</f>
        <v/>
      </c>
    </row>
    <row r="314">
      <c r="A314" s="155" t="n">
        <v>313</v>
      </c>
      <c r="B314" s="160" t="n">
        <v>45022</v>
      </c>
      <c r="C314" s="159" t="n">
        <v>26265589.79</v>
      </c>
      <c r="D314" s="174">
        <f>C314/E314</f>
        <v/>
      </c>
      <c r="E314" s="159" t="n">
        <v>81.92</v>
      </c>
      <c r="F314" s="159">
        <f>D314/100000</f>
        <v/>
      </c>
      <c r="G314" s="159">
        <f>(F314/DataSheet!$C$10*100)</f>
        <v/>
      </c>
      <c r="H314" s="159">
        <f>K314/I314</f>
        <v/>
      </c>
      <c r="I314" s="159">
        <f>(J314/L314)*100</f>
        <v/>
      </c>
      <c r="J314" s="159">
        <f>L314/O314</f>
        <v/>
      </c>
      <c r="K314" s="159" t="n">
        <v>7.21</v>
      </c>
      <c r="L314" s="159" t="n">
        <v>17599.15</v>
      </c>
      <c r="M314" s="159" t="n">
        <v>4.12</v>
      </c>
      <c r="N314" s="159">
        <f>K314-I314</f>
        <v/>
      </c>
      <c r="O314" s="159" t="n">
        <v>20.72</v>
      </c>
      <c r="P314" s="159" t="n">
        <v>3.3</v>
      </c>
      <c r="Q314" s="159">
        <f>K314-P314</f>
        <v/>
      </c>
      <c r="R314" s="159" t="n">
        <v>101.51</v>
      </c>
      <c r="S314" s="159">
        <f>(O314*T314)/100</f>
        <v/>
      </c>
      <c r="T314" s="157" t="n">
        <v>6.78</v>
      </c>
      <c r="U314" s="157" t="n">
        <v>11491.2</v>
      </c>
      <c r="V314" s="157" t="n">
        <v>23.76</v>
      </c>
      <c r="W314" s="159">
        <f>U314/V314</f>
        <v/>
      </c>
      <c r="X314" s="159">
        <f>(W314/U314)*100</f>
        <v/>
      </c>
      <c r="Y314" s="157" t="n">
        <v>8983.15</v>
      </c>
      <c r="Z314" s="157" t="n">
        <v>17.33</v>
      </c>
      <c r="AA314" s="159">
        <f>Y314/Z314</f>
        <v/>
      </c>
      <c r="AB314" s="159">
        <f>(AA314/Y314)*100</f>
        <v/>
      </c>
    </row>
    <row r="315">
      <c r="A315" s="155" t="n">
        <v>314</v>
      </c>
      <c r="B315" s="160" t="n">
        <v>45026</v>
      </c>
      <c r="C315" s="159" t="n">
        <v>26341480.46</v>
      </c>
      <c r="D315" s="174">
        <f>C315/E315</f>
        <v/>
      </c>
      <c r="E315" s="159" t="n">
        <v>81.98</v>
      </c>
      <c r="F315" s="159">
        <f>D315/100000</f>
        <v/>
      </c>
      <c r="G315" s="159">
        <f>(F315/DataSheet!$C$10*100)</f>
        <v/>
      </c>
      <c r="H315" s="159">
        <f>K315/I315</f>
        <v/>
      </c>
      <c r="I315" s="159">
        <f>(J315/L315)*100</f>
        <v/>
      </c>
      <c r="J315" s="159">
        <f>L315/O315</f>
        <v/>
      </c>
      <c r="K315" s="159" t="n">
        <v>7.22</v>
      </c>
      <c r="L315" s="159" t="n">
        <v>17624.05</v>
      </c>
      <c r="M315" s="159" t="n">
        <v>4.13</v>
      </c>
      <c r="N315" s="159">
        <f>K315-I315</f>
        <v/>
      </c>
      <c r="O315" s="159" t="n">
        <v>20.75</v>
      </c>
      <c r="P315" s="159" t="n">
        <v>3.41</v>
      </c>
      <c r="Q315" s="159">
        <f>K315-P315</f>
        <v/>
      </c>
      <c r="R315" s="159" t="n">
        <v>102.22</v>
      </c>
      <c r="S315" s="159">
        <f>(O315*T315)/100</f>
        <v/>
      </c>
      <c r="T315" s="157" t="n">
        <v>6.75</v>
      </c>
      <c r="U315" s="157" t="n">
        <v>11532.85</v>
      </c>
      <c r="V315" s="157" t="n">
        <v>23.85</v>
      </c>
      <c r="W315" s="159">
        <f>U315/V315</f>
        <v/>
      </c>
      <c r="X315" s="159">
        <f>(W315/U315)*100</f>
        <v/>
      </c>
      <c r="Y315" s="157" t="n">
        <v>8998.700000000001</v>
      </c>
      <c r="Z315" s="157" t="n">
        <v>17.36</v>
      </c>
      <c r="AA315" s="159">
        <f>Y315/Z315</f>
        <v/>
      </c>
      <c r="AB315" s="159">
        <f>(AA315/Y315)*100</f>
        <v/>
      </c>
    </row>
    <row r="316">
      <c r="A316" s="155" t="n">
        <v>315</v>
      </c>
      <c r="B316" s="160" t="n">
        <v>45027</v>
      </c>
      <c r="C316" s="159" t="n">
        <v>26478054.34</v>
      </c>
      <c r="D316" s="174">
        <f>C316/E316</f>
        <v/>
      </c>
      <c r="E316" s="159" t="n">
        <v>82.04000000000001</v>
      </c>
      <c r="F316" s="159">
        <f>D316/100000</f>
        <v/>
      </c>
      <c r="G316" s="159">
        <f>(F316/DataSheet!$C$10*100)</f>
        <v/>
      </c>
      <c r="H316" s="159">
        <f>K316/I316</f>
        <v/>
      </c>
      <c r="I316" s="159">
        <f>(J316/L316)*100</f>
        <v/>
      </c>
      <c r="J316" s="159">
        <f>L316/O316</f>
        <v/>
      </c>
      <c r="K316" s="159" t="n">
        <v>7.22</v>
      </c>
      <c r="L316" s="159" t="n">
        <v>17722.3</v>
      </c>
      <c r="M316" s="159" t="n">
        <v>4.15</v>
      </c>
      <c r="N316" s="159">
        <f>K316-I316</f>
        <v/>
      </c>
      <c r="O316" s="159" t="n">
        <v>20.86</v>
      </c>
      <c r="P316" s="159" t="n">
        <v>3.43</v>
      </c>
      <c r="Q316" s="159">
        <f>K316-P316</f>
        <v/>
      </c>
      <c r="R316" s="159" t="n">
        <v>101.88</v>
      </c>
      <c r="S316" s="159">
        <f>(O316*T316)/100</f>
        <v/>
      </c>
      <c r="T316" s="157" t="n">
        <v>6.7</v>
      </c>
      <c r="U316" s="157" t="n">
        <v>11582.8</v>
      </c>
      <c r="V316" s="157" t="n">
        <v>23.95</v>
      </c>
      <c r="W316" s="159">
        <f>U316/V316</f>
        <v/>
      </c>
      <c r="X316" s="159">
        <f>(W316/U316)*100</f>
        <v/>
      </c>
      <c r="Y316" s="157" t="n">
        <v>9040.049999999999</v>
      </c>
      <c r="Z316" s="157" t="n">
        <v>17.44</v>
      </c>
      <c r="AA316" s="159">
        <f>Y316/Z316</f>
        <v/>
      </c>
      <c r="AB316" s="159">
        <f>(AA316/Y316)*100</f>
        <v/>
      </c>
    </row>
    <row r="317">
      <c r="A317" s="155" t="n">
        <v>316</v>
      </c>
      <c r="B317" s="160" t="n">
        <v>45028</v>
      </c>
      <c r="C317" s="159" t="n">
        <v>26594725.69</v>
      </c>
      <c r="D317" s="174">
        <f>C317/E317</f>
        <v/>
      </c>
      <c r="E317" s="159" t="n">
        <v>81.93000000000001</v>
      </c>
      <c r="F317" s="159">
        <f>D317/100000</f>
        <v/>
      </c>
      <c r="G317" s="159">
        <f>(F317/DataSheet!$C$10*100)</f>
        <v/>
      </c>
      <c r="H317" s="159">
        <f>K317/I317</f>
        <v/>
      </c>
      <c r="I317" s="159">
        <f>(J317/L317)*100</f>
        <v/>
      </c>
      <c r="J317" s="159">
        <f>L317/O317</f>
        <v/>
      </c>
      <c r="K317" s="159" t="n">
        <v>7.21</v>
      </c>
      <c r="L317" s="159" t="n">
        <v>17812.4</v>
      </c>
      <c r="M317" s="159" t="n">
        <v>4.17</v>
      </c>
      <c r="N317" s="159">
        <f>K317-I317</f>
        <v/>
      </c>
      <c r="O317" s="159" t="n">
        <v>20.97</v>
      </c>
      <c r="P317" s="159" t="n">
        <v>3.4</v>
      </c>
      <c r="Q317" s="159">
        <f>K317-P317</f>
        <v/>
      </c>
      <c r="R317" s="159" t="n">
        <v>101.17</v>
      </c>
      <c r="S317" s="159">
        <f>(O317*T317)/100</f>
        <v/>
      </c>
      <c r="T317" s="157" t="n">
        <v>6.68</v>
      </c>
      <c r="U317" s="157" t="n">
        <v>11652.3</v>
      </c>
      <c r="V317" s="157" t="n">
        <v>24.09</v>
      </c>
      <c r="W317" s="159">
        <f>U317/V317</f>
        <v/>
      </c>
      <c r="X317" s="159">
        <f>(W317/U317)*100</f>
        <v/>
      </c>
      <c r="Y317" s="157" t="n">
        <v>9074.5</v>
      </c>
      <c r="Z317" s="157" t="n">
        <v>17.5</v>
      </c>
      <c r="AA317" s="159">
        <f>Y317/Z317</f>
        <v/>
      </c>
      <c r="AB317" s="159">
        <f>(AA317/Y317)*100</f>
        <v/>
      </c>
    </row>
    <row r="318">
      <c r="A318" s="155" t="n">
        <v>317</v>
      </c>
      <c r="B318" s="160" t="n">
        <v>45029</v>
      </c>
      <c r="C318" s="159" t="n">
        <v>26632065.83</v>
      </c>
      <c r="D318" s="174">
        <f>C318/E318</f>
        <v/>
      </c>
      <c r="E318" s="159" t="n">
        <v>81.65000000000001</v>
      </c>
      <c r="F318" s="159">
        <f>D318/100000</f>
        <v/>
      </c>
      <c r="G318" s="159">
        <f>(F318/DataSheet!$C$10*100)</f>
        <v/>
      </c>
      <c r="H318" s="159">
        <f>K318/I318</f>
        <v/>
      </c>
      <c r="I318" s="159">
        <f>(J318/L318)*100</f>
        <v/>
      </c>
      <c r="J318" s="159">
        <f>L318/O318</f>
        <v/>
      </c>
      <c r="K318" s="159" t="n">
        <v>7.22</v>
      </c>
      <c r="L318" s="159" t="n">
        <v>17828</v>
      </c>
      <c r="M318" s="159" t="n">
        <v>4.17</v>
      </c>
      <c r="N318" s="159">
        <f>K318-I318</f>
        <v/>
      </c>
      <c r="O318" s="159" t="n">
        <v>20.99</v>
      </c>
      <c r="P318" s="159" t="n">
        <v>3.44</v>
      </c>
      <c r="Q318" s="159">
        <f>K318-P318</f>
        <v/>
      </c>
      <c r="R318" s="159" t="n">
        <v>100.7</v>
      </c>
      <c r="S318" s="159">
        <f>(O318*T318)/100</f>
        <v/>
      </c>
      <c r="T318" s="157" t="n">
        <v>6.73</v>
      </c>
      <c r="U318" s="157" t="n">
        <v>11671.2</v>
      </c>
      <c r="V318" s="157" t="n">
        <v>24.13</v>
      </c>
      <c r="W318" s="159">
        <f>U318/V318</f>
        <v/>
      </c>
      <c r="X318" s="159">
        <f>(W318/U318)*100</f>
        <v/>
      </c>
      <c r="Y318" s="157" t="n">
        <v>9102.5</v>
      </c>
      <c r="Z318" s="157" t="n">
        <v>17.56</v>
      </c>
      <c r="AA318" s="159">
        <f>Y318/Z318</f>
        <v/>
      </c>
      <c r="AB318" s="159">
        <f>(AA318/Y318)*100</f>
        <v/>
      </c>
    </row>
    <row r="319">
      <c r="A319" s="155" t="n">
        <v>318</v>
      </c>
      <c r="B319" s="160" t="n">
        <v>45033</v>
      </c>
      <c r="C319" s="159" t="n">
        <v>26616826.3</v>
      </c>
      <c r="D319" s="174">
        <f>C319/E319</f>
        <v/>
      </c>
      <c r="E319" s="159" t="n">
        <v>82</v>
      </c>
      <c r="F319" s="159">
        <f>D319/100000</f>
        <v/>
      </c>
      <c r="G319" s="159">
        <f>(F319/DataSheet!$C$10*100)</f>
        <v/>
      </c>
      <c r="H319" s="159">
        <f>K319/I319</f>
        <v/>
      </c>
      <c r="I319" s="159">
        <f>(J319/L319)*100</f>
        <v/>
      </c>
      <c r="J319" s="159">
        <f>L319/O319</f>
        <v/>
      </c>
      <c r="K319" s="159" t="n">
        <v>7.24</v>
      </c>
      <c r="L319" s="159" t="n">
        <v>17706.85</v>
      </c>
      <c r="M319" s="159" t="n">
        <v>4.14</v>
      </c>
      <c r="N319" s="159">
        <f>K319-I319</f>
        <v/>
      </c>
      <c r="O319" s="159" t="n">
        <v>20.82</v>
      </c>
      <c r="P319" s="159" t="n">
        <v>3.6</v>
      </c>
      <c r="Q319" s="159">
        <f>K319-P319</f>
        <v/>
      </c>
      <c r="R319" s="159" t="n">
        <v>101.79</v>
      </c>
      <c r="S319" s="159">
        <f>(O319*T319)/100</f>
        <v/>
      </c>
      <c r="T319" s="157" t="n">
        <v>6.72</v>
      </c>
      <c r="U319" s="157" t="n">
        <v>11714.45</v>
      </c>
      <c r="V319" s="157" t="n">
        <v>24.22</v>
      </c>
      <c r="W319" s="159">
        <f>U319/V319</f>
        <v/>
      </c>
      <c r="X319" s="159">
        <f>(W319/U319)*100</f>
        <v/>
      </c>
      <c r="Y319" s="157" t="n">
        <v>9116.799999999999</v>
      </c>
      <c r="Z319" s="157" t="n">
        <v>17.59</v>
      </c>
      <c r="AA319" s="159">
        <f>Y319/Z319</f>
        <v/>
      </c>
      <c r="AB319" s="159">
        <f>(AA319/Y319)*100</f>
        <v/>
      </c>
    </row>
    <row r="320">
      <c r="A320" s="155" t="n">
        <v>319</v>
      </c>
      <c r="B320" s="160" t="n">
        <v>45034</v>
      </c>
      <c r="C320" s="159" t="n">
        <v>26625115.99</v>
      </c>
      <c r="D320" s="174">
        <f>C320/E320</f>
        <v/>
      </c>
      <c r="E320" s="159" t="n">
        <v>82.08</v>
      </c>
      <c r="F320" s="159">
        <f>D320/100000</f>
        <v/>
      </c>
      <c r="G320" s="159">
        <f>(F320/DataSheet!$C$10*100)</f>
        <v/>
      </c>
      <c r="H320" s="159">
        <f>K320/I320</f>
        <v/>
      </c>
      <c r="I320" s="159">
        <f>(J320/L320)*100</f>
        <v/>
      </c>
      <c r="J320" s="159">
        <f>L320/O320</f>
        <v/>
      </c>
      <c r="K320" s="159" t="n">
        <v>7.22</v>
      </c>
      <c r="L320" s="159" t="n">
        <v>17660.15</v>
      </c>
      <c r="M320" s="159" t="n">
        <v>4.13</v>
      </c>
      <c r="N320" s="159">
        <f>K320-I320</f>
        <v/>
      </c>
      <c r="O320" s="159" t="n">
        <v>20.65</v>
      </c>
      <c r="P320" s="159" t="n">
        <v>3.57</v>
      </c>
      <c r="Q320" s="159">
        <f>K320-P320</f>
        <v/>
      </c>
      <c r="R320" s="159" t="n">
        <v>101.44</v>
      </c>
      <c r="S320" s="159">
        <f>(O320*T320)/100</f>
        <v/>
      </c>
      <c r="T320" s="157" t="n">
        <v>6.73</v>
      </c>
      <c r="U320" s="157" t="n">
        <v>11783.35</v>
      </c>
      <c r="V320" s="157" t="n">
        <v>24.37</v>
      </c>
      <c r="W320" s="159">
        <f>U320/V320</f>
        <v/>
      </c>
      <c r="X320" s="159">
        <f>(W320/U320)*100</f>
        <v/>
      </c>
      <c r="Y320" s="157" t="n">
        <v>9123.35</v>
      </c>
      <c r="Z320" s="157" t="n">
        <v>17.6</v>
      </c>
      <c r="AA320" s="159">
        <f>Y320/Z320</f>
        <v/>
      </c>
      <c r="AB320" s="159">
        <f>(AA320/Y320)*100</f>
        <v/>
      </c>
    </row>
    <row r="321">
      <c r="A321" s="155" t="n">
        <v>320</v>
      </c>
      <c r="B321" s="160" t="n">
        <v>45035</v>
      </c>
      <c r="C321" s="159" t="n">
        <v>26553982.36</v>
      </c>
      <c r="D321" s="174">
        <f>C321/E321</f>
        <v/>
      </c>
      <c r="E321" s="159" t="n">
        <v>82.26000000000001</v>
      </c>
      <c r="F321" s="159">
        <f>D321/100000</f>
        <v/>
      </c>
      <c r="G321" s="159">
        <f>(F321/DataSheet!$C$10*100)</f>
        <v/>
      </c>
      <c r="H321" s="159">
        <f>K321/I321</f>
        <v/>
      </c>
      <c r="I321" s="159">
        <f>(J321/L321)*100</f>
        <v/>
      </c>
      <c r="J321" s="159">
        <f>L321/O321</f>
        <v/>
      </c>
      <c r="K321" s="159" t="n">
        <v>7.22</v>
      </c>
      <c r="L321" s="159" t="n">
        <v>17618.75</v>
      </c>
      <c r="M321" s="159" t="n">
        <v>4.12</v>
      </c>
      <c r="N321" s="159">
        <f>K321-I321</f>
        <v/>
      </c>
      <c r="O321" s="159" t="n">
        <v>20.6</v>
      </c>
      <c r="P321" s="159" t="n">
        <v>3.59</v>
      </c>
      <c r="Q321" s="159">
        <f>K321-P321</f>
        <v/>
      </c>
      <c r="R321" s="159" t="n">
        <v>101.66</v>
      </c>
      <c r="S321" s="159">
        <f>(O321*T321)/100</f>
        <v/>
      </c>
      <c r="T321" s="157" t="n">
        <v>6.73</v>
      </c>
      <c r="U321" s="157" t="n">
        <v>11763.95</v>
      </c>
      <c r="V321" s="157" t="n">
        <v>24.33</v>
      </c>
      <c r="W321" s="159">
        <f>U321/V321</f>
        <v/>
      </c>
      <c r="X321" s="159">
        <f>(W321/U321)*100</f>
        <v/>
      </c>
      <c r="Y321" s="157" t="n">
        <v>9123.4</v>
      </c>
      <c r="Z321" s="157" t="n">
        <v>17.59</v>
      </c>
      <c r="AA321" s="159">
        <f>Y321/Z321</f>
        <v/>
      </c>
      <c r="AB321" s="159">
        <f>(AA321/Y321)*100</f>
        <v/>
      </c>
    </row>
    <row r="322">
      <c r="A322" s="155" t="n">
        <v>321</v>
      </c>
      <c r="B322" s="160" t="n">
        <v>45036</v>
      </c>
      <c r="C322" s="159" t="n">
        <v>26565903.83</v>
      </c>
      <c r="D322" s="174">
        <f>C322/E322</f>
        <v/>
      </c>
      <c r="E322" s="159" t="n">
        <v>82.12</v>
      </c>
      <c r="F322" s="159">
        <f>D322/100000</f>
        <v/>
      </c>
      <c r="G322" s="159">
        <f>(F322/DataSheet!$C$10*100)</f>
        <v/>
      </c>
      <c r="H322" s="159">
        <f>K322/I322</f>
        <v/>
      </c>
      <c r="I322" s="159">
        <f>(J322/L322)*100</f>
        <v/>
      </c>
      <c r="J322" s="159">
        <f>L322/O322</f>
        <v/>
      </c>
      <c r="K322" s="159" t="n">
        <v>7.22</v>
      </c>
      <c r="L322" s="159" t="n">
        <v>17624.45</v>
      </c>
      <c r="M322" s="159" t="n">
        <v>4.13</v>
      </c>
      <c r="N322" s="159">
        <f>K322-I322</f>
        <v/>
      </c>
      <c r="O322" s="159" t="n">
        <v>20.61</v>
      </c>
      <c r="P322" s="159" t="n">
        <v>3.53</v>
      </c>
      <c r="Q322" s="159">
        <f>K322-P322</f>
        <v/>
      </c>
      <c r="R322" s="159" t="n">
        <v>101.56</v>
      </c>
      <c r="S322" s="159">
        <f>(O322*T322)/100</f>
        <v/>
      </c>
      <c r="T322" s="157" t="n">
        <v>6.78</v>
      </c>
      <c r="U322" s="157" t="n">
        <v>11755.95</v>
      </c>
      <c r="V322" s="157" t="n">
        <v>24.31</v>
      </c>
      <c r="W322" s="159">
        <f>U322/V322</f>
        <v/>
      </c>
      <c r="X322" s="159">
        <f>(W322/U322)*100</f>
        <v/>
      </c>
      <c r="Y322" s="157" t="n">
        <v>9148.299999999999</v>
      </c>
      <c r="Z322" s="157" t="n">
        <v>17.68</v>
      </c>
      <c r="AA322" s="159">
        <f>Y322/Z322</f>
        <v/>
      </c>
      <c r="AB322" s="159">
        <f>(AA322/Y322)*100</f>
        <v/>
      </c>
    </row>
    <row r="323">
      <c r="A323" s="155" t="n">
        <v>322</v>
      </c>
      <c r="B323" s="160" t="n">
        <v>45037</v>
      </c>
      <c r="C323" s="159" t="n">
        <v>26529050.19</v>
      </c>
      <c r="D323" s="174">
        <f>C323/E323</f>
        <v/>
      </c>
      <c r="E323" s="159" t="n">
        <v>82.03</v>
      </c>
      <c r="F323" s="159">
        <f>D323/100000</f>
        <v/>
      </c>
      <c r="G323" s="159">
        <f>(F323/DataSheet!$C$10*100)</f>
        <v/>
      </c>
      <c r="H323" s="159">
        <f>K323/I323</f>
        <v/>
      </c>
      <c r="I323" s="159">
        <f>(J323/L323)*100</f>
        <v/>
      </c>
      <c r="J323" s="159">
        <f>L323/O323</f>
        <v/>
      </c>
      <c r="K323" s="159" t="n">
        <v>7.18</v>
      </c>
      <c r="L323" s="159" t="n">
        <v>17624.05</v>
      </c>
      <c r="M323" s="159" t="n">
        <v>4.13</v>
      </c>
      <c r="N323" s="159">
        <f>K323-I323</f>
        <v/>
      </c>
      <c r="O323" s="159" t="n">
        <v>20.61</v>
      </c>
      <c r="P323" s="159" t="n">
        <v>3.56</v>
      </c>
      <c r="Q323" s="159">
        <f>K323-P323</f>
        <v/>
      </c>
      <c r="R323" s="159" t="n">
        <v>101.55</v>
      </c>
      <c r="S323" s="159">
        <f>(O323*T323)/100</f>
        <v/>
      </c>
      <c r="T323" s="157" t="n">
        <v>6.78</v>
      </c>
      <c r="U323" s="157" t="n">
        <v>11707.55</v>
      </c>
      <c r="V323" s="157" t="n">
        <v>24.22</v>
      </c>
      <c r="W323" s="159">
        <f>U323/V323</f>
        <v/>
      </c>
      <c r="X323" s="159">
        <f>(W323/U323)*100</f>
        <v/>
      </c>
      <c r="Y323" s="157" t="n">
        <v>9130.799999999999</v>
      </c>
      <c r="Z323" s="157" t="n">
        <v>17.65</v>
      </c>
      <c r="AA323" s="159">
        <f>Y323/Z323</f>
        <v/>
      </c>
      <c r="AB323" s="159">
        <f>(AA323/Y323)*100</f>
        <v/>
      </c>
    </row>
    <row r="324">
      <c r="A324" s="155" t="n">
        <v>323</v>
      </c>
      <c r="B324" s="160" t="n">
        <v>45040</v>
      </c>
      <c r="C324" s="159" t="n">
        <v>26656946.52</v>
      </c>
      <c r="D324" s="174">
        <f>C324/E324</f>
        <v/>
      </c>
      <c r="E324" s="159" t="n">
        <v>81.95</v>
      </c>
      <c r="F324" s="159">
        <f>D324/100000</f>
        <v/>
      </c>
      <c r="G324" s="159">
        <f>(F324/DataSheet!$C$10*100)</f>
        <v/>
      </c>
      <c r="H324" s="159">
        <f>K324/I324</f>
        <v/>
      </c>
      <c r="I324" s="159">
        <f>(J324/L324)*100</f>
        <v/>
      </c>
      <c r="J324" s="159">
        <f>L324/O324</f>
        <v/>
      </c>
      <c r="K324" s="159" t="n">
        <v>7.11</v>
      </c>
      <c r="L324" s="159" t="n">
        <v>17743.4</v>
      </c>
      <c r="M324" s="159" t="n">
        <v>4.15</v>
      </c>
      <c r="N324" s="159">
        <f>K324-I324</f>
        <v/>
      </c>
      <c r="O324" s="159" t="n">
        <v>20.74</v>
      </c>
      <c r="P324" s="159" t="n">
        <v>3.49</v>
      </c>
      <c r="Q324" s="159">
        <f>K324-P324</f>
        <v/>
      </c>
      <c r="R324" s="159" t="n">
        <v>101.07</v>
      </c>
      <c r="S324" s="159">
        <f>(O324*T324)/100</f>
        <v/>
      </c>
      <c r="T324" s="157" t="n">
        <v>6.75</v>
      </c>
      <c r="U324" s="157" t="n">
        <v>11738.6</v>
      </c>
      <c r="V324" s="157" t="n">
        <v>24.28</v>
      </c>
      <c r="W324" s="159">
        <f>U324/V324</f>
        <v/>
      </c>
      <c r="X324" s="159">
        <f>(W324/U324)*100</f>
        <v/>
      </c>
      <c r="Y324" s="157" t="n">
        <v>9174.1</v>
      </c>
      <c r="Z324" s="157" t="n">
        <v>17.76</v>
      </c>
      <c r="AA324" s="159">
        <f>Y324/Z324</f>
        <v/>
      </c>
      <c r="AB324" s="159">
        <f>(AA324/Y324)*100</f>
        <v/>
      </c>
    </row>
    <row r="325">
      <c r="A325" s="155" t="n">
        <v>324</v>
      </c>
      <c r="B325" s="160" t="n">
        <v>45041</v>
      </c>
      <c r="C325" s="159" t="n">
        <v>26734894.24</v>
      </c>
      <c r="D325" s="174">
        <f>C325/E325</f>
        <v/>
      </c>
      <c r="E325" s="159" t="n">
        <v>81.95999999999999</v>
      </c>
      <c r="F325" s="159">
        <f>D325/100000</f>
        <v/>
      </c>
      <c r="G325" s="159">
        <f>(F325/DataSheet!$C$10*100)</f>
        <v/>
      </c>
      <c r="H325" s="159">
        <f>K325/I325</f>
        <v/>
      </c>
      <c r="I325" s="159">
        <f>(J325/L325)*100</f>
        <v/>
      </c>
      <c r="J325" s="159">
        <f>L325/O325</f>
        <v/>
      </c>
      <c r="K325" s="159" t="n">
        <v>7.11</v>
      </c>
      <c r="L325" s="159" t="n">
        <v>17769.25</v>
      </c>
      <c r="M325" s="159" t="n">
        <v>4.16</v>
      </c>
      <c r="N325" s="159">
        <f>K325-I325</f>
        <v/>
      </c>
      <c r="O325" s="159" t="n">
        <v>20.56</v>
      </c>
      <c r="P325" s="159" t="n">
        <v>3.4</v>
      </c>
      <c r="Q325" s="159">
        <f>K325-P325</f>
        <v/>
      </c>
      <c r="R325" s="159" t="n">
        <v>101.59</v>
      </c>
      <c r="S325" s="159">
        <f>(O325*T325)/100</f>
        <v/>
      </c>
      <c r="T325" s="157" t="n">
        <v>6.75</v>
      </c>
      <c r="U325" s="157" t="n">
        <v>11730.6</v>
      </c>
      <c r="V325" s="157" t="n">
        <v>24.28</v>
      </c>
      <c r="W325" s="159">
        <f>U325/V325</f>
        <v/>
      </c>
      <c r="X325" s="159">
        <f>(W325/U325)*100</f>
        <v/>
      </c>
      <c r="Y325" s="157" t="n">
        <v>9205.049999999999</v>
      </c>
      <c r="Z325" s="157" t="n">
        <v>17.81</v>
      </c>
      <c r="AA325" s="159">
        <f>Y325/Z325</f>
        <v/>
      </c>
      <c r="AB325" s="159">
        <f>(AA325/Y325)*100</f>
        <v/>
      </c>
    </row>
    <row r="326">
      <c r="A326" s="155" t="n">
        <v>325</v>
      </c>
      <c r="B326" s="160" t="n">
        <v>45042</v>
      </c>
      <c r="C326" s="159" t="n">
        <v>26806227.49</v>
      </c>
      <c r="D326" s="174">
        <f>C326/E326</f>
        <v/>
      </c>
      <c r="E326" s="159" t="n">
        <v>81.73999999999999</v>
      </c>
      <c r="F326" s="159">
        <f>D326/100000</f>
        <v/>
      </c>
      <c r="G326" s="159">
        <f>(F326/DataSheet!$C$10*100)</f>
        <v/>
      </c>
      <c r="H326" s="159">
        <f>K326/I326</f>
        <v/>
      </c>
      <c r="I326" s="159">
        <f>(J326/L326)*100</f>
        <v/>
      </c>
      <c r="J326" s="159">
        <f>L326/O326</f>
        <v/>
      </c>
      <c r="K326" s="159" t="n">
        <v>7.11</v>
      </c>
      <c r="L326" s="159" t="n">
        <v>17813.6</v>
      </c>
      <c r="M326" s="159" t="n">
        <v>4.17</v>
      </c>
      <c r="N326" s="159">
        <f>K326-I326</f>
        <v/>
      </c>
      <c r="O326" s="159" t="n">
        <v>20.59</v>
      </c>
      <c r="P326" s="159" t="n">
        <v>3.44</v>
      </c>
      <c r="Q326" s="159">
        <f>K326-P326</f>
        <v/>
      </c>
      <c r="R326" s="159" t="n">
        <v>101.2</v>
      </c>
      <c r="S326" s="159">
        <f>(O326*T326)/100</f>
        <v/>
      </c>
      <c r="T326" s="157" t="n">
        <v>6.82</v>
      </c>
      <c r="U326" s="157" t="n">
        <v>11743.1</v>
      </c>
      <c r="V326" s="157" t="n">
        <v>24.3</v>
      </c>
      <c r="W326" s="159">
        <f>U326/V326</f>
        <v/>
      </c>
      <c r="X326" s="159">
        <f>(W326/U326)*100</f>
        <v/>
      </c>
      <c r="Y326" s="157" t="n">
        <v>9255.549999999999</v>
      </c>
      <c r="Z326" s="157" t="n">
        <v>17.88</v>
      </c>
      <c r="AA326" s="159">
        <f>Y326/Z326</f>
        <v/>
      </c>
      <c r="AB326" s="159">
        <f>(AA326/Y326)*100</f>
        <v/>
      </c>
    </row>
    <row r="327">
      <c r="A327" s="155" t="n">
        <v>326</v>
      </c>
      <c r="B327" s="160" t="n">
        <v>45043</v>
      </c>
      <c r="C327" s="159" t="n">
        <v>26937243.4</v>
      </c>
      <c r="D327" s="174">
        <f>C327/E327</f>
        <v/>
      </c>
      <c r="E327" s="159" t="n">
        <v>81.69</v>
      </c>
      <c r="F327" s="159">
        <f>D327/100000</f>
        <v/>
      </c>
      <c r="G327" s="159">
        <f>(F327/DataSheet!$C$10*100)</f>
        <v/>
      </c>
      <c r="H327" s="159">
        <f>K327/I327</f>
        <v/>
      </c>
      <c r="I327" s="159">
        <f>(J327/L327)*100</f>
        <v/>
      </c>
      <c r="J327" s="159">
        <f>L327/O327</f>
        <v/>
      </c>
      <c r="K327" s="159" t="n">
        <v>7.09</v>
      </c>
      <c r="L327" s="159" t="n">
        <v>17915.05</v>
      </c>
      <c r="M327" s="159" t="n">
        <v>4.19</v>
      </c>
      <c r="N327" s="159">
        <f>K327-I327</f>
        <v/>
      </c>
      <c r="O327" s="159" t="n">
        <v>20.7</v>
      </c>
      <c r="P327" s="159" t="n">
        <v>3.52</v>
      </c>
      <c r="Q327" s="159">
        <f>K327-P327</f>
        <v/>
      </c>
      <c r="R327" s="159" t="n">
        <v>101.25</v>
      </c>
      <c r="S327" s="159">
        <f>(O327*T327)/100</f>
        <v/>
      </c>
      <c r="T327" s="157" t="n">
        <v>6.83</v>
      </c>
      <c r="U327" s="157" t="n">
        <v>11811.5</v>
      </c>
      <c r="V327" s="157" t="n">
        <v>24.41</v>
      </c>
      <c r="W327" s="159">
        <f>U327/V327</f>
        <v/>
      </c>
      <c r="X327" s="159">
        <f>(W327/U327)*100</f>
        <v/>
      </c>
      <c r="Y327" s="157" t="n">
        <v>9300.85</v>
      </c>
      <c r="Z327" s="157" t="n">
        <v>17.99</v>
      </c>
      <c r="AA327" s="159">
        <f>Y327/Z327</f>
        <v/>
      </c>
      <c r="AB327" s="159">
        <f>(AA327/Y327)*100</f>
        <v/>
      </c>
    </row>
    <row r="328">
      <c r="A328" s="155" t="n">
        <v>327</v>
      </c>
      <c r="B328" s="160" t="n">
        <v>45044</v>
      </c>
      <c r="C328" s="159" t="n">
        <v>27219439.55</v>
      </c>
      <c r="D328" s="174">
        <f>C328/E328</f>
        <v/>
      </c>
      <c r="E328" s="159" t="n">
        <v>81.72</v>
      </c>
      <c r="F328" s="159">
        <f>D328/100000</f>
        <v/>
      </c>
      <c r="G328" s="159">
        <f>(F328/DataSheet!$C$10*100)</f>
        <v/>
      </c>
      <c r="H328" s="159">
        <f>K328/I328</f>
        <v/>
      </c>
      <c r="I328" s="159">
        <f>(J328/L328)*100</f>
        <v/>
      </c>
      <c r="J328" s="159">
        <f>L328/O328</f>
        <v/>
      </c>
      <c r="K328" s="159" t="n">
        <v>7.11</v>
      </c>
      <c r="L328" s="159" t="n">
        <v>18065</v>
      </c>
      <c r="M328" s="159" t="n">
        <v>4.23</v>
      </c>
      <c r="N328" s="159">
        <f>K328-I328</f>
        <v/>
      </c>
      <c r="O328" s="159" t="n">
        <v>20.87</v>
      </c>
      <c r="P328" s="159" t="n">
        <v>3.43</v>
      </c>
      <c r="Q328" s="159">
        <f>K328-P328</f>
        <v/>
      </c>
      <c r="R328" s="159" t="n">
        <v>101.4</v>
      </c>
      <c r="S328" s="159">
        <f>(O328*T328)/100</f>
        <v/>
      </c>
      <c r="T328" s="157" t="n">
        <v>6.87</v>
      </c>
      <c r="U328" s="157" t="n">
        <v>11943.55</v>
      </c>
      <c r="V328" s="157" t="n">
        <v>24.71</v>
      </c>
      <c r="W328" s="159">
        <f>U328/V328</f>
        <v/>
      </c>
      <c r="X328" s="159">
        <f>(W328/U328)*100</f>
        <v/>
      </c>
      <c r="Y328" s="157" t="n">
        <v>9392.6</v>
      </c>
      <c r="Z328" s="157" t="n">
        <v>18.23</v>
      </c>
      <c r="AA328" s="159">
        <f>Y328/Z328</f>
        <v/>
      </c>
      <c r="AB328" s="159">
        <f>(AA328/Y328)*100</f>
        <v/>
      </c>
    </row>
    <row r="329">
      <c r="A329" s="155" t="n">
        <v>328</v>
      </c>
      <c r="B329" s="160" t="n">
        <v>45048</v>
      </c>
      <c r="C329" s="159" t="n">
        <v>27371348.96</v>
      </c>
      <c r="D329" s="174">
        <f>C329/E329</f>
        <v/>
      </c>
      <c r="E329" s="159" t="n">
        <v>81.75</v>
      </c>
      <c r="F329" s="159">
        <f>D329/100000</f>
        <v/>
      </c>
      <c r="G329" s="159">
        <f>(F329/DataSheet!$C$10*100)</f>
        <v/>
      </c>
      <c r="H329" s="159">
        <f>K329/I329</f>
        <v/>
      </c>
      <c r="I329" s="159">
        <f>(J329/L329)*100</f>
        <v/>
      </c>
      <c r="J329" s="159">
        <f>L329/O329</f>
        <v/>
      </c>
      <c r="K329" s="159" t="n">
        <v>7.1</v>
      </c>
      <c r="L329" s="159" t="n">
        <v>18147.65</v>
      </c>
      <c r="M329" s="159" t="n">
        <v>4.25</v>
      </c>
      <c r="N329" s="159">
        <f>K329-I329</f>
        <v/>
      </c>
      <c r="O329" s="159" t="n">
        <v>20.92</v>
      </c>
      <c r="P329" s="159" t="n">
        <v>3.43</v>
      </c>
      <c r="Q329" s="159">
        <f>K329-P329</f>
        <v/>
      </c>
      <c r="R329" s="159" t="n">
        <v>101.51</v>
      </c>
      <c r="S329" s="159">
        <f>(O329*T329)/100</f>
        <v/>
      </c>
      <c r="T329" s="157" t="n">
        <v>6.86</v>
      </c>
      <c r="U329" s="157" t="n">
        <v>12037.15</v>
      </c>
      <c r="V329" s="157" t="n">
        <v>24.83</v>
      </c>
      <c r="W329" s="159">
        <f>U329/V329</f>
        <v/>
      </c>
      <c r="X329" s="159">
        <f>(W329/U329)*100</f>
        <v/>
      </c>
      <c r="Y329" s="157" t="n">
        <v>9452.85</v>
      </c>
      <c r="Z329" s="157" t="n">
        <v>18.31</v>
      </c>
      <c r="AA329" s="159">
        <f>Y329/Z329</f>
        <v/>
      </c>
      <c r="AB329" s="159">
        <f>(AA329/Y329)*100</f>
        <v/>
      </c>
    </row>
    <row r="330">
      <c r="A330" s="155" t="n">
        <v>329</v>
      </c>
      <c r="B330" s="160" t="n">
        <v>45049</v>
      </c>
      <c r="C330" s="159" t="n">
        <v>27324627.29</v>
      </c>
      <c r="D330" s="174">
        <f>C330/E330</f>
        <v/>
      </c>
      <c r="E330" s="159" t="n">
        <v>81.75</v>
      </c>
      <c r="F330" s="159">
        <f>D330/100000</f>
        <v/>
      </c>
      <c r="G330" s="159">
        <f>(F330/DataSheet!$C$10*100)</f>
        <v/>
      </c>
      <c r="H330" s="159">
        <f>K330/I330</f>
        <v/>
      </c>
      <c r="I330" s="159">
        <f>(J330/L330)*100</f>
        <v/>
      </c>
      <c r="J330" s="159">
        <f>L330/O330</f>
        <v/>
      </c>
      <c r="K330" s="159" t="n">
        <v>7.01</v>
      </c>
      <c r="L330" s="159" t="n">
        <v>18089.85</v>
      </c>
      <c r="M330" s="159" t="n">
        <v>4.23</v>
      </c>
      <c r="N330" s="159">
        <f>K330-I330</f>
        <v/>
      </c>
      <c r="O330" s="159" t="n">
        <v>21.33</v>
      </c>
      <c r="P330" s="159" t="n">
        <v>3.36</v>
      </c>
      <c r="Q330" s="159">
        <f>K330-P330</f>
        <v/>
      </c>
      <c r="R330" s="159" t="n">
        <v>101.11</v>
      </c>
      <c r="S330" s="159">
        <f>(O330*T330)/100</f>
        <v/>
      </c>
      <c r="T330" s="157" t="n">
        <v>6.88</v>
      </c>
      <c r="U330" s="157" t="n">
        <v>12066.75</v>
      </c>
      <c r="V330" s="157" t="n">
        <v>24.79</v>
      </c>
      <c r="W330" s="159">
        <f>U330/V330</f>
        <v/>
      </c>
      <c r="X330" s="159">
        <f>(W330/U330)*100</f>
        <v/>
      </c>
      <c r="Y330" s="157" t="n">
        <v>9465.75</v>
      </c>
      <c r="Z330" s="157" t="n">
        <v>18.3</v>
      </c>
      <c r="AA330" s="159">
        <f>Y330/Z330</f>
        <v/>
      </c>
      <c r="AB330" s="159">
        <f>(AA330/Y330)*100</f>
        <v/>
      </c>
    </row>
    <row r="331">
      <c r="A331" s="155" t="n">
        <v>330</v>
      </c>
      <c r="B331" s="160" t="n">
        <v>45050</v>
      </c>
      <c r="C331" s="159" t="n">
        <v>27555683.85</v>
      </c>
      <c r="D331" s="174">
        <f>C331/E331</f>
        <v/>
      </c>
      <c r="E331" s="159" t="n">
        <v>81.70999999999999</v>
      </c>
      <c r="F331" s="159">
        <f>D331/100000</f>
        <v/>
      </c>
      <c r="G331" s="159">
        <f>(F331/DataSheet!$C$10*100)</f>
        <v/>
      </c>
      <c r="H331" s="159">
        <f>K331/I331</f>
        <v/>
      </c>
      <c r="I331" s="159">
        <f>(J331/L331)*100</f>
        <v/>
      </c>
      <c r="J331" s="159">
        <f>L331/O331</f>
        <v/>
      </c>
      <c r="K331" s="159" t="n">
        <v>7.01</v>
      </c>
      <c r="L331" s="159" t="n">
        <v>18255.8</v>
      </c>
      <c r="M331" s="159" t="n">
        <v>4.27</v>
      </c>
      <c r="N331" s="159">
        <f>K331-I331</f>
        <v/>
      </c>
      <c r="O331" s="159" t="n">
        <v>21.85</v>
      </c>
      <c r="P331" s="159" t="n">
        <v>3.36</v>
      </c>
      <c r="Q331" s="159">
        <f>K331-P331</f>
        <v/>
      </c>
      <c r="R331" s="159" t="n">
        <v>101.2</v>
      </c>
      <c r="S331" s="159">
        <f>(O331*T331)/100</f>
        <v/>
      </c>
      <c r="T331" s="157" t="n">
        <v>6.88</v>
      </c>
      <c r="U331" s="157" t="n">
        <v>12145.5</v>
      </c>
      <c r="V331" s="157" t="n">
        <v>24.95</v>
      </c>
      <c r="W331" s="159">
        <f>U331/V331</f>
        <v/>
      </c>
      <c r="X331" s="159">
        <f>(W331/U331)*100</f>
        <v/>
      </c>
      <c r="Y331" s="157" t="n">
        <v>9546.9</v>
      </c>
      <c r="Z331" s="157" t="n">
        <v>18.48</v>
      </c>
      <c r="AA331" s="159">
        <f>Y331/Z331</f>
        <v/>
      </c>
      <c r="AB331" s="159">
        <f>(AA331/Y331)*100</f>
        <v/>
      </c>
    </row>
    <row r="332">
      <c r="A332" s="155" t="n">
        <v>331</v>
      </c>
      <c r="B332" s="160" t="n">
        <v>45051</v>
      </c>
      <c r="C332" s="159" t="n">
        <v>27412047.57</v>
      </c>
      <c r="D332" s="174">
        <f>C332/E332</f>
        <v/>
      </c>
      <c r="E332" s="159" t="n">
        <v>81.7</v>
      </c>
      <c r="F332" s="159">
        <f>D332/100000</f>
        <v/>
      </c>
      <c r="G332" s="159">
        <f>(F332/DataSheet!$C$10*100)</f>
        <v/>
      </c>
      <c r="H332" s="159">
        <f>K332/I332</f>
        <v/>
      </c>
      <c r="I332" s="159">
        <f>(J332/L332)*100</f>
        <v/>
      </c>
      <c r="J332" s="159">
        <f>L332/O332</f>
        <v/>
      </c>
      <c r="K332" s="159" t="n">
        <v>7.01</v>
      </c>
      <c r="L332" s="159" t="n">
        <v>18069</v>
      </c>
      <c r="M332" s="159" t="n">
        <v>4.23</v>
      </c>
      <c r="N332" s="159">
        <f>K332-I332</f>
        <v/>
      </c>
      <c r="O332" s="159" t="n">
        <v>21.62</v>
      </c>
      <c r="P332" s="159" t="n">
        <v>3.43</v>
      </c>
      <c r="Q332" s="159">
        <f>K332-P332</f>
        <v/>
      </c>
      <c r="R332" s="159" t="n">
        <v>100.99</v>
      </c>
      <c r="S332" s="159">
        <f>(O332*T332)/100</f>
        <v/>
      </c>
      <c r="T332" s="157" t="n">
        <v>6.88</v>
      </c>
      <c r="U332" s="157" t="n">
        <v>12066.05</v>
      </c>
      <c r="V332" s="157" t="n">
        <v>24.71</v>
      </c>
      <c r="W332" s="159">
        <f>U332/V332</f>
        <v/>
      </c>
      <c r="X332" s="159">
        <f>(W332/U332)*100</f>
        <v/>
      </c>
      <c r="Y332" s="157" t="n">
        <v>9494.25</v>
      </c>
      <c r="Z332" s="157" t="n">
        <v>18.36</v>
      </c>
      <c r="AA332" s="159">
        <f>Y332/Z332</f>
        <v/>
      </c>
      <c r="AB332" s="159">
        <f>(AA332/Y332)*100</f>
        <v/>
      </c>
    </row>
    <row r="333">
      <c r="A333" s="155" t="n">
        <v>332</v>
      </c>
      <c r="B333" s="160" t="n">
        <v>45054</v>
      </c>
      <c r="C333" s="159" t="n">
        <v>27632336.1</v>
      </c>
      <c r="D333" s="174">
        <f>C333/E333</f>
        <v/>
      </c>
      <c r="E333" s="159" t="n">
        <v>81.77</v>
      </c>
      <c r="F333" s="159">
        <f>D333/100000</f>
        <v/>
      </c>
      <c r="G333" s="159">
        <f>(F333/DataSheet!$C$10*100)</f>
        <v/>
      </c>
      <c r="H333" s="159">
        <f>K333/I333</f>
        <v/>
      </c>
      <c r="I333" s="159">
        <f>(J333/L333)*100</f>
        <v/>
      </c>
      <c r="J333" s="159">
        <f>L333/O333</f>
        <v/>
      </c>
      <c r="K333" s="159" t="n">
        <v>7.04</v>
      </c>
      <c r="L333" s="159" t="n">
        <v>18264.4</v>
      </c>
      <c r="M333" s="159" t="n">
        <v>4.28</v>
      </c>
      <c r="N333" s="159">
        <f>K333-I333</f>
        <v/>
      </c>
      <c r="O333" s="159" t="n">
        <v>21.77</v>
      </c>
      <c r="P333" s="159" t="n">
        <v>3.5</v>
      </c>
      <c r="Q333" s="159">
        <f>K333-P333</f>
        <v/>
      </c>
      <c r="R333" s="159" t="n">
        <v>101.15</v>
      </c>
      <c r="S333" s="159">
        <f>(O333*T333)/100</f>
        <v/>
      </c>
      <c r="T333" s="157" t="n">
        <v>6.91</v>
      </c>
      <c r="U333" s="157" t="n">
        <v>12177.7</v>
      </c>
      <c r="V333" s="157" t="n">
        <v>24.94</v>
      </c>
      <c r="W333" s="159">
        <f>U333/V333</f>
        <v/>
      </c>
      <c r="X333" s="159">
        <f>(W333/U333)*100</f>
        <v/>
      </c>
      <c r="Y333" s="157" t="n">
        <v>9564.4</v>
      </c>
      <c r="Z333" s="157" t="n">
        <v>18.56</v>
      </c>
      <c r="AA333" s="159">
        <f>Y333/Z333</f>
        <v/>
      </c>
      <c r="AB333" s="159">
        <f>(AA333/Y333)*100</f>
        <v/>
      </c>
    </row>
    <row r="334">
      <c r="A334" s="155" t="n">
        <v>333</v>
      </c>
      <c r="B334" s="160" t="n">
        <v>45055</v>
      </c>
      <c r="C334" s="159" t="n">
        <v>27661584.67</v>
      </c>
      <c r="D334" s="174">
        <f>C334/E334</f>
        <v/>
      </c>
      <c r="E334" s="159" t="n">
        <v>82.09999999999999</v>
      </c>
      <c r="F334" s="159">
        <f>D334/100000</f>
        <v/>
      </c>
      <c r="G334" s="159">
        <f>(F334/DataSheet!$C$10*100)</f>
        <v/>
      </c>
      <c r="H334" s="159">
        <f>K334/I334</f>
        <v/>
      </c>
      <c r="I334" s="159">
        <f>(J334/L334)*100</f>
        <v/>
      </c>
      <c r="J334" s="159">
        <f>L334/O334</f>
        <v/>
      </c>
      <c r="K334" s="159" t="n">
        <v>7.04</v>
      </c>
      <c r="L334" s="159" t="n">
        <v>18265.95</v>
      </c>
      <c r="M334" s="159" t="n">
        <v>4.28</v>
      </c>
      <c r="N334" s="159">
        <f>K334-I334</f>
        <v/>
      </c>
      <c r="O334" s="159" t="n">
        <v>21.77</v>
      </c>
      <c r="P334" s="159" t="n">
        <v>3.52</v>
      </c>
      <c r="Q334" s="159">
        <f>K334-P334</f>
        <v/>
      </c>
      <c r="R334" s="159" t="n">
        <v>101.39</v>
      </c>
      <c r="S334" s="159">
        <f>(O334*T334)/100</f>
        <v/>
      </c>
      <c r="T334" s="157" t="n">
        <v>6.88</v>
      </c>
      <c r="U334" s="157" t="n">
        <v>12184.95</v>
      </c>
      <c r="V334" s="157" t="n">
        <v>24.68</v>
      </c>
      <c r="W334" s="159">
        <f>U334/V334</f>
        <v/>
      </c>
      <c r="X334" s="159">
        <f>(W334/U334)*100</f>
        <v/>
      </c>
      <c r="Y334" s="157" t="n">
        <v>9524</v>
      </c>
      <c r="Z334" s="157" t="n">
        <v>18.5</v>
      </c>
      <c r="AA334" s="159">
        <f>Y334/Z334</f>
        <v/>
      </c>
      <c r="AB334" s="159">
        <f>(AA334/Y334)*100</f>
        <v/>
      </c>
    </row>
    <row r="335">
      <c r="A335" s="155" t="n">
        <v>334</v>
      </c>
      <c r="B335" s="160" t="n">
        <v>45056</v>
      </c>
      <c r="C335" s="159" t="n">
        <v>27742831.09</v>
      </c>
      <c r="D335" s="174">
        <f>C335/E335</f>
        <v/>
      </c>
      <c r="E335" s="159" t="n">
        <v>81.90000000000001</v>
      </c>
      <c r="F335" s="159">
        <f>D335/100000</f>
        <v/>
      </c>
      <c r="G335" s="159">
        <f>(F335/DataSheet!$C$10*100)</f>
        <v/>
      </c>
      <c r="H335" s="159">
        <f>K335/I335</f>
        <v/>
      </c>
      <c r="I335" s="159">
        <f>(J335/L335)*100</f>
        <v/>
      </c>
      <c r="J335" s="159">
        <f>L335/O335</f>
        <v/>
      </c>
      <c r="K335" s="159" t="n">
        <v>7.03</v>
      </c>
      <c r="L335" s="159" t="n">
        <v>18315.1</v>
      </c>
      <c r="M335" s="159" t="n">
        <v>4.29</v>
      </c>
      <c r="N335" s="159">
        <f>K335-I335</f>
        <v/>
      </c>
      <c r="O335" s="159" t="n">
        <v>21.88</v>
      </c>
      <c r="P335" s="159" t="n">
        <v>3.43</v>
      </c>
      <c r="Q335" s="159">
        <f>K335-P335</f>
        <v/>
      </c>
      <c r="R335" s="159" t="n">
        <v>101.26</v>
      </c>
      <c r="S335" s="159">
        <f>(O335*T335)/100</f>
        <v/>
      </c>
      <c r="T335" s="157" t="n">
        <v>6.95</v>
      </c>
      <c r="U335" s="157" t="n">
        <v>12195.2</v>
      </c>
      <c r="V335" s="157" t="n">
        <v>24.65</v>
      </c>
      <c r="W335" s="159">
        <f>U335/V335</f>
        <v/>
      </c>
      <c r="X335" s="159">
        <f>(W335/U335)*100</f>
        <v/>
      </c>
      <c r="Y335" s="157" t="n">
        <v>9572.35</v>
      </c>
      <c r="Z335" s="157" t="n">
        <v>18.48</v>
      </c>
      <c r="AA335" s="159">
        <f>Y335/Z335</f>
        <v/>
      </c>
      <c r="AB335" s="159">
        <f>(AA335/Y335)*100</f>
        <v/>
      </c>
    </row>
    <row r="336">
      <c r="A336" s="155" t="n">
        <v>335</v>
      </c>
      <c r="B336" s="160" t="n">
        <v>45057</v>
      </c>
      <c r="C336" s="159" t="n">
        <v>27831824.47</v>
      </c>
      <c r="D336" s="174">
        <f>C336/E336</f>
        <v/>
      </c>
      <c r="E336" s="159" t="n">
        <v>82.09</v>
      </c>
      <c r="F336" s="159">
        <f>D336/100000</f>
        <v/>
      </c>
      <c r="G336" s="159">
        <f>(F336/DataSheet!$C$10*100)</f>
        <v/>
      </c>
      <c r="H336" s="159">
        <f>K336/I336</f>
        <v/>
      </c>
      <c r="I336" s="159">
        <f>(J336/L336)*100</f>
        <v/>
      </c>
      <c r="J336" s="159">
        <f>L336/O336</f>
        <v/>
      </c>
      <c r="K336" s="159" t="n">
        <v>7.02</v>
      </c>
      <c r="L336" s="159" t="n">
        <v>18297</v>
      </c>
      <c r="M336" s="159" t="n">
        <v>4.28</v>
      </c>
      <c r="N336" s="159">
        <f>K336-I336</f>
        <v/>
      </c>
      <c r="O336" s="159" t="n">
        <v>21.86</v>
      </c>
      <c r="P336" s="159" t="n">
        <v>3.38</v>
      </c>
      <c r="Q336" s="159">
        <f>K336-P336</f>
        <v/>
      </c>
      <c r="R336" s="159" t="n">
        <v>101.87</v>
      </c>
      <c r="S336" s="159">
        <f>(O336*T336)/100</f>
        <v/>
      </c>
      <c r="T336" s="157" t="n">
        <v>6.95</v>
      </c>
      <c r="U336" s="157" t="n">
        <v>12232.85</v>
      </c>
      <c r="V336" s="157" t="n">
        <v>24.67</v>
      </c>
      <c r="W336" s="159">
        <f>U336/V336</f>
        <v/>
      </c>
      <c r="X336" s="159">
        <f>(W336/U336)*100</f>
        <v/>
      </c>
      <c r="Y336" s="157" t="n">
        <v>9640.65</v>
      </c>
      <c r="Z336" s="157" t="n">
        <v>18.66</v>
      </c>
      <c r="AA336" s="159">
        <f>Y336/Z336</f>
        <v/>
      </c>
      <c r="AB336" s="159">
        <f>(AA336/Y336)*100</f>
        <v/>
      </c>
    </row>
    <row r="337">
      <c r="A337" s="155" t="n">
        <v>336</v>
      </c>
      <c r="B337" s="160" t="n">
        <v>45058</v>
      </c>
      <c r="C337" s="159" t="n">
        <v>27815282.14</v>
      </c>
      <c r="D337" s="174">
        <f>C337/E337</f>
        <v/>
      </c>
      <c r="E337" s="159" t="n">
        <v>82.17</v>
      </c>
      <c r="F337" s="159">
        <f>D337/100000</f>
        <v/>
      </c>
      <c r="G337" s="159">
        <f>(F337/DataSheet!$C$10*100)</f>
        <v/>
      </c>
      <c r="H337" s="159">
        <f>K337/I337</f>
        <v/>
      </c>
      <c r="I337" s="159">
        <f>(J337/L337)*100</f>
        <v/>
      </c>
      <c r="J337" s="159">
        <f>L337/O337</f>
        <v/>
      </c>
      <c r="K337" s="159" t="n">
        <v>6.99</v>
      </c>
      <c r="L337" s="159" t="n">
        <v>18314.8</v>
      </c>
      <c r="M337" s="159" t="n">
        <v>4.29</v>
      </c>
      <c r="N337" s="159">
        <f>K337-I337</f>
        <v/>
      </c>
      <c r="O337" s="159" t="n">
        <v>21.82</v>
      </c>
      <c r="P337" s="159" t="n">
        <v>3.46</v>
      </c>
      <c r="Q337" s="159">
        <f>K337-P337</f>
        <v/>
      </c>
      <c r="R337" s="159" t="n">
        <v>102.5</v>
      </c>
      <c r="S337" s="159">
        <f>(O337*T337)/100</f>
        <v/>
      </c>
      <c r="T337" s="157" t="n">
        <v>6.95</v>
      </c>
      <c r="U337" s="157" t="n">
        <v>12196.1</v>
      </c>
      <c r="V337" s="157" t="n">
        <v>24.47</v>
      </c>
      <c r="W337" s="159">
        <f>U337/V337</f>
        <v/>
      </c>
      <c r="X337" s="159">
        <f>(W337/U337)*100</f>
        <v/>
      </c>
      <c r="Y337" s="157" t="n">
        <v>9603.299999999999</v>
      </c>
      <c r="Z337" s="157" t="n">
        <v>18.61</v>
      </c>
      <c r="AA337" s="159">
        <f>Y337/Z337</f>
        <v/>
      </c>
      <c r="AB337" s="159">
        <f>(AA337/Y337)*100</f>
        <v/>
      </c>
    </row>
    <row r="338">
      <c r="A338" s="155" t="n">
        <v>337</v>
      </c>
      <c r="B338" s="160" t="n">
        <v>45061</v>
      </c>
      <c r="C338" s="159" t="n">
        <v>27898273.75</v>
      </c>
      <c r="D338" s="174">
        <f>C338/E338</f>
        <v/>
      </c>
      <c r="E338" s="159" t="n">
        <v>82.23</v>
      </c>
      <c r="F338" s="159">
        <f>D338/100000</f>
        <v/>
      </c>
      <c r="G338" s="159">
        <f>(F338/DataSheet!$C$10*100)</f>
        <v/>
      </c>
      <c r="H338" s="159">
        <f>K338/I338</f>
        <v/>
      </c>
      <c r="I338" s="159">
        <f>(J338/L338)*100</f>
        <v/>
      </c>
      <c r="J338" s="159">
        <f>L338/O338</f>
        <v/>
      </c>
      <c r="K338" s="159" t="n">
        <v>7</v>
      </c>
      <c r="L338" s="159" t="n">
        <v>18398.85</v>
      </c>
      <c r="M338" s="159" t="n">
        <v>4.31</v>
      </c>
      <c r="N338" s="159">
        <f>K338-I338</f>
        <v/>
      </c>
      <c r="O338" s="159" t="n">
        <v>21.92</v>
      </c>
      <c r="P338" s="159" t="n">
        <v>3.5</v>
      </c>
      <c r="Q338" s="159">
        <f>K338-P338</f>
        <v/>
      </c>
      <c r="R338" s="159" t="n">
        <v>102.27</v>
      </c>
      <c r="S338" s="159">
        <f>(O338*T338)/100</f>
        <v/>
      </c>
      <c r="T338" s="157" t="n">
        <v>6.95</v>
      </c>
      <c r="U338" s="157" t="n">
        <v>12264.65</v>
      </c>
      <c r="V338" s="157" t="n">
        <v>24.6</v>
      </c>
      <c r="W338" s="159">
        <f>U338/V338</f>
        <v/>
      </c>
      <c r="X338" s="159">
        <f>(W338/U338)*100</f>
        <v/>
      </c>
      <c r="Y338" s="157" t="n">
        <v>9673.25</v>
      </c>
      <c r="Z338" s="157" t="n">
        <v>18.75</v>
      </c>
      <c r="AA338" s="159">
        <f>Y338/Z338</f>
        <v/>
      </c>
      <c r="AB338" s="159">
        <f>(AA338/Y338)*100</f>
        <v/>
      </c>
    </row>
    <row r="339">
      <c r="A339" s="155" t="n">
        <v>338</v>
      </c>
      <c r="B339" s="160" t="n">
        <v>45062</v>
      </c>
      <c r="C339" s="159" t="n">
        <v>27847149.09</v>
      </c>
      <c r="D339" s="174">
        <f>C339/E339</f>
        <v/>
      </c>
      <c r="E339" s="159" t="n">
        <v>82.26000000000001</v>
      </c>
      <c r="F339" s="159">
        <f>D339/100000</f>
        <v/>
      </c>
      <c r="G339" s="159">
        <f>(F339/DataSheet!$C$10*100)</f>
        <v/>
      </c>
      <c r="H339" s="159">
        <f>K339/I339</f>
        <v/>
      </c>
      <c r="I339" s="159">
        <f>(J339/L339)*100</f>
        <v/>
      </c>
      <c r="J339" s="159">
        <f>L339/O339</f>
        <v/>
      </c>
      <c r="K339" s="159" t="n">
        <v>6.96</v>
      </c>
      <c r="L339" s="159" t="n">
        <v>18286.5</v>
      </c>
      <c r="M339" s="159" t="n">
        <v>4.28</v>
      </c>
      <c r="N339" s="159">
        <f>K339-I339</f>
        <v/>
      </c>
      <c r="O339" s="159" t="n">
        <v>21.59</v>
      </c>
      <c r="P339" s="159" t="n">
        <v>3.54</v>
      </c>
      <c r="Q339" s="159">
        <f>K339-P339</f>
        <v/>
      </c>
      <c r="R339" s="159" t="n">
        <v>102.4</v>
      </c>
      <c r="S339" s="159">
        <f>(O339*T339)/100</f>
        <v/>
      </c>
      <c r="T339" s="157" t="n">
        <v>6.91</v>
      </c>
      <c r="U339" s="157" t="n">
        <v>12293.05</v>
      </c>
      <c r="V339" s="157" t="n">
        <v>24.41</v>
      </c>
      <c r="W339" s="159">
        <f>U339/V339</f>
        <v/>
      </c>
      <c r="X339" s="159">
        <f>(W339/U339)*100</f>
        <v/>
      </c>
      <c r="Y339" s="157" t="n">
        <v>9676.950000000001</v>
      </c>
      <c r="Z339" s="157" t="n">
        <v>18.53</v>
      </c>
      <c r="AA339" s="159">
        <f>Y339/Z339</f>
        <v/>
      </c>
      <c r="AB339" s="159">
        <f>(AA339/Y339)*100</f>
        <v/>
      </c>
    </row>
    <row r="340">
      <c r="A340" s="155" t="n">
        <v>339</v>
      </c>
      <c r="B340" s="160" t="n">
        <v>45063</v>
      </c>
      <c r="C340" s="159" t="n">
        <v>27750546.17</v>
      </c>
      <c r="D340" s="174">
        <f>C340/E340</f>
        <v/>
      </c>
      <c r="E340" s="159" t="n">
        <v>82.40000000000001</v>
      </c>
      <c r="F340" s="159">
        <f>D340/100000</f>
        <v/>
      </c>
      <c r="G340" s="159">
        <f>(F340/DataSheet!$C$10*100)</f>
        <v/>
      </c>
      <c r="H340" s="159">
        <f>K340/I340</f>
        <v/>
      </c>
      <c r="I340" s="159">
        <f>(J340/L340)*100</f>
        <v/>
      </c>
      <c r="J340" s="159">
        <f>L340/O340</f>
        <v/>
      </c>
      <c r="K340" s="159" t="n">
        <v>6.97</v>
      </c>
      <c r="L340" s="159" t="n">
        <v>18181.75</v>
      </c>
      <c r="M340" s="159" t="n">
        <v>4.26</v>
      </c>
      <c r="N340" s="159">
        <f>K340-I340</f>
        <v/>
      </c>
      <c r="O340" s="159" t="n">
        <v>21.47</v>
      </c>
      <c r="P340" s="159" t="n">
        <v>3.57</v>
      </c>
      <c r="Q340" s="159">
        <f>K340-P340</f>
        <v/>
      </c>
      <c r="R340" s="159" t="n">
        <v>102.72</v>
      </c>
      <c r="S340" s="159">
        <f>(O340*T340)/100</f>
        <v/>
      </c>
      <c r="T340" s="157" t="n">
        <v>6.87</v>
      </c>
      <c r="U340" s="157" t="n">
        <v>12284.35</v>
      </c>
      <c r="V340" s="157" t="n">
        <v>24.38</v>
      </c>
      <c r="W340" s="159">
        <f>U340/V340</f>
        <v/>
      </c>
      <c r="X340" s="159">
        <f>(W340/U340)*100</f>
        <v/>
      </c>
      <c r="Y340" s="157" t="n">
        <v>9718.299999999999</v>
      </c>
      <c r="Z340" s="157" t="n">
        <v>18.62</v>
      </c>
      <c r="AA340" s="159">
        <f>Y340/Z340</f>
        <v/>
      </c>
      <c r="AB340" s="159">
        <f>(AA340/Y340)*100</f>
        <v/>
      </c>
    </row>
    <row r="341">
      <c r="A341" s="155" t="n">
        <v>340</v>
      </c>
      <c r="B341" s="160" t="n">
        <v>45064</v>
      </c>
      <c r="C341" s="159" t="n">
        <v>27616396.07</v>
      </c>
      <c r="D341" s="174">
        <f>C341/E341</f>
        <v/>
      </c>
      <c r="E341" s="159" t="n">
        <v>82.72</v>
      </c>
      <c r="F341" s="159">
        <f>D341/100000</f>
        <v/>
      </c>
      <c r="G341" s="159">
        <f>(F341/DataSheet!$C$10*100)</f>
        <v/>
      </c>
      <c r="H341" s="159">
        <f>K341/I341</f>
        <v/>
      </c>
      <c r="I341" s="159">
        <f>(J341/L341)*100</f>
        <v/>
      </c>
      <c r="J341" s="159">
        <f>L341/O341</f>
        <v/>
      </c>
      <c r="K341" s="159" t="n">
        <v>6.98</v>
      </c>
      <c r="L341" s="159" t="n">
        <v>18129.95</v>
      </c>
      <c r="M341" s="159" t="n">
        <v>4.24</v>
      </c>
      <c r="N341" s="159">
        <f>K341-I341</f>
        <v/>
      </c>
      <c r="O341" s="159" t="n">
        <v>21.39</v>
      </c>
      <c r="P341" s="159" t="n">
        <v>3.65</v>
      </c>
      <c r="Q341" s="159">
        <f>K341-P341</f>
        <v/>
      </c>
      <c r="R341" s="159" t="n">
        <v>103.45</v>
      </c>
      <c r="S341" s="159">
        <f>(O341*T341)/100</f>
        <v/>
      </c>
      <c r="T341" s="157" t="n">
        <v>6.85</v>
      </c>
      <c r="U341" s="157" t="n">
        <v>12213.8</v>
      </c>
      <c r="V341" s="157" t="n">
        <v>24.3</v>
      </c>
      <c r="W341" s="159">
        <f>U341/V341</f>
        <v/>
      </c>
      <c r="X341" s="159">
        <f>(W341/U341)*100</f>
        <v/>
      </c>
      <c r="Y341" s="157" t="n">
        <v>9678.549999999999</v>
      </c>
      <c r="Z341" s="157" t="n">
        <v>18.54</v>
      </c>
      <c r="AA341" s="159">
        <f>Y341/Z341</f>
        <v/>
      </c>
      <c r="AB341" s="159">
        <f>(AA341/Y341)*100</f>
        <v/>
      </c>
    </row>
    <row r="342">
      <c r="A342" s="155" t="n">
        <v>341</v>
      </c>
      <c r="B342" s="160" t="n">
        <v>45065</v>
      </c>
      <c r="C342" s="159" t="n">
        <v>27679004.31</v>
      </c>
      <c r="D342" s="174">
        <f>C342/E342</f>
        <v/>
      </c>
      <c r="E342" s="159" t="n">
        <v>82.87</v>
      </c>
      <c r="F342" s="159">
        <f>D342/100000</f>
        <v/>
      </c>
      <c r="G342" s="159">
        <f>(F342/DataSheet!$C$10*100)</f>
        <v/>
      </c>
      <c r="H342" s="159">
        <f>K342/I342</f>
        <v/>
      </c>
      <c r="I342" s="159">
        <f>(J342/L342)*100</f>
        <v/>
      </c>
      <c r="J342" s="159">
        <f>L342/O342</f>
        <v/>
      </c>
      <c r="K342" s="159" t="n">
        <v>7</v>
      </c>
      <c r="L342" s="159" t="n">
        <v>18203.4</v>
      </c>
      <c r="M342" s="159" t="n">
        <v>4.26</v>
      </c>
      <c r="N342" s="159">
        <f>K342-I342</f>
        <v/>
      </c>
      <c r="O342" s="159" t="n">
        <v>21.48</v>
      </c>
      <c r="P342" s="159" t="n">
        <v>3.68</v>
      </c>
      <c r="Q342" s="159">
        <f>K342-P342</f>
        <v/>
      </c>
      <c r="R342" s="159" t="n">
        <v>103.07</v>
      </c>
      <c r="S342" s="159">
        <f>(O342*T342)/100</f>
        <v/>
      </c>
      <c r="T342" s="157" t="n">
        <v>6.78</v>
      </c>
      <c r="U342" s="157" t="n">
        <v>12198.45</v>
      </c>
      <c r="V342" s="157" t="n">
        <v>24.15</v>
      </c>
      <c r="W342" s="159">
        <f>U342/V342</f>
        <v/>
      </c>
      <c r="X342" s="159">
        <f>(W342/U342)*100</f>
        <v/>
      </c>
      <c r="Y342" s="157" t="n">
        <v>9674.85</v>
      </c>
      <c r="Z342" s="157" t="n">
        <v>18.52</v>
      </c>
      <c r="AA342" s="159">
        <f>Y342/Z342</f>
        <v/>
      </c>
      <c r="AB342" s="159">
        <f>(AA342/Y342)*100</f>
        <v/>
      </c>
    </row>
    <row r="343">
      <c r="A343" s="155" t="n">
        <v>342</v>
      </c>
      <c r="B343" s="160" t="n">
        <v>45068</v>
      </c>
      <c r="C343" s="159" t="n">
        <v>27888845.46</v>
      </c>
      <c r="D343" s="174">
        <f>C343/E343</f>
        <v/>
      </c>
      <c r="E343" s="159" t="n">
        <v>82.84</v>
      </c>
      <c r="F343" s="159">
        <f>D343/100000</f>
        <v/>
      </c>
      <c r="G343" s="159">
        <f>(F343/DataSheet!$C$10*100)</f>
        <v/>
      </c>
      <c r="H343" s="159">
        <f>K343/I343</f>
        <v/>
      </c>
      <c r="I343" s="159">
        <f>(J343/L343)*100</f>
        <v/>
      </c>
      <c r="J343" s="159">
        <f>L343/O343</f>
        <v/>
      </c>
      <c r="K343" s="159" t="n">
        <v>6.98</v>
      </c>
      <c r="L343" s="159" t="n">
        <v>18314.4</v>
      </c>
      <c r="M343" s="159" t="n">
        <v>4.29</v>
      </c>
      <c r="N343" s="159">
        <f>K343-I343</f>
        <v/>
      </c>
      <c r="O343" s="159" t="n">
        <v>21.36</v>
      </c>
      <c r="P343" s="159" t="n">
        <v>3.71</v>
      </c>
      <c r="Q343" s="159">
        <f>K343-P343</f>
        <v/>
      </c>
      <c r="R343" s="159" t="n">
        <v>103.07</v>
      </c>
      <c r="S343" s="159">
        <f>(O343*T343)/100</f>
        <v/>
      </c>
      <c r="T343" s="157" t="n">
        <v>6.73</v>
      </c>
      <c r="U343" s="157" t="n">
        <v>12264.65</v>
      </c>
      <c r="V343" s="157" t="n">
        <v>24.29</v>
      </c>
      <c r="W343" s="159">
        <f>U343/V343</f>
        <v/>
      </c>
      <c r="X343" s="159">
        <f>(W343/U343)*100</f>
        <v/>
      </c>
      <c r="Y343" s="157" t="n">
        <v>9713.549999999999</v>
      </c>
      <c r="Z343" s="157" t="n">
        <v>18.65</v>
      </c>
      <c r="AA343" s="159">
        <f>Y343/Z343</f>
        <v/>
      </c>
      <c r="AB343" s="159">
        <f>(AA343/Y343)*100</f>
        <v/>
      </c>
    </row>
    <row r="344">
      <c r="A344" s="155" t="n">
        <v>343</v>
      </c>
      <c r="B344" s="160" t="n">
        <v>45069</v>
      </c>
      <c r="C344" s="159" t="n">
        <v>27996148.26</v>
      </c>
      <c r="D344" s="174">
        <f>C344/E344</f>
        <v/>
      </c>
      <c r="E344" s="159" t="n">
        <v>82.83</v>
      </c>
      <c r="F344" s="159">
        <f>D344/100000</f>
        <v/>
      </c>
      <c r="G344" s="159">
        <f>(F344/DataSheet!$C$10*100)</f>
        <v/>
      </c>
      <c r="H344" s="159">
        <f>K344/I344</f>
        <v/>
      </c>
      <c r="I344" s="159">
        <f>(J344/L344)*100</f>
        <v/>
      </c>
      <c r="J344" s="159">
        <f>L344/O344</f>
        <v/>
      </c>
      <c r="K344" s="159" t="n">
        <v>7.01</v>
      </c>
      <c r="L344" s="159" t="n">
        <v>18348</v>
      </c>
      <c r="M344" s="159" t="n">
        <v>4.29</v>
      </c>
      <c r="N344" s="159">
        <f>K344-I344</f>
        <v/>
      </c>
      <c r="O344" s="159" t="n">
        <v>21.41</v>
      </c>
      <c r="P344" s="159" t="n">
        <v>3.69</v>
      </c>
      <c r="Q344" s="159">
        <f>K344-P344</f>
        <v/>
      </c>
      <c r="R344" s="159" t="n">
        <v>103.38</v>
      </c>
      <c r="S344" s="159">
        <f>(O344*T344)/100</f>
        <v/>
      </c>
      <c r="T344" s="157" t="n">
        <v>6.78</v>
      </c>
      <c r="U344" s="157" t="n">
        <v>12335.65</v>
      </c>
      <c r="V344" s="157" t="n">
        <v>24.45</v>
      </c>
      <c r="W344" s="159">
        <f>U344/V344</f>
        <v/>
      </c>
      <c r="X344" s="159">
        <f>(W344/U344)*100</f>
        <v/>
      </c>
      <c r="Y344" s="157" t="n">
        <v>9725.450000000001</v>
      </c>
      <c r="Z344" s="157" t="n">
        <v>18.76</v>
      </c>
      <c r="AA344" s="159">
        <f>Y344/Z344</f>
        <v/>
      </c>
      <c r="AB344" s="159">
        <f>(AA344/Y344)*100</f>
        <v/>
      </c>
    </row>
    <row r="345">
      <c r="A345" s="155" t="n">
        <v>344</v>
      </c>
      <c r="B345" s="160" t="n">
        <v>45070</v>
      </c>
      <c r="C345" s="159" t="n">
        <v>27965556.81</v>
      </c>
      <c r="D345" s="174">
        <f>C345/E345</f>
        <v/>
      </c>
      <c r="E345" s="159" t="n">
        <v>82.67</v>
      </c>
      <c r="F345" s="159">
        <f>D345/100000</f>
        <v/>
      </c>
      <c r="G345" s="159">
        <f>(F345/DataSheet!$C$10*100)</f>
        <v/>
      </c>
      <c r="H345" s="159">
        <f>K345/I345</f>
        <v/>
      </c>
      <c r="I345" s="159">
        <f>(J345/L345)*100</f>
        <v/>
      </c>
      <c r="J345" s="159">
        <f>L345/O345</f>
        <v/>
      </c>
      <c r="K345" s="159" t="n">
        <v>6.99</v>
      </c>
      <c r="L345" s="159" t="n">
        <v>18285.4</v>
      </c>
      <c r="M345" s="159" t="n">
        <v>4.28</v>
      </c>
      <c r="N345" s="159">
        <f>K345-I345</f>
        <v/>
      </c>
      <c r="O345" s="159" t="n">
        <v>21.24</v>
      </c>
      <c r="P345" s="159" t="n">
        <v>3.74</v>
      </c>
      <c r="Q345" s="159">
        <f>K345-P345</f>
        <v/>
      </c>
      <c r="R345" s="159" t="n">
        <v>103.79</v>
      </c>
      <c r="S345" s="159">
        <f>(O345*T345)/100</f>
        <v/>
      </c>
      <c r="T345" s="157" t="n">
        <v>6.77</v>
      </c>
      <c r="U345" s="157" t="n">
        <v>12353.9</v>
      </c>
      <c r="V345" s="157" t="n">
        <v>24.48</v>
      </c>
      <c r="W345" s="159">
        <f>U345/V345</f>
        <v/>
      </c>
      <c r="X345" s="159">
        <f>(W345/U345)*100</f>
        <v/>
      </c>
      <c r="Y345" s="157" t="n">
        <v>9729.5</v>
      </c>
      <c r="Z345" s="157" t="n">
        <v>18.85</v>
      </c>
      <c r="AA345" s="159">
        <f>Y345/Z345</f>
        <v/>
      </c>
      <c r="AB345" s="159">
        <f>(AA345/Y345)*100</f>
        <v/>
      </c>
    </row>
    <row r="346">
      <c r="A346" s="155" t="n">
        <v>345</v>
      </c>
      <c r="B346" s="160" t="n">
        <v>45071</v>
      </c>
      <c r="C346" s="159" t="n">
        <v>28048937.84</v>
      </c>
      <c r="D346" s="174">
        <f>C346/E346</f>
        <v/>
      </c>
      <c r="E346" s="159" t="n">
        <v>82.73</v>
      </c>
      <c r="F346" s="159">
        <f>D346/100000</f>
        <v/>
      </c>
      <c r="G346" s="159">
        <f>(F346/DataSheet!$C$10*100)</f>
        <v/>
      </c>
      <c r="H346" s="159">
        <f>K346/I346</f>
        <v/>
      </c>
      <c r="I346" s="159">
        <f>(J346/L346)*100</f>
        <v/>
      </c>
      <c r="J346" s="159">
        <f>L346/O346</f>
        <v/>
      </c>
      <c r="K346" s="159" t="n">
        <v>7</v>
      </c>
      <c r="L346" s="159" t="n">
        <v>18321.15</v>
      </c>
      <c r="M346" s="159" t="n">
        <v>4.29</v>
      </c>
      <c r="N346" s="159">
        <f>K346-I346</f>
        <v/>
      </c>
      <c r="O346" s="159" t="n">
        <v>21.28</v>
      </c>
      <c r="P346" s="159" t="n">
        <v>3.82</v>
      </c>
      <c r="Q346" s="159">
        <f>K346-P346</f>
        <v/>
      </c>
      <c r="R346" s="159" t="n">
        <v>104.17</v>
      </c>
      <c r="S346" s="159">
        <f>(O346*T346)/100</f>
        <v/>
      </c>
      <c r="T346" s="157" t="n">
        <v>6.77</v>
      </c>
      <c r="U346" s="157" t="n">
        <v>12392.15</v>
      </c>
      <c r="V346" s="157" t="n">
        <v>24.57</v>
      </c>
      <c r="W346" s="159">
        <f>U346/V346</f>
        <v/>
      </c>
      <c r="X346" s="159">
        <f>(W346/U346)*100</f>
        <v/>
      </c>
      <c r="Y346" s="157" t="n">
        <v>9759.15</v>
      </c>
      <c r="Z346" s="157" t="n">
        <v>18.94</v>
      </c>
      <c r="AA346" s="159">
        <f>Y346/Z346</f>
        <v/>
      </c>
      <c r="AB346" s="159">
        <f>(AA346/Y346)*100</f>
        <v/>
      </c>
    </row>
    <row r="347">
      <c r="A347" s="155" t="n">
        <v>346</v>
      </c>
      <c r="B347" s="160" t="n">
        <v>45072</v>
      </c>
      <c r="C347" s="159" t="n">
        <v>28285398.4</v>
      </c>
      <c r="D347" s="174">
        <f>C347/E347</f>
        <v/>
      </c>
      <c r="E347" s="159" t="n">
        <v>82.5</v>
      </c>
      <c r="F347" s="159">
        <f>D347/100000</f>
        <v/>
      </c>
      <c r="G347" s="159">
        <f>(F347/DataSheet!$C$10*100)</f>
        <v/>
      </c>
      <c r="H347" s="159">
        <f>K347/I347</f>
        <v/>
      </c>
      <c r="I347" s="159">
        <f>(J347/L347)*100</f>
        <v/>
      </c>
      <c r="J347" s="159">
        <f>L347/O347</f>
        <v/>
      </c>
      <c r="K347" s="159" t="n">
        <v>7</v>
      </c>
      <c r="L347" s="159" t="n">
        <v>18499.35</v>
      </c>
      <c r="M347" s="159" t="n">
        <v>4.33</v>
      </c>
      <c r="N347" s="159">
        <f>K347-I347</f>
        <v/>
      </c>
      <c r="O347" s="159" t="n">
        <v>21.54</v>
      </c>
      <c r="P347" s="159" t="n">
        <v>3.81</v>
      </c>
      <c r="Q347" s="159">
        <f>K347-P347</f>
        <v/>
      </c>
      <c r="R347" s="159" t="n">
        <v>104.13</v>
      </c>
      <c r="S347" s="159">
        <f>(O347*T347)/100</f>
        <v/>
      </c>
      <c r="T347" s="157" t="n">
        <v>6.76</v>
      </c>
      <c r="U347" s="157" t="n">
        <v>12486.85</v>
      </c>
      <c r="V347" s="157" t="n">
        <v>24.69</v>
      </c>
      <c r="W347" s="159">
        <f>U347/V347</f>
        <v/>
      </c>
      <c r="X347" s="159">
        <f>(W347/U347)*100</f>
        <v/>
      </c>
      <c r="Y347" s="157" t="n">
        <v>9804.15</v>
      </c>
      <c r="Z347" s="157" t="n">
        <v>19.12</v>
      </c>
      <c r="AA347" s="159">
        <f>Y347/Z347</f>
        <v/>
      </c>
      <c r="AB347" s="159">
        <f>(AA347/Y347)*100</f>
        <v/>
      </c>
    </row>
    <row r="348">
      <c r="A348" s="155" t="n">
        <v>347</v>
      </c>
      <c r="B348" s="160" t="n">
        <v>45075</v>
      </c>
      <c r="C348" s="159" t="n">
        <v>28392521.03</v>
      </c>
      <c r="D348" s="174">
        <f>C348/E348</f>
        <v/>
      </c>
      <c r="E348" s="159" t="n">
        <v>82.58</v>
      </c>
      <c r="F348" s="159">
        <f>D348/100000</f>
        <v/>
      </c>
      <c r="G348" s="159">
        <f>(F348/DataSheet!$C$10*100)</f>
        <v/>
      </c>
      <c r="H348" s="159">
        <f>K348/I348</f>
        <v/>
      </c>
      <c r="I348" s="159">
        <f>(J348/L348)*100</f>
        <v/>
      </c>
      <c r="J348" s="159">
        <f>L348/O348</f>
        <v/>
      </c>
      <c r="K348" s="159" t="n">
        <v>7.02</v>
      </c>
      <c r="L348" s="159" t="n">
        <v>18598.65</v>
      </c>
      <c r="M348" s="159" t="n">
        <v>4.35</v>
      </c>
      <c r="N348" s="159">
        <f>K348-I348</f>
        <v/>
      </c>
      <c r="O348" s="159" t="n">
        <v>21.65</v>
      </c>
      <c r="P348" s="159" t="n">
        <v>3.76</v>
      </c>
      <c r="Q348" s="159">
        <f>K348-P348</f>
        <v/>
      </c>
      <c r="R348" s="159" t="n">
        <v>104.13</v>
      </c>
      <c r="S348" s="159">
        <f>(O348*T348)/100</f>
        <v/>
      </c>
      <c r="T348" s="157" t="n">
        <v>6.75</v>
      </c>
      <c r="U348" s="157" t="n">
        <v>12530.7</v>
      </c>
      <c r="V348" s="157" t="n">
        <v>24.79</v>
      </c>
      <c r="W348" s="159">
        <f>U348/V348</f>
        <v/>
      </c>
      <c r="X348" s="159">
        <f>(W348/U348)*100</f>
        <v/>
      </c>
      <c r="Y348" s="157" t="n">
        <v>9831.799999999999</v>
      </c>
      <c r="Z348" s="157" t="n">
        <v>19.19</v>
      </c>
      <c r="AA348" s="159">
        <f>Y348/Z348</f>
        <v/>
      </c>
      <c r="AB348" s="159">
        <f>(AA348/Y348)*100</f>
        <v/>
      </c>
    </row>
    <row r="349">
      <c r="A349" s="155" t="n">
        <v>348</v>
      </c>
      <c r="B349" s="160" t="n">
        <v>45076</v>
      </c>
      <c r="C349" s="159" t="n">
        <v>28407044.74</v>
      </c>
      <c r="D349" s="174">
        <f>C349/E349</f>
        <v/>
      </c>
      <c r="E349" s="159" t="n">
        <v>82.66</v>
      </c>
      <c r="F349" s="159">
        <f>D349/100000</f>
        <v/>
      </c>
      <c r="G349" s="159">
        <f>(F349/DataSheet!$C$10*100)</f>
        <v/>
      </c>
      <c r="H349" s="159">
        <f>K349/I349</f>
        <v/>
      </c>
      <c r="I349" s="159">
        <f>(J349/L349)*100</f>
        <v/>
      </c>
      <c r="J349" s="159">
        <f>L349/O349</f>
        <v/>
      </c>
      <c r="K349" s="159" t="n">
        <v>7.01</v>
      </c>
      <c r="L349" s="159" t="n">
        <v>18633.85</v>
      </c>
      <c r="M349" s="159" t="n">
        <v>4.36</v>
      </c>
      <c r="N349" s="159">
        <f>K349-I349</f>
        <v/>
      </c>
      <c r="O349" s="159" t="n">
        <v>21.7</v>
      </c>
      <c r="P349" s="159" t="n">
        <v>3.69</v>
      </c>
      <c r="Q349" s="159">
        <f>K349-P349</f>
        <v/>
      </c>
      <c r="R349" s="159" t="n">
        <v>104.07</v>
      </c>
      <c r="S349" s="159">
        <f>(O349*T349)/100</f>
        <v/>
      </c>
      <c r="T349" s="157" t="n">
        <v>6.75</v>
      </c>
      <c r="U349" s="157" t="n">
        <v>12576.6</v>
      </c>
      <c r="V349" s="157" t="n">
        <v>24.89</v>
      </c>
      <c r="W349" s="159">
        <f>U349/V349</f>
        <v/>
      </c>
      <c r="X349" s="159">
        <f>(W349/U349)*100</f>
        <v/>
      </c>
      <c r="Y349" s="157" t="n">
        <v>9836.9</v>
      </c>
      <c r="Z349" s="157" t="n">
        <v>19.35</v>
      </c>
      <c r="AA349" s="159">
        <f>Y349/Z349</f>
        <v/>
      </c>
      <c r="AB349" s="159">
        <f>(AA349/Y349)*100</f>
        <v/>
      </c>
    </row>
    <row r="350">
      <c r="A350" s="155" t="n">
        <v>349</v>
      </c>
      <c r="B350" s="160" t="n">
        <v>45077</v>
      </c>
      <c r="C350" s="159" t="n">
        <v>28390079.81</v>
      </c>
      <c r="D350" s="174">
        <f>C350/E350</f>
        <v/>
      </c>
      <c r="E350" s="159" t="n">
        <v>82.68000000000001</v>
      </c>
      <c r="F350" s="159">
        <f>D350/100000</f>
        <v/>
      </c>
      <c r="G350" s="159">
        <f>(F350/DataSheet!$C$10*100)</f>
        <v/>
      </c>
      <c r="H350" s="159">
        <f>K350/I350</f>
        <v/>
      </c>
      <c r="I350" s="159">
        <f>(J350/L350)*100</f>
        <v/>
      </c>
      <c r="J350" s="159">
        <f>L350/O350</f>
        <v/>
      </c>
      <c r="K350" s="159" t="n">
        <v>6.98</v>
      </c>
      <c r="L350" s="159" t="n">
        <v>18534.4</v>
      </c>
      <c r="M350" s="159" t="n">
        <v>4.33</v>
      </c>
      <c r="N350" s="159">
        <f>K350-I350</f>
        <v/>
      </c>
      <c r="O350" s="159" t="n">
        <v>21.59</v>
      </c>
      <c r="P350" s="159" t="n">
        <v>3.64</v>
      </c>
      <c r="Q350" s="159">
        <f>K350-P350</f>
        <v/>
      </c>
      <c r="R350" s="159" t="n">
        <v>104.24</v>
      </c>
      <c r="S350" s="159">
        <f>(O350*T350)/100</f>
        <v/>
      </c>
      <c r="T350" s="157" t="n">
        <v>6.77</v>
      </c>
      <c r="U350" s="157" t="n">
        <v>12623.35</v>
      </c>
      <c r="V350" s="157" t="n">
        <v>24.98</v>
      </c>
      <c r="W350" s="159">
        <f>U350/V350</f>
        <v/>
      </c>
      <c r="X350" s="159">
        <f>(W350/U350)*100</f>
        <v/>
      </c>
      <c r="Y350" s="157" t="n">
        <v>9913.4</v>
      </c>
      <c r="Z350" s="157" t="n">
        <v>19.5</v>
      </c>
      <c r="AA350" s="159">
        <f>Y350/Z350</f>
        <v/>
      </c>
      <c r="AB350" s="159">
        <f>(AA350/Y350)*100</f>
        <v/>
      </c>
    </row>
    <row r="351">
      <c r="A351" s="155" t="n">
        <v>350</v>
      </c>
      <c r="B351" s="160" t="n">
        <v>45078</v>
      </c>
      <c r="C351" s="159" t="n">
        <v>28429686.63</v>
      </c>
      <c r="D351" s="174">
        <f>C351/E351</f>
        <v/>
      </c>
      <c r="E351" s="159" t="n">
        <v>82.26000000000001</v>
      </c>
      <c r="F351" s="159">
        <f>D351/100000</f>
        <v/>
      </c>
      <c r="G351" s="159">
        <f>(F351/DataSheet!$C$10*100)</f>
        <v/>
      </c>
      <c r="H351" s="159">
        <f>K351/I351</f>
        <v/>
      </c>
      <c r="I351" s="159">
        <f>(J351/L351)*100</f>
        <v/>
      </c>
      <c r="J351" s="159">
        <f>L351/O351</f>
        <v/>
      </c>
      <c r="K351" s="159" t="n">
        <v>6.97</v>
      </c>
      <c r="L351" s="159" t="n">
        <v>18487.75</v>
      </c>
      <c r="M351" s="159" t="n">
        <v>4.32</v>
      </c>
      <c r="N351" s="159">
        <f>K351-I351</f>
        <v/>
      </c>
      <c r="O351" s="159" t="n">
        <v>21.53</v>
      </c>
      <c r="P351" s="159" t="n">
        <v>3.6</v>
      </c>
      <c r="Q351" s="159">
        <f>K351-P351</f>
        <v/>
      </c>
      <c r="R351" s="159" t="n">
        <v>103.5</v>
      </c>
      <c r="S351" s="159">
        <f>(O351*T351)/100</f>
        <v/>
      </c>
      <c r="T351" s="157" t="n">
        <v>6.76</v>
      </c>
      <c r="U351" s="157" t="n">
        <v>12647.95</v>
      </c>
      <c r="V351" s="157" t="n">
        <v>24.89</v>
      </c>
      <c r="W351" s="159">
        <f>U351/V351</f>
        <v/>
      </c>
      <c r="X351" s="159">
        <f>(W351/U351)*100</f>
        <v/>
      </c>
      <c r="Y351" s="157" t="n">
        <v>9995.35</v>
      </c>
      <c r="Z351" s="157" t="n">
        <v>19.77</v>
      </c>
      <c r="AA351" s="159">
        <f>Y351/Z351</f>
        <v/>
      </c>
      <c r="AB351" s="159">
        <f>(AA351/Y351)*100</f>
        <v/>
      </c>
    </row>
    <row r="352">
      <c r="A352" s="155" t="n">
        <v>351</v>
      </c>
      <c r="B352" s="160" t="n">
        <v>45079</v>
      </c>
      <c r="C352" s="159" t="n">
        <v>28530920.26</v>
      </c>
      <c r="D352" s="174">
        <f>C352/E352</f>
        <v/>
      </c>
      <c r="E352" s="159" t="n">
        <v>82.38</v>
      </c>
      <c r="F352" s="159">
        <f>D352/100000</f>
        <v/>
      </c>
      <c r="G352" s="159">
        <f>(F352/DataSheet!$C$10*100)</f>
        <v/>
      </c>
      <c r="H352" s="159">
        <f>K352/I352</f>
        <v/>
      </c>
      <c r="I352" s="159">
        <f>(J352/L352)*100</f>
        <v/>
      </c>
      <c r="J352" s="159">
        <f>L352/O352</f>
        <v/>
      </c>
      <c r="K352" s="159" t="n">
        <v>6.98</v>
      </c>
      <c r="L352" s="159" t="n">
        <v>18534.1</v>
      </c>
      <c r="M352" s="159" t="n">
        <v>4.33</v>
      </c>
      <c r="N352" s="159">
        <f>K352-I352</f>
        <v/>
      </c>
      <c r="O352" s="159" t="n">
        <v>21.58</v>
      </c>
      <c r="P352" s="159" t="n">
        <v>3.69</v>
      </c>
      <c r="Q352" s="159">
        <f>K352-P352</f>
        <v/>
      </c>
      <c r="R352" s="159" t="n">
        <v>103.95</v>
      </c>
      <c r="S352" s="159">
        <f>(O352*T352)/100</f>
        <v/>
      </c>
      <c r="T352" s="157" t="n">
        <v>6.75</v>
      </c>
      <c r="U352" s="157" t="n">
        <v>12705.4</v>
      </c>
      <c r="V352" s="157" t="n">
        <v>25.01</v>
      </c>
      <c r="W352" s="159">
        <f>U352/V352</f>
        <v/>
      </c>
      <c r="X352" s="159">
        <f>(W352/U352)*100</f>
        <v/>
      </c>
      <c r="Y352" s="157" t="n">
        <v>10043.45</v>
      </c>
      <c r="Z352" s="157" t="n">
        <v>20.01</v>
      </c>
      <c r="AA352" s="159">
        <f>Y352/Z352</f>
        <v/>
      </c>
      <c r="AB352" s="159">
        <f>(AA352/Y352)*100</f>
        <v/>
      </c>
    </row>
    <row r="353">
      <c r="A353" s="155" t="n">
        <v>352</v>
      </c>
      <c r="B353" s="160" t="n">
        <v>45082</v>
      </c>
      <c r="C353" s="159" t="n">
        <v>28611305.61</v>
      </c>
      <c r="D353" s="174">
        <f>C353/E353</f>
        <v/>
      </c>
      <c r="E353" s="159" t="n">
        <v>82.52</v>
      </c>
      <c r="F353" s="159">
        <f>D353/100000</f>
        <v/>
      </c>
      <c r="G353" s="159">
        <f>(F353/DataSheet!$C$10*100)</f>
        <v/>
      </c>
      <c r="H353" s="159">
        <f>K353/I353</f>
        <v/>
      </c>
      <c r="I353" s="159">
        <f>(J353/L353)*100</f>
        <v/>
      </c>
      <c r="J353" s="159">
        <f>L353/O353</f>
        <v/>
      </c>
      <c r="K353" s="159" t="n">
        <v>6.99</v>
      </c>
      <c r="L353" s="159" t="n">
        <v>18593.85</v>
      </c>
      <c r="M353" s="159" t="n">
        <v>4.35</v>
      </c>
      <c r="N353" s="159">
        <f>K353-I353</f>
        <v/>
      </c>
      <c r="O353" s="159" t="n">
        <v>21.65</v>
      </c>
      <c r="P353" s="159" t="n">
        <v>3.68</v>
      </c>
      <c r="Q353" s="159">
        <f>K353-P353</f>
        <v/>
      </c>
      <c r="R353" s="159" t="n">
        <v>103.93</v>
      </c>
      <c r="S353" s="159">
        <f>(O353*T353)/100</f>
        <v/>
      </c>
      <c r="T353" s="157" t="n">
        <v>6.73</v>
      </c>
      <c r="U353" s="157" t="n">
        <v>12743.35</v>
      </c>
      <c r="V353" s="157" t="n">
        <v>25.03</v>
      </c>
      <c r="W353" s="159">
        <f>U353/V353</f>
        <v/>
      </c>
      <c r="X353" s="159">
        <f>(W353/U353)*100</f>
        <v/>
      </c>
      <c r="Y353" s="157" t="n">
        <v>10071.25</v>
      </c>
      <c r="Z353" s="157" t="n">
        <v>20.03</v>
      </c>
      <c r="AA353" s="159">
        <f>Y353/Z353</f>
        <v/>
      </c>
      <c r="AB353" s="159">
        <f>(AA353/Y353)*100</f>
        <v/>
      </c>
    </row>
    <row r="354">
      <c r="A354" s="155" t="n">
        <v>353</v>
      </c>
      <c r="B354" s="160" t="n">
        <v>45083</v>
      </c>
      <c r="C354" s="159" t="n">
        <v>28672011.58</v>
      </c>
      <c r="D354" s="174">
        <f>C354/E354</f>
        <v/>
      </c>
      <c r="E354" s="159" t="n">
        <v>82.51000000000001</v>
      </c>
      <c r="F354" s="159">
        <f>D354/100000</f>
        <v/>
      </c>
      <c r="G354" s="159">
        <f>(F354/DataSheet!$C$10*100)</f>
        <v/>
      </c>
      <c r="H354" s="159">
        <f>K354/I354</f>
        <v/>
      </c>
      <c r="I354" s="159">
        <f>(J354/L354)*100</f>
        <v/>
      </c>
      <c r="J354" s="159">
        <f>L354/O354</f>
        <v/>
      </c>
      <c r="K354" s="159" t="n">
        <v>6.97</v>
      </c>
      <c r="L354" s="159" t="n">
        <v>18599</v>
      </c>
      <c r="M354" s="159" t="n">
        <v>4.35</v>
      </c>
      <c r="N354" s="159">
        <f>K354-I354</f>
        <v/>
      </c>
      <c r="O354" s="159" t="n">
        <v>21.66</v>
      </c>
      <c r="P354" s="159" t="n">
        <v>3.67</v>
      </c>
      <c r="Q354" s="159">
        <f>K354-P354</f>
        <v/>
      </c>
      <c r="R354" s="159" t="n">
        <v>104.07</v>
      </c>
      <c r="S354" s="159">
        <f>(O354*T354)/100</f>
        <v/>
      </c>
      <c r="T354" s="157" t="n">
        <v>6.75</v>
      </c>
      <c r="U354" s="157" t="n">
        <v>12757.4</v>
      </c>
      <c r="V354" s="157" t="n">
        <v>25.05</v>
      </c>
      <c r="W354" s="159">
        <f>U354/V354</f>
        <v/>
      </c>
      <c r="X354" s="159">
        <f>(W354/U354)*100</f>
        <v/>
      </c>
      <c r="Y354" s="157" t="n">
        <v>10125.7</v>
      </c>
      <c r="Z354" s="157" t="n">
        <v>20.14</v>
      </c>
      <c r="AA354" s="159">
        <f>Y354/Z354</f>
        <v/>
      </c>
      <c r="AB354" s="159">
        <f>(AA354/Y354)*100</f>
        <v/>
      </c>
    </row>
    <row r="355">
      <c r="A355" s="155" t="n">
        <v>354</v>
      </c>
      <c r="B355" s="160" t="n">
        <v>45084</v>
      </c>
      <c r="C355" s="159" t="n">
        <v>28922453.61</v>
      </c>
      <c r="D355" s="174">
        <f>C355/E355</f>
        <v/>
      </c>
      <c r="E355" s="159" t="n">
        <v>82.61</v>
      </c>
      <c r="F355" s="159">
        <f>D355/100000</f>
        <v/>
      </c>
      <c r="G355" s="159">
        <f>(F355/DataSheet!$C$10*100)</f>
        <v/>
      </c>
      <c r="H355" s="159">
        <f>K355/I355</f>
        <v/>
      </c>
      <c r="I355" s="159">
        <f>(J355/L355)*100</f>
        <v/>
      </c>
      <c r="J355" s="159">
        <f>L355/O355</f>
        <v/>
      </c>
      <c r="K355" s="159" t="n">
        <v>6.98</v>
      </c>
      <c r="L355" s="159" t="n">
        <v>18726.4</v>
      </c>
      <c r="M355" s="159" t="n">
        <v>4.38</v>
      </c>
      <c r="N355" s="159">
        <f>K355-I355</f>
        <v/>
      </c>
      <c r="O355" s="159" t="n">
        <v>21.81</v>
      </c>
      <c r="P355" s="159" t="n">
        <v>3.78</v>
      </c>
      <c r="Q355" s="159">
        <f>K355-P355</f>
        <v/>
      </c>
      <c r="R355" s="159" t="n">
        <v>104.05</v>
      </c>
      <c r="S355" s="159">
        <f>(O355*T355)/100</f>
        <v/>
      </c>
      <c r="T355" s="157" t="n">
        <v>6.75</v>
      </c>
      <c r="U355" s="157" t="n">
        <v>12900.8</v>
      </c>
      <c r="V355" s="157" t="n">
        <v>25.34</v>
      </c>
      <c r="W355" s="159">
        <f>U355/V355</f>
        <v/>
      </c>
      <c r="X355" s="159">
        <f>(W355/U355)*100</f>
        <v/>
      </c>
      <c r="Y355" s="157" t="n">
        <v>10239.2</v>
      </c>
      <c r="Z355" s="157" t="n">
        <v>20.36</v>
      </c>
      <c r="AA355" s="159">
        <f>Y355/Z355</f>
        <v/>
      </c>
      <c r="AB355" s="159">
        <f>(AA355/Y355)*100</f>
        <v/>
      </c>
    </row>
    <row r="356">
      <c r="A356" s="155" t="n">
        <v>355</v>
      </c>
      <c r="B356" s="160" t="n">
        <v>45085</v>
      </c>
      <c r="C356" s="159" t="n">
        <v>28761550.66</v>
      </c>
      <c r="D356" s="174">
        <f>C356/E356</f>
        <v/>
      </c>
      <c r="E356" s="159" t="n">
        <v>82.48</v>
      </c>
      <c r="F356" s="159">
        <f>D356/100000</f>
        <v/>
      </c>
      <c r="G356" s="159">
        <f>(F356/DataSheet!$C$10*100)</f>
        <v/>
      </c>
      <c r="H356" s="159">
        <f>K356/I356</f>
        <v/>
      </c>
      <c r="I356" s="159">
        <f>(J356/L356)*100</f>
        <v/>
      </c>
      <c r="J356" s="159">
        <f>L356/O356</f>
        <v/>
      </c>
      <c r="K356" s="159" t="n">
        <v>7.02</v>
      </c>
      <c r="L356" s="159" t="n">
        <v>18634.55</v>
      </c>
      <c r="M356" s="159" t="n">
        <v>4.36</v>
      </c>
      <c r="N356" s="159">
        <f>K356-I356</f>
        <v/>
      </c>
      <c r="O356" s="159" t="n">
        <v>21.7</v>
      </c>
      <c r="P356" s="159" t="n">
        <v>3.71</v>
      </c>
      <c r="Q356" s="159">
        <f>K356-P356</f>
        <v/>
      </c>
      <c r="R356" s="159" t="n">
        <v>103.31</v>
      </c>
      <c r="S356" s="159">
        <f>(O356*T356)/100</f>
        <v/>
      </c>
      <c r="T356" s="157" t="n">
        <v>6.76</v>
      </c>
      <c r="U356" s="157" t="n">
        <v>12831.4</v>
      </c>
      <c r="V356" s="157" t="n">
        <v>25.2</v>
      </c>
      <c r="W356" s="159">
        <f>U356/V356</f>
        <v/>
      </c>
      <c r="X356" s="159">
        <f>(W356/U356)*100</f>
        <v/>
      </c>
      <c r="Y356" s="157" t="n">
        <v>10170.75</v>
      </c>
      <c r="Z356" s="157" t="n">
        <v>20.23</v>
      </c>
      <c r="AA356" s="159">
        <f>Y356/Z356</f>
        <v/>
      </c>
      <c r="AB356" s="159">
        <f>(AA356/Y356)*100</f>
        <v/>
      </c>
    </row>
    <row r="357">
      <c r="A357" s="155" t="n">
        <v>356</v>
      </c>
      <c r="B357" s="160" t="n">
        <v>45086</v>
      </c>
      <c r="C357" s="159" t="n">
        <v>28687975.34</v>
      </c>
      <c r="D357" s="174">
        <f>C357/E357</f>
        <v/>
      </c>
      <c r="E357" s="159" t="n">
        <v>82.44</v>
      </c>
      <c r="F357" s="159">
        <f>D357/100000</f>
        <v/>
      </c>
      <c r="G357" s="159">
        <f>(F357/DataSheet!$C$10*100)</f>
        <v/>
      </c>
      <c r="H357" s="159">
        <f>K357/I357</f>
        <v/>
      </c>
      <c r="I357" s="159">
        <f>(J357/L357)*100</f>
        <v/>
      </c>
      <c r="J357" s="159">
        <f>L357/O357</f>
        <v/>
      </c>
      <c r="K357" s="159" t="n">
        <v>7.03</v>
      </c>
      <c r="L357" s="159" t="n">
        <v>18563.4</v>
      </c>
      <c r="M357" s="159" t="n">
        <v>4.34</v>
      </c>
      <c r="N357" s="159">
        <f>K357-I357</f>
        <v/>
      </c>
      <c r="O357" s="159" t="n">
        <v>21.62</v>
      </c>
      <c r="P357" s="159" t="n">
        <v>3.74</v>
      </c>
      <c r="Q357" s="159">
        <f>K357-P357</f>
        <v/>
      </c>
      <c r="R357" s="159" t="n">
        <v>103.53</v>
      </c>
      <c r="S357" s="159">
        <f>(O357*T357)/100</f>
        <v/>
      </c>
      <c r="T357" s="157" t="n">
        <v>6.76</v>
      </c>
      <c r="U357" s="157" t="n">
        <v>12814.8</v>
      </c>
      <c r="V357" s="157" t="n">
        <v>25.17</v>
      </c>
      <c r="W357" s="159">
        <f>U357/V357</f>
        <v/>
      </c>
      <c r="X357" s="159">
        <f>(W357/U357)*100</f>
        <v/>
      </c>
      <c r="Y357" s="157" t="n">
        <v>10164.25</v>
      </c>
      <c r="Z357" s="157" t="n">
        <v>20.21</v>
      </c>
      <c r="AA357" s="159">
        <f>Y357/Z357</f>
        <v/>
      </c>
      <c r="AB357" s="159">
        <f>(AA357/Y357)*100</f>
        <v/>
      </c>
    </row>
    <row r="358">
      <c r="A358" s="155" t="n">
        <v>357</v>
      </c>
      <c r="B358" s="160" t="n">
        <v>45089</v>
      </c>
      <c r="C358" s="159" t="n">
        <v>28803454.51</v>
      </c>
      <c r="D358" s="174">
        <f>C358/E358</f>
        <v/>
      </c>
      <c r="E358" s="159" t="n">
        <v>82.39</v>
      </c>
      <c r="F358" s="159">
        <f>D358/100000</f>
        <v/>
      </c>
      <c r="G358" s="159">
        <f>(F358/DataSheet!$C$10*100)</f>
        <v/>
      </c>
      <c r="H358" s="159">
        <f>K358/I358</f>
        <v/>
      </c>
      <c r="I358" s="159">
        <f>(J358/L358)*100</f>
        <v/>
      </c>
      <c r="J358" s="159">
        <f>L358/O358</f>
        <v/>
      </c>
      <c r="K358" s="159" t="n">
        <v>7.01</v>
      </c>
      <c r="L358" s="159" t="n">
        <v>18601.5</v>
      </c>
      <c r="M358" s="159" t="n">
        <v>4.35</v>
      </c>
      <c r="N358" s="159">
        <f>K358-I358</f>
        <v/>
      </c>
      <c r="O358" s="159" t="n">
        <v>21.66</v>
      </c>
      <c r="P358" s="159" t="n">
        <v>3.74</v>
      </c>
      <c r="Q358" s="159">
        <f>K358-P358</f>
        <v/>
      </c>
      <c r="R358" s="159" t="n">
        <v>103.22</v>
      </c>
      <c r="S358" s="159">
        <f>(O358*T358)/100</f>
        <v/>
      </c>
      <c r="T358" s="157" t="n">
        <v>6.75</v>
      </c>
      <c r="U358" s="157" t="n">
        <v>12890.6</v>
      </c>
      <c r="V358" s="157" t="n">
        <v>25.31</v>
      </c>
      <c r="W358" s="159">
        <f>U358/V358</f>
        <v/>
      </c>
      <c r="X358" s="159">
        <f>(W358/U358)*100</f>
        <v/>
      </c>
      <c r="Y358" s="157" t="n">
        <v>10229.85</v>
      </c>
      <c r="Z358" s="157" t="n">
        <v>20.34</v>
      </c>
      <c r="AA358" s="159">
        <f>Y358/Z358</f>
        <v/>
      </c>
      <c r="AB358" s="159">
        <f>(AA358/Y358)*100</f>
        <v/>
      </c>
    </row>
    <row r="359">
      <c r="A359" s="155" t="n">
        <v>358</v>
      </c>
      <c r="B359" s="160" t="n">
        <v>45090</v>
      </c>
      <c r="C359" s="159" t="n">
        <v>29016697.25</v>
      </c>
      <c r="D359" s="174">
        <f>C359/E359</f>
        <v/>
      </c>
      <c r="E359" s="159" t="n">
        <v>82.22</v>
      </c>
      <c r="F359" s="159">
        <f>D359/100000</f>
        <v/>
      </c>
      <c r="G359" s="159">
        <f>(F359/DataSheet!$C$10*100)</f>
        <v/>
      </c>
      <c r="H359" s="159">
        <f>K359/I359</f>
        <v/>
      </c>
      <c r="I359" s="159">
        <f>(J359/L359)*100</f>
        <v/>
      </c>
      <c r="J359" s="159">
        <f>L359/O359</f>
        <v/>
      </c>
      <c r="K359" s="159" t="n">
        <v>7</v>
      </c>
      <c r="L359" s="159" t="n">
        <v>18716.15</v>
      </c>
      <c r="M359" s="159" t="n">
        <v>4.37</v>
      </c>
      <c r="N359" s="159">
        <f>K359-I359</f>
        <v/>
      </c>
      <c r="O359" s="159" t="n">
        <v>21.79</v>
      </c>
      <c r="P359" s="159" t="n">
        <v>3.82</v>
      </c>
      <c r="Q359" s="159">
        <f>K359-P359</f>
        <v/>
      </c>
      <c r="R359" s="159" t="n">
        <v>102.92</v>
      </c>
      <c r="S359" s="159">
        <f>(O359*T359)/100</f>
        <v/>
      </c>
      <c r="T359" s="157" t="n">
        <v>6.77</v>
      </c>
      <c r="U359" s="157" t="n">
        <v>13042.2</v>
      </c>
      <c r="V359" s="157" t="n">
        <v>25.61</v>
      </c>
      <c r="W359" s="159">
        <f>U359/V359</f>
        <v/>
      </c>
      <c r="X359" s="159">
        <f>(W359/U359)*100</f>
        <v/>
      </c>
      <c r="Y359" s="157" t="n">
        <v>10304.9</v>
      </c>
      <c r="Z359" s="157" t="n">
        <v>20.49</v>
      </c>
      <c r="AA359" s="159">
        <f>Y359/Z359</f>
        <v/>
      </c>
      <c r="AB359" s="159">
        <f>(AA359/Y359)*100</f>
        <v/>
      </c>
    </row>
    <row r="360">
      <c r="A360" s="155" t="n">
        <v>359</v>
      </c>
      <c r="B360" s="160" t="n">
        <v>45091</v>
      </c>
      <c r="C360" s="159" t="n">
        <v>29102863.37</v>
      </c>
      <c r="D360" s="174">
        <f>C360/E360</f>
        <v/>
      </c>
      <c r="E360" s="159" t="n">
        <v>82.04000000000001</v>
      </c>
      <c r="F360" s="159">
        <f>D360/100000</f>
        <v/>
      </c>
      <c r="G360" s="159">
        <f>(F360/DataSheet!$C$10*100)</f>
        <v/>
      </c>
      <c r="H360" s="159">
        <f>K360/I360</f>
        <v/>
      </c>
      <c r="I360" s="159">
        <f>(J360/L360)*100</f>
        <v/>
      </c>
      <c r="J360" s="159">
        <f>L360/O360</f>
        <v/>
      </c>
      <c r="K360" s="159" t="n">
        <v>7.01</v>
      </c>
      <c r="L360" s="159" t="n">
        <v>18755.7</v>
      </c>
      <c r="M360" s="159" t="n">
        <v>4.38</v>
      </c>
      <c r="N360" s="159">
        <f>K360-I360</f>
        <v/>
      </c>
      <c r="O360" s="159" t="n">
        <v>21.84</v>
      </c>
      <c r="P360" s="159" t="n">
        <v>3.79</v>
      </c>
      <c r="Q360" s="159">
        <f>K360-P360</f>
        <v/>
      </c>
      <c r="R360" s="159" t="n">
        <v>102.52</v>
      </c>
      <c r="S360" s="159">
        <f>(O360*T360)/100</f>
        <v/>
      </c>
      <c r="T360" s="157" t="n">
        <v>6.77</v>
      </c>
      <c r="U360" s="157" t="n">
        <v>13078.75</v>
      </c>
      <c r="V360" s="157" t="n">
        <v>25.68</v>
      </c>
      <c r="W360" s="159">
        <f>U360/V360</f>
        <v/>
      </c>
      <c r="X360" s="159">
        <f>(W360/U360)*100</f>
        <v/>
      </c>
      <c r="Y360" s="157" t="n">
        <v>10334.45</v>
      </c>
      <c r="Z360" s="157" t="n">
        <v>20.55</v>
      </c>
      <c r="AA360" s="159">
        <f>Y360/Z360</f>
        <v/>
      </c>
      <c r="AB360" s="159">
        <f>(AA360/Y360)*100</f>
        <v/>
      </c>
    </row>
    <row r="361">
      <c r="A361" s="155" t="n">
        <v>360</v>
      </c>
      <c r="B361" s="160" t="n">
        <v>45092</v>
      </c>
      <c r="C361" s="159" t="n">
        <v>29091911.92</v>
      </c>
      <c r="D361" s="174">
        <f>C361/E361</f>
        <v/>
      </c>
      <c r="E361" s="159" t="n">
        <v>82.26000000000001</v>
      </c>
      <c r="F361" s="159">
        <f>D361/100000</f>
        <v/>
      </c>
      <c r="G361" s="159">
        <f>(F361/DataSheet!$C$10*100)</f>
        <v/>
      </c>
      <c r="H361" s="159">
        <f>K361/I361</f>
        <v/>
      </c>
      <c r="I361" s="159">
        <f>(J361/L361)*100</f>
        <v/>
      </c>
      <c r="J361" s="159">
        <f>L361/O361</f>
        <v/>
      </c>
      <c r="K361" s="159" t="n">
        <v>7.04</v>
      </c>
      <c r="L361" s="159" t="n">
        <v>18688.1</v>
      </c>
      <c r="M361" s="159" t="n">
        <v>4.37</v>
      </c>
      <c r="N361" s="159">
        <f>K361-I361</f>
        <v/>
      </c>
      <c r="O361" s="159" t="n">
        <v>21.76</v>
      </c>
      <c r="P361" s="159" t="n">
        <v>3.83</v>
      </c>
      <c r="Q361" s="159">
        <f>K361-P361</f>
        <v/>
      </c>
      <c r="R361" s="159" t="n">
        <v>102.82</v>
      </c>
      <c r="S361" s="159">
        <f>(O361*T361)/100</f>
        <v/>
      </c>
      <c r="T361" s="157" t="n">
        <v>6.81</v>
      </c>
      <c r="U361" s="157" t="n">
        <v>13100.9</v>
      </c>
      <c r="V361" s="157" t="n">
        <v>25.73</v>
      </c>
      <c r="W361" s="159">
        <f>U361/V361</f>
        <v/>
      </c>
      <c r="X361" s="159">
        <f>(W361/U361)*100</f>
        <v/>
      </c>
      <c r="Y361" s="157" t="n">
        <v>10366.7</v>
      </c>
      <c r="Z361" s="157" t="n">
        <v>20.61</v>
      </c>
      <c r="AA361" s="159">
        <f>Y361/Z361</f>
        <v/>
      </c>
      <c r="AB361" s="159">
        <f>(AA361/Y361)*100</f>
        <v/>
      </c>
    </row>
    <row r="362">
      <c r="A362" s="155" t="n">
        <v>361</v>
      </c>
      <c r="B362" s="160" t="n">
        <v>45093</v>
      </c>
      <c r="C362" s="159" t="n">
        <v>29299548.19</v>
      </c>
      <c r="D362" s="174">
        <f>C362/E362</f>
        <v/>
      </c>
      <c r="E362" s="159" t="n">
        <v>81.91</v>
      </c>
      <c r="F362" s="159">
        <f>D362/100000</f>
        <v/>
      </c>
      <c r="G362" s="159">
        <f>(F362/DataSheet!$C$10*100)</f>
        <v/>
      </c>
      <c r="H362" s="159">
        <f>K362/I362</f>
        <v/>
      </c>
      <c r="I362" s="159">
        <f>(J362/L362)*100</f>
        <v/>
      </c>
      <c r="J362" s="159">
        <f>L362/O362</f>
        <v/>
      </c>
      <c r="K362" s="159" t="n">
        <v>7.03</v>
      </c>
      <c r="L362" s="159" t="n">
        <v>18826</v>
      </c>
      <c r="M362" s="159" t="n">
        <v>4.4</v>
      </c>
      <c r="N362" s="159">
        <f>K362-I362</f>
        <v/>
      </c>
      <c r="O362" s="159" t="n">
        <v>21.92</v>
      </c>
      <c r="P362" s="159" t="n">
        <v>3.76</v>
      </c>
      <c r="Q362" s="159">
        <f>K362-P362</f>
        <v/>
      </c>
      <c r="R362" s="159" t="n">
        <v>102.25</v>
      </c>
      <c r="S362" s="159">
        <f>(O362*T362)/100</f>
        <v/>
      </c>
      <c r="T362" s="157" t="n">
        <v>6.77</v>
      </c>
      <c r="U362" s="157" t="n">
        <v>13192.9</v>
      </c>
      <c r="V362" s="157" t="n">
        <v>25.89</v>
      </c>
      <c r="W362" s="159">
        <f>U362/V362</f>
        <v/>
      </c>
      <c r="X362" s="159">
        <f>(W362/U362)*100</f>
        <v/>
      </c>
      <c r="Y362" s="157" t="n">
        <v>10450.1</v>
      </c>
      <c r="Z362" s="157" t="n">
        <v>20.78</v>
      </c>
      <c r="AA362" s="159">
        <f>Y362/Z362</f>
        <v/>
      </c>
      <c r="AB362" s="159">
        <f>(AA362/Y362)*100</f>
        <v/>
      </c>
    </row>
    <row r="363">
      <c r="A363" s="155" t="n">
        <v>362</v>
      </c>
      <c r="B363" s="160" t="n">
        <v>45096</v>
      </c>
      <c r="C363" s="159" t="n">
        <v>29265098.01</v>
      </c>
      <c r="D363" s="174">
        <f>C363/E363</f>
        <v/>
      </c>
      <c r="E363" s="159" t="n">
        <v>81.91</v>
      </c>
      <c r="F363" s="159">
        <f>D363/100000</f>
        <v/>
      </c>
      <c r="G363" s="159">
        <f>(F363/DataSheet!$C$10*100)</f>
        <v/>
      </c>
      <c r="H363" s="159">
        <f>K363/I363</f>
        <v/>
      </c>
      <c r="I363" s="159">
        <f>(J363/L363)*100</f>
        <v/>
      </c>
      <c r="J363" s="159">
        <f>L363/O363</f>
        <v/>
      </c>
      <c r="K363" s="159" t="n">
        <v>7.05</v>
      </c>
      <c r="L363" s="159" t="n">
        <v>18755.45</v>
      </c>
      <c r="M363" s="159" t="n">
        <v>4.38</v>
      </c>
      <c r="N363" s="159">
        <f>K363-I363</f>
        <v/>
      </c>
      <c r="O363" s="159" t="n">
        <v>21.84</v>
      </c>
      <c r="P363" s="159" t="n">
        <v>3.82</v>
      </c>
      <c r="Q363" s="159">
        <f>K363-P363</f>
        <v/>
      </c>
      <c r="R363" s="159" t="n">
        <v>101.83</v>
      </c>
      <c r="S363" s="159">
        <f>(O363*T363)/100</f>
        <v/>
      </c>
      <c r="T363" s="157" t="n">
        <v>6.8</v>
      </c>
      <c r="U363" s="157" t="n">
        <v>13195.05</v>
      </c>
      <c r="V363" s="157" t="n">
        <v>25.9</v>
      </c>
      <c r="W363" s="159">
        <f>U363/V363</f>
        <v/>
      </c>
      <c r="X363" s="159">
        <f>(W363/U363)*100</f>
        <v/>
      </c>
      <c r="Y363" s="157" t="n">
        <v>10482.5</v>
      </c>
      <c r="Z363" s="157" t="n">
        <v>20.84</v>
      </c>
      <c r="AA363" s="159">
        <f>Y363/Z363</f>
        <v/>
      </c>
      <c r="AB363" s="159">
        <f>(AA363/Y363)*100</f>
        <v/>
      </c>
    </row>
    <row r="364">
      <c r="A364" s="155" t="n">
        <v>363</v>
      </c>
      <c r="B364" s="160" t="n">
        <v>45097</v>
      </c>
      <c r="C364" s="159" t="n">
        <v>29380255.32</v>
      </c>
      <c r="D364" s="174">
        <f>C364/E364</f>
        <v/>
      </c>
      <c r="E364" s="159" t="n">
        <v>82</v>
      </c>
      <c r="F364" s="159">
        <f>D364/100000</f>
        <v/>
      </c>
      <c r="G364" s="159">
        <f>(F364/DataSheet!$C$10*100)</f>
        <v/>
      </c>
      <c r="H364" s="159">
        <f>K364/I364</f>
        <v/>
      </c>
      <c r="I364" s="159">
        <f>(J364/L364)*100</f>
        <v/>
      </c>
      <c r="J364" s="159">
        <f>L364/O364</f>
        <v/>
      </c>
      <c r="K364" s="159" t="n">
        <v>7.05</v>
      </c>
      <c r="L364" s="159" t="n">
        <v>18816.7</v>
      </c>
      <c r="M364" s="159" t="n">
        <v>4.4</v>
      </c>
      <c r="N364" s="159">
        <f>K364-I364</f>
        <v/>
      </c>
      <c r="O364" s="159" t="n">
        <v>21.91</v>
      </c>
      <c r="P364" s="159" t="n">
        <v>3.71</v>
      </c>
      <c r="Q364" s="159">
        <f>K364-P364</f>
        <v/>
      </c>
      <c r="R364" s="159" t="n">
        <v>102.12</v>
      </c>
      <c r="S364" s="159">
        <f>(O364*T364)/100</f>
        <v/>
      </c>
      <c r="T364" s="157" t="n">
        <v>6.81</v>
      </c>
      <c r="U364" s="157" t="n">
        <v>13255.9</v>
      </c>
      <c r="V364" s="157" t="n">
        <v>26.02</v>
      </c>
      <c r="W364" s="159">
        <f>U364/V364</f>
        <v/>
      </c>
      <c r="X364" s="159">
        <f>(W364/U364)*100</f>
        <v/>
      </c>
      <c r="Y364" s="157" t="n">
        <v>10524.9</v>
      </c>
      <c r="Z364" s="157" t="n">
        <v>20.93</v>
      </c>
      <c r="AA364" s="159">
        <f>Y364/Z364</f>
        <v/>
      </c>
      <c r="AB364" s="159">
        <f>(AA364/Y364)*100</f>
        <v/>
      </c>
    </row>
    <row r="365">
      <c r="A365" s="155" t="n">
        <v>364</v>
      </c>
      <c r="B365" s="160" t="n">
        <v>45098</v>
      </c>
      <c r="C365" s="159" t="n">
        <v>29453939.24</v>
      </c>
      <c r="D365" s="174">
        <f>C365/E365</f>
        <v/>
      </c>
      <c r="E365" s="159" t="n">
        <v>81.93000000000001</v>
      </c>
      <c r="F365" s="159">
        <f>D365/100000</f>
        <v/>
      </c>
      <c r="G365" s="159">
        <f>(F365/DataSheet!$C$10*100)</f>
        <v/>
      </c>
      <c r="H365" s="159">
        <f>K365/I365</f>
        <v/>
      </c>
      <c r="I365" s="159">
        <f>(J365/L365)*100</f>
        <v/>
      </c>
      <c r="J365" s="159">
        <f>L365/O365</f>
        <v/>
      </c>
      <c r="K365" s="159" t="n">
        <v>7.06</v>
      </c>
      <c r="L365" s="159" t="n">
        <v>18856.85</v>
      </c>
      <c r="M365" s="159" t="n">
        <v>4.41</v>
      </c>
      <c r="N365" s="159">
        <f>K365-I365</f>
        <v/>
      </c>
      <c r="O365" s="159" t="n">
        <v>21.96</v>
      </c>
      <c r="P365" s="159" t="n">
        <v>3.72</v>
      </c>
      <c r="Q365" s="159">
        <f>K365-P365</f>
        <v/>
      </c>
      <c r="R365" s="159" t="n">
        <v>101.67</v>
      </c>
      <c r="S365" s="159">
        <f>(O365*T365)/100</f>
        <v/>
      </c>
      <c r="T365" s="157" t="n">
        <v>6.77</v>
      </c>
      <c r="U365" s="157" t="n">
        <v>13353.3</v>
      </c>
      <c r="V365" s="157" t="n">
        <v>26.21</v>
      </c>
      <c r="W365" s="159">
        <f>U365/V365</f>
        <v/>
      </c>
      <c r="X365" s="159">
        <f>(W365/U365)*100</f>
        <v/>
      </c>
      <c r="Y365" s="157" t="n">
        <v>10531.85</v>
      </c>
      <c r="Z365" s="157" t="n">
        <v>20.94</v>
      </c>
      <c r="AA365" s="159">
        <f>Y365/Z365</f>
        <v/>
      </c>
      <c r="AB365" s="159">
        <f>(AA365/Y365)*100</f>
        <v/>
      </c>
    </row>
    <row r="366">
      <c r="A366" s="155" t="n">
        <v>365</v>
      </c>
      <c r="B366" s="160" t="n">
        <v>45099</v>
      </c>
      <c r="C366" s="159" t="n">
        <v>29244379.53</v>
      </c>
      <c r="D366" s="174">
        <f>C366/E366</f>
        <v/>
      </c>
      <c r="E366" s="159" t="n">
        <v>81.95</v>
      </c>
      <c r="F366" s="159">
        <f>D366/100000</f>
        <v/>
      </c>
      <c r="G366" s="159">
        <f>(F366/DataSheet!$C$10*100)</f>
        <v/>
      </c>
      <c r="H366" s="159">
        <f>K366/I366</f>
        <v/>
      </c>
      <c r="I366" s="159">
        <f>(J366/L366)*100</f>
        <v/>
      </c>
      <c r="J366" s="159">
        <f>L366/O366</f>
        <v/>
      </c>
      <c r="K366" s="159" t="n">
        <v>7.08</v>
      </c>
      <c r="L366" s="159" t="n">
        <v>18771.25</v>
      </c>
      <c r="M366" s="159" t="n">
        <v>4.39</v>
      </c>
      <c r="N366" s="159">
        <f>K366-I366</f>
        <v/>
      </c>
      <c r="O366" s="159" t="n">
        <v>21.85</v>
      </c>
      <c r="P366" s="159" t="n">
        <v>3.79</v>
      </c>
      <c r="Q366" s="159">
        <f>K366-P366</f>
        <v/>
      </c>
      <c r="R366" s="159" t="n">
        <v>101.99</v>
      </c>
      <c r="S366" s="159">
        <f>(O366*T366)/100</f>
        <v/>
      </c>
      <c r="T366" s="157" t="n">
        <v>6.76</v>
      </c>
      <c r="U366" s="157" t="n">
        <v>13241.8</v>
      </c>
      <c r="V366" s="157" t="n">
        <v>25.99</v>
      </c>
      <c r="W366" s="159">
        <f>U366/V366</f>
        <v/>
      </c>
      <c r="X366" s="159">
        <f>(W366/U366)*100</f>
        <v/>
      </c>
      <c r="Y366" s="157" t="n">
        <v>10454.45</v>
      </c>
      <c r="Z366" s="157" t="n">
        <v>20.79</v>
      </c>
      <c r="AA366" s="159">
        <f>Y366/Z366</f>
        <v/>
      </c>
      <c r="AB366" s="159">
        <f>(AA366/Y366)*100</f>
        <v/>
      </c>
    </row>
    <row r="367">
      <c r="A367" s="155" t="n">
        <v>366</v>
      </c>
      <c r="B367" s="160" t="n">
        <v>45100</v>
      </c>
      <c r="C367" s="159" t="n">
        <v>28966546.76</v>
      </c>
      <c r="D367" s="174">
        <f>C367/E367</f>
        <v/>
      </c>
      <c r="E367" s="159" t="n">
        <v>81.98</v>
      </c>
      <c r="F367" s="159">
        <f>D367/100000</f>
        <v/>
      </c>
      <c r="G367" s="159">
        <f>(F367/DataSheet!$C$10*100)</f>
        <v/>
      </c>
      <c r="H367" s="159">
        <f>K367/I367</f>
        <v/>
      </c>
      <c r="I367" s="159">
        <f>(J367/L367)*100</f>
        <v/>
      </c>
      <c r="J367" s="159">
        <f>L367/O367</f>
        <v/>
      </c>
      <c r="K367" s="159" t="n">
        <v>7.07</v>
      </c>
      <c r="L367" s="159" t="n">
        <v>18665.5</v>
      </c>
      <c r="M367" s="159" t="n">
        <v>4.36</v>
      </c>
      <c r="N367" s="159">
        <f>K367-I367</f>
        <v/>
      </c>
      <c r="O367" s="159" t="n">
        <v>21.73</v>
      </c>
      <c r="P367" s="159" t="n">
        <v>3.73</v>
      </c>
      <c r="Q367" s="159">
        <f>K367-P367</f>
        <v/>
      </c>
      <c r="R367" s="159" t="n">
        <v>102.52</v>
      </c>
      <c r="S367" s="159">
        <f>(O367*T367)/100</f>
        <v/>
      </c>
      <c r="T367" s="157" t="n">
        <v>6.74</v>
      </c>
      <c r="U367" s="157" t="n">
        <v>13077.5</v>
      </c>
      <c r="V367" s="157" t="n">
        <v>25.67</v>
      </c>
      <c r="W367" s="159">
        <f>U367/V367</f>
        <v/>
      </c>
      <c r="X367" s="159">
        <f>(W367/U367)*100</f>
        <v/>
      </c>
      <c r="Y367" s="157" t="n">
        <v>10345.25</v>
      </c>
      <c r="Z367" s="157" t="n">
        <v>20.57</v>
      </c>
      <c r="AA367" s="159">
        <f>Y367/Z367</f>
        <v/>
      </c>
      <c r="AB367" s="159">
        <f>(AA367/Y367)*100</f>
        <v/>
      </c>
    </row>
    <row r="368">
      <c r="A368" s="155" t="n">
        <v>367</v>
      </c>
      <c r="B368" s="160" t="n">
        <v>45103</v>
      </c>
      <c r="C368" s="159" t="n">
        <v>29074458.81</v>
      </c>
      <c r="D368" s="174">
        <f>C368/E368</f>
        <v/>
      </c>
      <c r="E368" s="159" t="n">
        <v>81.97</v>
      </c>
      <c r="F368" s="159">
        <f>D368/100000</f>
        <v/>
      </c>
      <c r="G368" s="159">
        <f>(F368/DataSheet!$C$10*100)</f>
        <v/>
      </c>
      <c r="H368" s="159">
        <f>K368/I368</f>
        <v/>
      </c>
      <c r="I368" s="159">
        <f>(J368/L368)*100</f>
        <v/>
      </c>
      <c r="J368" s="159">
        <f>L368/O368</f>
        <v/>
      </c>
      <c r="K368" s="159" t="n">
        <v>7.06</v>
      </c>
      <c r="L368" s="159" t="n">
        <v>18691.2</v>
      </c>
      <c r="M368" s="159" t="n">
        <v>4.37</v>
      </c>
      <c r="N368" s="159">
        <f>K368-I368</f>
        <v/>
      </c>
      <c r="O368" s="159" t="n">
        <v>21.76</v>
      </c>
      <c r="P368" s="159" t="n">
        <v>3.72</v>
      </c>
      <c r="Q368" s="159">
        <f>K368-P368</f>
        <v/>
      </c>
      <c r="R368" s="159" t="n">
        <v>102.33</v>
      </c>
      <c r="S368" s="159">
        <f>(O368*T368)/100</f>
        <v/>
      </c>
      <c r="T368" s="157" t="n">
        <v>6.78</v>
      </c>
      <c r="U368" s="157" t="n">
        <v>13187.55</v>
      </c>
      <c r="V368" s="157" t="n">
        <v>25.88</v>
      </c>
      <c r="W368" s="159">
        <f>U368/V368</f>
        <v/>
      </c>
      <c r="X368" s="159">
        <f>(W368/U368)*100</f>
        <v/>
      </c>
      <c r="Y368" s="157" t="n">
        <v>10415.8</v>
      </c>
      <c r="Z368" s="157" t="n">
        <v>20.71</v>
      </c>
      <c r="AA368" s="159">
        <f>Y368/Z368</f>
        <v/>
      </c>
      <c r="AB368" s="159">
        <f>(AA368/Y368)*100</f>
        <v/>
      </c>
    </row>
    <row r="369">
      <c r="A369" s="155" t="n">
        <v>368</v>
      </c>
      <c r="B369" s="160" t="n">
        <v>45104</v>
      </c>
      <c r="C369" s="159" t="n">
        <v>29232910.18</v>
      </c>
      <c r="D369" s="174">
        <f>C369/E369</f>
        <v/>
      </c>
      <c r="E369" s="159" t="n">
        <v>81.98</v>
      </c>
      <c r="F369" s="159">
        <f>D369/100000</f>
        <v/>
      </c>
      <c r="G369" s="159">
        <f>(F369/DataSheet!$C$10*100)</f>
        <v/>
      </c>
      <c r="H369" s="159">
        <f>K369/I369</f>
        <v/>
      </c>
      <c r="I369" s="159">
        <f>(J369/L369)*100</f>
        <v/>
      </c>
      <c r="J369" s="159">
        <f>L369/O369</f>
        <v/>
      </c>
      <c r="K369" s="159" t="n">
        <v>7.06</v>
      </c>
      <c r="L369" s="159" t="n">
        <v>18817.4</v>
      </c>
      <c r="M369" s="159" t="n">
        <v>4.4</v>
      </c>
      <c r="N369" s="159">
        <f>K369-I369</f>
        <v/>
      </c>
      <c r="O369" s="159" t="n">
        <v>21.9</v>
      </c>
      <c r="P369" s="159" t="n">
        <v>3.77</v>
      </c>
      <c r="Q369" s="159">
        <f>K369-P369</f>
        <v/>
      </c>
      <c r="R369" s="159" t="n">
        <v>102.12</v>
      </c>
      <c r="S369" s="159">
        <f>(O369*T369)/100</f>
        <v/>
      </c>
      <c r="T369" s="157" t="n">
        <v>6.78</v>
      </c>
      <c r="U369" s="157" t="n">
        <v>13250.6</v>
      </c>
      <c r="V369" s="157" t="n">
        <v>26</v>
      </c>
      <c r="W369" s="159">
        <f>U369/V369</f>
        <v/>
      </c>
      <c r="X369" s="159">
        <f>(W369/U369)*100</f>
        <v/>
      </c>
      <c r="Y369" s="157" t="n">
        <v>10473.8</v>
      </c>
      <c r="Z369" s="157" t="n">
        <v>20.83</v>
      </c>
      <c r="AA369" s="159">
        <f>Y369/Z369</f>
        <v/>
      </c>
      <c r="AB369" s="159">
        <f>(AA369/Y369)*100</f>
        <v/>
      </c>
    </row>
    <row r="370">
      <c r="A370" s="155" t="n">
        <v>369</v>
      </c>
      <c r="B370" s="160" t="n">
        <v>45105</v>
      </c>
      <c r="C370" s="159" t="n">
        <v>29430128.19</v>
      </c>
      <c r="D370" s="174">
        <f>C370/E370</f>
        <v/>
      </c>
      <c r="E370" s="159" t="n">
        <v>82.02</v>
      </c>
      <c r="F370" s="159">
        <f>D370/100000</f>
        <v/>
      </c>
      <c r="G370" s="159">
        <f>(F370/DataSheet!$C$10*100)</f>
        <v/>
      </c>
      <c r="H370" s="159">
        <f>K370/I370</f>
        <v/>
      </c>
      <c r="I370" s="159">
        <f>(J370/L370)*100</f>
        <v/>
      </c>
      <c r="J370" s="159">
        <f>L370/O370</f>
        <v/>
      </c>
      <c r="K370" s="159" t="n">
        <v>7.05</v>
      </c>
      <c r="L370" s="159" t="n">
        <v>18972.1</v>
      </c>
      <c r="M370" s="159" t="n">
        <v>4.43</v>
      </c>
      <c r="N370" s="159">
        <f>K370-I370</f>
        <v/>
      </c>
      <c r="O370" s="159" t="n">
        <v>22.08</v>
      </c>
      <c r="P370" s="159" t="n">
        <v>3.84</v>
      </c>
      <c r="Q370" s="159">
        <f>K370-P370</f>
        <v/>
      </c>
      <c r="R370" s="159" t="n">
        <v>102.54</v>
      </c>
      <c r="S370" s="159">
        <f>(O370*T370)/100</f>
        <v/>
      </c>
      <c r="T370" s="157" t="n">
        <v>6.78</v>
      </c>
      <c r="U370" s="157" t="n">
        <v>13316.45</v>
      </c>
      <c r="V370" s="157" t="n">
        <v>26.13</v>
      </c>
      <c r="W370" s="159">
        <f>U370/V370</f>
        <v/>
      </c>
      <c r="X370" s="159">
        <f>(W370/U370)*100</f>
        <v/>
      </c>
      <c r="Y370" s="157" t="n">
        <v>10493.3</v>
      </c>
      <c r="Z370" s="157" t="n">
        <v>20.86</v>
      </c>
      <c r="AA370" s="159">
        <f>Y370/Z370</f>
        <v/>
      </c>
      <c r="AB370" s="159">
        <f>(AA370/Y370)*100</f>
        <v/>
      </c>
    </row>
    <row r="371">
      <c r="A371" s="155" t="n">
        <v>370</v>
      </c>
      <c r="B371" s="160" t="n">
        <v>45107</v>
      </c>
      <c r="C371" s="159" t="n">
        <v>29699917.48</v>
      </c>
      <c r="D371" s="174">
        <f>C371/E371</f>
        <v/>
      </c>
      <c r="E371" s="159" t="n">
        <v>82.09</v>
      </c>
      <c r="F371" s="159">
        <f>D371/100000</f>
        <v/>
      </c>
      <c r="G371" s="159">
        <f>(F371/DataSheet!$C$10*100)</f>
        <v/>
      </c>
      <c r="H371" s="159">
        <f>K371/I371</f>
        <v/>
      </c>
      <c r="I371" s="159">
        <f>(J371/L371)*100</f>
        <v/>
      </c>
      <c r="J371" s="159">
        <f>L371/O371</f>
        <v/>
      </c>
      <c r="K371" s="159" t="n">
        <v>7.11</v>
      </c>
      <c r="L371" s="159" t="n">
        <v>19189.05</v>
      </c>
      <c r="M371" s="159" t="n">
        <v>4.5</v>
      </c>
      <c r="N371" s="159">
        <f>K371-I371</f>
        <v/>
      </c>
      <c r="O371" s="159" t="n">
        <v>22.36</v>
      </c>
      <c r="P371" s="159" t="n">
        <v>3.84</v>
      </c>
      <c r="Q371" s="159">
        <f>K371-P371</f>
        <v/>
      </c>
      <c r="R371" s="159" t="n">
        <v>102.58</v>
      </c>
      <c r="S371" s="159">
        <f>(O371*T371)/100</f>
        <v/>
      </c>
      <c r="T371" s="157" t="n">
        <v>6.77</v>
      </c>
      <c r="U371" s="157" t="n">
        <v>13401.45</v>
      </c>
      <c r="V371" s="157" t="n">
        <v>26.49</v>
      </c>
      <c r="W371" s="159">
        <f>U371/V371</f>
        <v/>
      </c>
      <c r="X371" s="159">
        <f>(W371/U371)*100</f>
        <v/>
      </c>
      <c r="Y371" s="157" t="n">
        <v>10544.2</v>
      </c>
      <c r="Z371" s="157" t="n">
        <v>20.79</v>
      </c>
      <c r="AA371" s="159">
        <f>Y371/Z371</f>
        <v/>
      </c>
      <c r="AB371" s="159">
        <f>(AA371/Y371)*100</f>
        <v/>
      </c>
    </row>
    <row r="372">
      <c r="A372" s="155" t="n">
        <v>371</v>
      </c>
      <c r="B372" s="160" t="n">
        <v>45110</v>
      </c>
      <c r="C372" s="159" t="n">
        <v>29833258.83</v>
      </c>
      <c r="D372" s="174">
        <f>C372/E372</f>
        <v/>
      </c>
      <c r="E372" s="159" t="n">
        <v>81.94</v>
      </c>
      <c r="F372" s="159">
        <f>D372/100000</f>
        <v/>
      </c>
      <c r="G372" s="159">
        <f>(F372/DataSheet!$C$10*100)</f>
        <v/>
      </c>
      <c r="H372" s="159">
        <f>K372/I372</f>
        <v/>
      </c>
      <c r="I372" s="159">
        <f>(J372/L372)*100</f>
        <v/>
      </c>
      <c r="J372" s="159">
        <f>L372/O372</f>
        <v/>
      </c>
      <c r="K372" s="159" t="n">
        <v>7.11</v>
      </c>
      <c r="L372" s="159" t="n">
        <v>19322.55</v>
      </c>
      <c r="M372" s="159" t="n">
        <v>4.53</v>
      </c>
      <c r="N372" s="159">
        <f>K372-I372</f>
        <v/>
      </c>
      <c r="O372" s="159" t="n">
        <v>22.51</v>
      </c>
      <c r="P372" s="159" t="n">
        <v>3.85</v>
      </c>
      <c r="Q372" s="159">
        <f>K372-P372</f>
        <v/>
      </c>
      <c r="R372" s="159" t="n">
        <v>102.65</v>
      </c>
      <c r="S372" s="159">
        <f>(O372*T372)/100</f>
        <v/>
      </c>
      <c r="T372" s="157" t="n">
        <v>6.77</v>
      </c>
      <c r="U372" s="157" t="n">
        <v>13427.6</v>
      </c>
      <c r="V372" s="157" t="n">
        <v>26.54</v>
      </c>
      <c r="W372" s="159">
        <f>U372/V372</f>
        <v/>
      </c>
      <c r="X372" s="159">
        <f>(W372/U372)*100</f>
        <v/>
      </c>
      <c r="Y372" s="157" t="n">
        <v>10637.9</v>
      </c>
      <c r="Z372" s="157" t="n">
        <v>20.98</v>
      </c>
      <c r="AA372" s="159">
        <f>Y372/Z372</f>
        <v/>
      </c>
      <c r="AB372" s="159">
        <f>(AA372/Y372)*100</f>
        <v/>
      </c>
    </row>
    <row r="373">
      <c r="A373" s="155" t="n">
        <v>372</v>
      </c>
      <c r="B373" s="160" t="n">
        <v>45111</v>
      </c>
      <c r="C373" s="159" t="n">
        <v>29882211.12</v>
      </c>
      <c r="D373" s="174">
        <f>C373/E373</f>
        <v/>
      </c>
      <c r="E373" s="159" t="n">
        <v>81.94</v>
      </c>
      <c r="F373" s="159">
        <f>D373/100000</f>
        <v/>
      </c>
      <c r="G373" s="159">
        <f>(F373/DataSheet!$C$10*100)</f>
        <v/>
      </c>
      <c r="H373" s="159">
        <f>K373/I373</f>
        <v/>
      </c>
      <c r="I373" s="159">
        <f>(J373/L373)*100</f>
        <v/>
      </c>
      <c r="J373" s="159">
        <f>L373/O373</f>
        <v/>
      </c>
      <c r="K373" s="159" t="n">
        <v>7.11</v>
      </c>
      <c r="L373" s="159" t="n">
        <v>19389</v>
      </c>
      <c r="M373" s="159" t="n">
        <v>4.54</v>
      </c>
      <c r="N373" s="159">
        <f>K373-I373</f>
        <v/>
      </c>
      <c r="O373" s="159" t="n">
        <v>22.59</v>
      </c>
      <c r="P373" s="159" t="n">
        <v>3.83</v>
      </c>
      <c r="Q373" s="159">
        <f>K373-P373</f>
        <v/>
      </c>
      <c r="R373" s="159" t="n">
        <v>102.65</v>
      </c>
      <c r="S373" s="159">
        <f>(O373*T373)/100</f>
        <v/>
      </c>
      <c r="T373" s="157" t="n">
        <v>6.73</v>
      </c>
      <c r="U373" s="157" t="n">
        <v>13405.2</v>
      </c>
      <c r="V373" s="157" t="n">
        <v>26.5</v>
      </c>
      <c r="W373" s="159">
        <f>U373/V373</f>
        <v/>
      </c>
      <c r="X373" s="159">
        <f>(W373/U373)*100</f>
        <v/>
      </c>
      <c r="Y373" s="157" t="n">
        <v>10652.4</v>
      </c>
      <c r="Z373" s="157" t="n">
        <v>21</v>
      </c>
      <c r="AA373" s="159">
        <f>Y373/Z373</f>
        <v/>
      </c>
      <c r="AB373" s="159">
        <f>(AA373/Y373)*100</f>
        <v/>
      </c>
    </row>
    <row r="374">
      <c r="A374" s="155" t="n">
        <v>373</v>
      </c>
      <c r="B374" s="160" t="n">
        <v>45112</v>
      </c>
      <c r="C374" s="159" t="n">
        <v>30012769.24</v>
      </c>
      <c r="D374" s="174">
        <f>C374/E374</f>
        <v/>
      </c>
      <c r="E374" s="159" t="n">
        <v>82.39</v>
      </c>
      <c r="F374" s="159">
        <f>D374/100000</f>
        <v/>
      </c>
      <c r="G374" s="159">
        <f>(F374/DataSheet!$C$10*100)</f>
        <v/>
      </c>
      <c r="H374" s="159">
        <f>K374/I374</f>
        <v/>
      </c>
      <c r="I374" s="159">
        <f>(J374/L374)*100</f>
        <v/>
      </c>
      <c r="J374" s="159">
        <f>L374/O374</f>
        <v/>
      </c>
      <c r="K374" s="159" t="n">
        <v>7.1</v>
      </c>
      <c r="L374" s="159" t="n">
        <v>19398.5</v>
      </c>
      <c r="M374" s="159" t="n">
        <v>4.55</v>
      </c>
      <c r="N374" s="159">
        <f>K374-I374</f>
        <v/>
      </c>
      <c r="O374" s="159" t="n">
        <v>22.6</v>
      </c>
      <c r="P374" s="159" t="n">
        <v>3.93</v>
      </c>
      <c r="Q374" s="159">
        <f>K374-P374</f>
        <v/>
      </c>
      <c r="R374" s="159" t="n">
        <v>103.03</v>
      </c>
      <c r="S374" s="159">
        <f>(O374*T374)/100</f>
        <v/>
      </c>
      <c r="T374" s="157" t="n">
        <v>6.73</v>
      </c>
      <c r="U374" s="157" t="n">
        <v>13481.65</v>
      </c>
      <c r="V374" s="157" t="n">
        <v>26.64</v>
      </c>
      <c r="W374" s="159">
        <f>U374/V374</f>
        <v/>
      </c>
      <c r="X374" s="159">
        <f>(W374/U374)*100</f>
        <v/>
      </c>
      <c r="Y374" s="157" t="n">
        <v>10718.9</v>
      </c>
      <c r="Z374" s="157" t="n">
        <v>21.13</v>
      </c>
      <c r="AA374" s="159">
        <f>Y374/Z374</f>
        <v/>
      </c>
      <c r="AB374" s="159">
        <f>(AA374/Y374)*100</f>
        <v/>
      </c>
    </row>
    <row r="375">
      <c r="A375" s="155" t="n">
        <v>374</v>
      </c>
      <c r="B375" s="160" t="n">
        <v>45113</v>
      </c>
      <c r="C375" s="159" t="n">
        <v>30197064.27</v>
      </c>
      <c r="D375" s="174">
        <f>C375/E375</f>
        <v/>
      </c>
      <c r="E375" s="159" t="n">
        <v>82.75</v>
      </c>
      <c r="F375" s="159">
        <f>D375/100000</f>
        <v/>
      </c>
      <c r="G375" s="159">
        <f>(F375/DataSheet!$C$10*100)</f>
        <v/>
      </c>
      <c r="H375" s="159">
        <f>K375/I375</f>
        <v/>
      </c>
      <c r="I375" s="159">
        <f>(J375/L375)*100</f>
        <v/>
      </c>
      <c r="J375" s="159">
        <f>L375/O375</f>
        <v/>
      </c>
      <c r="K375" s="159" t="n">
        <v>7.14</v>
      </c>
      <c r="L375" s="159" t="n">
        <v>19497.3</v>
      </c>
      <c r="M375" s="159" t="n">
        <v>4.57</v>
      </c>
      <c r="N375" s="159">
        <f>K375-I375</f>
        <v/>
      </c>
      <c r="O375" s="159" t="n">
        <v>22.72</v>
      </c>
      <c r="P375" s="159" t="n">
        <v>4.03</v>
      </c>
      <c r="Q375" s="159">
        <f>K375-P375</f>
        <v/>
      </c>
      <c r="R375" s="159" t="n">
        <v>102.86</v>
      </c>
      <c r="S375" s="159">
        <f>(O375*T375)/100</f>
        <v/>
      </c>
      <c r="T375" s="157" t="n">
        <v>6.75</v>
      </c>
      <c r="U375" s="157" t="n">
        <v>13593.1</v>
      </c>
      <c r="V375" s="157" t="n">
        <v>26.86</v>
      </c>
      <c r="W375" s="159">
        <f>U375/V375</f>
        <v/>
      </c>
      <c r="X375" s="159">
        <f>(W375/U375)*100</f>
        <v/>
      </c>
      <c r="Y375" s="157" t="n">
        <v>10808.9</v>
      </c>
      <c r="Z375" s="157" t="n">
        <v>21.31</v>
      </c>
      <c r="AA375" s="159">
        <f>Y375/Z375</f>
        <v/>
      </c>
      <c r="AB375" s="159">
        <f>(AA375/Y375)*100</f>
        <v/>
      </c>
    </row>
    <row r="376">
      <c r="A376" s="155" t="n">
        <v>375</v>
      </c>
      <c r="B376" s="160" t="n">
        <v>45114</v>
      </c>
      <c r="C376" s="159" t="n">
        <v>30002263.39</v>
      </c>
      <c r="D376" s="174">
        <f>C376/E376</f>
        <v/>
      </c>
      <c r="E376" s="159" t="n">
        <v>82.61</v>
      </c>
      <c r="F376" s="159">
        <f>D376/100000</f>
        <v/>
      </c>
      <c r="G376" s="159">
        <f>(F376/DataSheet!$C$10*100)</f>
        <v/>
      </c>
      <c r="H376" s="159">
        <f>K376/I376</f>
        <v/>
      </c>
      <c r="I376" s="159">
        <f>(J376/L376)*100</f>
        <v/>
      </c>
      <c r="J376" s="159">
        <f>L376/O376</f>
        <v/>
      </c>
      <c r="K376" s="159" t="n">
        <v>7.15</v>
      </c>
      <c r="L376" s="159" t="n">
        <v>19331.8</v>
      </c>
      <c r="M376" s="159" t="n">
        <v>4.53</v>
      </c>
      <c r="N376" s="159">
        <f>K376-I376</f>
        <v/>
      </c>
      <c r="O376" s="159" t="n">
        <v>22.52</v>
      </c>
      <c r="P376" s="159" t="n">
        <v>4.06</v>
      </c>
      <c r="Q376" s="159">
        <f>K376-P376</f>
        <v/>
      </c>
      <c r="R376" s="159" t="n">
        <v>101.95</v>
      </c>
      <c r="S376" s="159">
        <f>(O376*T376)/100</f>
        <v/>
      </c>
      <c r="T376" s="157" t="n">
        <v>6.73</v>
      </c>
      <c r="U376" s="157" t="n">
        <v>13490.7</v>
      </c>
      <c r="V376" s="157" t="n">
        <v>26.66</v>
      </c>
      <c r="W376" s="159">
        <f>U376/V376</f>
        <v/>
      </c>
      <c r="X376" s="159">
        <f>(W376/U376)*100</f>
        <v/>
      </c>
      <c r="Y376" s="157" t="n">
        <v>10777.35</v>
      </c>
      <c r="Z376" s="157" t="n">
        <v>21.24</v>
      </c>
      <c r="AA376" s="159">
        <f>Y376/Z376</f>
        <v/>
      </c>
      <c r="AB376" s="159">
        <f>(AA376/Y376)*100</f>
        <v/>
      </c>
    </row>
    <row r="377">
      <c r="A377" s="155" t="n">
        <v>376</v>
      </c>
      <c r="B377" s="160" t="n">
        <v>45117</v>
      </c>
      <c r="C377" s="159" t="n">
        <v>29966960.03</v>
      </c>
      <c r="D377" s="174">
        <f>C377/E377</f>
        <v/>
      </c>
      <c r="E377" s="159" t="n">
        <v>82.52</v>
      </c>
      <c r="F377" s="159">
        <f>D377/100000</f>
        <v/>
      </c>
      <c r="G377" s="159">
        <f>(F377/DataSheet!$C$10*100)</f>
        <v/>
      </c>
      <c r="H377" s="159">
        <f>K377/I377</f>
        <v/>
      </c>
      <c r="I377" s="159">
        <f>(J377/L377)*100</f>
        <v/>
      </c>
      <c r="J377" s="159">
        <f>L377/O377</f>
        <v/>
      </c>
      <c r="K377" s="159" t="n">
        <v>7.14</v>
      </c>
      <c r="L377" s="159" t="n">
        <v>19355.9</v>
      </c>
      <c r="M377" s="159" t="n">
        <v>4.54</v>
      </c>
      <c r="N377" s="159">
        <f>K377-I377</f>
        <v/>
      </c>
      <c r="O377" s="159" t="n">
        <v>22.55</v>
      </c>
      <c r="P377" s="159" t="n">
        <v>4</v>
      </c>
      <c r="Q377" s="159">
        <f>K377-P377</f>
        <v/>
      </c>
      <c r="R377" s="159" t="n">
        <v>101.64</v>
      </c>
      <c r="S377" s="159">
        <f>(O377*T377)/100</f>
        <v/>
      </c>
      <c r="T377" s="157" t="n">
        <v>6.75</v>
      </c>
      <c r="U377" s="157" t="n">
        <v>13433.5</v>
      </c>
      <c r="V377" s="157" t="n">
        <v>26.55</v>
      </c>
      <c r="W377" s="159">
        <f>U377/V377</f>
        <v/>
      </c>
      <c r="X377" s="159">
        <f>(W377/U377)*100</f>
        <v/>
      </c>
      <c r="Y377" s="157" t="n">
        <v>10742.35</v>
      </c>
      <c r="Z377" s="157" t="n">
        <v>21.17</v>
      </c>
      <c r="AA377" s="159">
        <f>Y377/Z377</f>
        <v/>
      </c>
      <c r="AB377" s="159">
        <f>(AA377/Y377)*100</f>
        <v/>
      </c>
    </row>
    <row r="378">
      <c r="A378" s="155" t="n">
        <v>377</v>
      </c>
      <c r="B378" s="160" t="n">
        <v>45118</v>
      </c>
      <c r="C378" s="159" t="n">
        <v>30156320.02</v>
      </c>
      <c r="D378" s="174">
        <f>C378/E378</f>
        <v/>
      </c>
      <c r="E378" s="159" t="n">
        <v>82.39</v>
      </c>
      <c r="F378" s="159">
        <f>D378/100000</f>
        <v/>
      </c>
      <c r="G378" s="159">
        <f>(F378/DataSheet!$C$10*100)</f>
        <v/>
      </c>
      <c r="H378" s="159">
        <f>K378/I378</f>
        <v/>
      </c>
      <c r="I378" s="159">
        <f>(J378/L378)*100</f>
        <v/>
      </c>
      <c r="J378" s="159">
        <f>L378/O378</f>
        <v/>
      </c>
      <c r="K378" s="159" t="n">
        <v>7.09</v>
      </c>
      <c r="L378" s="159" t="n">
        <v>19439.4</v>
      </c>
      <c r="M378" s="159" t="n">
        <v>4.56</v>
      </c>
      <c r="N378" s="159">
        <f>K378-I378</f>
        <v/>
      </c>
      <c r="O378" s="159" t="n">
        <v>22.65</v>
      </c>
      <c r="P378" s="159" t="n">
        <v>3.97</v>
      </c>
      <c r="Q378" s="159">
        <f>K378-P378</f>
        <v/>
      </c>
      <c r="R378" s="159" t="n">
        <v>101.4</v>
      </c>
      <c r="S378" s="159">
        <f>(O378*T378)/100</f>
        <v/>
      </c>
      <c r="T378" s="157" t="n">
        <v>6.72</v>
      </c>
      <c r="U378" s="157" t="n">
        <v>13534.35</v>
      </c>
      <c r="V378" s="157" t="n">
        <v>26.75</v>
      </c>
      <c r="W378" s="159">
        <f>U378/V378</f>
        <v/>
      </c>
      <c r="X378" s="159">
        <f>(W378/U378)*100</f>
        <v/>
      </c>
      <c r="Y378" s="157" t="n">
        <v>10843.95</v>
      </c>
      <c r="Z378" s="157" t="n">
        <v>21.37</v>
      </c>
      <c r="AA378" s="159">
        <f>Y378/Z378</f>
        <v/>
      </c>
      <c r="AB378" s="159">
        <f>(AA378/Y378)*100</f>
        <v/>
      </c>
    </row>
    <row r="379">
      <c r="A379" s="155" t="n">
        <v>378</v>
      </c>
      <c r="B379" s="160" t="n">
        <v>45119</v>
      </c>
      <c r="C379" s="159" t="n">
        <v>30194806.7</v>
      </c>
      <c r="D379" s="174">
        <f>C379/E379</f>
        <v/>
      </c>
      <c r="E379" s="159" t="n">
        <v>81.98</v>
      </c>
      <c r="F379" s="159">
        <f>D379/100000</f>
        <v/>
      </c>
      <c r="G379" s="159">
        <f>(F379/DataSheet!$C$10*100)</f>
        <v/>
      </c>
      <c r="H379" s="159">
        <f>K379/I379</f>
        <v/>
      </c>
      <c r="I379" s="159">
        <f>(J379/L379)*100</f>
        <v/>
      </c>
      <c r="J379" s="159">
        <f>L379/O379</f>
        <v/>
      </c>
      <c r="K379" s="159" t="n">
        <v>7.11</v>
      </c>
      <c r="L379" s="159" t="n">
        <v>19384.3</v>
      </c>
      <c r="M379" s="159" t="n">
        <v>4.54</v>
      </c>
      <c r="N379" s="159">
        <f>K379-I379</f>
        <v/>
      </c>
      <c r="O379" s="159" t="n">
        <v>22.58</v>
      </c>
      <c r="P379" s="159" t="n">
        <v>3.86</v>
      </c>
      <c r="Q379" s="159">
        <f>K379-P379</f>
        <v/>
      </c>
      <c r="R379" s="159" t="n">
        <v>100.19</v>
      </c>
      <c r="S379" s="159">
        <f>(O379*T379)/100</f>
        <v/>
      </c>
      <c r="T379" s="157" t="n">
        <v>6.72</v>
      </c>
      <c r="U379" s="157" t="n">
        <v>13600</v>
      </c>
      <c r="V379" s="157" t="n">
        <v>26.88</v>
      </c>
      <c r="W379" s="159">
        <f>U379/V379</f>
        <v/>
      </c>
      <c r="X379" s="159">
        <f>(W379/U379)*100</f>
        <v/>
      </c>
      <c r="Y379" s="157" t="n">
        <v>10897.45</v>
      </c>
      <c r="Z379" s="157" t="n">
        <v>21.48</v>
      </c>
      <c r="AA379" s="159">
        <f>Y379/Z379</f>
        <v/>
      </c>
      <c r="AB379" s="159">
        <f>(AA379/Y379)*100</f>
        <v/>
      </c>
    </row>
    <row r="380">
      <c r="A380" s="155" t="n">
        <v>379</v>
      </c>
      <c r="B380" s="160" t="n">
        <v>45120</v>
      </c>
      <c r="C380" s="159" t="n">
        <v>30108996.53</v>
      </c>
      <c r="D380" s="174">
        <f>C380/E380</f>
        <v/>
      </c>
      <c r="E380" s="159" t="n">
        <v>82.04000000000001</v>
      </c>
      <c r="F380" s="159">
        <f>D380/100000</f>
        <v/>
      </c>
      <c r="G380" s="159">
        <f>(F380/DataSheet!$C$10*100)</f>
        <v/>
      </c>
      <c r="H380" s="159">
        <f>K380/I380</f>
        <v/>
      </c>
      <c r="I380" s="159">
        <f>(J380/L380)*100</f>
        <v/>
      </c>
      <c r="J380" s="159">
        <f>L380/O380</f>
        <v/>
      </c>
      <c r="K380" s="159" t="n">
        <v>7.07</v>
      </c>
      <c r="L380" s="159" t="n">
        <v>19413.75</v>
      </c>
      <c r="M380" s="159" t="n">
        <v>4.74</v>
      </c>
      <c r="N380" s="159">
        <f>K380-I380</f>
        <v/>
      </c>
      <c r="O380" s="159" t="n">
        <v>23.81</v>
      </c>
      <c r="P380" s="159" t="n">
        <v>3.76</v>
      </c>
      <c r="Q380" s="159">
        <f>K380-P380</f>
        <v/>
      </c>
      <c r="R380" s="159" t="n">
        <v>99.45</v>
      </c>
      <c r="S380" s="159">
        <f>(O380*T380)/100</f>
        <v/>
      </c>
      <c r="T380" s="157" t="n">
        <v>6.72</v>
      </c>
      <c r="U380" s="157" t="n">
        <v>13522.4</v>
      </c>
      <c r="V380" s="157" t="n">
        <v>26.82</v>
      </c>
      <c r="W380" s="159">
        <f>U380/V380</f>
        <v/>
      </c>
      <c r="X380" s="159">
        <f>(W380/U380)*100</f>
        <v/>
      </c>
      <c r="Y380" s="157" t="n">
        <v>10820.35</v>
      </c>
      <c r="Z380" s="157" t="n">
        <v>21.33</v>
      </c>
      <c r="AA380" s="159">
        <f>Y380/Z380</f>
        <v/>
      </c>
      <c r="AB380" s="159">
        <f>(AA380/Y380)*100</f>
        <v/>
      </c>
    </row>
    <row r="381">
      <c r="A381" s="155" t="n">
        <v>380</v>
      </c>
      <c r="B381" s="160" t="n">
        <v>45121</v>
      </c>
      <c r="C381" s="155" t="n">
        <v>30388030.96</v>
      </c>
      <c r="D381" s="174">
        <f>C381/E381</f>
        <v/>
      </c>
      <c r="E381" s="159" t="n">
        <v>82.04000000000001</v>
      </c>
      <c r="F381" s="159">
        <f>D381/100000</f>
        <v/>
      </c>
      <c r="G381" s="159">
        <f>(F381/DataSheet!$C$10*100)</f>
        <v/>
      </c>
      <c r="H381" s="159">
        <f>K381/I381</f>
        <v/>
      </c>
      <c r="I381" s="159">
        <f>(J381/L381)*100</f>
        <v/>
      </c>
      <c r="J381" s="159">
        <f>L381/O381</f>
        <v/>
      </c>
      <c r="K381" s="159" t="n">
        <v>7.08</v>
      </c>
      <c r="L381" s="159" t="n">
        <v>19564.5</v>
      </c>
      <c r="M381" s="159" t="n">
        <v>4.78</v>
      </c>
      <c r="N381" s="159">
        <f>K381-I381</f>
        <v/>
      </c>
      <c r="O381" s="159" t="n">
        <v>23.96</v>
      </c>
      <c r="P381" s="159" t="n">
        <v>3.83</v>
      </c>
      <c r="Q381" s="159">
        <f>K381-P381</f>
        <v/>
      </c>
      <c r="R381" s="159" t="n">
        <v>99.59999999999999</v>
      </c>
      <c r="S381" s="159">
        <f>(O381*T381)/100</f>
        <v/>
      </c>
      <c r="T381" s="157" t="n">
        <v>6.73</v>
      </c>
      <c r="U381" s="157" t="n">
        <v>13657.45</v>
      </c>
      <c r="V381" s="157" t="n">
        <v>27.07</v>
      </c>
      <c r="W381" s="159">
        <f>U381/V381</f>
        <v/>
      </c>
      <c r="X381" s="159">
        <f>(W381/U381)*100</f>
        <v/>
      </c>
      <c r="Y381" s="157" t="n">
        <v>10962.95</v>
      </c>
      <c r="Z381" s="157" t="n">
        <v>21.61</v>
      </c>
      <c r="AA381" s="159">
        <f>Y381/Z381</f>
        <v/>
      </c>
      <c r="AB381" s="159">
        <f>(AA381/Y381)*100</f>
        <v/>
      </c>
    </row>
    <row r="382">
      <c r="A382" s="155" t="n">
        <v>381</v>
      </c>
      <c r="B382" s="160" t="n">
        <v>45124</v>
      </c>
      <c r="C382" s="159" t="n">
        <v>30876495.19</v>
      </c>
      <c r="D382" s="174">
        <f>C382/E382</f>
        <v/>
      </c>
      <c r="E382" s="159" t="n">
        <v>82.06</v>
      </c>
      <c r="F382" s="159">
        <f>D382/100000</f>
        <v/>
      </c>
      <c r="G382" s="159">
        <f>(F382/DataSheet!$C$10*100)</f>
        <v/>
      </c>
      <c r="H382" s="159">
        <f>K382/I382</f>
        <v/>
      </c>
      <c r="I382" s="159">
        <f>(J382/L382)*100</f>
        <v/>
      </c>
      <c r="J382" s="159">
        <f>L382/O382</f>
        <v/>
      </c>
      <c r="K382" s="159" t="n">
        <v>7.07</v>
      </c>
      <c r="L382" s="159" t="n">
        <v>19711.45</v>
      </c>
      <c r="M382" s="159" t="n">
        <v>4.82</v>
      </c>
      <c r="N382" s="159">
        <f>K382-I382</f>
        <v/>
      </c>
      <c r="O382" s="159" t="n">
        <v>24.14</v>
      </c>
      <c r="P382" s="159" t="n">
        <v>3.79</v>
      </c>
      <c r="Q382" s="159">
        <f>K382-P382</f>
        <v/>
      </c>
      <c r="R382" s="159" t="n">
        <v>99.52</v>
      </c>
      <c r="S382" s="159">
        <f>(O382*T382)/100</f>
        <v/>
      </c>
      <c r="T382" s="157" t="n">
        <v>6.73</v>
      </c>
      <c r="U382" s="157" t="n">
        <v>13709.1</v>
      </c>
      <c r="V382" s="157" t="n">
        <v>27.09</v>
      </c>
      <c r="W382" s="159">
        <f>U382/V382</f>
        <v/>
      </c>
      <c r="X382" s="159">
        <f>(W382/U382)*100</f>
        <v/>
      </c>
      <c r="Y382" s="157" t="n">
        <v>11048.9</v>
      </c>
      <c r="Z382" s="157" t="n">
        <v>21.74</v>
      </c>
      <c r="AA382" s="159">
        <f>Y382/Z382</f>
        <v/>
      </c>
      <c r="AB382" s="159">
        <f>(AA382/Y382)*100</f>
        <v/>
      </c>
    </row>
    <row r="383">
      <c r="A383" s="155" t="n">
        <v>382</v>
      </c>
      <c r="B383" s="160" t="n">
        <v>45125</v>
      </c>
      <c r="C383" s="159" t="n">
        <v>30843536.12</v>
      </c>
      <c r="D383" s="174">
        <f>C383/E383</f>
        <v/>
      </c>
      <c r="E383" s="159" t="n">
        <v>82.06</v>
      </c>
      <c r="F383" s="159">
        <f>D383/100000</f>
        <v/>
      </c>
      <c r="G383" s="159">
        <f>(F383/DataSheet!$C$10*100)</f>
        <v/>
      </c>
      <c r="H383" s="159">
        <f>K383/I383</f>
        <v/>
      </c>
      <c r="I383" s="159">
        <f>(J383/L383)*100</f>
        <v/>
      </c>
      <c r="J383" s="159">
        <f>L383/O383</f>
        <v/>
      </c>
      <c r="K383" s="159" t="n">
        <v>7.05</v>
      </c>
      <c r="L383" s="159" t="n">
        <v>19749.25</v>
      </c>
      <c r="M383" s="159" t="n">
        <v>4.83</v>
      </c>
      <c r="N383" s="159">
        <f>K383-I383</f>
        <v/>
      </c>
      <c r="O383" s="159" t="n">
        <v>24.18</v>
      </c>
      <c r="P383" s="159" t="n">
        <v>3.78</v>
      </c>
      <c r="Q383" s="159">
        <f>K383-P383</f>
        <v/>
      </c>
      <c r="R383" s="159" t="n">
        <v>99.62</v>
      </c>
      <c r="S383" s="159">
        <f>(O383*T383)/100</f>
        <v/>
      </c>
      <c r="T383" s="157" t="n">
        <v>6.74</v>
      </c>
      <c r="U383" s="157" t="n">
        <v>13688.2</v>
      </c>
      <c r="V383" s="157" t="n">
        <v>27.1</v>
      </c>
      <c r="W383" s="159">
        <f>U383/V383</f>
        <v/>
      </c>
      <c r="X383" s="159">
        <f>(W383/U383)*100</f>
        <v/>
      </c>
      <c r="Y383" s="157" t="n">
        <v>10969.35</v>
      </c>
      <c r="Z383" s="157" t="n">
        <v>21.56</v>
      </c>
      <c r="AA383" s="159">
        <f>Y383/Z383</f>
        <v/>
      </c>
      <c r="AB383" s="159">
        <f>(AA383/Y383)*100</f>
        <v/>
      </c>
    </row>
    <row r="384">
      <c r="A384" s="155" t="n">
        <v>383</v>
      </c>
      <c r="B384" s="160" t="n">
        <v>45126</v>
      </c>
      <c r="C384" s="159" t="n">
        <v>30991402.49</v>
      </c>
      <c r="D384" s="174">
        <f>C384/E384</f>
        <v/>
      </c>
      <c r="E384" s="159" t="n">
        <v>82.05</v>
      </c>
      <c r="F384" s="159">
        <f>D384/100000</f>
        <v/>
      </c>
      <c r="G384" s="159">
        <f>(F384/DataSheet!$C$10*100)</f>
        <v/>
      </c>
      <c r="H384" s="159">
        <f>K384/I384</f>
        <v/>
      </c>
      <c r="I384" s="159">
        <f>(J384/L384)*100</f>
        <v/>
      </c>
      <c r="J384" s="159">
        <f>L384/O384</f>
        <v/>
      </c>
      <c r="K384" s="159" t="n">
        <v>7.07</v>
      </c>
      <c r="L384" s="159" t="n">
        <v>19833.15</v>
      </c>
      <c r="M384" s="159" t="n">
        <v>4.85</v>
      </c>
      <c r="N384" s="159">
        <f>K384-I384</f>
        <v/>
      </c>
      <c r="O384" s="159" t="n">
        <v>24.09</v>
      </c>
      <c r="P384" s="159" t="n">
        <v>3.74</v>
      </c>
      <c r="Q384" s="159">
        <f>K384-P384</f>
        <v/>
      </c>
      <c r="R384" s="159" t="n">
        <v>99.98</v>
      </c>
      <c r="S384" s="159">
        <f>(O384*T384)/100</f>
        <v/>
      </c>
      <c r="T384" s="157" t="n">
        <v>6.74</v>
      </c>
      <c r="U384" s="157" t="n">
        <v>13769.8</v>
      </c>
      <c r="V384" s="157" t="n">
        <v>27.26</v>
      </c>
      <c r="W384" s="159">
        <f>U384/V384</f>
        <v/>
      </c>
      <c r="X384" s="159">
        <f>(W384/U384)*100</f>
        <v/>
      </c>
      <c r="Y384" s="157" t="n">
        <v>11049.25</v>
      </c>
      <c r="Z384" s="157" t="n">
        <v>21.66</v>
      </c>
      <c r="AA384" s="159">
        <f>Y384/Z384</f>
        <v/>
      </c>
      <c r="AB384" s="159">
        <f>(AA384/Y384)*100</f>
        <v/>
      </c>
    </row>
    <row r="385">
      <c r="A385" s="155" t="n">
        <v>384</v>
      </c>
      <c r="B385" s="160" t="n">
        <v>45127</v>
      </c>
      <c r="C385" s="159" t="n">
        <v>30943571.13</v>
      </c>
      <c r="D385" s="174">
        <f>C385/E385</f>
        <v/>
      </c>
      <c r="E385" s="159" t="n">
        <v>82.06999999999999</v>
      </c>
      <c r="F385" s="159">
        <f>D385/100000</f>
        <v/>
      </c>
      <c r="G385" s="159">
        <f>(F385/DataSheet!$C$10*100)</f>
        <v/>
      </c>
      <c r="H385" s="159">
        <f>K385/I385</f>
        <v/>
      </c>
      <c r="I385" s="159">
        <f>(J385/L385)*100</f>
        <v/>
      </c>
      <c r="J385" s="159">
        <f>L385/O385</f>
        <v/>
      </c>
      <c r="K385" s="159" t="n">
        <v>7.08</v>
      </c>
      <c r="L385" s="159" t="n">
        <v>19979.15</v>
      </c>
      <c r="M385" s="159" t="n">
        <v>4.88</v>
      </c>
      <c r="N385" s="159">
        <f>K385-I385</f>
        <v/>
      </c>
      <c r="O385" s="159" t="n">
        <v>24.24</v>
      </c>
      <c r="P385" s="159" t="n">
        <v>3.85</v>
      </c>
      <c r="Q385" s="159">
        <f>K385-P385</f>
        <v/>
      </c>
      <c r="R385" s="159" t="n">
        <v>100.59</v>
      </c>
      <c r="S385" s="159">
        <f>(O385*T385)/100</f>
        <v/>
      </c>
      <c r="T385" s="157" t="n">
        <v>6.74</v>
      </c>
      <c r="U385" s="157" t="n">
        <v>13799.55</v>
      </c>
      <c r="V385" s="157" t="n">
        <v>27.29</v>
      </c>
      <c r="W385" s="159">
        <f>U385/V385</f>
        <v/>
      </c>
      <c r="X385" s="159">
        <f>(W385/U385)*100</f>
        <v/>
      </c>
      <c r="Y385" s="157" t="n">
        <v>11079.2</v>
      </c>
      <c r="Z385" s="157" t="n">
        <v>21.71</v>
      </c>
      <c r="AA385" s="159">
        <f>Y385/Z385</f>
        <v/>
      </c>
      <c r="AB385" s="159">
        <f>(AA385/Y385)*100</f>
        <v/>
      </c>
    </row>
    <row r="386">
      <c r="A386" s="155" t="n">
        <v>385</v>
      </c>
      <c r="B386" s="160" t="n">
        <v>45128</v>
      </c>
      <c r="C386" s="159" t="n">
        <v>30749353.11</v>
      </c>
      <c r="D386" s="174">
        <f>C386/E386</f>
        <v/>
      </c>
      <c r="E386" s="159" t="n">
        <v>81.98</v>
      </c>
      <c r="F386" s="159">
        <f>D386/100000</f>
        <v/>
      </c>
      <c r="G386" s="159">
        <f>(F386/DataSheet!$C$10*100)</f>
        <v/>
      </c>
      <c r="H386" s="159">
        <f>K386/I386</f>
        <v/>
      </c>
      <c r="I386" s="159">
        <f>(J386/L386)*100</f>
        <v/>
      </c>
      <c r="J386" s="159">
        <f>L386/O386</f>
        <v/>
      </c>
      <c r="K386" s="159" t="n">
        <v>7.08</v>
      </c>
      <c r="L386" s="159" t="n">
        <v>19745</v>
      </c>
      <c r="M386" s="159" t="n">
        <v>4.82</v>
      </c>
      <c r="N386" s="159">
        <f>K386-I386</f>
        <v/>
      </c>
      <c r="O386" s="159" t="n">
        <v>23.95</v>
      </c>
      <c r="P386" s="159" t="n">
        <v>3.83</v>
      </c>
      <c r="Q386" s="159">
        <f>K386-P386</f>
        <v/>
      </c>
      <c r="R386" s="159" t="n">
        <v>100.79</v>
      </c>
      <c r="S386" s="159">
        <f>(O386*T386)/100</f>
        <v/>
      </c>
      <c r="T386" s="157" t="n">
        <v>6.73</v>
      </c>
      <c r="U386" s="157" t="n">
        <v>13772.85</v>
      </c>
      <c r="V386" s="157" t="n">
        <v>27.23</v>
      </c>
      <c r="W386" s="159">
        <f>U386/V386</f>
        <v/>
      </c>
      <c r="X386" s="159">
        <f>(W386/U386)*100</f>
        <v/>
      </c>
      <c r="Y386" s="157" t="n">
        <v>11110.55</v>
      </c>
      <c r="Z386" s="157" t="n">
        <v>21.76</v>
      </c>
      <c r="AA386" s="159">
        <f>Y386/Z386</f>
        <v/>
      </c>
      <c r="AB386" s="159">
        <f>(AA386/Y386)*100</f>
        <v/>
      </c>
    </row>
    <row r="387">
      <c r="A387" s="155" t="n">
        <v>386</v>
      </c>
      <c r="B387" s="160" t="n">
        <v>45131</v>
      </c>
      <c r="C387" s="159" t="n">
        <v>30712582.16</v>
      </c>
      <c r="D387" s="174">
        <f>C387/E387</f>
        <v/>
      </c>
      <c r="E387" s="159" t="n">
        <v>81.79000000000001</v>
      </c>
      <c r="F387" s="159">
        <f>D387/100000</f>
        <v/>
      </c>
      <c r="G387" s="159">
        <f>(F387/DataSheet!$C$10*100)</f>
        <v/>
      </c>
      <c r="H387" s="159">
        <f>K387/I387</f>
        <v/>
      </c>
      <c r="I387" s="159">
        <f>(J387/L387)*100</f>
        <v/>
      </c>
      <c r="J387" s="159">
        <f>L387/O387</f>
        <v/>
      </c>
      <c r="K387" s="159" t="n">
        <v>7.07</v>
      </c>
      <c r="L387" s="159" t="n">
        <v>19672.35</v>
      </c>
      <c r="M387" s="159" t="n">
        <v>4.81</v>
      </c>
      <c r="N387" s="159">
        <f>K387-I387</f>
        <v/>
      </c>
      <c r="O387" s="159" t="n">
        <v>23.83</v>
      </c>
      <c r="P387" s="159" t="n">
        <v>3.87</v>
      </c>
      <c r="Q387" s="159">
        <f>K387-P387</f>
        <v/>
      </c>
      <c r="R387" s="159" t="n">
        <v>101.08</v>
      </c>
      <c r="S387" s="159">
        <f>(O387*T387)/100</f>
        <v/>
      </c>
      <c r="T387" s="157" t="n">
        <v>6.74</v>
      </c>
      <c r="U387" s="157" t="n">
        <v>13762.2</v>
      </c>
      <c r="V387" s="157" t="n">
        <v>27.1</v>
      </c>
      <c r="W387" s="159">
        <f>U387/V387</f>
        <v/>
      </c>
      <c r="X387" s="159">
        <f>(W387/U387)*100</f>
        <v/>
      </c>
      <c r="Y387" s="157" t="n">
        <v>11136.85</v>
      </c>
      <c r="Z387" s="157" t="n">
        <v>21.77</v>
      </c>
      <c r="AA387" s="159">
        <f>Y387/Z387</f>
        <v/>
      </c>
      <c r="AB387" s="159">
        <f>(AA387/Y387)*100</f>
        <v/>
      </c>
    </row>
    <row r="388">
      <c r="A388" s="155" t="n">
        <v>387</v>
      </c>
      <c r="B388" s="160" t="n">
        <v>45132</v>
      </c>
      <c r="C388" s="159" t="n">
        <v>30783475.78</v>
      </c>
      <c r="D388" s="174">
        <f>C388/E388</f>
        <v/>
      </c>
      <c r="E388" s="159" t="n">
        <v>81.84999999999999</v>
      </c>
      <c r="F388" s="159">
        <f>D388/100000</f>
        <v/>
      </c>
      <c r="G388" s="159">
        <f>(F388/DataSheet!$C$10*100)</f>
        <v/>
      </c>
      <c r="H388" s="159">
        <f>K388/I388</f>
        <v/>
      </c>
      <c r="I388" s="159">
        <f>(J388/L388)*100</f>
        <v/>
      </c>
      <c r="J388" s="159">
        <f>L388/O388</f>
        <v/>
      </c>
      <c r="K388" s="159" t="n">
        <v>7.1</v>
      </c>
      <c r="L388" s="159" t="n">
        <v>19680.6</v>
      </c>
      <c r="M388" s="159" t="n">
        <v>4.81</v>
      </c>
      <c r="N388" s="159">
        <f>K388-I388</f>
        <v/>
      </c>
      <c r="O388" s="159" t="n">
        <v>23.55</v>
      </c>
      <c r="P388" s="159" t="n">
        <v>3.89</v>
      </c>
      <c r="Q388" s="159">
        <f>K388-P388</f>
        <v/>
      </c>
      <c r="R388" s="159" t="n">
        <v>101.09</v>
      </c>
      <c r="S388" s="159">
        <f>(O388*T388)/100</f>
        <v/>
      </c>
      <c r="T388" s="157" t="n">
        <v>6.73</v>
      </c>
      <c r="U388" s="157" t="n">
        <v>13829.15</v>
      </c>
      <c r="V388" s="157" t="n">
        <v>27.14</v>
      </c>
      <c r="W388" s="159">
        <f>U388/V388</f>
        <v/>
      </c>
      <c r="X388" s="159">
        <f>(W388/U388)*100</f>
        <v/>
      </c>
      <c r="Y388" s="157" t="n">
        <v>11141.85</v>
      </c>
      <c r="Z388" s="157" t="n">
        <v>21.71</v>
      </c>
      <c r="AA388" s="159">
        <f>Y388/Z388</f>
        <v/>
      </c>
      <c r="AB388" s="159">
        <f>(AA388/Y388)*100</f>
        <v/>
      </c>
    </row>
    <row r="389">
      <c r="A389" s="155" t="n">
        <v>388</v>
      </c>
      <c r="B389" s="160" t="n">
        <v>45133</v>
      </c>
      <c r="C389" s="159" t="n">
        <v>30912839.94</v>
      </c>
      <c r="D389" s="174">
        <f>C389/E389</f>
        <v/>
      </c>
      <c r="E389" s="159" t="n">
        <v>81.95</v>
      </c>
      <c r="F389" s="159">
        <f>D389/100000</f>
        <v/>
      </c>
      <c r="G389" s="159">
        <f>(F389/DataSheet!$C$10*100)</f>
        <v/>
      </c>
      <c r="H389" s="159">
        <f>K389/I389</f>
        <v/>
      </c>
      <c r="I389" s="159">
        <f>(J389/L389)*100</f>
        <v/>
      </c>
      <c r="J389" s="159">
        <f>L389/O389</f>
        <v/>
      </c>
      <c r="K389" s="159" t="n">
        <v>7.09</v>
      </c>
      <c r="L389" s="159" t="n">
        <v>19778.3</v>
      </c>
      <c r="M389" s="159" t="n">
        <v>4.83</v>
      </c>
      <c r="N389" s="159">
        <f>K389-I389</f>
        <v/>
      </c>
      <c r="O389" s="159" t="n">
        <v>23.97</v>
      </c>
      <c r="P389" s="159" t="n">
        <v>3.87</v>
      </c>
      <c r="Q389" s="159">
        <f>K389-P389</f>
        <v/>
      </c>
      <c r="R389" s="159" t="n">
        <v>100.63</v>
      </c>
      <c r="S389" s="159">
        <f>(O389*T389)/100</f>
        <v/>
      </c>
      <c r="T389" s="157" t="n">
        <v>6.74</v>
      </c>
      <c r="U389" s="157" t="n">
        <v>13873.3</v>
      </c>
      <c r="V389" s="157" t="n">
        <v>27.15</v>
      </c>
      <c r="W389" s="159">
        <f>U389/V389</f>
        <v/>
      </c>
      <c r="X389" s="159">
        <f>(W389/U389)*100</f>
        <v/>
      </c>
      <c r="Y389" s="157" t="n">
        <v>11178.75</v>
      </c>
      <c r="Z389" s="157" t="n">
        <v>21.77</v>
      </c>
      <c r="AA389" s="159">
        <f>Y389/Z389</f>
        <v/>
      </c>
      <c r="AB389" s="159">
        <f>(AA389/Y389)*100</f>
        <v/>
      </c>
    </row>
    <row r="390">
      <c r="A390" s="155" t="n">
        <v>389</v>
      </c>
      <c r="B390" s="160" t="n">
        <v>45134</v>
      </c>
      <c r="C390" s="159" t="n">
        <v>30864776.78</v>
      </c>
      <c r="D390" s="174">
        <f>C390/E390</f>
        <v/>
      </c>
      <c r="E390" s="159" t="n">
        <v>82.15000000000001</v>
      </c>
      <c r="F390" s="159">
        <f>D390/100000</f>
        <v/>
      </c>
      <c r="G390" s="159">
        <f>(F390/DataSheet!$C$10*100)</f>
        <v/>
      </c>
      <c r="H390" s="159">
        <f>K390/I390</f>
        <v/>
      </c>
      <c r="I390" s="159">
        <f>(J390/L390)*100</f>
        <v/>
      </c>
      <c r="J390" s="159">
        <f>L390/O390</f>
        <v/>
      </c>
      <c r="K390" s="159" t="n">
        <v>7.12</v>
      </c>
      <c r="L390" s="159" t="n">
        <v>19659.9</v>
      </c>
      <c r="M390" s="159" t="n">
        <v>4.8</v>
      </c>
      <c r="N390" s="159">
        <f>K390-I390</f>
        <v/>
      </c>
      <c r="O390" s="159" t="n">
        <v>23.83</v>
      </c>
      <c r="P390" s="159" t="n">
        <v>4</v>
      </c>
      <c r="Q390" s="159">
        <f>K390-P390</f>
        <v/>
      </c>
      <c r="R390" s="159" t="n">
        <v>101.54</v>
      </c>
      <c r="S390" s="159">
        <f>(O390*T390)/100</f>
        <v/>
      </c>
      <c r="T390" s="157" t="n">
        <v>6.73</v>
      </c>
      <c r="U390" s="157" t="n">
        <v>13898.9</v>
      </c>
      <c r="V390" s="157" t="n">
        <v>27.2</v>
      </c>
      <c r="W390" s="159">
        <f>U390/V390</f>
        <v/>
      </c>
      <c r="X390" s="159">
        <f>(W390/U390)*100</f>
        <v/>
      </c>
      <c r="Y390" s="157" t="n">
        <v>11193.8</v>
      </c>
      <c r="Z390" s="157" t="n">
        <v>21.8</v>
      </c>
      <c r="AA390" s="159">
        <f>Y390/Z390</f>
        <v/>
      </c>
      <c r="AB390" s="159">
        <f>(AA390/Y390)*100</f>
        <v/>
      </c>
    </row>
    <row r="391">
      <c r="A391" s="155" t="n">
        <v>390</v>
      </c>
      <c r="B391" s="160" t="n">
        <v>45135</v>
      </c>
      <c r="C391" s="159" t="n">
        <v>30938759.55</v>
      </c>
      <c r="D391" s="174">
        <f>C391/E391</f>
        <v/>
      </c>
      <c r="E391" s="159" t="n">
        <v>82.22</v>
      </c>
      <c r="F391" s="159">
        <f>D391/100000</f>
        <v/>
      </c>
      <c r="G391" s="159">
        <f>(F391/DataSheet!$C$10*100)</f>
        <v/>
      </c>
      <c r="H391" s="159">
        <f>K391/I391</f>
        <v/>
      </c>
      <c r="I391" s="159">
        <f>(J391/L391)*100</f>
        <v/>
      </c>
      <c r="J391" s="159">
        <f>L391/O391</f>
        <v/>
      </c>
      <c r="K391" s="159" t="n">
        <v>7.16</v>
      </c>
      <c r="L391" s="159" t="n">
        <v>19646.05</v>
      </c>
      <c r="M391" s="159" t="n">
        <v>4.8</v>
      </c>
      <c r="N391" s="159">
        <f>K391-I391</f>
        <v/>
      </c>
      <c r="O391" s="159" t="n">
        <v>22.91</v>
      </c>
      <c r="P391" s="159" t="n">
        <v>3.95</v>
      </c>
      <c r="Q391" s="159">
        <f>K391-P391</f>
        <v/>
      </c>
      <c r="R391" s="159" t="n">
        <v>101.39</v>
      </c>
      <c r="S391" s="159">
        <f>(O391*T391)/100</f>
        <v/>
      </c>
      <c r="T391" s="157" t="n">
        <v>6.75</v>
      </c>
      <c r="U391" s="157" t="n">
        <v>13976</v>
      </c>
      <c r="V391" s="157" t="n">
        <v>27.26</v>
      </c>
      <c r="W391" s="159">
        <f>U391/V391</f>
        <v/>
      </c>
      <c r="X391" s="159">
        <f>(W391/U391)*100</f>
        <v/>
      </c>
      <c r="Y391" s="157" t="n">
        <v>11239.1</v>
      </c>
      <c r="Z391" s="157" t="n">
        <v>22.49</v>
      </c>
      <c r="AA391" s="159">
        <f>Y391/Z391</f>
        <v/>
      </c>
      <c r="AB391" s="159">
        <f>(AA391/Y391)*100</f>
        <v/>
      </c>
    </row>
    <row r="392">
      <c r="A392" s="155" t="n">
        <v>391</v>
      </c>
      <c r="B392" s="160" t="n">
        <v>45138</v>
      </c>
      <c r="C392" s="159" t="n">
        <v>31183703.99</v>
      </c>
      <c r="D392" s="174">
        <f>C392/E392</f>
        <v/>
      </c>
      <c r="E392" s="159" t="n">
        <v>82.23999999999999</v>
      </c>
      <c r="F392" s="159">
        <f>D392/100000</f>
        <v/>
      </c>
      <c r="G392" s="159">
        <f>(F392/DataSheet!$C$10*100)</f>
        <v/>
      </c>
      <c r="H392" s="159">
        <f>K392/I392</f>
        <v/>
      </c>
      <c r="I392" s="159">
        <f>(J392/L392)*100</f>
        <v/>
      </c>
      <c r="J392" s="159">
        <f>L392/O392</f>
        <v/>
      </c>
      <c r="K392" s="159" t="n">
        <v>7.17</v>
      </c>
      <c r="L392" s="159" t="n">
        <v>19753.8</v>
      </c>
      <c r="M392" s="159" t="n">
        <v>4.83</v>
      </c>
      <c r="N392" s="159">
        <f>K392-I392</f>
        <v/>
      </c>
      <c r="O392" s="159" t="n">
        <v>23.01</v>
      </c>
      <c r="P392" s="159" t="n">
        <v>3.96</v>
      </c>
      <c r="Q392" s="159">
        <f>K392-P392</f>
        <v/>
      </c>
      <c r="R392" s="159" t="n">
        <v>101.62</v>
      </c>
      <c r="S392" s="159">
        <f>(O392*T392)/100</f>
        <v/>
      </c>
      <c r="T392" s="157" t="n">
        <v>6.74</v>
      </c>
      <c r="U392" s="157" t="n">
        <v>14140</v>
      </c>
      <c r="V392" s="157" t="n">
        <v>27.41</v>
      </c>
      <c r="W392" s="159">
        <f>U392/V392</f>
        <v/>
      </c>
      <c r="X392" s="159">
        <f>(W392/U392)*100</f>
        <v/>
      </c>
      <c r="Y392" s="157" t="n">
        <v>11355</v>
      </c>
      <c r="Z392" s="157" t="n">
        <v>22.67</v>
      </c>
      <c r="AA392" s="159">
        <f>Y392/Z392</f>
        <v/>
      </c>
      <c r="AB392" s="159">
        <f>(AA392/Y392)*100</f>
        <v/>
      </c>
    </row>
    <row r="393">
      <c r="A393" s="155" t="n">
        <v>392</v>
      </c>
      <c r="B393" s="160" t="n">
        <v>45139</v>
      </c>
      <c r="C393" s="159" t="n">
        <v>31205317.38</v>
      </c>
      <c r="D393" s="174">
        <f>C393/E393</f>
        <v/>
      </c>
      <c r="E393" s="159" t="n">
        <v>82.34</v>
      </c>
      <c r="F393" s="159">
        <f>D393/100000</f>
        <v/>
      </c>
      <c r="G393" s="159">
        <f>(F393/DataSheet!$C$10*100)</f>
        <v/>
      </c>
      <c r="H393" s="159">
        <f>K393/I393</f>
        <v/>
      </c>
      <c r="I393" s="159">
        <f>(J393/L393)*100</f>
        <v/>
      </c>
      <c r="J393" s="159">
        <f>L393/O393</f>
        <v/>
      </c>
      <c r="K393" s="159" t="n">
        <v>7.15</v>
      </c>
      <c r="L393" s="159" t="n">
        <v>19733.55</v>
      </c>
      <c r="M393" s="159" t="n">
        <v>4.82</v>
      </c>
      <c r="N393" s="159">
        <f>K393-I393</f>
        <v/>
      </c>
      <c r="O393" s="159" t="n">
        <v>22.96</v>
      </c>
      <c r="P393" s="159" t="n">
        <v>4.03</v>
      </c>
      <c r="Q393" s="159">
        <f>K393-P393</f>
        <v/>
      </c>
      <c r="R393" s="159" t="n">
        <v>102.08</v>
      </c>
      <c r="S393" s="159">
        <f>(O393*T393)/100</f>
        <v/>
      </c>
      <c r="T393" s="157" t="n">
        <v>6.74</v>
      </c>
      <c r="U393" s="157" t="n">
        <v>14151</v>
      </c>
      <c r="V393" s="157" t="n">
        <v>27.35</v>
      </c>
      <c r="W393" s="159">
        <f>U393/V393</f>
        <v/>
      </c>
      <c r="X393" s="159">
        <f>(W393/U393)*100</f>
        <v/>
      </c>
      <c r="Y393" s="157" t="n">
        <v>11377.65</v>
      </c>
      <c r="Z393" s="157" t="n">
        <v>22.76</v>
      </c>
      <c r="AA393" s="159">
        <f>Y393/Z393</f>
        <v/>
      </c>
      <c r="AB393" s="159">
        <f>(AA393/Y393)*100</f>
        <v/>
      </c>
    </row>
    <row r="394">
      <c r="A394" s="155" t="n">
        <v>393</v>
      </c>
      <c r="B394" s="160" t="n">
        <v>45140</v>
      </c>
      <c r="C394" s="159" t="n">
        <v>30857244.28</v>
      </c>
      <c r="D394" s="174">
        <f>C394/E394</f>
        <v/>
      </c>
      <c r="E394" s="159" t="n">
        <v>82.73</v>
      </c>
      <c r="F394" s="159">
        <f>D394/100000</f>
        <v/>
      </c>
      <c r="G394" s="159">
        <f>(F394/DataSheet!$C$10*100)</f>
        <v/>
      </c>
      <c r="H394" s="159">
        <f>K394/I394</f>
        <v/>
      </c>
      <c r="I394" s="159">
        <f>(J394/L394)*100</f>
        <v/>
      </c>
      <c r="J394" s="159">
        <f>L394/O394</f>
        <v/>
      </c>
      <c r="K394" s="159" t="n">
        <v>7.15</v>
      </c>
      <c r="L394" s="159" t="n">
        <v>19526.55</v>
      </c>
      <c r="M394" s="159" t="n">
        <v>4.73</v>
      </c>
      <c r="N394" s="159">
        <f>K394-I394</f>
        <v/>
      </c>
      <c r="O394" s="159" t="n">
        <v>22.72</v>
      </c>
      <c r="P394" s="159" t="n">
        <v>4.09</v>
      </c>
      <c r="Q394" s="159">
        <f>K394-P394</f>
        <v/>
      </c>
      <c r="R394" s="159" t="n">
        <v>102.39</v>
      </c>
      <c r="S394" s="159">
        <f>(O394*T394)/100</f>
        <v/>
      </c>
      <c r="T394" s="157" t="n">
        <v>6.74</v>
      </c>
      <c r="U394" s="157" t="n">
        <v>13975.2</v>
      </c>
      <c r="V394" s="157" t="n">
        <v>26.97</v>
      </c>
      <c r="W394" s="159">
        <f>U394/V394</f>
        <v/>
      </c>
      <c r="X394" s="159">
        <f>(W394/U394)*100</f>
        <v/>
      </c>
      <c r="Y394" s="157" t="n">
        <v>11232.1</v>
      </c>
      <c r="Z394" s="157" t="n">
        <v>22.47</v>
      </c>
      <c r="AA394" s="159">
        <f>Y394/Z394</f>
        <v/>
      </c>
      <c r="AB394" s="159">
        <f>(AA394/Y394)*100</f>
        <v/>
      </c>
    </row>
    <row r="395">
      <c r="A395" s="155" t="n">
        <v>394</v>
      </c>
      <c r="B395" s="160" t="n">
        <v>45141</v>
      </c>
      <c r="C395" s="159" t="n">
        <v>30752964.87</v>
      </c>
      <c r="D395" s="174">
        <f>C395/E395</f>
        <v/>
      </c>
      <c r="E395" s="159" t="n">
        <v>82.75</v>
      </c>
      <c r="F395" s="159">
        <f>D395/100000</f>
        <v/>
      </c>
      <c r="G395" s="159">
        <f>(F395/DataSheet!$C$10*100)</f>
        <v/>
      </c>
      <c r="H395" s="159">
        <f>K395/I395</f>
        <v/>
      </c>
      <c r="I395" s="159">
        <f>(J395/L395)*100</f>
        <v/>
      </c>
      <c r="J395" s="159">
        <f>L395/O395</f>
        <v/>
      </c>
      <c r="K395" s="159" t="n">
        <v>7.19</v>
      </c>
      <c r="L395" s="159" t="n">
        <v>19381.65</v>
      </c>
      <c r="M395" s="159" t="n">
        <v>4.69</v>
      </c>
      <c r="N395" s="159">
        <f>K395-I395</f>
        <v/>
      </c>
      <c r="O395" s="159" t="n">
        <v>22.55</v>
      </c>
      <c r="P395" s="159" t="n">
        <v>4.17</v>
      </c>
      <c r="Q395" s="159">
        <f>K395-P395</f>
        <v/>
      </c>
      <c r="R395" s="159" t="n">
        <v>102.35</v>
      </c>
      <c r="S395" s="159">
        <f>(O395*T395)/100</f>
        <v/>
      </c>
      <c r="T395" s="157" t="n">
        <v>6.74</v>
      </c>
      <c r="U395" s="157" t="n">
        <v>13979.05</v>
      </c>
      <c r="V395" s="157" t="n">
        <v>26.97</v>
      </c>
      <c r="W395" s="159">
        <f>U395/V395</f>
        <v/>
      </c>
      <c r="X395" s="159">
        <f>(W395/U395)*100</f>
        <v/>
      </c>
      <c r="Y395" s="157" t="n">
        <v>11247.5</v>
      </c>
      <c r="Z395" s="157" t="n">
        <v>22.54</v>
      </c>
      <c r="AA395" s="159">
        <f>Y395/Z395</f>
        <v/>
      </c>
      <c r="AB395" s="159">
        <f>(AA395/Y395)*100</f>
        <v/>
      </c>
    </row>
    <row r="396">
      <c r="A396" s="155" t="n">
        <v>395</v>
      </c>
      <c r="B396" s="160" t="n">
        <v>45142</v>
      </c>
      <c r="C396" s="159" t="n">
        <v>30941325.6</v>
      </c>
      <c r="D396" s="174">
        <f>C396/E396</f>
        <v/>
      </c>
      <c r="E396" s="159" t="n">
        <v>82.69</v>
      </c>
      <c r="F396" s="159">
        <f>D396/100000</f>
        <v/>
      </c>
      <c r="G396" s="159">
        <f>(F396/DataSheet!$C$10*100)</f>
        <v/>
      </c>
      <c r="H396" s="159">
        <f>K396/I396</f>
        <v/>
      </c>
      <c r="I396" s="159">
        <f>(J396/L396)*100</f>
        <v/>
      </c>
      <c r="J396" s="159">
        <f>L396/O396</f>
        <v/>
      </c>
      <c r="K396" s="159" t="n">
        <v>7.19</v>
      </c>
      <c r="L396" s="159" t="n">
        <v>19517</v>
      </c>
      <c r="M396" s="159" t="n">
        <v>4.72</v>
      </c>
      <c r="N396" s="159">
        <f>K396-I396</f>
        <v/>
      </c>
      <c r="O396" s="159" t="n">
        <v>22.71</v>
      </c>
      <c r="P396" s="159" t="n">
        <v>4.04</v>
      </c>
      <c r="Q396" s="159">
        <f>K396-P396</f>
        <v/>
      </c>
      <c r="R396" s="159" t="n">
        <v>101.83</v>
      </c>
      <c r="S396" s="159">
        <f>(O396*T396)/100</f>
        <v/>
      </c>
      <c r="T396" s="157" t="n">
        <v>6.73</v>
      </c>
      <c r="U396" s="157" t="n">
        <v>14079.3</v>
      </c>
      <c r="V396" s="157" t="n">
        <v>24.9</v>
      </c>
      <c r="W396" s="159">
        <f>U396/V396</f>
        <v/>
      </c>
      <c r="X396" s="159">
        <f>(W396/U396)*100</f>
        <v/>
      </c>
      <c r="Y396" s="157" t="n">
        <v>11317.75</v>
      </c>
      <c r="Z396" s="157" t="n">
        <v>22.64</v>
      </c>
      <c r="AA396" s="159">
        <f>Y396/Z396</f>
        <v/>
      </c>
      <c r="AB396" s="159">
        <f>(AA396/Y396)*100</f>
        <v/>
      </c>
    </row>
    <row r="397">
      <c r="A397" s="155" t="n">
        <v>396</v>
      </c>
      <c r="B397" s="160" t="n">
        <v>45145</v>
      </c>
      <c r="C397" s="159" t="n">
        <v>31060886.75</v>
      </c>
      <c r="D397" s="174">
        <f>C397/E397</f>
        <v/>
      </c>
      <c r="E397" s="159" t="n">
        <v>82.77</v>
      </c>
      <c r="F397" s="159">
        <f>D397/100000</f>
        <v/>
      </c>
      <c r="G397" s="159">
        <f>(F397/DataSheet!$C$10*100)</f>
        <v/>
      </c>
      <c r="H397" s="159">
        <f>K397/I397</f>
        <v/>
      </c>
      <c r="I397" s="159">
        <f>(J397/L397)*100</f>
        <v/>
      </c>
      <c r="J397" s="159">
        <f>L397/O397</f>
        <v/>
      </c>
      <c r="K397" s="159" t="n">
        <v>7.19</v>
      </c>
      <c r="L397" s="159" t="n">
        <v>19597.3</v>
      </c>
      <c r="M397" s="159" t="n">
        <v>4.74</v>
      </c>
      <c r="N397" s="159">
        <f>K397-I397</f>
        <v/>
      </c>
      <c r="O397" s="159" t="n">
        <v>22.83</v>
      </c>
      <c r="P397" s="159" t="n">
        <v>4.09</v>
      </c>
      <c r="Q397" s="159">
        <f>K397-P397</f>
        <v/>
      </c>
      <c r="R397" s="159" t="n">
        <v>101.86</v>
      </c>
      <c r="S397" s="159">
        <f>(O397*T397)/100</f>
        <v/>
      </c>
      <c r="T397" s="157" t="n">
        <v>6.75</v>
      </c>
      <c r="U397" s="157" t="n">
        <v>14149.95</v>
      </c>
      <c r="V397" s="157" t="n">
        <v>24.63</v>
      </c>
      <c r="W397" s="159">
        <f>U397/V397</f>
        <v/>
      </c>
      <c r="X397" s="159">
        <f>(W397/U397)*100</f>
        <v/>
      </c>
      <c r="Y397" s="157" t="n">
        <v>11353.1</v>
      </c>
      <c r="Z397" s="157" t="n">
        <v>22.61</v>
      </c>
      <c r="AA397" s="159">
        <f>Y397/Z397</f>
        <v/>
      </c>
      <c r="AB397" s="159">
        <f>(AA397/Y397)*100</f>
        <v/>
      </c>
    </row>
    <row r="398">
      <c r="A398" s="155" t="n">
        <v>397</v>
      </c>
      <c r="B398" s="160" t="n">
        <v>45146</v>
      </c>
      <c r="C398" s="159" t="n">
        <v>31062004.88</v>
      </c>
      <c r="D398" s="174">
        <f>C398/E398</f>
        <v/>
      </c>
      <c r="E398" s="159" t="n">
        <v>82.88</v>
      </c>
      <c r="F398" s="159">
        <f>D398/100000</f>
        <v/>
      </c>
      <c r="G398" s="159">
        <f>(F398/DataSheet!$C$10*100)</f>
        <v/>
      </c>
      <c r="H398" s="159">
        <f>K398/I398</f>
        <v/>
      </c>
      <c r="I398" s="159">
        <f>(J398/L398)*100</f>
        <v/>
      </c>
      <c r="J398" s="159">
        <f>L398/O398</f>
        <v/>
      </c>
      <c r="K398" s="159" t="n">
        <v>7.16</v>
      </c>
      <c r="L398" s="159" t="n">
        <v>19570.85</v>
      </c>
      <c r="M398" s="159" t="n">
        <v>4.73</v>
      </c>
      <c r="N398" s="159">
        <f>K398-I398</f>
        <v/>
      </c>
      <c r="O398" s="159" t="n">
        <v>22.73</v>
      </c>
      <c r="P398" s="159" t="n">
        <v>4.02</v>
      </c>
      <c r="Q398" s="159">
        <f>K398-P398</f>
        <v/>
      </c>
      <c r="R398" s="159" t="n">
        <v>102.34</v>
      </c>
      <c r="S398" s="159">
        <f>(O398*T398)/100</f>
        <v/>
      </c>
      <c r="T398" s="157" t="n">
        <v>6.75</v>
      </c>
      <c r="U398" s="157" t="n">
        <v>14186.2</v>
      </c>
      <c r="V398" s="157" t="n">
        <v>24.6</v>
      </c>
      <c r="W398" s="159">
        <f>U398/V398</f>
        <v/>
      </c>
      <c r="X398" s="159">
        <f>(W398/U398)*100</f>
        <v/>
      </c>
      <c r="Y398" s="157" t="n">
        <v>11371.55</v>
      </c>
      <c r="Z398" s="157" t="n">
        <v>22.74</v>
      </c>
      <c r="AA398" s="159">
        <f>Y398/Z398</f>
        <v/>
      </c>
      <c r="AB398" s="159">
        <f>(AA398/Y398)*100</f>
        <v/>
      </c>
    </row>
    <row r="399">
      <c r="A399" s="155" t="n">
        <v>398</v>
      </c>
      <c r="B399" s="160" t="n">
        <v>45147</v>
      </c>
      <c r="C399" s="159" t="n">
        <v>31158172.25</v>
      </c>
      <c r="D399" s="174">
        <f>C399/E399</f>
        <v/>
      </c>
      <c r="E399" s="159" t="n">
        <v>82.87</v>
      </c>
      <c r="F399" s="159">
        <f>D399/100000</f>
        <v/>
      </c>
      <c r="G399" s="159">
        <f>(F399/DataSheet!$C$10*100)</f>
        <v/>
      </c>
      <c r="H399" s="159">
        <f>K399/I399</f>
        <v/>
      </c>
      <c r="I399" s="159">
        <f>(J399/L399)*100</f>
        <v/>
      </c>
      <c r="J399" s="159">
        <f>L399/O399</f>
        <v/>
      </c>
      <c r="K399" s="159" t="n">
        <v>7.17</v>
      </c>
      <c r="L399" s="159" t="n">
        <v>19632.55</v>
      </c>
      <c r="M399" s="159" t="n">
        <v>4.75</v>
      </c>
      <c r="N399" s="159">
        <f>K399-I399</f>
        <v/>
      </c>
      <c r="O399" s="159" t="n">
        <v>22.81</v>
      </c>
      <c r="P399" s="159" t="n">
        <v>4.01</v>
      </c>
      <c r="Q399" s="159">
        <f>K399-P399</f>
        <v/>
      </c>
      <c r="R399" s="159" t="n">
        <v>102.31</v>
      </c>
      <c r="S399" s="159">
        <f>(O399*T399)/100</f>
        <v/>
      </c>
      <c r="T399" s="157" t="n">
        <v>6.75</v>
      </c>
      <c r="U399" s="157" t="n">
        <v>14230.05</v>
      </c>
      <c r="V399" s="157" t="n">
        <v>24.67</v>
      </c>
      <c r="W399" s="159">
        <f>U399/V399</f>
        <v/>
      </c>
      <c r="X399" s="159">
        <f>(W399/U399)*100</f>
        <v/>
      </c>
      <c r="Y399" s="157" t="n">
        <v>11435.95</v>
      </c>
      <c r="Z399" s="157" t="n">
        <v>22.87</v>
      </c>
      <c r="AA399" s="159">
        <f>Y399/Z399</f>
        <v/>
      </c>
      <c r="AB399" s="159">
        <f>(AA399/Y399)*100</f>
        <v/>
      </c>
    </row>
    <row r="400">
      <c r="A400" s="155" t="n">
        <v>399</v>
      </c>
      <c r="B400" s="160" t="n">
        <v>45148</v>
      </c>
      <c r="C400" s="159" t="n">
        <v>31076449.95</v>
      </c>
      <c r="D400" s="174">
        <f>C400/E400</f>
        <v/>
      </c>
      <c r="E400" s="159" t="n">
        <v>82.64</v>
      </c>
      <c r="F400" s="159">
        <f>D400/100000</f>
        <v/>
      </c>
      <c r="G400" s="159">
        <f>(F400/DataSheet!$C$10*100)</f>
        <v/>
      </c>
      <c r="H400" s="159">
        <f>K400/I400</f>
        <v/>
      </c>
      <c r="I400" s="159">
        <f>(J400/L400)*100</f>
        <v/>
      </c>
      <c r="J400" s="159">
        <f>L400/O400</f>
        <v/>
      </c>
      <c r="K400" s="159" t="n">
        <v>7.15</v>
      </c>
      <c r="L400" s="159" t="n">
        <v>19543.1</v>
      </c>
      <c r="M400" s="159" t="n">
        <v>4.73</v>
      </c>
      <c r="N400" s="159">
        <f>K400-I400</f>
        <v/>
      </c>
      <c r="O400" s="159" t="n">
        <v>22.77</v>
      </c>
      <c r="P400" s="159" t="n">
        <v>4.1</v>
      </c>
      <c r="Q400" s="159">
        <f>K400-P400</f>
        <v/>
      </c>
      <c r="R400" s="159" t="n">
        <v>102.36</v>
      </c>
      <c r="S400" s="159">
        <f>(O400*T400)/100</f>
        <v/>
      </c>
      <c r="T400" s="157" t="n">
        <v>6.77</v>
      </c>
      <c r="U400" s="157" t="n">
        <v>14228.5</v>
      </c>
      <c r="V400" s="157" t="n">
        <v>24.83</v>
      </c>
      <c r="W400" s="159">
        <f>U400/V400</f>
        <v/>
      </c>
      <c r="X400" s="159">
        <f>(W400/U400)*100</f>
        <v/>
      </c>
      <c r="Y400" s="157" t="n">
        <v>11406.8</v>
      </c>
      <c r="Z400" s="157" t="n">
        <v>23.05</v>
      </c>
      <c r="AA400" s="159">
        <f>Y400/Z400</f>
        <v/>
      </c>
      <c r="AB400" s="159">
        <f>(AA400/Y400)*100</f>
        <v/>
      </c>
    </row>
    <row r="401">
      <c r="A401" s="155" t="n">
        <v>400</v>
      </c>
      <c r="B401" s="160" t="n">
        <v>45149</v>
      </c>
      <c r="C401" s="159" t="n">
        <v>31007372.8</v>
      </c>
      <c r="D401" s="174">
        <f>C401/E401</f>
        <v/>
      </c>
      <c r="E401" s="159" t="n">
        <v>82.89</v>
      </c>
      <c r="F401" s="159">
        <f>D401/100000</f>
        <v/>
      </c>
      <c r="G401" s="159">
        <f>(F401/DataSheet!$C$10*100)</f>
        <v/>
      </c>
      <c r="H401" s="159">
        <f>K401/I401</f>
        <v/>
      </c>
      <c r="I401" s="159">
        <f>(J401/L401)*100</f>
        <v/>
      </c>
      <c r="J401" s="159">
        <f>L401/O401</f>
        <v/>
      </c>
      <c r="K401" s="159" t="n">
        <v>7.19</v>
      </c>
      <c r="L401" s="159" t="n">
        <v>19428.3</v>
      </c>
      <c r="M401" s="159" t="n">
        <v>4.7</v>
      </c>
      <c r="N401" s="159">
        <f>K401-I401</f>
        <v/>
      </c>
      <c r="O401" s="159" t="n">
        <v>22.63</v>
      </c>
      <c r="P401" s="159" t="n">
        <v>4.15</v>
      </c>
      <c r="Q401" s="159">
        <f>K401-P401</f>
        <v/>
      </c>
      <c r="R401" s="159" t="n">
        <v>102.69</v>
      </c>
      <c r="S401" s="159">
        <f>(O401*T401)/100</f>
        <v/>
      </c>
      <c r="T401" s="157" t="n">
        <v>6.77</v>
      </c>
      <c r="U401" s="157" t="n">
        <v>14190.3</v>
      </c>
      <c r="V401" s="157" t="n">
        <v>24.83</v>
      </c>
      <c r="W401" s="159">
        <f>U401/V401</f>
        <v/>
      </c>
      <c r="X401" s="159">
        <f>(W401/U401)*100</f>
        <v/>
      </c>
      <c r="Y401" s="157" t="n">
        <v>11376.5</v>
      </c>
      <c r="Z401" s="157" t="n">
        <v>22.8</v>
      </c>
      <c r="AA401" s="159">
        <f>Y401/Z401</f>
        <v/>
      </c>
      <c r="AB401" s="159">
        <f>(AA401/Y401)*100</f>
        <v/>
      </c>
    </row>
    <row r="402">
      <c r="A402" s="155" t="n">
        <v>401</v>
      </c>
      <c r="B402" s="160" t="n">
        <v>45152</v>
      </c>
      <c r="C402" s="159" t="n">
        <v>30909073.53</v>
      </c>
      <c r="D402" s="174">
        <f>C402/E402</f>
        <v/>
      </c>
      <c r="E402" s="159" t="n">
        <v>83.18000000000001</v>
      </c>
      <c r="F402" s="159">
        <f>D402/100000</f>
        <v/>
      </c>
      <c r="G402" s="159">
        <f>(F402/DataSheet!$C$10*100)</f>
        <v/>
      </c>
      <c r="H402" s="159">
        <f>K402/I402</f>
        <v/>
      </c>
      <c r="I402" s="159">
        <f>(J402/L402)*100</f>
        <v/>
      </c>
      <c r="J402" s="159">
        <f>L402/O402</f>
        <v/>
      </c>
      <c r="K402" s="159" t="n">
        <v>7.2</v>
      </c>
      <c r="L402" s="159" t="n">
        <v>19434.55</v>
      </c>
      <c r="M402" s="159" t="n">
        <v>4.7</v>
      </c>
      <c r="N402" s="159">
        <f>K402-I402</f>
        <v/>
      </c>
      <c r="O402" s="159" t="n">
        <v>22.64</v>
      </c>
      <c r="P402" s="159" t="n">
        <v>4.2</v>
      </c>
      <c r="Q402" s="159">
        <f>K402-P402</f>
        <v/>
      </c>
      <c r="R402" s="159" t="n">
        <v>103.05</v>
      </c>
      <c r="S402" s="159">
        <f>(O402*T402)/100</f>
        <v/>
      </c>
      <c r="T402" s="157" t="n">
        <v>6.77</v>
      </c>
      <c r="U402" s="157" t="n">
        <v>14153.95</v>
      </c>
      <c r="V402" s="157" t="n">
        <v>24.77</v>
      </c>
      <c r="W402" s="159">
        <f>U402/V402</f>
        <v/>
      </c>
      <c r="X402" s="159">
        <f>(W402/U402)*100</f>
        <v/>
      </c>
      <c r="Y402" s="157" t="n">
        <v>11302.85</v>
      </c>
      <c r="Z402" s="157" t="n">
        <v>22.66</v>
      </c>
      <c r="AA402" s="159">
        <f>Y402/Z402</f>
        <v/>
      </c>
      <c r="AB402" s="159">
        <f>(AA402/Y402)*100</f>
        <v/>
      </c>
    </row>
    <row r="403">
      <c r="A403" s="155" t="n">
        <v>402</v>
      </c>
      <c r="B403" s="160" t="n">
        <v>45154</v>
      </c>
      <c r="C403" s="159" t="n">
        <v>30987735.27</v>
      </c>
      <c r="D403" s="174">
        <f>C403/E403</f>
        <v/>
      </c>
      <c r="E403" s="159" t="n">
        <v>83.29000000000001</v>
      </c>
      <c r="F403" s="159">
        <f>D403/100000</f>
        <v/>
      </c>
      <c r="G403" s="159">
        <f>(F403/DataSheet!$C$10*100)</f>
        <v/>
      </c>
      <c r="H403" s="159">
        <f>K403/I403</f>
        <v/>
      </c>
      <c r="I403" s="159">
        <f>(J403/L403)*100</f>
        <v/>
      </c>
      <c r="J403" s="159">
        <f>L403/O403</f>
        <v/>
      </c>
      <c r="K403" s="159" t="n">
        <v>7.25</v>
      </c>
      <c r="L403" s="159" t="n">
        <v>19465</v>
      </c>
      <c r="M403" s="159" t="n">
        <v>4.68</v>
      </c>
      <c r="N403" s="159">
        <f>K403-I403</f>
        <v/>
      </c>
      <c r="O403" s="159" t="n">
        <v>22.52</v>
      </c>
      <c r="P403" s="159" t="n">
        <v>4.25</v>
      </c>
      <c r="Q403" s="159">
        <f>K403-P403</f>
        <v/>
      </c>
      <c r="R403" s="159" t="n">
        <v>103.31</v>
      </c>
      <c r="S403" s="159">
        <f>(O403*T403)/100</f>
        <v/>
      </c>
      <c r="T403" s="157" t="n">
        <v>6.77</v>
      </c>
      <c r="U403" s="157" t="n">
        <v>14172.6</v>
      </c>
      <c r="V403" s="157" t="n">
        <v>24.74</v>
      </c>
      <c r="W403" s="159">
        <f>U403/V403</f>
        <v/>
      </c>
      <c r="X403" s="159">
        <f>(W403/U403)*100</f>
        <v/>
      </c>
      <c r="Y403" s="157" t="n">
        <v>11350.2</v>
      </c>
      <c r="Z403" s="157" t="n">
        <v>22.78</v>
      </c>
      <c r="AA403" s="159">
        <f>Y403/Z403</f>
        <v/>
      </c>
      <c r="AB403" s="159">
        <f>(AA403/Y403)*100</f>
        <v/>
      </c>
    </row>
    <row r="404">
      <c r="A404" s="155" t="n">
        <v>403</v>
      </c>
      <c r="B404" s="160" t="n">
        <v>45155</v>
      </c>
      <c r="C404" s="159" t="n">
        <v>30936042.72</v>
      </c>
      <c r="D404" s="174">
        <f>C404/E404</f>
        <v/>
      </c>
      <c r="E404" s="159" t="n">
        <v>83.14</v>
      </c>
      <c r="F404" s="159">
        <f>D404/100000</f>
        <v/>
      </c>
      <c r="G404" s="159">
        <f>(F404/DataSheet!$C$10*100)</f>
        <v/>
      </c>
      <c r="H404" s="159">
        <f>K404/I404</f>
        <v/>
      </c>
      <c r="I404" s="159">
        <f>(J404/L404)*100</f>
        <v/>
      </c>
      <c r="J404" s="159">
        <f>L404/O404</f>
        <v/>
      </c>
      <c r="K404" s="159" t="n">
        <v>7.21</v>
      </c>
      <c r="L404" s="159" t="n">
        <v>19365.25</v>
      </c>
      <c r="M404" s="159" t="n">
        <v>4.66</v>
      </c>
      <c r="N404" s="159">
        <f>K404-I404</f>
        <v/>
      </c>
      <c r="O404" s="159" t="n">
        <v>22.39</v>
      </c>
      <c r="P404" s="159" t="n">
        <v>4.28</v>
      </c>
      <c r="Q404" s="159">
        <f>K404-P404</f>
        <v/>
      </c>
      <c r="R404" s="159" t="n">
        <v>103.47</v>
      </c>
      <c r="S404" s="159">
        <f>(O404*T404)/100</f>
        <v/>
      </c>
      <c r="T404" s="157" t="n">
        <v>6.87</v>
      </c>
      <c r="U404" s="157" t="n">
        <v>14215.2</v>
      </c>
      <c r="V404" s="157" t="n">
        <v>24.81</v>
      </c>
      <c r="W404" s="159">
        <f>U404/V404</f>
        <v/>
      </c>
      <c r="X404" s="159">
        <f>(W404/U404)*100</f>
        <v/>
      </c>
      <c r="Y404" s="157" t="n">
        <v>11370.95</v>
      </c>
      <c r="Z404" s="157" t="n">
        <v>22.82</v>
      </c>
      <c r="AA404" s="159">
        <f>Y404/Z404</f>
        <v/>
      </c>
      <c r="AB404" s="159">
        <f>(AA404/Y404)*100</f>
        <v/>
      </c>
    </row>
    <row r="405">
      <c r="A405" s="155" t="n">
        <v>404</v>
      </c>
      <c r="B405" s="160" t="n">
        <v>45156</v>
      </c>
      <c r="C405" s="159" t="n">
        <v>30881351.5</v>
      </c>
      <c r="D405" s="174">
        <f>C405/E405</f>
        <v/>
      </c>
      <c r="E405" s="159" t="n">
        <v>83.14</v>
      </c>
      <c r="F405" s="159">
        <f>D405/100000</f>
        <v/>
      </c>
      <c r="G405" s="159">
        <f>(F405/DataSheet!$C$10*100)</f>
        <v/>
      </c>
      <c r="H405" s="159">
        <f>K405/I405</f>
        <v/>
      </c>
      <c r="I405" s="159">
        <f>(J405/L405)*100</f>
        <v/>
      </c>
      <c r="J405" s="159">
        <f>L405/O405</f>
        <v/>
      </c>
      <c r="K405" s="159" t="n">
        <v>7.22</v>
      </c>
      <c r="L405" s="159" t="n">
        <v>19310.15</v>
      </c>
      <c r="M405" s="159" t="n">
        <v>4.64</v>
      </c>
      <c r="N405" s="159">
        <f>K405-I405</f>
        <v/>
      </c>
      <c r="O405" s="159" t="n">
        <v>22.32</v>
      </c>
      <c r="P405" s="159" t="n">
        <v>4.25</v>
      </c>
      <c r="Q405" s="159">
        <f>K405-P405</f>
        <v/>
      </c>
      <c r="R405" s="159" t="n">
        <v>103.27</v>
      </c>
      <c r="S405" s="159">
        <f>(O405*T405)/100</f>
        <v/>
      </c>
      <c r="T405" s="157" t="n">
        <v>6.86</v>
      </c>
      <c r="U405" s="157" t="n">
        <v>14193.45</v>
      </c>
      <c r="V405" s="157" t="n">
        <v>24.77</v>
      </c>
      <c r="W405" s="159">
        <f>U405/V405</f>
        <v/>
      </c>
      <c r="X405" s="159">
        <f>(W405/U405)*100</f>
        <v/>
      </c>
      <c r="Y405" s="157" t="n">
        <v>11338.05</v>
      </c>
      <c r="Z405" s="157" t="n">
        <v>22.76</v>
      </c>
      <c r="AA405" s="159">
        <f>Y405/Z405</f>
        <v/>
      </c>
      <c r="AB405" s="159">
        <f>(AA405/Y405)*100</f>
        <v/>
      </c>
    </row>
    <row r="406">
      <c r="A406" s="155" t="n">
        <v>405</v>
      </c>
      <c r="B406" s="160" t="n">
        <v>45159</v>
      </c>
      <c r="C406" s="159" t="n">
        <v>31228274.69</v>
      </c>
      <c r="D406" s="174">
        <f>C406/E406</f>
        <v/>
      </c>
      <c r="E406" s="159" t="n">
        <v>83.09</v>
      </c>
      <c r="F406" s="159">
        <f>D406/100000</f>
        <v/>
      </c>
      <c r="G406" s="159">
        <f>(F406/DataSheet!$C$10*100)</f>
        <v/>
      </c>
      <c r="H406" s="159">
        <f>K406/I406</f>
        <v/>
      </c>
      <c r="I406" s="159">
        <f>(J406/L406)*100</f>
        <v/>
      </c>
      <c r="J406" s="159">
        <f>L406/O406</f>
        <v/>
      </c>
      <c r="K406" s="159" t="n">
        <v>7.21</v>
      </c>
      <c r="L406" s="159" t="n">
        <v>19393.6</v>
      </c>
      <c r="M406" s="159" t="n">
        <v>4.66</v>
      </c>
      <c r="N406" s="159">
        <f>K406-I406</f>
        <v/>
      </c>
      <c r="O406" s="159" t="n">
        <v>22.42</v>
      </c>
      <c r="P406" s="159" t="n">
        <v>4.34</v>
      </c>
      <c r="Q406" s="159">
        <f>K406-P406</f>
        <v/>
      </c>
      <c r="R406" s="159" t="n">
        <v>103.2</v>
      </c>
      <c r="S406" s="159">
        <f>(O406*T406)/100</f>
        <v/>
      </c>
      <c r="T406" s="157" t="n">
        <v>6.86</v>
      </c>
      <c r="U406" s="157" t="n">
        <v>14302.15</v>
      </c>
      <c r="V406" s="157" t="n">
        <v>24.96</v>
      </c>
      <c r="W406" s="159">
        <f>U406/V406</f>
        <v/>
      </c>
      <c r="X406" s="159">
        <f>(W406/U406)*100</f>
        <v/>
      </c>
      <c r="Y406" s="157" t="n">
        <v>11432.65</v>
      </c>
      <c r="Z406" s="157" t="n">
        <v>22.95</v>
      </c>
      <c r="AA406" s="159">
        <f>Y406/Z406</f>
        <v/>
      </c>
      <c r="AB406" s="159">
        <f>(AA406/Y406)*100</f>
        <v/>
      </c>
    </row>
    <row r="407">
      <c r="A407" s="155" t="n">
        <v>406</v>
      </c>
      <c r="B407" s="160" t="n">
        <v>45160</v>
      </c>
      <c r="C407" s="159" t="n">
        <v>31374740.17</v>
      </c>
      <c r="D407" s="174">
        <f>C407/E407</f>
        <v/>
      </c>
      <c r="E407" s="159" t="n">
        <v>83.04000000000001</v>
      </c>
      <c r="F407" s="159">
        <f>D407/100000</f>
        <v/>
      </c>
      <c r="G407" s="159">
        <f>(F407/DataSheet!$C$10*100)</f>
        <v/>
      </c>
      <c r="H407" s="159">
        <f>K407/I407</f>
        <v/>
      </c>
      <c r="I407" s="159">
        <f>(J407/L407)*100</f>
        <v/>
      </c>
      <c r="J407" s="159">
        <f>L407/O407</f>
        <v/>
      </c>
      <c r="K407" s="159" t="n">
        <v>7.19</v>
      </c>
      <c r="L407" s="159" t="n">
        <v>19396.45</v>
      </c>
      <c r="M407" s="159" t="n">
        <v>4.55</v>
      </c>
      <c r="N407" s="159">
        <f>K407-I407</f>
        <v/>
      </c>
      <c r="O407" s="159" t="n">
        <v>22.13</v>
      </c>
      <c r="P407" s="159" t="n">
        <v>4.33</v>
      </c>
      <c r="Q407" s="159">
        <f>K407-P407</f>
        <v/>
      </c>
      <c r="R407" s="159" t="n">
        <v>103.47</v>
      </c>
      <c r="S407" s="159">
        <f>(O407*T407)/100</f>
        <v/>
      </c>
      <c r="T407" s="157" t="n">
        <v>6.86</v>
      </c>
      <c r="U407" s="157" t="n">
        <v>14454.1</v>
      </c>
      <c r="V407" s="157" t="n">
        <v>25.03</v>
      </c>
      <c r="W407" s="159">
        <f>U407/V407</f>
        <v/>
      </c>
      <c r="X407" s="159">
        <f>(W407/U407)*100</f>
        <v/>
      </c>
      <c r="Y407" s="157" t="n">
        <v>11509.7</v>
      </c>
      <c r="Z407" s="157" t="n">
        <v>23.19</v>
      </c>
      <c r="AA407" s="159">
        <f>Y407/Z407</f>
        <v/>
      </c>
      <c r="AB407" s="159">
        <f>(AA407/Y407)*100</f>
        <v/>
      </c>
    </row>
    <row r="408">
      <c r="A408" s="155" t="n">
        <v>407</v>
      </c>
      <c r="B408" s="160" t="n">
        <v>45161</v>
      </c>
      <c r="C408" s="159" t="n">
        <v>31440453.24</v>
      </c>
      <c r="D408" s="174">
        <f>C408/E408</f>
        <v/>
      </c>
      <c r="E408" s="159" t="n">
        <v>82.5</v>
      </c>
      <c r="F408" s="159">
        <f>D408/100000</f>
        <v/>
      </c>
      <c r="G408" s="159">
        <f>(F408/DataSheet!$C$10*100)</f>
        <v/>
      </c>
      <c r="H408" s="159">
        <f>K408/I408</f>
        <v/>
      </c>
      <c r="I408" s="159">
        <f>(J408/L408)*100</f>
        <v/>
      </c>
      <c r="J408" s="159">
        <f>L408/O408</f>
        <v/>
      </c>
      <c r="K408" s="159" t="n">
        <v>7.19</v>
      </c>
      <c r="L408" s="159" t="n">
        <v>19444</v>
      </c>
      <c r="M408" s="159" t="n">
        <v>4.56</v>
      </c>
      <c r="N408" s="159">
        <f>K408-I408</f>
        <v/>
      </c>
      <c r="O408" s="159" t="n">
        <v>22.19</v>
      </c>
      <c r="P408" s="159" t="n">
        <v>4.19</v>
      </c>
      <c r="Q408" s="159">
        <f>K408-P408</f>
        <v/>
      </c>
      <c r="R408" s="159" t="n">
        <v>103.33</v>
      </c>
      <c r="S408" s="159">
        <f>(O408*T408)/100</f>
        <v/>
      </c>
      <c r="T408" s="157" t="n">
        <v>6.86</v>
      </c>
      <c r="U408" s="157" t="n">
        <v>14508.75</v>
      </c>
      <c r="V408" s="157" t="n">
        <v>25.13</v>
      </c>
      <c r="W408" s="159">
        <f>U408/V408</f>
        <v/>
      </c>
      <c r="X408" s="159">
        <f>(W408/U408)*100</f>
        <v/>
      </c>
      <c r="Y408" s="157" t="n">
        <v>11591.55</v>
      </c>
      <c r="Z408" s="157" t="n">
        <v>23.36</v>
      </c>
      <c r="AA408" s="159">
        <f>Y408/Z408</f>
        <v/>
      </c>
      <c r="AB408" s="159">
        <f>(AA408/Y408)*100</f>
        <v/>
      </c>
    </row>
    <row r="409">
      <c r="A409" s="155" t="n">
        <v>408</v>
      </c>
      <c r="B409" s="160" t="n">
        <v>45162</v>
      </c>
      <c r="C409" s="159" t="n">
        <v>31407607.72</v>
      </c>
      <c r="D409" s="174">
        <f>C409/E409</f>
        <v/>
      </c>
      <c r="E409" s="159" t="n">
        <v>82.58</v>
      </c>
      <c r="F409" s="159">
        <f>D409/100000</f>
        <v/>
      </c>
      <c r="G409" s="159">
        <f>(F409/DataSheet!$C$10*100)</f>
        <v/>
      </c>
      <c r="H409" s="159">
        <f>K409/I409</f>
        <v/>
      </c>
      <c r="I409" s="159">
        <f>(J409/L409)*100</f>
        <v/>
      </c>
      <c r="J409" s="159">
        <f>L409/O409</f>
        <v/>
      </c>
      <c r="K409" s="159" t="n">
        <v>7.2</v>
      </c>
      <c r="L409" s="159" t="n">
        <v>19386.7</v>
      </c>
      <c r="M409" s="159" t="n">
        <v>4.47</v>
      </c>
      <c r="N409" s="159">
        <f>K409-I409</f>
        <v/>
      </c>
      <c r="O409" s="159" t="n">
        <v>22.12</v>
      </c>
      <c r="P409" s="159" t="n">
        <v>4.24</v>
      </c>
      <c r="Q409" s="159">
        <f>K409-P409</f>
        <v/>
      </c>
      <c r="R409" s="159" t="n">
        <v>103.91</v>
      </c>
      <c r="S409" s="159">
        <f>(O409*T409)/100</f>
        <v/>
      </c>
      <c r="T409" s="157" t="n">
        <v>6.88</v>
      </c>
      <c r="U409" s="157" t="n">
        <v>14547.85</v>
      </c>
      <c r="V409" s="157" t="n">
        <v>25.2</v>
      </c>
      <c r="W409" s="159">
        <f>U409/V409</f>
        <v/>
      </c>
      <c r="X409" s="159">
        <f>(W409/U409)*100</f>
        <v/>
      </c>
      <c r="Y409" s="157" t="n">
        <v>11576.95</v>
      </c>
      <c r="Z409" s="157" t="n">
        <v>23.33</v>
      </c>
      <c r="AA409" s="159">
        <f>Y409/Z409</f>
        <v/>
      </c>
      <c r="AB409" s="159">
        <f>(AA409/Y409)*100</f>
        <v/>
      </c>
    </row>
    <row r="410">
      <c r="A410" s="155" t="n">
        <v>409</v>
      </c>
      <c r="B410" s="160" t="n">
        <v>45163</v>
      </c>
      <c r="C410" s="159" t="n">
        <v>31222719.14</v>
      </c>
      <c r="D410" s="174">
        <f>C410/E410</f>
        <v/>
      </c>
      <c r="E410" s="159" t="n">
        <v>82.63</v>
      </c>
      <c r="F410" s="159">
        <f>D410/100000</f>
        <v/>
      </c>
      <c r="G410" s="159">
        <f>(F410/DataSheet!$C$10*100)</f>
        <v/>
      </c>
      <c r="H410" s="159">
        <f>K410/I410</f>
        <v/>
      </c>
      <c r="I410" s="159">
        <f>(J410/L410)*100</f>
        <v/>
      </c>
      <c r="J410" s="159">
        <f>L410/O410</f>
        <v/>
      </c>
      <c r="K410" s="159" t="n">
        <v>7.17</v>
      </c>
      <c r="L410" s="159" t="n">
        <v>19265.8</v>
      </c>
      <c r="M410" s="159" t="n">
        <v>4.44</v>
      </c>
      <c r="N410" s="159">
        <f>K410-I410</f>
        <v/>
      </c>
      <c r="O410" s="159" t="n">
        <v>21.98</v>
      </c>
      <c r="P410" s="159" t="n">
        <v>4.23</v>
      </c>
      <c r="Q410" s="159">
        <f>K410-P410</f>
        <v/>
      </c>
      <c r="R410" s="159" t="n">
        <v>104.01</v>
      </c>
      <c r="S410" s="159">
        <f>(O410*T410)/100</f>
        <v/>
      </c>
      <c r="T410" s="157" t="n">
        <v>6.87</v>
      </c>
      <c r="U410" s="157" t="n">
        <v>14440.65</v>
      </c>
      <c r="V410" s="157" t="n">
        <v>24.99</v>
      </c>
      <c r="W410" s="159">
        <f>U410/V410</f>
        <v/>
      </c>
      <c r="X410" s="159">
        <f>(W410/U410)*100</f>
        <v/>
      </c>
      <c r="Y410" s="157" t="n">
        <v>11548.9</v>
      </c>
      <c r="Z410" s="157" t="n">
        <v>23.27</v>
      </c>
      <c r="AA410" s="159">
        <f>Y410/Z410</f>
        <v/>
      </c>
      <c r="AB410" s="159">
        <f>(AA410/Y410)*100</f>
        <v/>
      </c>
    </row>
    <row r="411">
      <c r="A411" s="155" t="n">
        <v>410</v>
      </c>
      <c r="B411" s="160" t="n">
        <v>45166</v>
      </c>
      <c r="C411" s="159" t="n">
        <v>31328188.19</v>
      </c>
      <c r="D411" s="174">
        <f>C411/E411</f>
        <v/>
      </c>
      <c r="E411" s="159" t="n">
        <v>82.59999999999999</v>
      </c>
      <c r="F411" s="159">
        <f>D411/100000</f>
        <v/>
      </c>
      <c r="G411" s="159">
        <f>(F411/DataSheet!$C$10*100)</f>
        <v/>
      </c>
      <c r="H411" s="159">
        <f>K411/I411</f>
        <v/>
      </c>
      <c r="I411" s="159">
        <f>(J411/L411)*100</f>
        <v/>
      </c>
      <c r="J411" s="159">
        <f>L411/O411</f>
        <v/>
      </c>
      <c r="K411" s="159" t="n">
        <v>7.18</v>
      </c>
      <c r="L411" s="159" t="n">
        <v>19306.05</v>
      </c>
      <c r="M411" s="159" t="n">
        <v>4.43</v>
      </c>
      <c r="N411" s="159">
        <f>K411-I411</f>
        <v/>
      </c>
      <c r="O411" s="159" t="n">
        <v>22.03</v>
      </c>
      <c r="P411" s="159" t="n">
        <v>4.2</v>
      </c>
      <c r="Q411" s="159">
        <f>K411-P411</f>
        <v/>
      </c>
      <c r="R411" s="159" t="n">
        <v>103.99</v>
      </c>
      <c r="S411" s="159">
        <f>(O411*T411)/100</f>
        <v/>
      </c>
      <c r="T411" s="157" t="n">
        <v>6.8</v>
      </c>
      <c r="U411" s="157" t="n">
        <v>14502.6</v>
      </c>
      <c r="V411" s="157" t="n">
        <v>25.02</v>
      </c>
      <c r="W411" s="159">
        <f>U411/V411</f>
        <v/>
      </c>
      <c r="X411" s="159">
        <f>(W411/U411)*100</f>
        <v/>
      </c>
      <c r="Y411" s="157" t="n">
        <v>11627.3</v>
      </c>
      <c r="Z411" s="157" t="n">
        <v>23.37</v>
      </c>
      <c r="AA411" s="159">
        <f>Y411/Z411</f>
        <v/>
      </c>
      <c r="AB411" s="159">
        <f>(AA411/Y411)*100</f>
        <v/>
      </c>
    </row>
    <row r="412">
      <c r="A412" s="155" t="n">
        <v>411</v>
      </c>
      <c r="B412" s="160" t="n">
        <v>45167</v>
      </c>
      <c r="C412" s="159" t="n">
        <v>31437737.88</v>
      </c>
      <c r="D412" s="174">
        <f>C412/E412</f>
        <v/>
      </c>
      <c r="E412" s="159" t="n">
        <v>82.56999999999999</v>
      </c>
      <c r="F412" s="159">
        <f>D412/100000</f>
        <v/>
      </c>
      <c r="G412" s="159">
        <f>(F412/DataSheet!$C$10*100)</f>
        <v/>
      </c>
      <c r="H412" s="159">
        <f>K412/I412</f>
        <v/>
      </c>
      <c r="I412" s="159">
        <f>(J412/L412)*100</f>
        <v/>
      </c>
      <c r="J412" s="159">
        <f>L412/O412</f>
        <v/>
      </c>
      <c r="K412" s="159" t="n">
        <v>7.18</v>
      </c>
      <c r="L412" s="159" t="n">
        <v>19342.65</v>
      </c>
      <c r="M412" s="159" t="n">
        <v>4.42</v>
      </c>
      <c r="N412" s="159">
        <f>K412-I412</f>
        <v/>
      </c>
      <c r="O412" s="159" t="n">
        <v>22.07</v>
      </c>
      <c r="P412" s="159" t="n">
        <v>4.12</v>
      </c>
      <c r="Q412" s="159">
        <f>K412-P412</f>
        <v/>
      </c>
      <c r="R412" s="159" t="n">
        <v>103.47</v>
      </c>
      <c r="S412" s="159">
        <f>(O412*T412)/100</f>
        <v/>
      </c>
      <c r="T412" s="157" t="n">
        <v>6.8</v>
      </c>
      <c r="U412" s="157" t="n">
        <v>14559.3</v>
      </c>
      <c r="V412" s="157" t="n">
        <v>25.12</v>
      </c>
      <c r="W412" s="159">
        <f>U412/V412</f>
        <v/>
      </c>
      <c r="X412" s="159">
        <f>(W412/U412)*100</f>
        <v/>
      </c>
      <c r="Y412" s="157" t="n">
        <v>11705.25</v>
      </c>
      <c r="Z412" s="157" t="n">
        <v>23.52</v>
      </c>
      <c r="AA412" s="159">
        <f>Y412/Z412</f>
        <v/>
      </c>
      <c r="AB412" s="159">
        <f>(AA412/Y412)*100</f>
        <v/>
      </c>
    </row>
    <row r="413">
      <c r="A413" s="155" t="n">
        <v>412</v>
      </c>
      <c r="B413" s="160" t="n">
        <v>45168</v>
      </c>
      <c r="C413" s="159" t="n">
        <v>31541752.85</v>
      </c>
      <c r="D413" s="174">
        <f>C413/E413</f>
        <v/>
      </c>
      <c r="E413" s="159" t="n">
        <v>82.59999999999999</v>
      </c>
      <c r="F413" s="159">
        <f>D413/100000</f>
        <v/>
      </c>
      <c r="G413" s="159">
        <f>(F413/DataSheet!$C$10*100)</f>
        <v/>
      </c>
      <c r="H413" s="159">
        <f>K413/I413</f>
        <v/>
      </c>
      <c r="I413" s="159">
        <f>(J413/L413)*100</f>
        <v/>
      </c>
      <c r="J413" s="159">
        <f>L413/O413</f>
        <v/>
      </c>
      <c r="K413" s="159" t="n">
        <v>7.18</v>
      </c>
      <c r="L413" s="159" t="n">
        <v>19347.45</v>
      </c>
      <c r="M413" s="159" t="n">
        <v>4.42</v>
      </c>
      <c r="N413" s="159">
        <f>K413-I413</f>
        <v/>
      </c>
      <c r="O413" s="159" t="n">
        <v>22.07</v>
      </c>
      <c r="P413" s="159" t="n">
        <v>4.11</v>
      </c>
      <c r="Q413" s="159">
        <f>K413-P413</f>
        <v/>
      </c>
      <c r="R413" s="159" t="n">
        <v>103.09</v>
      </c>
      <c r="S413" s="159">
        <f>(O413*T413)/100</f>
        <v/>
      </c>
      <c r="T413" s="157" t="n">
        <v>6.83</v>
      </c>
      <c r="U413" s="157" t="n">
        <v>14654.45</v>
      </c>
      <c r="V413" s="157" t="n">
        <v>25.28</v>
      </c>
      <c r="W413" s="159">
        <f>U413/V413</f>
        <v/>
      </c>
      <c r="X413" s="159">
        <f>(W413/U413)*100</f>
        <v/>
      </c>
      <c r="Y413" s="157" t="n">
        <v>11807.9</v>
      </c>
      <c r="Z413" s="157" t="n">
        <v>23.73</v>
      </c>
      <c r="AA413" s="159">
        <f>Y413/Z413</f>
        <v/>
      </c>
      <c r="AB413" s="159">
        <f>(AA413/Y413)*100</f>
        <v/>
      </c>
    </row>
    <row r="414">
      <c r="A414" s="155" t="n">
        <v>413</v>
      </c>
      <c r="B414" s="160" t="n">
        <v>45169</v>
      </c>
      <c r="C414" s="159" t="n">
        <v>31463720.27</v>
      </c>
      <c r="D414" s="174">
        <f>C414/E414</f>
        <v/>
      </c>
      <c r="E414" s="159" t="n">
        <v>82.69</v>
      </c>
      <c r="F414" s="159">
        <f>D414/100000</f>
        <v/>
      </c>
      <c r="G414" s="159">
        <f>(F414/DataSheet!$C$10*100)</f>
        <v/>
      </c>
      <c r="H414" s="159">
        <f>K414/I414</f>
        <v/>
      </c>
      <c r="I414" s="159">
        <f>(J414/L414)*100</f>
        <v/>
      </c>
      <c r="J414" s="159">
        <f>L414/O414</f>
        <v/>
      </c>
      <c r="K414" s="159" t="n">
        <v>7.16</v>
      </c>
      <c r="L414" s="159" t="n">
        <v>19253.8</v>
      </c>
      <c r="M414" s="159" t="n">
        <v>4.4</v>
      </c>
      <c r="N414" s="159">
        <f>K414-I414</f>
        <v/>
      </c>
      <c r="O414" s="159" t="n">
        <v>21.97</v>
      </c>
      <c r="P414" s="159" t="n">
        <v>4.1</v>
      </c>
      <c r="Q414" s="159">
        <f>K414-P414</f>
        <v/>
      </c>
      <c r="R414" s="159" t="n">
        <v>103.58</v>
      </c>
      <c r="S414" s="159">
        <f>(O414*T414)/100</f>
        <v/>
      </c>
      <c r="T414" s="157" t="n">
        <v>6.79</v>
      </c>
      <c r="U414" s="157" t="n">
        <v>14693.85</v>
      </c>
      <c r="V414" s="157" t="n">
        <v>25.32</v>
      </c>
      <c r="W414" s="159">
        <f>U414/V414</f>
        <v/>
      </c>
      <c r="X414" s="159">
        <f>(W414/U414)*100</f>
        <v/>
      </c>
      <c r="Y414" s="157" t="n">
        <v>11931.2</v>
      </c>
      <c r="Z414" s="157" t="n">
        <v>24.05</v>
      </c>
      <c r="AA414" s="159">
        <f>Y414/Z414</f>
        <v/>
      </c>
      <c r="AB414" s="159">
        <f>(AA414/Y414)*100</f>
        <v/>
      </c>
    </row>
    <row r="415">
      <c r="A415" s="155" t="n">
        <v>414</v>
      </c>
      <c r="B415" s="160" t="n">
        <v>45170</v>
      </c>
      <c r="C415" s="159" t="n">
        <v>31744091.28</v>
      </c>
      <c r="D415" s="174">
        <f>C415/E415</f>
        <v/>
      </c>
      <c r="E415" s="159" t="n">
        <v>82.68000000000001</v>
      </c>
      <c r="F415" s="159">
        <f>D415/100000</f>
        <v/>
      </c>
      <c r="G415" s="159">
        <f>(F415/DataSheet!$C$10*100)</f>
        <v/>
      </c>
      <c r="H415" s="159">
        <f>K415/I415</f>
        <v/>
      </c>
      <c r="I415" s="159">
        <f>(J415/L415)*100</f>
        <v/>
      </c>
      <c r="J415" s="159">
        <f>L415/O415</f>
        <v/>
      </c>
      <c r="K415" s="159" t="n">
        <v>7.17</v>
      </c>
      <c r="L415" s="159" t="n">
        <v>19435.3</v>
      </c>
      <c r="M415" s="159" t="n">
        <v>4.44</v>
      </c>
      <c r="N415" s="159">
        <f>K415-I415</f>
        <v/>
      </c>
      <c r="O415" s="159" t="n">
        <v>22.17</v>
      </c>
      <c r="P415" s="159" t="n">
        <v>4.18</v>
      </c>
      <c r="Q415" s="159">
        <f>K415-P415</f>
        <v/>
      </c>
      <c r="R415" s="159" t="n">
        <v>104.19</v>
      </c>
      <c r="S415" s="159">
        <f>(O415*T415)/100</f>
        <v/>
      </c>
      <c r="T415" s="157" t="n">
        <v>6.81</v>
      </c>
      <c r="U415" s="157" t="n">
        <v>14810.15</v>
      </c>
      <c r="V415" s="157" t="n">
        <v>25.52</v>
      </c>
      <c r="W415" s="159">
        <f>U415/V415</f>
        <v/>
      </c>
      <c r="X415" s="159">
        <f>(W415/U415)*100</f>
        <v/>
      </c>
      <c r="Y415" s="157" t="n">
        <v>12017.15</v>
      </c>
      <c r="Z415" s="157" t="n">
        <v>24.22</v>
      </c>
      <c r="AA415" s="159">
        <f>Y415/Z415</f>
        <v/>
      </c>
      <c r="AB415" s="159">
        <f>(AA415/Y415)*100</f>
        <v/>
      </c>
    </row>
    <row r="416">
      <c r="A416" s="155" t="n">
        <v>415</v>
      </c>
      <c r="B416" s="160" t="n">
        <v>45173</v>
      </c>
      <c r="C416" s="159" t="n">
        <v>32010287.64</v>
      </c>
      <c r="D416" s="174">
        <f>C416/E416</f>
        <v/>
      </c>
      <c r="E416" s="159" t="n">
        <v>82.70999999999999</v>
      </c>
      <c r="F416" s="159">
        <f>D416/100000</f>
        <v/>
      </c>
      <c r="G416" s="159">
        <f>(F416/DataSheet!$C$10*100)</f>
        <v/>
      </c>
      <c r="H416" s="159">
        <f>K416/I416</f>
        <v/>
      </c>
      <c r="I416" s="159">
        <f>(J416/L416)*100</f>
        <v/>
      </c>
      <c r="J416" s="159">
        <f>L416/O416</f>
        <v/>
      </c>
      <c r="K416" s="159" t="n">
        <v>7.2</v>
      </c>
      <c r="L416" s="159" t="n">
        <v>19528.8</v>
      </c>
      <c r="M416" s="159" t="n">
        <v>4.46</v>
      </c>
      <c r="N416" s="159">
        <f>K416-I416</f>
        <v/>
      </c>
      <c r="O416" s="159" t="n">
        <v>22.28</v>
      </c>
      <c r="P416" s="159" t="n">
        <v>4.2</v>
      </c>
      <c r="Q416" s="159">
        <f>K416-P416</f>
        <v/>
      </c>
      <c r="R416" s="159" t="n">
        <v>104.19</v>
      </c>
      <c r="S416" s="159">
        <f>(O416*T416)/100</f>
        <v/>
      </c>
      <c r="T416" s="157" t="n">
        <v>6.8</v>
      </c>
      <c r="U416" s="157" t="n">
        <v>14935.05</v>
      </c>
      <c r="V416" s="157" t="n">
        <v>25.74</v>
      </c>
      <c r="W416" s="159">
        <f>U416/V416</f>
        <v/>
      </c>
      <c r="X416" s="159">
        <f>(W416/U416)*100</f>
        <v/>
      </c>
      <c r="Y416" s="157" t="n">
        <v>12139.85</v>
      </c>
      <c r="Z416" s="157" t="n">
        <v>24.47</v>
      </c>
      <c r="AA416" s="159">
        <f>Y416/Z416</f>
        <v/>
      </c>
      <c r="AB416" s="159">
        <f>(AA416/Y416)*100</f>
        <v/>
      </c>
    </row>
    <row r="417">
      <c r="A417" s="155" t="n">
        <v>416</v>
      </c>
      <c r="B417" s="160" t="n">
        <v>45174</v>
      </c>
      <c r="C417" s="159" t="n">
        <v>32175271.55</v>
      </c>
      <c r="D417" s="174">
        <f>C417/E417</f>
        <v/>
      </c>
      <c r="E417" s="159" t="n">
        <v>83.03</v>
      </c>
      <c r="F417" s="159">
        <f>D417/100000</f>
        <v/>
      </c>
      <c r="G417" s="159">
        <f>(F417/DataSheet!$C$10*100)</f>
        <v/>
      </c>
      <c r="H417" s="159">
        <f>K417/I417</f>
        <v/>
      </c>
      <c r="I417" s="159">
        <f>(J417/L417)*100</f>
        <v/>
      </c>
      <c r="J417" s="159">
        <f>L417/O417</f>
        <v/>
      </c>
      <c r="K417" s="159" t="n">
        <v>7.2</v>
      </c>
      <c r="L417" s="159" t="n">
        <v>19574.9</v>
      </c>
      <c r="M417" s="159" t="n">
        <v>4.46</v>
      </c>
      <c r="N417" s="159">
        <f>K417-I417</f>
        <v/>
      </c>
      <c r="O417" s="159" t="n">
        <v>22.33</v>
      </c>
      <c r="P417" s="159" t="n">
        <v>4.26</v>
      </c>
      <c r="Q417" s="159">
        <f>K417-P417</f>
        <v/>
      </c>
      <c r="R417" s="159" t="n">
        <v>104.76</v>
      </c>
      <c r="S417" s="159">
        <f>(O417*T417)/100</f>
        <v/>
      </c>
      <c r="T417" s="157" t="n">
        <v>6.8</v>
      </c>
      <c r="U417" s="157" t="n">
        <v>15100.7</v>
      </c>
      <c r="V417" s="157" t="n">
        <v>26.02</v>
      </c>
      <c r="W417" s="159">
        <f>U417/V417</f>
        <v/>
      </c>
      <c r="X417" s="159">
        <f>(W417/U417)*100</f>
        <v/>
      </c>
      <c r="Y417" s="157" t="n">
        <v>12216.25</v>
      </c>
      <c r="Z417" s="157" t="n">
        <v>24.62</v>
      </c>
      <c r="AA417" s="159">
        <f>Y417/Z417</f>
        <v/>
      </c>
      <c r="AB417" s="159">
        <f>(AA417/Y417)*100</f>
        <v/>
      </c>
    </row>
    <row r="418">
      <c r="A418" s="155" t="n">
        <v>417</v>
      </c>
      <c r="B418" s="160" t="n">
        <v>45175</v>
      </c>
      <c r="C418" s="159" t="n">
        <v>32245292.06</v>
      </c>
      <c r="D418" s="174">
        <f>C418/E418</f>
        <v/>
      </c>
      <c r="E418" s="159" t="n">
        <v>83.19</v>
      </c>
      <c r="F418" s="159">
        <f>D418/100000</f>
        <v/>
      </c>
      <c r="G418" s="159">
        <f>(F418/DataSheet!$C$10*100)</f>
        <v/>
      </c>
      <c r="H418" s="159">
        <f>K418/I418</f>
        <v/>
      </c>
      <c r="I418" s="159">
        <f>(J418/L418)*100</f>
        <v/>
      </c>
      <c r="J418" s="159">
        <f>L418/O418</f>
        <v/>
      </c>
      <c r="K418" s="159" t="n">
        <v>7.21</v>
      </c>
      <c r="L418" s="159" t="n">
        <v>19611.05</v>
      </c>
      <c r="M418" s="159" t="n">
        <v>4.43</v>
      </c>
      <c r="N418" s="159">
        <f>K418-I418</f>
        <v/>
      </c>
      <c r="O418" s="159" t="n">
        <v>22.37</v>
      </c>
      <c r="P418" s="159" t="n">
        <v>4.29</v>
      </c>
      <c r="Q418" s="159">
        <f>K418-P418</f>
        <v/>
      </c>
      <c r="R418" s="159" t="n">
        <v>104.82</v>
      </c>
      <c r="S418" s="159">
        <f>(O418*T418)/100</f>
        <v/>
      </c>
      <c r="T418" s="157" t="n">
        <v>6.82</v>
      </c>
      <c r="U418" s="157" t="n">
        <v>15104.05</v>
      </c>
      <c r="V418" s="157" t="n">
        <v>26.03</v>
      </c>
      <c r="W418" s="159">
        <f>U418/V418</f>
        <v/>
      </c>
      <c r="X418" s="159">
        <f>(W418/U418)*100</f>
        <v/>
      </c>
      <c r="Y418" s="157" t="n">
        <v>12223.3</v>
      </c>
      <c r="Z418" s="157" t="n">
        <v>24.64</v>
      </c>
      <c r="AA418" s="159">
        <f>Y418/Z418</f>
        <v/>
      </c>
      <c r="AB418" s="159">
        <f>(AA418/Y418)*100</f>
        <v/>
      </c>
    </row>
    <row r="419">
      <c r="A419" s="155" t="n">
        <v>418</v>
      </c>
      <c r="B419" s="160" t="n">
        <v>45176</v>
      </c>
      <c r="C419" s="159" t="n">
        <v>32417265.16</v>
      </c>
      <c r="D419" s="174">
        <f>C419/E419</f>
        <v/>
      </c>
      <c r="E419" s="159" t="n">
        <v>83.15000000000001</v>
      </c>
      <c r="F419" s="159">
        <f>D419/100000</f>
        <v/>
      </c>
      <c r="G419" s="159">
        <f>(F419/DataSheet!$C$10*100)</f>
        <v/>
      </c>
      <c r="H419" s="159">
        <f>K419/I419</f>
        <v/>
      </c>
      <c r="I419" s="159">
        <f>(J419/L419)*100</f>
        <v/>
      </c>
      <c r="J419" s="159">
        <f>L419/O419</f>
        <v/>
      </c>
      <c r="K419" s="159" t="n">
        <v>7.17</v>
      </c>
      <c r="L419" s="159" t="n">
        <v>19727.05</v>
      </c>
      <c r="M419" s="159" t="n">
        <v>4.41</v>
      </c>
      <c r="N419" s="159">
        <f>K419-I419</f>
        <v/>
      </c>
      <c r="O419" s="159" t="n">
        <v>22.28</v>
      </c>
      <c r="P419" s="159" t="n">
        <v>4.25</v>
      </c>
      <c r="Q419" s="159">
        <f>K419-P419</f>
        <v/>
      </c>
      <c r="R419" s="159" t="n">
        <v>105.02</v>
      </c>
      <c r="S419" s="159">
        <f>(O419*T419)/100</f>
        <v/>
      </c>
      <c r="T419" s="157" t="n">
        <v>6.81</v>
      </c>
      <c r="U419" s="157" t="n">
        <v>15200.05</v>
      </c>
      <c r="V419" s="157" t="n">
        <v>26.19</v>
      </c>
      <c r="W419" s="159">
        <f>U419/V419</f>
        <v/>
      </c>
      <c r="X419" s="159">
        <f>(W419/U419)*100</f>
        <v/>
      </c>
      <c r="Y419" s="157" t="n">
        <v>12291.95</v>
      </c>
      <c r="Z419" s="157" t="n">
        <v>24.79</v>
      </c>
      <c r="AA419" s="159">
        <f>Y419/Z419</f>
        <v/>
      </c>
      <c r="AB419" s="159">
        <f>(AA419/Y419)*100</f>
        <v/>
      </c>
    </row>
    <row r="420">
      <c r="A420" s="155" t="n">
        <v>419</v>
      </c>
      <c r="B420" s="160" t="n">
        <v>45177</v>
      </c>
      <c r="C420" s="159" t="n">
        <v>32597657.14</v>
      </c>
      <c r="D420" s="174">
        <f>C420/E420</f>
        <v/>
      </c>
      <c r="E420" s="159" t="n">
        <v>83</v>
      </c>
      <c r="F420" s="159">
        <f>D420/100000</f>
        <v/>
      </c>
      <c r="G420" s="159">
        <f>(F420/DataSheet!$C$10*100)</f>
        <v/>
      </c>
      <c r="H420" s="159">
        <f>K420/I420</f>
        <v/>
      </c>
      <c r="I420" s="159">
        <f>(J420/L420)*100</f>
        <v/>
      </c>
      <c r="J420" s="159">
        <f>L420/O420</f>
        <v/>
      </c>
      <c r="K420" s="159" t="n">
        <v>7.19</v>
      </c>
      <c r="L420" s="159" t="n">
        <v>19819.95</v>
      </c>
      <c r="M420" s="159" t="n">
        <v>4.43</v>
      </c>
      <c r="N420" s="159">
        <f>K420-I420</f>
        <v/>
      </c>
      <c r="O420" s="159" t="n">
        <v>22.39</v>
      </c>
      <c r="P420" s="159" t="n">
        <v>4.26</v>
      </c>
      <c r="Q420" s="159">
        <f>K420-P420</f>
        <v/>
      </c>
      <c r="R420" s="159" t="n">
        <v>105.06</v>
      </c>
      <c r="S420" s="159">
        <f>(O420*T420)/100</f>
        <v/>
      </c>
      <c r="T420" s="157" t="n">
        <v>6.85</v>
      </c>
      <c r="U420" s="157" t="n">
        <v>15341.05</v>
      </c>
      <c r="V420" s="157" t="n">
        <v>26.44</v>
      </c>
      <c r="W420" s="159">
        <f>U420/V420</f>
        <v/>
      </c>
      <c r="X420" s="159">
        <f>(W420/U420)*100</f>
        <v/>
      </c>
      <c r="Y420" s="157" t="n">
        <v>12367</v>
      </c>
      <c r="Z420" s="157" t="n">
        <v>24.93</v>
      </c>
      <c r="AA420" s="159">
        <f>Y420/Z420</f>
        <v/>
      </c>
      <c r="AB420" s="159">
        <f>(AA420/Y420)*100</f>
        <v/>
      </c>
    </row>
    <row r="421">
      <c r="A421" s="155" t="n">
        <v>420</v>
      </c>
      <c r="B421" s="160" t="n">
        <v>45180</v>
      </c>
      <c r="C421" s="159" t="n">
        <v>32932383.64</v>
      </c>
      <c r="D421" s="174">
        <f>C421/E421</f>
        <v/>
      </c>
      <c r="E421" s="159" t="n">
        <v>82.90000000000001</v>
      </c>
      <c r="F421" s="159">
        <f>D421/100000</f>
        <v/>
      </c>
      <c r="G421" s="159">
        <f>(F421/DataSheet!$C$10*100)</f>
        <v/>
      </c>
      <c r="H421" s="159">
        <f>K421/I421</f>
        <v/>
      </c>
      <c r="I421" s="159">
        <f>(J421/L421)*100</f>
        <v/>
      </c>
      <c r="J421" s="159">
        <f>L421/O421</f>
        <v/>
      </c>
      <c r="K421" s="159" t="n">
        <v>7.2</v>
      </c>
      <c r="L421" s="159" t="n">
        <v>19996.35</v>
      </c>
      <c r="M421" s="159" t="n">
        <v>4.46</v>
      </c>
      <c r="N421" s="159">
        <f>K421-I421</f>
        <v/>
      </c>
      <c r="O421" s="159" t="n">
        <v>22.59</v>
      </c>
      <c r="P421" s="159" t="n">
        <v>4.29</v>
      </c>
      <c r="Q421" s="159">
        <f>K421-P421</f>
        <v/>
      </c>
      <c r="R421" s="159" t="n">
        <v>104.53</v>
      </c>
      <c r="S421" s="159">
        <f>(O421*T421)/100</f>
        <v/>
      </c>
      <c r="T421" s="157" t="n">
        <v>6.83</v>
      </c>
      <c r="U421" s="157" t="n">
        <v>15504.9</v>
      </c>
      <c r="V421" s="157" t="n">
        <v>26.72</v>
      </c>
      <c r="W421" s="159">
        <f>U421/V421</f>
        <v/>
      </c>
      <c r="X421" s="159">
        <f>(W421/U421)*100</f>
        <v/>
      </c>
      <c r="Y421" s="157" t="n">
        <v>12487.55</v>
      </c>
      <c r="Z421" s="157" t="n">
        <v>25.18</v>
      </c>
      <c r="AA421" s="159">
        <f>Y421/Z421</f>
        <v/>
      </c>
      <c r="AB421" s="159">
        <f>(AA421/Y421)*100</f>
        <v/>
      </c>
    </row>
    <row r="422">
      <c r="A422" s="155" t="n">
        <v>421</v>
      </c>
      <c r="B422" s="160" t="n">
        <v>45181</v>
      </c>
      <c r="C422" s="159" t="n">
        <v>32370056.08</v>
      </c>
      <c r="D422" s="174">
        <f>C422/E422</f>
        <v/>
      </c>
      <c r="E422" s="159" t="n">
        <v>82.84999999999999</v>
      </c>
      <c r="F422" s="159">
        <f>D422/100000</f>
        <v/>
      </c>
      <c r="G422" s="159">
        <f>(F422/DataSheet!$C$10*100)</f>
        <v/>
      </c>
      <c r="H422" s="159">
        <f>K422/I422</f>
        <v/>
      </c>
      <c r="I422" s="159">
        <f>(J422/L422)*100</f>
        <v/>
      </c>
      <c r="J422" s="159">
        <f>L422/O422</f>
        <v/>
      </c>
      <c r="K422" s="159" t="n">
        <v>7.2</v>
      </c>
      <c r="L422" s="159" t="n">
        <v>19993.2</v>
      </c>
      <c r="M422" s="159" t="n">
        <v>4.44</v>
      </c>
      <c r="N422" s="159">
        <f>K422-I422</f>
        <v/>
      </c>
      <c r="O422" s="159" t="n">
        <v>22.58</v>
      </c>
      <c r="P422" s="159" t="n">
        <v>4.28</v>
      </c>
      <c r="Q422" s="159">
        <f>K422-P422</f>
        <v/>
      </c>
      <c r="R422" s="159" t="n">
        <v>104.69</v>
      </c>
      <c r="S422" s="159">
        <f>(O422*T422)/100</f>
        <v/>
      </c>
      <c r="T422" s="157" t="n">
        <v>6.87</v>
      </c>
      <c r="U422" s="157" t="n">
        <v>15045.1</v>
      </c>
      <c r="V422" s="157" t="n">
        <v>25.93</v>
      </c>
      <c r="W422" s="159">
        <f>U422/V422</f>
        <v/>
      </c>
      <c r="X422" s="159">
        <f>(W422/U422)*100</f>
        <v/>
      </c>
      <c r="Y422" s="157" t="n">
        <v>12003</v>
      </c>
      <c r="Z422" s="157" t="n">
        <v>24.2</v>
      </c>
      <c r="AA422" s="159">
        <f>Y422/Z422</f>
        <v/>
      </c>
      <c r="AB422" s="159">
        <f>(AA422/Y422)*100</f>
        <v/>
      </c>
    </row>
    <row r="423">
      <c r="A423" s="155" t="n">
        <v>422</v>
      </c>
      <c r="B423" s="160" t="n">
        <v>45182</v>
      </c>
      <c r="C423" s="159" t="n">
        <v>32529004.6</v>
      </c>
      <c r="D423" s="174">
        <f>C423/E423</f>
        <v/>
      </c>
      <c r="E423" s="159" t="n">
        <v>82.93000000000001</v>
      </c>
      <c r="F423" s="159">
        <f>D423/100000</f>
        <v/>
      </c>
      <c r="G423" s="159">
        <f>(F423/DataSheet!$C$10*100)</f>
        <v/>
      </c>
      <c r="H423" s="159">
        <f>K423/I423</f>
        <v/>
      </c>
      <c r="I423" s="159">
        <f>(J423/L423)*100</f>
        <v/>
      </c>
      <c r="J423" s="159">
        <f>L423/O423</f>
        <v/>
      </c>
      <c r="K423" s="159" t="n">
        <v>7.17</v>
      </c>
      <c r="L423" s="159" t="n">
        <v>20070</v>
      </c>
      <c r="M423" s="159" t="n">
        <v>4.46</v>
      </c>
      <c r="N423" s="159">
        <f>K423-I423</f>
        <v/>
      </c>
      <c r="O423" s="159" t="n">
        <v>22.67</v>
      </c>
      <c r="P423" s="159" t="n">
        <v>4.25</v>
      </c>
      <c r="Q423" s="159">
        <f>K423-P423</f>
        <v/>
      </c>
      <c r="R423" s="159" t="n">
        <v>104.74</v>
      </c>
      <c r="S423" s="159">
        <f>(O423*T423)/100</f>
        <v/>
      </c>
      <c r="T423" s="157" t="n">
        <v>6.85</v>
      </c>
      <c r="U423" s="157" t="n">
        <v>15063.55</v>
      </c>
      <c r="V423" s="157" t="n">
        <v>25.96</v>
      </c>
      <c r="W423" s="159">
        <f>U423/V423</f>
        <v/>
      </c>
      <c r="X423" s="159">
        <f>(W423/U423)*100</f>
        <v/>
      </c>
      <c r="Y423" s="157" t="n">
        <v>12121.2</v>
      </c>
      <c r="Z423" s="157" t="n">
        <v>24.44</v>
      </c>
      <c r="AA423" s="159">
        <f>Y423/Z423</f>
        <v/>
      </c>
      <c r="AB423" s="159">
        <f>(AA423/Y423)*100</f>
        <v/>
      </c>
    </row>
    <row r="424">
      <c r="A424" s="155" t="n">
        <v>423</v>
      </c>
      <c r="B424" s="160" t="n">
        <v>45183</v>
      </c>
      <c r="C424" s="159" t="n">
        <v>32721160.09</v>
      </c>
      <c r="D424" s="174">
        <f>C424/E424</f>
        <v/>
      </c>
      <c r="E424" s="159" t="n">
        <v>83.01000000000001</v>
      </c>
      <c r="F424" s="159">
        <f>D424/100000</f>
        <v/>
      </c>
      <c r="G424" s="159">
        <f>(F424/DataSheet!$C$10*100)</f>
        <v/>
      </c>
      <c r="H424" s="159">
        <f>K424/I424</f>
        <v/>
      </c>
      <c r="I424" s="159">
        <f>(J424/L424)*100</f>
        <v/>
      </c>
      <c r="J424" s="159">
        <f>L424/O424</f>
        <v/>
      </c>
      <c r="K424" s="159" t="n">
        <v>7.1</v>
      </c>
      <c r="L424" s="159" t="n">
        <v>20103.1</v>
      </c>
      <c r="M424" s="159" t="n">
        <v>4.47</v>
      </c>
      <c r="N424" s="159">
        <f>K424-I424</f>
        <v/>
      </c>
      <c r="O424" s="159" t="n">
        <v>22.71</v>
      </c>
      <c r="P424" s="159" t="n">
        <v>4.28</v>
      </c>
      <c r="Q424" s="159">
        <f>K424-P424</f>
        <v/>
      </c>
      <c r="R424" s="159" t="n">
        <v>105.39</v>
      </c>
      <c r="S424" s="159">
        <f>(O424*T424)/100</f>
        <v/>
      </c>
      <c r="T424" s="157" t="n">
        <v>6.84</v>
      </c>
      <c r="U424" s="157" t="n">
        <v>15204.15</v>
      </c>
      <c r="V424" s="157" t="n">
        <v>26.2</v>
      </c>
      <c r="W424" s="159">
        <f>U424/V424</f>
        <v/>
      </c>
      <c r="X424" s="159">
        <f>(W424/U424)*100</f>
        <v/>
      </c>
      <c r="Y424" s="157" t="n">
        <v>12269.6</v>
      </c>
      <c r="Z424" s="157" t="n">
        <v>24.74</v>
      </c>
      <c r="AA424" s="159">
        <f>Y424/Z424</f>
        <v/>
      </c>
      <c r="AB424" s="159">
        <f>(AA424/Y424)*100</f>
        <v/>
      </c>
    </row>
    <row r="425">
      <c r="A425" s="155" t="n">
        <v>424</v>
      </c>
      <c r="B425" s="160" t="n">
        <v>45184</v>
      </c>
      <c r="C425" s="159" t="n">
        <v>32843688.69</v>
      </c>
      <c r="D425" s="174">
        <f>C425/E425</f>
        <v/>
      </c>
      <c r="E425" s="159" t="n">
        <v>83.06</v>
      </c>
      <c r="F425" s="159">
        <f>D425/100000</f>
        <v/>
      </c>
      <c r="G425" s="159">
        <f>(F425/DataSheet!$C$10*100)</f>
        <v/>
      </c>
      <c r="H425" s="159">
        <f>K425/I425</f>
        <v/>
      </c>
      <c r="I425" s="159">
        <f>(J425/L425)*100</f>
        <v/>
      </c>
      <c r="J425" s="159">
        <f>L425/O425</f>
        <v/>
      </c>
      <c r="K425" s="159" t="n">
        <v>7.15</v>
      </c>
      <c r="L425" s="159" t="n">
        <v>20192.35</v>
      </c>
      <c r="M425" s="159" t="n">
        <v>4.47</v>
      </c>
      <c r="N425" s="159">
        <f>K425-I425</f>
        <v/>
      </c>
      <c r="O425" s="159" t="n">
        <v>22.81</v>
      </c>
      <c r="P425" s="159" t="n">
        <v>4.33</v>
      </c>
      <c r="Q425" s="159">
        <f>K425-P425</f>
        <v/>
      </c>
      <c r="R425" s="159" t="n">
        <v>105.32</v>
      </c>
      <c r="S425" s="159">
        <f>(O425*T425)/100</f>
        <v/>
      </c>
      <c r="T425" s="157" t="n">
        <v>6.86</v>
      </c>
      <c r="U425" s="157" t="n">
        <v>15222.7</v>
      </c>
      <c r="V425" s="157" t="n">
        <v>26.23</v>
      </c>
      <c r="W425" s="159">
        <f>U425/V425</f>
        <v/>
      </c>
      <c r="X425" s="159">
        <f>(W425/U425)*100</f>
        <v/>
      </c>
      <c r="Y425" s="157" t="n">
        <v>12301.65</v>
      </c>
      <c r="Z425" s="157" t="n">
        <v>24.8</v>
      </c>
      <c r="AA425" s="159">
        <f>Y425/Z425</f>
        <v/>
      </c>
      <c r="AB425" s="159">
        <f>(AA425/Y425)*100</f>
        <v/>
      </c>
    </row>
    <row r="426">
      <c r="A426" s="155" t="n">
        <v>425</v>
      </c>
      <c r="B426" s="160" t="n">
        <v>45187</v>
      </c>
      <c r="C426" s="159" t="n">
        <v>32799762.71</v>
      </c>
      <c r="D426" s="174">
        <f>C426/E426</f>
        <v/>
      </c>
      <c r="E426" s="159" t="n">
        <v>83.27</v>
      </c>
      <c r="F426" s="159">
        <f>D426/100000</f>
        <v/>
      </c>
      <c r="G426" s="159">
        <f>(F426/DataSheet!$C$10*100)</f>
        <v/>
      </c>
      <c r="H426" s="159">
        <f>K426/I426</f>
        <v/>
      </c>
      <c r="I426" s="159">
        <f>(J426/L426)*100</f>
        <v/>
      </c>
      <c r="J426" s="159">
        <f>L426/O426</f>
        <v/>
      </c>
      <c r="K426" s="159" t="n">
        <v>7.14</v>
      </c>
      <c r="L426" s="159" t="n">
        <v>20133.3</v>
      </c>
      <c r="M426" s="159" t="n">
        <v>4.46</v>
      </c>
      <c r="N426" s="159">
        <f>K426-I426</f>
        <v/>
      </c>
      <c r="O426" s="159" t="n">
        <v>22.74</v>
      </c>
      <c r="P426" s="159" t="n">
        <v>4.3</v>
      </c>
      <c r="Q426" s="159">
        <f>K426-P426</f>
        <v/>
      </c>
      <c r="R426" s="159" t="n">
        <v>105.29</v>
      </c>
      <c r="S426" s="159">
        <f>(O426*T426)/100</f>
        <v/>
      </c>
      <c r="T426" s="157" t="n">
        <v>6.84</v>
      </c>
      <c r="U426" s="157" t="n">
        <v>15168.65</v>
      </c>
      <c r="V426" s="157" t="n">
        <v>26.14</v>
      </c>
      <c r="W426" s="159">
        <f>U426/V426</f>
        <v/>
      </c>
      <c r="X426" s="159">
        <f>(W426/U426)*100</f>
        <v/>
      </c>
      <c r="Y426" s="157" t="n">
        <v>12241.25</v>
      </c>
      <c r="Z426" s="157" t="n">
        <v>24.67</v>
      </c>
      <c r="AA426" s="159">
        <f>Y426/Z426</f>
        <v/>
      </c>
      <c r="AB426" s="159">
        <f>(AA426/Y426)*100</f>
        <v/>
      </c>
    </row>
    <row r="427">
      <c r="A427" s="155" t="n">
        <v>426</v>
      </c>
      <c r="B427" s="160" t="n">
        <v>45189</v>
      </c>
      <c r="C427" s="159" t="n">
        <v>32554363.69</v>
      </c>
      <c r="D427" s="174">
        <f>C427/E427</f>
        <v/>
      </c>
      <c r="E427" s="159" t="n">
        <v>82.92</v>
      </c>
      <c r="F427" s="159">
        <f>D427/100000</f>
        <v/>
      </c>
      <c r="G427" s="159">
        <f>(F427/DataSheet!$C$10*100)</f>
        <v/>
      </c>
      <c r="H427" s="159">
        <f>K427/I427</f>
        <v/>
      </c>
      <c r="I427" s="159">
        <f>(J427/L427)*100</f>
        <v/>
      </c>
      <c r="J427" s="159">
        <f>L427/O427</f>
        <v/>
      </c>
      <c r="K427" s="159" t="n">
        <v>7.15</v>
      </c>
      <c r="L427" s="159" t="n">
        <v>19901.4</v>
      </c>
      <c r="M427" s="159" t="n">
        <v>4.41</v>
      </c>
      <c r="N427" s="159">
        <f>K427-I427</f>
        <v/>
      </c>
      <c r="O427" s="159" t="n">
        <v>22.48</v>
      </c>
      <c r="P427" s="159" t="n">
        <v>4.39</v>
      </c>
      <c r="Q427" s="159">
        <f>K427-P427</f>
        <v/>
      </c>
      <c r="R427" s="159" t="n">
        <v>104.78</v>
      </c>
      <c r="S427" s="159">
        <f>(O427*T427)/100</f>
        <v/>
      </c>
      <c r="T427" s="157" t="n">
        <v>6.85</v>
      </c>
      <c r="U427" s="157" t="n">
        <v>15121.1</v>
      </c>
      <c r="V427" s="157" t="n">
        <v>26.06</v>
      </c>
      <c r="W427" s="159">
        <f>U427/V427</f>
        <v/>
      </c>
      <c r="X427" s="159">
        <f>(W427/U427)*100</f>
        <v/>
      </c>
      <c r="Y427" s="157" t="n">
        <v>12171.7</v>
      </c>
      <c r="Z427" s="157" t="n">
        <v>24.53</v>
      </c>
      <c r="AA427" s="159">
        <f>Y427/Z427</f>
        <v/>
      </c>
      <c r="AB427" s="159">
        <f>(AA427/Y427)*100</f>
        <v/>
      </c>
    </row>
    <row r="428">
      <c r="A428" s="155" t="n">
        <v>427</v>
      </c>
      <c r="B428" s="160" t="n">
        <v>45190</v>
      </c>
      <c r="C428" s="159" t="n">
        <v>32292649.44</v>
      </c>
      <c r="D428" s="174">
        <f>C428/E428</f>
        <v/>
      </c>
      <c r="E428" s="159" t="n">
        <v>83.09999999999999</v>
      </c>
      <c r="F428" s="159">
        <f>D428/100000</f>
        <v/>
      </c>
      <c r="G428" s="159">
        <f>(F428/DataSheet!$C$10*100)</f>
        <v/>
      </c>
      <c r="H428" s="159">
        <f>K428/I428</f>
        <v/>
      </c>
      <c r="I428" s="159">
        <f>(J428/L428)*100</f>
        <v/>
      </c>
      <c r="J428" s="159">
        <f>L428/O428</f>
        <v/>
      </c>
      <c r="K428" s="159" t="n">
        <v>7.13</v>
      </c>
      <c r="L428" s="159" t="n">
        <v>19742.35</v>
      </c>
      <c r="M428" s="159" t="n">
        <v>4.37</v>
      </c>
      <c r="N428" s="159">
        <f>K428-I428</f>
        <v/>
      </c>
      <c r="O428" s="159" t="n">
        <v>22.3</v>
      </c>
      <c r="P428" s="159" t="n">
        <v>4.49</v>
      </c>
      <c r="Q428" s="159">
        <f>K428-P428</f>
        <v/>
      </c>
      <c r="R428" s="159" t="n">
        <v>105.04</v>
      </c>
      <c r="S428" s="159">
        <f>(O428*T428)/100</f>
        <v/>
      </c>
      <c r="T428" s="157" t="n">
        <v>6.85</v>
      </c>
      <c r="U428" s="157" t="n">
        <v>14990.9</v>
      </c>
      <c r="V428" s="157" t="n">
        <v>25.83</v>
      </c>
      <c r="W428" s="159">
        <f>U428/V428</f>
        <v/>
      </c>
      <c r="X428" s="159">
        <f>(W428/U428)*100</f>
        <v/>
      </c>
      <c r="Y428" s="157" t="n">
        <v>12036.7</v>
      </c>
      <c r="Z428" s="157" t="n">
        <v>24.26</v>
      </c>
      <c r="AA428" s="159">
        <f>Y428/Z428</f>
        <v/>
      </c>
      <c r="AB428" s="159">
        <f>(AA428/Y428)*100</f>
        <v/>
      </c>
    </row>
    <row r="429">
      <c r="A429" s="155" t="n">
        <v>428</v>
      </c>
      <c r="B429" s="160" t="n">
        <v>45191</v>
      </c>
      <c r="C429" s="159" t="n">
        <v>32281453.24</v>
      </c>
      <c r="D429" s="174">
        <f>C429/E429</f>
        <v/>
      </c>
      <c r="E429" s="159" t="n">
        <v>82.97</v>
      </c>
      <c r="F429" s="159">
        <f>D429/100000</f>
        <v/>
      </c>
      <c r="G429" s="159">
        <f>(F429/DataSheet!$C$10*100)</f>
        <v/>
      </c>
      <c r="H429" s="159">
        <f>K429/I429</f>
        <v/>
      </c>
      <c r="I429" s="159">
        <f>(J429/L429)*100</f>
        <v/>
      </c>
      <c r="J429" s="159">
        <f>L429/O429</f>
        <v/>
      </c>
      <c r="K429" s="159" t="n">
        <v>7.15</v>
      </c>
      <c r="L429" s="159" t="n">
        <v>19674.25</v>
      </c>
      <c r="M429" s="159" t="n">
        <v>4.36</v>
      </c>
      <c r="N429" s="159">
        <f>K429-I429</f>
        <v/>
      </c>
      <c r="O429" s="159" t="n">
        <v>22.22</v>
      </c>
      <c r="P429" s="159" t="n">
        <v>4.43</v>
      </c>
      <c r="Q429" s="159">
        <f>K429-P429</f>
        <v/>
      </c>
      <c r="R429" s="159" t="n">
        <v>105.26</v>
      </c>
      <c r="S429" s="159">
        <f>(O429*T429)/100</f>
        <v/>
      </c>
      <c r="T429" s="157" t="n">
        <v>6.82</v>
      </c>
      <c r="U429" s="157" t="n">
        <v>14975.5</v>
      </c>
      <c r="V429" s="157" t="n">
        <v>25.8</v>
      </c>
      <c r="W429" s="159">
        <f>U429/V429</f>
        <v/>
      </c>
      <c r="X429" s="159">
        <f>(W429/U429)*100</f>
        <v/>
      </c>
      <c r="Y429" s="157" t="n">
        <v>12038.45</v>
      </c>
      <c r="Z429" s="157" t="n">
        <v>24.26</v>
      </c>
      <c r="AA429" s="159">
        <f>Y429/Z429</f>
        <v/>
      </c>
      <c r="AB429" s="159">
        <f>(AA429/Y429)*100</f>
        <v/>
      </c>
    </row>
    <row r="430">
      <c r="A430" s="155" t="n">
        <v>429</v>
      </c>
      <c r="B430" s="160" t="n">
        <v>45194</v>
      </c>
      <c r="C430" s="159" t="n">
        <v>32296747.87</v>
      </c>
      <c r="D430" s="174">
        <f>C430/E430</f>
        <v/>
      </c>
      <c r="E430" s="159" t="n">
        <v>83.13</v>
      </c>
      <c r="F430" s="159">
        <f>D430/100000</f>
        <v/>
      </c>
      <c r="G430" s="159">
        <f>(F430/DataSheet!$C$10*100)</f>
        <v/>
      </c>
      <c r="H430" s="159">
        <f>K430/I430</f>
        <v/>
      </c>
      <c r="I430" s="159">
        <f>(J430/L430)*100</f>
        <v/>
      </c>
      <c r="J430" s="159">
        <f>L430/O430</f>
        <v/>
      </c>
      <c r="K430" s="159" t="n">
        <v>7.15</v>
      </c>
      <c r="L430" s="159" t="n">
        <v>19674.55</v>
      </c>
      <c r="M430" s="159" t="n">
        <v>4.36</v>
      </c>
      <c r="N430" s="159">
        <f>K430-I430</f>
        <v/>
      </c>
      <c r="O430" s="159" t="n">
        <v>22.22</v>
      </c>
      <c r="P430" s="159" t="n">
        <v>4.53</v>
      </c>
      <c r="Q430" s="159">
        <f>K430-P430</f>
        <v/>
      </c>
      <c r="R430" s="159" t="n">
        <v>105.69</v>
      </c>
      <c r="S430" s="159">
        <f>(O430*T430)/100</f>
        <v/>
      </c>
      <c r="T430" s="157" t="n">
        <v>6.82</v>
      </c>
      <c r="U430" s="157" t="n">
        <v>15054.85</v>
      </c>
      <c r="V430" s="157" t="n">
        <v>25.94</v>
      </c>
      <c r="W430" s="159">
        <f>U430/V430</f>
        <v/>
      </c>
      <c r="X430" s="159">
        <f>(W430/U430)*100</f>
        <v/>
      </c>
      <c r="Y430" s="157" t="n">
        <v>12048.95</v>
      </c>
      <c r="Z430" s="157" t="n">
        <v>24.29</v>
      </c>
      <c r="AA430" s="159">
        <f>Y430/Z430</f>
        <v/>
      </c>
      <c r="AB430" s="159">
        <f>(AA430/Y430)*100</f>
        <v/>
      </c>
    </row>
    <row r="431">
      <c r="A431" s="155" t="n">
        <v>430</v>
      </c>
      <c r="B431" s="160" t="n">
        <v>45195</v>
      </c>
      <c r="C431" s="159" t="n">
        <v>32323103.75</v>
      </c>
      <c r="D431" s="174">
        <f>C431/E431</f>
        <v/>
      </c>
      <c r="E431" s="159" t="n">
        <v>83.23</v>
      </c>
      <c r="F431" s="159">
        <f>D431/100000</f>
        <v/>
      </c>
      <c r="G431" s="159">
        <f>(F431/DataSheet!$C$10*100)</f>
        <v/>
      </c>
      <c r="H431" s="159">
        <f>K431/I431</f>
        <v/>
      </c>
      <c r="I431" s="159">
        <f>(J431/L431)*100</f>
        <v/>
      </c>
      <c r="J431" s="159">
        <f>L431/O431</f>
        <v/>
      </c>
      <c r="K431" s="159" t="n">
        <v>7.14</v>
      </c>
      <c r="L431" s="159" t="n">
        <v>19664.7</v>
      </c>
      <c r="M431" s="159" t="n">
        <v>4.35</v>
      </c>
      <c r="N431" s="159">
        <f>K431-I431</f>
        <v/>
      </c>
      <c r="O431" s="159" t="n">
        <v>22.21</v>
      </c>
      <c r="P431" s="159" t="n">
        <v>4.55</v>
      </c>
      <c r="Q431" s="159">
        <f>K431-P431</f>
        <v/>
      </c>
      <c r="R431" s="159" t="n">
        <v>105.93</v>
      </c>
      <c r="S431" s="159">
        <f>(O431*T431)/100</f>
        <v/>
      </c>
      <c r="T431" s="157" t="n">
        <v>6.86</v>
      </c>
      <c r="U431" s="157" t="n">
        <v>15045.6</v>
      </c>
      <c r="V431" s="157" t="n">
        <v>25.93</v>
      </c>
      <c r="W431" s="159">
        <f>U431/V431</f>
        <v/>
      </c>
      <c r="X431" s="159">
        <f>(W431/U431)*100</f>
        <v/>
      </c>
      <c r="Y431" s="157" t="n">
        <v>12100.75</v>
      </c>
      <c r="Z431" s="157" t="n">
        <v>24.38</v>
      </c>
      <c r="AA431" s="159">
        <f>Y431/Z431</f>
        <v/>
      </c>
      <c r="AB431" s="159">
        <f>(AA431/Y431)*100</f>
        <v/>
      </c>
    </row>
    <row r="432">
      <c r="A432" s="155" t="n">
        <v>431</v>
      </c>
      <c r="B432" s="160" t="n">
        <v>45196</v>
      </c>
      <c r="C432" s="159" t="n">
        <v>32466063.75</v>
      </c>
      <c r="D432" s="174">
        <f>C432/E432</f>
        <v/>
      </c>
      <c r="E432" s="159" t="n">
        <v>83.18000000000001</v>
      </c>
      <c r="F432" s="159">
        <f>D432/100000</f>
        <v/>
      </c>
      <c r="G432" s="159">
        <f>(F432/DataSheet!$C$10*100)</f>
        <v/>
      </c>
      <c r="H432" s="159">
        <f>K432/I432</f>
        <v/>
      </c>
      <c r="I432" s="159">
        <f>(J432/L432)*100</f>
        <v/>
      </c>
      <c r="J432" s="159">
        <f>L432/O432</f>
        <v/>
      </c>
      <c r="K432" s="159" t="n">
        <v>7.17</v>
      </c>
      <c r="L432" s="159" t="n">
        <v>19716.45</v>
      </c>
      <c r="M432" s="159" t="n">
        <v>4.36</v>
      </c>
      <c r="N432" s="159">
        <f>K432-I432</f>
        <v/>
      </c>
      <c r="O432" s="159" t="n">
        <v>22.27</v>
      </c>
      <c r="P432" s="159" t="n">
        <v>4.6</v>
      </c>
      <c r="Q432" s="159">
        <f>K432-P432</f>
        <v/>
      </c>
      <c r="R432" s="159" t="n">
        <v>106.36</v>
      </c>
      <c r="S432" s="159">
        <f>(O432*T432)/100</f>
        <v/>
      </c>
      <c r="T432" s="157" t="n">
        <v>6.87</v>
      </c>
      <c r="U432" s="157" t="n">
        <v>15158.3</v>
      </c>
      <c r="V432" s="157" t="n">
        <v>26.12</v>
      </c>
      <c r="W432" s="159">
        <f>U432/V432</f>
        <v/>
      </c>
      <c r="X432" s="159">
        <f>(W432/U432)*100</f>
        <v/>
      </c>
      <c r="Y432" s="157" t="n">
        <v>12188.45</v>
      </c>
      <c r="Z432" s="157" t="n">
        <v>24.56</v>
      </c>
      <c r="AA432" s="159">
        <f>Y432/Z432</f>
        <v/>
      </c>
      <c r="AB432" s="159">
        <f>(AA432/Y432)*100</f>
        <v/>
      </c>
    </row>
    <row r="433">
      <c r="A433" s="155" t="n">
        <v>432</v>
      </c>
      <c r="B433" s="160" t="n">
        <v>45197</v>
      </c>
      <c r="C433" s="159" t="n">
        <v>32167882.46</v>
      </c>
      <c r="D433" s="174">
        <f>C433/E433</f>
        <v/>
      </c>
      <c r="E433" s="159" t="n">
        <v>83.15000000000001</v>
      </c>
      <c r="F433" s="159">
        <f>D433/100000</f>
        <v/>
      </c>
      <c r="G433" s="159">
        <f>(F433/DataSheet!$C$10*100)</f>
        <v/>
      </c>
      <c r="H433" s="159">
        <f>K433/I433</f>
        <v/>
      </c>
      <c r="I433" s="159">
        <f>(J433/L433)*100</f>
        <v/>
      </c>
      <c r="J433" s="159">
        <f>L433/O433</f>
        <v/>
      </c>
      <c r="K433" s="159" t="n">
        <v>7.23</v>
      </c>
      <c r="L433" s="159" t="n">
        <v>19523.55</v>
      </c>
      <c r="M433" s="159" t="n">
        <v>4.31</v>
      </c>
      <c r="N433" s="159">
        <f>K433-I433</f>
        <v/>
      </c>
      <c r="O433" s="159" t="n">
        <v>22.05</v>
      </c>
      <c r="P433" s="159" t="n">
        <v>4.57</v>
      </c>
      <c r="Q433" s="159">
        <f>K433-P433</f>
        <v/>
      </c>
      <c r="R433" s="159" t="n">
        <v>105.93</v>
      </c>
      <c r="S433" s="159">
        <f>(O433*T433)/100</f>
        <v/>
      </c>
      <c r="T433" s="157" t="n">
        <v>6.87</v>
      </c>
      <c r="U433" s="157" t="n">
        <v>14985.5</v>
      </c>
      <c r="V433" s="157" t="n">
        <v>25.82</v>
      </c>
      <c r="W433" s="159">
        <f>U433/V433</f>
        <v/>
      </c>
      <c r="X433" s="159">
        <f>(W433/U433)*100</f>
        <v/>
      </c>
      <c r="Y433" s="157" t="n">
        <v>12150.25</v>
      </c>
      <c r="Z433" s="157" t="n">
        <v>24.48</v>
      </c>
      <c r="AA433" s="159">
        <f>Y433/Z433</f>
        <v/>
      </c>
      <c r="AB433" s="159">
        <f>(AA433/Y433)*100</f>
        <v/>
      </c>
    </row>
    <row r="434">
      <c r="A434" s="155" t="n">
        <v>433</v>
      </c>
      <c r="B434" s="160" t="n">
        <v>45198</v>
      </c>
      <c r="C434" s="159" t="n">
        <v>32411846.26</v>
      </c>
      <c r="D434" s="174">
        <f>C434/E434</f>
        <v/>
      </c>
      <c r="E434" s="159" t="n">
        <v>83.03</v>
      </c>
      <c r="F434" s="159">
        <f>D434/100000</f>
        <v/>
      </c>
      <c r="G434" s="159">
        <f>(F434/DataSheet!$C$10*100)</f>
        <v/>
      </c>
      <c r="H434" s="159">
        <f>K434/I434</f>
        <v/>
      </c>
      <c r="I434" s="159">
        <f>(J434/L434)*100</f>
        <v/>
      </c>
      <c r="J434" s="159">
        <f>L434/O434</f>
        <v/>
      </c>
      <c r="K434" s="159" t="n">
        <v>7.21</v>
      </c>
      <c r="L434" s="159" t="n">
        <v>19638.3</v>
      </c>
      <c r="M434" s="159" t="n">
        <v>3.45</v>
      </c>
      <c r="N434" s="159">
        <f>K434-I434</f>
        <v/>
      </c>
      <c r="O434" s="159" t="n">
        <v>22.21</v>
      </c>
      <c r="P434" s="159" t="n">
        <v>4.57</v>
      </c>
      <c r="Q434" s="159">
        <f>K434-P434</f>
        <v/>
      </c>
      <c r="R434" s="159" t="n">
        <v>105.81</v>
      </c>
      <c r="S434" s="159">
        <f>(O434*T434)/100</f>
        <v/>
      </c>
      <c r="T434" s="157" t="n">
        <v>6.87</v>
      </c>
      <c r="U434" s="157" t="n">
        <v>15141.05</v>
      </c>
      <c r="V434" s="157" t="n">
        <v>26.77</v>
      </c>
      <c r="W434" s="159">
        <f>U434/V434</f>
        <v/>
      </c>
      <c r="X434" s="159">
        <f>(W434/U434)*100</f>
        <v/>
      </c>
      <c r="Y434" s="157" t="n">
        <v>12230.4</v>
      </c>
      <c r="Z434" s="157" t="n">
        <v>24.54</v>
      </c>
      <c r="AA434" s="159">
        <f>Y434/Z434</f>
        <v/>
      </c>
      <c r="AB434" s="159">
        <f>(AA434/Y434)*100</f>
        <v/>
      </c>
    </row>
    <row r="435">
      <c r="A435" s="155" t="n">
        <v>434</v>
      </c>
      <c r="B435" s="160" t="n">
        <v>45202</v>
      </c>
      <c r="C435" s="159" t="n">
        <v>32424277.56</v>
      </c>
      <c r="D435" s="174">
        <f>C435/E435</f>
        <v/>
      </c>
      <c r="E435" s="159" t="n">
        <v>83.20999999999999</v>
      </c>
      <c r="F435" s="159">
        <f>D435/100000</f>
        <v/>
      </c>
      <c r="G435" s="159">
        <f>(F435/DataSheet!$C$10*100)</f>
        <v/>
      </c>
      <c r="H435" s="159">
        <f>K435/I435</f>
        <v/>
      </c>
      <c r="I435" s="159">
        <f>(J435/L435)*100</f>
        <v/>
      </c>
      <c r="J435" s="159">
        <f>L435/O435</f>
        <v/>
      </c>
      <c r="K435" s="159" t="n">
        <v>7.23</v>
      </c>
      <c r="L435" s="159" t="n">
        <v>19528.75</v>
      </c>
      <c r="M435" s="159" t="n">
        <v>3.43</v>
      </c>
      <c r="N435" s="159">
        <f>K435-I435</f>
        <v/>
      </c>
      <c r="O435" s="159" t="n">
        <v>22.09</v>
      </c>
      <c r="P435" s="159" t="n">
        <v>4.79</v>
      </c>
      <c r="Q435" s="159">
        <f>K435-P435</f>
        <v/>
      </c>
      <c r="R435" s="159" t="n">
        <v>106.71</v>
      </c>
      <c r="S435" s="159">
        <f>(O435*T435)/100</f>
        <v/>
      </c>
      <c r="T435" s="157" t="n">
        <v>6.83</v>
      </c>
      <c r="U435" s="157" t="n">
        <v>15180.45</v>
      </c>
      <c r="V435" s="157" t="n">
        <v>26.84</v>
      </c>
      <c r="W435" s="159">
        <f>U435/V435</f>
        <v/>
      </c>
      <c r="X435" s="159">
        <f>(W435/U435)*100</f>
        <v/>
      </c>
      <c r="Y435" s="157" t="n">
        <v>12307.95</v>
      </c>
      <c r="Z435" s="157" t="n">
        <v>24.69</v>
      </c>
      <c r="AA435" s="159">
        <f>Y435/Z435</f>
        <v/>
      </c>
      <c r="AB435" s="159">
        <f>(AA435/Y435)*100</f>
        <v/>
      </c>
    </row>
    <row r="436">
      <c r="A436" s="155" t="n">
        <v>435</v>
      </c>
      <c r="B436" s="160" t="n">
        <v>45203</v>
      </c>
      <c r="C436" s="159" t="n">
        <v>32172597.62</v>
      </c>
      <c r="D436" s="174">
        <f>C436/E436</f>
        <v/>
      </c>
      <c r="E436" s="159" t="n">
        <v>83.25</v>
      </c>
      <c r="F436" s="159">
        <f>D436/100000</f>
        <v/>
      </c>
      <c r="G436" s="159">
        <f>(F436/DataSheet!$C$10*100)</f>
        <v/>
      </c>
      <c r="H436" s="159">
        <f>K436/I436</f>
        <v/>
      </c>
      <c r="I436" s="159">
        <f>(J436/L436)*100</f>
        <v/>
      </c>
      <c r="J436" s="159">
        <f>L436/O436</f>
        <v/>
      </c>
      <c r="K436" s="159" t="n">
        <v>7.23</v>
      </c>
      <c r="L436" s="159" t="n">
        <v>19436.1</v>
      </c>
      <c r="M436" s="159" t="n">
        <v>3.41</v>
      </c>
      <c r="N436" s="159">
        <f>K436-I436</f>
        <v/>
      </c>
      <c r="O436" s="159" t="n">
        <v>21.98</v>
      </c>
      <c r="P436" s="159" t="n">
        <v>4.73</v>
      </c>
      <c r="Q436" s="159">
        <f>K436-P436</f>
        <v/>
      </c>
      <c r="R436" s="159" t="n">
        <v>106.53</v>
      </c>
      <c r="S436" s="159">
        <f>(O436*T436)/100</f>
        <v/>
      </c>
      <c r="T436" s="157" t="n">
        <v>6.85</v>
      </c>
      <c r="U436" s="157" t="n">
        <v>14984.95</v>
      </c>
      <c r="V436" s="157" t="n">
        <v>26.5</v>
      </c>
      <c r="W436" s="159">
        <f>U436/V436</f>
        <v/>
      </c>
      <c r="X436" s="159">
        <f>(W436/U436)*100</f>
        <v/>
      </c>
      <c r="Y436" s="157" t="n">
        <v>12168.7</v>
      </c>
      <c r="Z436" s="157" t="n">
        <v>24.41</v>
      </c>
      <c r="AA436" s="159">
        <f>Y436/Z436</f>
        <v/>
      </c>
      <c r="AB436" s="159">
        <f>(AA436/Y436)*100</f>
        <v/>
      </c>
    </row>
    <row r="437">
      <c r="A437" s="155" t="n">
        <v>436</v>
      </c>
      <c r="B437" s="160" t="n">
        <v>45204</v>
      </c>
      <c r="C437" s="159" t="n">
        <v>32290874.09</v>
      </c>
      <c r="D437" s="174">
        <f>C437/E437</f>
        <v/>
      </c>
      <c r="E437" s="159" t="n">
        <v>83.23999999999999</v>
      </c>
      <c r="F437" s="159">
        <f>D437/100000</f>
        <v/>
      </c>
      <c r="G437" s="159">
        <f>(F437/DataSheet!$C$10*100)</f>
        <v/>
      </c>
      <c r="H437" s="159">
        <f>K437/I437</f>
        <v/>
      </c>
      <c r="I437" s="159">
        <f>(J437/L437)*100</f>
        <v/>
      </c>
      <c r="J437" s="159">
        <f>L437/O437</f>
        <v/>
      </c>
      <c r="K437" s="159" t="n">
        <v>7.21</v>
      </c>
      <c r="L437" s="159" t="n">
        <v>19545.75</v>
      </c>
      <c r="M437" s="159" t="n">
        <v>3.43</v>
      </c>
      <c r="N437" s="159">
        <f>K437-I437</f>
        <v/>
      </c>
      <c r="O437" s="159" t="n">
        <v>22.11</v>
      </c>
      <c r="P437" s="159" t="n">
        <v>4.72</v>
      </c>
      <c r="Q437" s="159">
        <f>K437-P437</f>
        <v/>
      </c>
      <c r="R437" s="159" t="n">
        <v>106.32</v>
      </c>
      <c r="S437" s="159">
        <f>(O437*T437)/100</f>
        <v/>
      </c>
      <c r="T437" s="157" t="n">
        <v>6.87</v>
      </c>
      <c r="U437" s="157" t="n">
        <v>14975.7</v>
      </c>
      <c r="V437" s="157" t="n">
        <v>26.48</v>
      </c>
      <c r="W437" s="159">
        <f>U437/V437</f>
        <v/>
      </c>
      <c r="X437" s="159">
        <f>(W437/U437)*100</f>
        <v/>
      </c>
      <c r="Y437" s="157" t="n">
        <v>12238.55</v>
      </c>
      <c r="Z437" s="157" t="n">
        <v>24.55</v>
      </c>
      <c r="AA437" s="159">
        <f>Y437/Z437</f>
        <v/>
      </c>
      <c r="AB437" s="159">
        <f>(AA437/Y437)*100</f>
        <v/>
      </c>
    </row>
    <row r="438">
      <c r="A438" s="155" t="n">
        <v>437</v>
      </c>
      <c r="B438" s="160" t="n">
        <v>45205</v>
      </c>
      <c r="C438" s="159" t="n">
        <v>32498642.09</v>
      </c>
      <c r="D438" s="174">
        <f>C438/E438</f>
        <v/>
      </c>
      <c r="E438" s="159" t="n">
        <v>83.11</v>
      </c>
      <c r="F438" s="159">
        <f>D438/100000</f>
        <v/>
      </c>
      <c r="G438" s="159">
        <f>(F438/DataSheet!$C$10*100)</f>
        <v/>
      </c>
      <c r="H438" s="159">
        <f>K438/I438</f>
        <v/>
      </c>
      <c r="I438" s="159">
        <f>(J438/L438)*100</f>
        <v/>
      </c>
      <c r="J438" s="159">
        <f>L438/O438</f>
        <v/>
      </c>
      <c r="K438" s="159" t="n">
        <v>7.33</v>
      </c>
      <c r="L438" s="159" t="n">
        <v>19621.2</v>
      </c>
      <c r="M438" s="159" t="n">
        <v>3.45</v>
      </c>
      <c r="N438" s="159">
        <f>K438-I438</f>
        <v/>
      </c>
      <c r="O438" s="159" t="n">
        <v>22.23</v>
      </c>
      <c r="P438" s="159" t="n">
        <v>4.79</v>
      </c>
      <c r="Q438" s="159">
        <f>K438-P438</f>
        <v/>
      </c>
      <c r="R438" s="159" t="n">
        <v>105.78</v>
      </c>
      <c r="S438" s="159">
        <f>(O438*T438)/100</f>
        <v/>
      </c>
      <c r="T438" s="157" t="n">
        <v>6.88</v>
      </c>
      <c r="U438" s="157" t="n">
        <v>15063.5</v>
      </c>
      <c r="V438" s="157" t="n">
        <v>26.63</v>
      </c>
      <c r="W438" s="159">
        <f>U438/V438</f>
        <v/>
      </c>
      <c r="X438" s="159">
        <f>(W438/U438)*100</f>
        <v/>
      </c>
      <c r="Y438" s="157" t="n">
        <v>12316.75</v>
      </c>
      <c r="Z438" s="157" t="n">
        <v>24.71</v>
      </c>
      <c r="AA438" s="159">
        <f>Y438/Z438</f>
        <v/>
      </c>
      <c r="AB438" s="159">
        <f>(AA438/Y438)*100</f>
        <v/>
      </c>
    </row>
    <row r="439">
      <c r="A439" s="155" t="n">
        <v>438</v>
      </c>
      <c r="B439" s="160" t="n">
        <v>45208</v>
      </c>
      <c r="C439" s="159" t="n">
        <v>32126509.28</v>
      </c>
      <c r="D439" s="174">
        <f>C439/E439</f>
        <v/>
      </c>
      <c r="E439" s="159" t="n">
        <v>83.25</v>
      </c>
      <c r="F439" s="159">
        <f>D439/100000</f>
        <v/>
      </c>
      <c r="G439" s="159">
        <f>(F439/DataSheet!$C$10*100)</f>
        <v/>
      </c>
      <c r="H439" s="159">
        <f>K439/I439</f>
        <v/>
      </c>
      <c r="I439" s="159">
        <f>(J439/L439)*100</f>
        <v/>
      </c>
      <c r="J439" s="159">
        <f>L439/O439</f>
        <v/>
      </c>
      <c r="K439" s="159" t="n">
        <v>7.38</v>
      </c>
      <c r="L439" s="159" t="n">
        <v>19539.45</v>
      </c>
      <c r="M439" s="159" t="n">
        <v>3.42</v>
      </c>
      <c r="N439" s="159">
        <f>K439-I439</f>
        <v/>
      </c>
      <c r="O439" s="159" t="n">
        <v>22.07</v>
      </c>
      <c r="P439" s="159" t="n">
        <v>4.62</v>
      </c>
      <c r="Q439" s="159">
        <f>K439-P439</f>
        <v/>
      </c>
      <c r="R439" s="159" t="n">
        <v>105.81</v>
      </c>
      <c r="S439" s="159">
        <f>(O439*T439)/100</f>
        <v/>
      </c>
      <c r="T439" s="157" t="n">
        <v>6.89</v>
      </c>
      <c r="U439" s="157" t="n">
        <v>14861.5</v>
      </c>
      <c r="V439" s="157" t="n">
        <v>26.28</v>
      </c>
      <c r="W439" s="159">
        <f>U439/V439</f>
        <v/>
      </c>
      <c r="X439" s="159">
        <f>(W439/U439)*100</f>
        <v/>
      </c>
      <c r="Y439" s="157" t="n">
        <v>12116.45</v>
      </c>
      <c r="Z439" s="157" t="n">
        <v>24.31</v>
      </c>
      <c r="AA439" s="159">
        <f>Y439/Z439</f>
        <v/>
      </c>
      <c r="AB439" s="159">
        <f>(AA439/Y439)*100</f>
        <v/>
      </c>
    </row>
    <row r="440">
      <c r="A440" s="155" t="n">
        <v>439</v>
      </c>
      <c r="B440" s="160" t="n">
        <v>45209</v>
      </c>
      <c r="C440" s="159" t="n">
        <v>32483676.46</v>
      </c>
      <c r="D440" s="174">
        <f>C440/E440</f>
        <v/>
      </c>
      <c r="E440" s="159" t="n">
        <v>83.16</v>
      </c>
      <c r="F440" s="159">
        <f>D440/100000</f>
        <v/>
      </c>
      <c r="G440" s="159">
        <f>(F440/DataSheet!$C$10*100)</f>
        <v/>
      </c>
      <c r="H440" s="159">
        <f>K440/I440</f>
        <v/>
      </c>
      <c r="I440" s="159">
        <f>(J440/L440)*100</f>
        <v/>
      </c>
      <c r="J440" s="159">
        <f>L440/O440</f>
        <v/>
      </c>
      <c r="K440" s="159" t="n">
        <v>7.35</v>
      </c>
      <c r="L440" s="159" t="n">
        <v>19565.6</v>
      </c>
      <c r="M440" s="159" t="n">
        <v>3.46</v>
      </c>
      <c r="N440" s="159">
        <f>K440-I440</f>
        <v/>
      </c>
      <c r="O440" s="159" t="n">
        <v>22.27</v>
      </c>
      <c r="P440" s="159" t="n">
        <v>4.65</v>
      </c>
      <c r="Q440" s="159">
        <f>K440-P440</f>
        <v/>
      </c>
      <c r="R440" s="159" t="n">
        <v>105.55</v>
      </c>
      <c r="S440" s="159">
        <f>(O440*T440)/100</f>
        <v/>
      </c>
      <c r="T440" s="157" t="n">
        <v>6.88</v>
      </c>
      <c r="U440" s="157" t="n">
        <v>15046.4</v>
      </c>
      <c r="V440" s="157" t="n">
        <v>26.6</v>
      </c>
      <c r="W440" s="159">
        <f>U440/V440</f>
        <v/>
      </c>
      <c r="X440" s="159">
        <f>(W440/U440)*100</f>
        <v/>
      </c>
      <c r="Y440" s="157" t="n">
        <v>12252.25</v>
      </c>
      <c r="Z440" s="157" t="n">
        <v>24.58</v>
      </c>
      <c r="AA440" s="159">
        <f>Y440/Z440</f>
        <v/>
      </c>
      <c r="AB440" s="159">
        <f>(AA440/Y440)*100</f>
        <v/>
      </c>
    </row>
    <row r="441">
      <c r="A441" s="155" t="n">
        <v>440</v>
      </c>
      <c r="B441" s="160" t="n">
        <v>45210</v>
      </c>
      <c r="C441" s="159" t="n">
        <v>32678192.45</v>
      </c>
      <c r="D441" s="174">
        <f>C441/E441</f>
        <v/>
      </c>
      <c r="E441" s="159" t="n">
        <v>83.16</v>
      </c>
      <c r="F441" s="159">
        <f>D441/100000</f>
        <v/>
      </c>
      <c r="G441" s="159">
        <f>(F441/DataSheet!$C$10*100)</f>
        <v/>
      </c>
      <c r="H441" s="159">
        <f>K441/I441</f>
        <v/>
      </c>
      <c r="I441" s="159">
        <f>(J441/L441)*100</f>
        <v/>
      </c>
      <c r="J441" s="159">
        <f>L441/O441</f>
        <v/>
      </c>
      <c r="K441" s="159" t="n">
        <v>7.3</v>
      </c>
      <c r="L441" s="159" t="n">
        <v>19767</v>
      </c>
      <c r="M441" s="159" t="n">
        <v>3.48</v>
      </c>
      <c r="N441" s="159">
        <f>K441-I441</f>
        <v/>
      </c>
      <c r="O441" s="159" t="n">
        <v>22.41</v>
      </c>
      <c r="P441" s="159" t="n">
        <v>4.55</v>
      </c>
      <c r="Q441" s="159">
        <f>K441-P441</f>
        <v/>
      </c>
      <c r="R441" s="159" t="n">
        <v>105.56</v>
      </c>
      <c r="S441" s="159">
        <f>(O441*T441)/100</f>
        <v/>
      </c>
      <c r="T441" s="157" t="n">
        <v>6.89</v>
      </c>
      <c r="U441" s="157" t="n">
        <v>15121.55</v>
      </c>
      <c r="V441" s="157" t="n">
        <v>26.74</v>
      </c>
      <c r="W441" s="159">
        <f>U441/V441</f>
        <v/>
      </c>
      <c r="X441" s="159">
        <f>(W441/U441)*100</f>
        <v/>
      </c>
      <c r="Y441" s="157" t="n">
        <v>12336.85</v>
      </c>
      <c r="Z441" s="157" t="n">
        <v>24.75</v>
      </c>
      <c r="AA441" s="159">
        <f>Y441/Z441</f>
        <v/>
      </c>
      <c r="AB441" s="159">
        <f>(AA441/Y441)*100</f>
        <v/>
      </c>
    </row>
    <row r="442">
      <c r="A442" s="155" t="n">
        <v>441</v>
      </c>
      <c r="B442" s="160" t="n">
        <v>45211</v>
      </c>
      <c r="C442" s="159" t="n">
        <v>32722637.24</v>
      </c>
      <c r="D442" s="174">
        <f>C442/E442</f>
        <v/>
      </c>
      <c r="E442" s="159" t="n">
        <v>83.29000000000001</v>
      </c>
      <c r="F442" s="159">
        <f>D442/100000</f>
        <v/>
      </c>
      <c r="G442" s="159">
        <f>(F442/DataSheet!$C$10*100)</f>
        <v/>
      </c>
      <c r="H442" s="159">
        <f>K442/I442</f>
        <v/>
      </c>
      <c r="I442" s="159">
        <f>(J442/L442)*100</f>
        <v/>
      </c>
      <c r="J442" s="159">
        <f>L442/O442</f>
        <v/>
      </c>
      <c r="K442" s="159" t="n">
        <v>7.3</v>
      </c>
      <c r="L442" s="159" t="n">
        <v>19822.7</v>
      </c>
      <c r="M442" s="159" t="n">
        <v>3.47</v>
      </c>
      <c r="N442" s="159">
        <f>K442-I442</f>
        <v/>
      </c>
      <c r="O442" s="159" t="n">
        <v>22.39</v>
      </c>
      <c r="P442" s="159" t="n">
        <v>4.69</v>
      </c>
      <c r="Q442" s="159">
        <f>K442-P442</f>
        <v/>
      </c>
      <c r="R442" s="159" t="n">
        <v>106.36</v>
      </c>
      <c r="S442" s="159">
        <f>(O442*T442)/100</f>
        <v/>
      </c>
      <c r="T442" s="157" t="n">
        <v>6.9</v>
      </c>
      <c r="U442" s="157" t="n">
        <v>15158.1</v>
      </c>
      <c r="V442" s="157" t="n">
        <v>26.8</v>
      </c>
      <c r="W442" s="159">
        <f>U442/V442</f>
        <v/>
      </c>
      <c r="X442" s="159">
        <f>(W442/U442)*100</f>
        <v/>
      </c>
      <c r="Y442" s="157" t="n">
        <v>12425.2</v>
      </c>
      <c r="Z442" s="157" t="n">
        <v>24.93</v>
      </c>
      <c r="AA442" s="159">
        <f>Y442/Z442</f>
        <v/>
      </c>
      <c r="AB442" s="159">
        <f>(AA442/Y442)*100</f>
        <v/>
      </c>
    </row>
    <row r="443">
      <c r="A443" s="155" t="n">
        <v>442</v>
      </c>
      <c r="B443" s="160" t="n">
        <v>45212</v>
      </c>
      <c r="C443" s="159" t="n">
        <v>32713519.94</v>
      </c>
      <c r="D443" s="174">
        <f>C443/E443</f>
        <v/>
      </c>
      <c r="E443" s="159" t="n">
        <v>83.25</v>
      </c>
      <c r="F443" s="159">
        <f>D443/100000</f>
        <v/>
      </c>
      <c r="G443" s="159">
        <f>(F443/DataSheet!$C$10*100)</f>
        <v/>
      </c>
      <c r="H443" s="159">
        <f>K443/I443</f>
        <v/>
      </c>
      <c r="I443" s="159">
        <f>(J443/L443)*100</f>
        <v/>
      </c>
      <c r="J443" s="159">
        <f>L443/O443</f>
        <v/>
      </c>
      <c r="K443" s="159" t="n">
        <v>7.32</v>
      </c>
      <c r="L443" s="159" t="n">
        <v>19654.55</v>
      </c>
      <c r="M443" s="159" t="n">
        <v>3.47</v>
      </c>
      <c r="N443" s="159">
        <f>K443-I443</f>
        <v/>
      </c>
      <c r="O443" s="159" t="n">
        <v>22.33</v>
      </c>
      <c r="P443" s="159" t="n">
        <v>4.61</v>
      </c>
      <c r="Q443" s="159">
        <f>K443-P443</f>
        <v/>
      </c>
      <c r="R443" s="159" t="n">
        <v>106.43</v>
      </c>
      <c r="S443" s="159">
        <f>(O443*T443)/100</f>
        <v/>
      </c>
      <c r="T443" s="157" t="n">
        <v>6.9</v>
      </c>
      <c r="U443" s="157" t="n">
        <v>15141.35</v>
      </c>
      <c r="V443" s="157" t="n">
        <v>26.77</v>
      </c>
      <c r="W443" s="159">
        <f>U443/V443</f>
        <v/>
      </c>
      <c r="X443" s="159">
        <f>(W443/U443)*100</f>
        <v/>
      </c>
      <c r="Y443" s="157" t="n">
        <v>12407.45</v>
      </c>
      <c r="Z443" s="157" t="n">
        <v>24.89</v>
      </c>
      <c r="AA443" s="159">
        <f>Y443/Z443</f>
        <v/>
      </c>
      <c r="AB443" s="159">
        <f>(AA443/Y443)*100</f>
        <v/>
      </c>
    </row>
    <row r="444">
      <c r="A444" s="155" t="n">
        <v>443</v>
      </c>
      <c r="B444" s="160" t="n">
        <v>45215</v>
      </c>
      <c r="C444" s="159" t="n">
        <v>32737764.93</v>
      </c>
      <c r="D444" s="174">
        <f>C444/E444</f>
        <v/>
      </c>
      <c r="E444" s="159" t="n">
        <v>83.19</v>
      </c>
      <c r="F444" s="159">
        <f>D444/100000</f>
        <v/>
      </c>
      <c r="G444" s="159">
        <f>(F444/DataSheet!$C$10*100)</f>
        <v/>
      </c>
      <c r="H444" s="159">
        <f>K444/I444</f>
        <v/>
      </c>
      <c r="I444" s="159">
        <f>(J444/L444)*100</f>
        <v/>
      </c>
      <c r="J444" s="159">
        <f>L444/O444</f>
        <v/>
      </c>
      <c r="K444" s="159" t="n">
        <v>7.33</v>
      </c>
      <c r="L444" s="159" t="n">
        <v>19737.25</v>
      </c>
      <c r="M444" s="159" t="n">
        <v>3.46</v>
      </c>
      <c r="N444" s="159">
        <f>K444-I444</f>
        <v/>
      </c>
      <c r="O444" s="159" t="n">
        <v>22.29</v>
      </c>
      <c r="P444" s="159" t="n">
        <v>4.7</v>
      </c>
      <c r="Q444" s="159">
        <f>K444-P444</f>
        <v/>
      </c>
      <c r="R444" s="159" t="n">
        <v>106.03</v>
      </c>
      <c r="S444" s="159">
        <f>(O444*T444)/100</f>
        <v/>
      </c>
      <c r="T444" s="157" t="n">
        <v>6.88</v>
      </c>
      <c r="U444" s="157" t="n">
        <v>15167.45</v>
      </c>
      <c r="V444" s="157" t="n">
        <v>26.81</v>
      </c>
      <c r="W444" s="159">
        <f>U444/V444</f>
        <v/>
      </c>
      <c r="X444" s="159">
        <f>(W444/U444)*100</f>
        <v/>
      </c>
      <c r="Y444" s="157" t="n">
        <v>12446.75</v>
      </c>
      <c r="Z444" s="157" t="n">
        <v>24.94</v>
      </c>
      <c r="AA444" s="159">
        <f>Y444/Z444</f>
        <v/>
      </c>
      <c r="AB444" s="159">
        <f>(AA444/Y444)*100</f>
        <v/>
      </c>
    </row>
    <row r="445">
      <c r="A445" s="155" t="n">
        <v>444</v>
      </c>
      <c r="B445" s="160" t="n">
        <v>45216</v>
      </c>
      <c r="C445" s="159" t="n">
        <v>32898741.34</v>
      </c>
      <c r="D445" s="174">
        <f>C445/E445</f>
        <v/>
      </c>
      <c r="E445" s="159" t="n">
        <v>83.23999999999999</v>
      </c>
      <c r="F445" s="159">
        <f>D445/100000</f>
        <v/>
      </c>
      <c r="G445" s="159">
        <f>(F445/DataSheet!$C$10*100)</f>
        <v/>
      </c>
      <c r="H445" s="159">
        <f>K445/I445</f>
        <v/>
      </c>
      <c r="I445" s="159">
        <f>(J445/L445)*100</f>
        <v/>
      </c>
      <c r="J445" s="159">
        <f>L445/O445</f>
        <v/>
      </c>
      <c r="K445" s="159" t="n">
        <v>7.32</v>
      </c>
      <c r="L445" s="159" t="n">
        <v>19843.2</v>
      </c>
      <c r="M445" s="159" t="n">
        <v>3.48</v>
      </c>
      <c r="N445" s="159">
        <f>K445-I445</f>
        <v/>
      </c>
      <c r="O445" s="159" t="n">
        <v>22.38</v>
      </c>
      <c r="P445" s="159" t="n">
        <v>4.83</v>
      </c>
      <c r="Q445" s="159">
        <f>K445-P445</f>
        <v/>
      </c>
      <c r="R445" s="159" t="n">
        <v>106.04</v>
      </c>
      <c r="S445" s="159">
        <f>(O445*T445)/100</f>
        <v/>
      </c>
      <c r="T445" s="157" t="n">
        <v>6.88</v>
      </c>
      <c r="U445" s="157" t="n">
        <v>15234.35</v>
      </c>
      <c r="V445" s="157" t="n">
        <v>26.92</v>
      </c>
      <c r="W445" s="159">
        <f>U445/V445</f>
        <v/>
      </c>
      <c r="X445" s="159">
        <f>(W445/U445)*100</f>
        <v/>
      </c>
      <c r="Y445" s="157" t="n">
        <v>12530.4</v>
      </c>
      <c r="Z445" s="157" t="n">
        <v>25.11</v>
      </c>
      <c r="AA445" s="159">
        <f>Y445/Z445</f>
        <v/>
      </c>
      <c r="AB445" s="159">
        <f>(AA445/Y445)*100</f>
        <v/>
      </c>
    </row>
    <row r="446">
      <c r="A446" s="155" t="n">
        <v>445</v>
      </c>
      <c r="B446" s="160" t="n">
        <v>45217</v>
      </c>
      <c r="C446" s="159" t="n">
        <v>32656293.76</v>
      </c>
      <c r="D446" s="174">
        <f>C446/E446</f>
        <v/>
      </c>
      <c r="E446" s="159" t="n">
        <v>83.29000000000001</v>
      </c>
      <c r="F446" s="159">
        <f>D446/100000</f>
        <v/>
      </c>
      <c r="G446" s="159">
        <f>(F446/DataSheet!$C$10*100)</f>
        <v/>
      </c>
      <c r="H446" s="159">
        <f>K446/I446</f>
        <v/>
      </c>
      <c r="I446" s="159">
        <f>(J446/L446)*100</f>
        <v/>
      </c>
      <c r="J446" s="159">
        <f>L446/O446</f>
        <v/>
      </c>
      <c r="K446" s="159" t="n">
        <v>7.35</v>
      </c>
      <c r="L446" s="159" t="n">
        <v>19820.45</v>
      </c>
      <c r="M446" s="159" t="n">
        <v>3.45</v>
      </c>
      <c r="N446" s="159">
        <f>K446-I446</f>
        <v/>
      </c>
      <c r="O446" s="159" t="n">
        <v>21.87</v>
      </c>
      <c r="P446" s="159" t="n">
        <v>4.91</v>
      </c>
      <c r="Q446" s="159">
        <f>K446-P446</f>
        <v/>
      </c>
      <c r="R446" s="159" t="n">
        <v>106.35</v>
      </c>
      <c r="S446" s="159">
        <f>(O446*T446)/100</f>
        <v/>
      </c>
      <c r="T446" s="157" t="n">
        <v>6.89</v>
      </c>
      <c r="U446" s="157" t="n">
        <v>15125.75</v>
      </c>
      <c r="V446" s="157" t="n">
        <v>26.62</v>
      </c>
      <c r="W446" s="159">
        <f>U446/V446</f>
        <v/>
      </c>
      <c r="X446" s="159">
        <f>(W446/U446)*100</f>
        <v/>
      </c>
      <c r="Y446" s="157" t="n">
        <v>12482.35</v>
      </c>
      <c r="Z446" s="157" t="n">
        <v>24.9</v>
      </c>
      <c r="AA446" s="159">
        <f>Y446/Z446</f>
        <v/>
      </c>
      <c r="AB446" s="159">
        <f>(AA446/Y446)*100</f>
        <v/>
      </c>
    </row>
    <row r="447">
      <c r="A447" s="155" t="n">
        <v>446</v>
      </c>
      <c r="B447" s="160" t="n">
        <v>45218</v>
      </c>
      <c r="C447" s="159" t="n">
        <v>32617075.99</v>
      </c>
      <c r="D447" s="174">
        <f>C447/E447</f>
        <v/>
      </c>
      <c r="E447" s="159" t="n">
        <v>83.09</v>
      </c>
      <c r="F447" s="159">
        <f>D447/100000</f>
        <v/>
      </c>
      <c r="G447" s="159">
        <f>(F447/DataSheet!$C$10*100)</f>
        <v/>
      </c>
      <c r="H447" s="159">
        <f>K447/I447</f>
        <v/>
      </c>
      <c r="I447" s="159">
        <f>(J447/L447)*100</f>
        <v/>
      </c>
      <c r="J447" s="159">
        <f>L447/O447</f>
        <v/>
      </c>
      <c r="K447" s="159" t="n">
        <v>7.36</v>
      </c>
      <c r="L447" s="159" t="n">
        <v>19545.2</v>
      </c>
      <c r="M447" s="159" t="n">
        <v>3.44</v>
      </c>
      <c r="N447" s="159">
        <f>K447-I447</f>
        <v/>
      </c>
      <c r="O447" s="159" t="n">
        <v>21.77</v>
      </c>
      <c r="P447" s="159" t="n">
        <v>4.99</v>
      </c>
      <c r="Q447" s="159">
        <f>K447-P447</f>
        <v/>
      </c>
      <c r="R447" s="159" t="n">
        <v>106.04</v>
      </c>
      <c r="S447" s="159">
        <f>(O447*T447)/100</f>
        <v/>
      </c>
      <c r="T447" s="157" t="n">
        <v>6.93</v>
      </c>
      <c r="U447" s="157" t="n">
        <v>15106.95</v>
      </c>
      <c r="V447" s="157" t="n">
        <v>26.47</v>
      </c>
      <c r="W447" s="159">
        <f>U447/V447</f>
        <v/>
      </c>
      <c r="X447" s="159">
        <f>(W447/U447)*100</f>
        <v/>
      </c>
      <c r="Y447" s="157" t="n">
        <v>12500.6</v>
      </c>
      <c r="Z447" s="157" t="n">
        <v>24.87</v>
      </c>
      <c r="AA447" s="159">
        <f>Y447/Z447</f>
        <v/>
      </c>
      <c r="AB447" s="159">
        <f>(AA447/Y447)*100</f>
        <v/>
      </c>
    </row>
    <row r="448">
      <c r="A448" s="155" t="n">
        <v>447</v>
      </c>
      <c r="B448" s="160" t="n">
        <v>45219</v>
      </c>
      <c r="C448" s="159" t="n">
        <v>32411799.25</v>
      </c>
      <c r="D448" s="174">
        <f>C448/E448</f>
        <v/>
      </c>
      <c r="E448" s="159" t="n">
        <v>83.15000000000001</v>
      </c>
      <c r="F448" s="159">
        <f>D448/100000</f>
        <v/>
      </c>
      <c r="G448" s="159">
        <f>(F448/DataSheet!$C$10*100)</f>
        <v/>
      </c>
      <c r="H448" s="159">
        <f>K448/I448</f>
        <v/>
      </c>
      <c r="I448" s="159">
        <f>(J448/L448)*100</f>
        <v/>
      </c>
      <c r="J448" s="159">
        <f>L448/O448</f>
        <v/>
      </c>
      <c r="K448" s="159" t="n">
        <v>7.36</v>
      </c>
      <c r="L448" s="159" t="n">
        <v>19542.65</v>
      </c>
      <c r="M448" s="159" t="n">
        <v>3.43</v>
      </c>
      <c r="N448" s="159">
        <f>K448-I448</f>
        <v/>
      </c>
      <c r="O448" s="159" t="n">
        <v>21.68</v>
      </c>
      <c r="P448" s="159" t="n">
        <v>4.91</v>
      </c>
      <c r="Q448" s="159">
        <f>K448-P448</f>
        <v/>
      </c>
      <c r="R448" s="159" t="n">
        <v>105.98</v>
      </c>
      <c r="S448" s="159">
        <f>(O448*T448)/100</f>
        <v/>
      </c>
      <c r="T448" s="157" t="n">
        <v>6.93</v>
      </c>
      <c r="U448" s="157" t="n">
        <v>14963.1</v>
      </c>
      <c r="V448" s="157" t="n">
        <v>26.21</v>
      </c>
      <c r="W448" s="159">
        <f>U448/V448</f>
        <v/>
      </c>
      <c r="X448" s="159">
        <f>(W448/U448)*100</f>
        <v/>
      </c>
      <c r="Y448" s="157" t="n">
        <v>12400.3</v>
      </c>
      <c r="Z448" s="157" t="n">
        <v>24.67</v>
      </c>
      <c r="AA448" s="159">
        <f>Y448/Z448</f>
        <v/>
      </c>
      <c r="AB448" s="159">
        <f>(AA448/Y448)*100</f>
        <v/>
      </c>
    </row>
    <row r="449">
      <c r="A449" s="155" t="n">
        <v>448</v>
      </c>
      <c r="B449" s="160" t="n">
        <v>45222</v>
      </c>
      <c r="C449" s="159" t="n">
        <v>31652964.62</v>
      </c>
      <c r="D449" s="174">
        <f>C449/E449</f>
        <v/>
      </c>
      <c r="E449" s="159" t="n">
        <v>83.06999999999999</v>
      </c>
      <c r="F449" s="159">
        <f>D449/100000</f>
        <v/>
      </c>
      <c r="G449" s="159">
        <f>(F449/DataSheet!$C$10*100)</f>
        <v/>
      </c>
      <c r="H449" s="159">
        <f>K449/I449</f>
        <v/>
      </c>
      <c r="I449" s="159">
        <f>(J449/L449)*100</f>
        <v/>
      </c>
      <c r="J449" s="159">
        <f>L449/O449</f>
        <v/>
      </c>
      <c r="K449" s="159" t="n">
        <v>7.38</v>
      </c>
      <c r="L449" s="159" t="n">
        <v>19281.75</v>
      </c>
      <c r="M449" s="159" t="n">
        <v>3.38</v>
      </c>
      <c r="N449" s="159">
        <f>K449-I449</f>
        <v/>
      </c>
      <c r="O449" s="159" t="n">
        <v>21.36</v>
      </c>
      <c r="P449" s="159" t="n">
        <v>4.84</v>
      </c>
      <c r="Q449" s="159">
        <f>K449-P449</f>
        <v/>
      </c>
      <c r="R449" s="159" t="n">
        <v>105.33</v>
      </c>
      <c r="S449" s="159">
        <f>(O449*T449)/100</f>
        <v/>
      </c>
      <c r="T449" s="157" t="n">
        <v>6.93</v>
      </c>
      <c r="U449" s="157" t="n">
        <v>14557.1</v>
      </c>
      <c r="V449" s="157" t="n">
        <v>25.47</v>
      </c>
      <c r="W449" s="159">
        <f>U449/V449</f>
        <v/>
      </c>
      <c r="X449" s="159">
        <f>(W449/U449)*100</f>
        <v/>
      </c>
      <c r="Y449" s="157" t="n">
        <v>11930.4</v>
      </c>
      <c r="Z449" s="157" t="n">
        <v>23.58</v>
      </c>
      <c r="AA449" s="159">
        <f>Y449/Z449</f>
        <v/>
      </c>
      <c r="AB449" s="159">
        <f>(AA449/Y449)*100</f>
        <v/>
      </c>
    </row>
    <row r="450">
      <c r="A450" s="155" t="n">
        <v>449</v>
      </c>
      <c r="B450" s="160" t="n">
        <v>45224</v>
      </c>
      <c r="C450" s="159" t="n">
        <v>31445741.36</v>
      </c>
      <c r="D450" s="174">
        <f>C450/E450</f>
        <v/>
      </c>
      <c r="E450" s="159" t="n">
        <v>83.17</v>
      </c>
      <c r="F450" s="159">
        <f>D450/100000</f>
        <v/>
      </c>
      <c r="G450" s="159">
        <f>(F450/DataSheet!$C$10*100)</f>
        <v/>
      </c>
      <c r="H450" s="159">
        <f>K450/I450</f>
        <v/>
      </c>
      <c r="I450" s="159">
        <f>(J450/L450)*100</f>
        <v/>
      </c>
      <c r="J450" s="159">
        <f>L450/O450</f>
        <v/>
      </c>
      <c r="K450" s="159" t="n">
        <v>7.34</v>
      </c>
      <c r="L450" s="159" t="n">
        <v>19122.15</v>
      </c>
      <c r="M450" s="159" t="n">
        <v>3.36</v>
      </c>
      <c r="N450" s="159">
        <f>K450-I450</f>
        <v/>
      </c>
      <c r="O450" s="159" t="n">
        <v>20.92</v>
      </c>
      <c r="P450" s="159" t="n">
        <v>4.94</v>
      </c>
      <c r="Q450" s="159">
        <f>K450-P450</f>
        <v/>
      </c>
      <c r="R450" s="159" t="n">
        <v>106.35</v>
      </c>
      <c r="S450" s="159">
        <f>(O450*T450)/100</f>
        <v/>
      </c>
      <c r="T450" s="157" t="n">
        <v>6.93</v>
      </c>
      <c r="U450" s="157" t="n">
        <v>14470.25</v>
      </c>
      <c r="V450" s="157" t="n">
        <v>25.21</v>
      </c>
      <c r="W450" s="159">
        <f>U450/V450</f>
        <v/>
      </c>
      <c r="X450" s="159">
        <f>(W450/U450)*100</f>
        <v/>
      </c>
      <c r="Y450" s="157" t="n">
        <v>11853.7</v>
      </c>
      <c r="Z450" s="157" t="n">
        <v>23.26</v>
      </c>
      <c r="AA450" s="159">
        <f>Y450/Z450</f>
        <v/>
      </c>
      <c r="AB450" s="159">
        <f>(AA450/Y450)*100</f>
        <v/>
      </c>
    </row>
    <row r="451">
      <c r="A451" s="155" t="n">
        <v>450</v>
      </c>
      <c r="B451" s="160" t="n">
        <v>45225</v>
      </c>
      <c r="C451" s="159" t="n">
        <v>31123990.88</v>
      </c>
      <c r="D451" s="174">
        <f>C451/E451</f>
        <v/>
      </c>
      <c r="E451" s="159" t="n">
        <v>83.23999999999999</v>
      </c>
      <c r="F451" s="159">
        <f>D451/100000</f>
        <v/>
      </c>
      <c r="G451" s="159">
        <f>(F451/DataSheet!$C$10*100)</f>
        <v/>
      </c>
      <c r="H451" s="159">
        <f>K451/I451</f>
        <v/>
      </c>
      <c r="I451" s="159">
        <f>(J451/L451)*100</f>
        <v/>
      </c>
      <c r="J451" s="159">
        <f>L451/O451</f>
        <v/>
      </c>
      <c r="K451" s="159" t="n">
        <v>7.36</v>
      </c>
      <c r="L451" s="159" t="n">
        <v>18857.25</v>
      </c>
      <c r="M451" s="159" t="n">
        <v>3.31</v>
      </c>
      <c r="N451" s="159">
        <f>K451-I451</f>
        <v/>
      </c>
      <c r="O451" s="159" t="n">
        <v>20.63</v>
      </c>
      <c r="P451" s="159" t="n">
        <v>4.84</v>
      </c>
      <c r="Q451" s="159">
        <f>K451-P451</f>
        <v/>
      </c>
      <c r="R451" s="159" t="n">
        <v>106.42</v>
      </c>
      <c r="S451" s="159">
        <f>(O451*T451)/100</f>
        <v/>
      </c>
      <c r="T451" s="157" t="n">
        <v>6.93</v>
      </c>
      <c r="U451" s="157" t="n">
        <v>14305.25</v>
      </c>
      <c r="V451" s="157" t="n">
        <v>24.93</v>
      </c>
      <c r="W451" s="159">
        <f>U451/V451</f>
        <v/>
      </c>
      <c r="X451" s="159">
        <f>(W451/U451)*100</f>
        <v/>
      </c>
      <c r="Y451" s="157" t="n">
        <v>11797.15</v>
      </c>
      <c r="Z451" s="157" t="n">
        <v>23.21</v>
      </c>
      <c r="AA451" s="159">
        <f>Y451/Z451</f>
        <v/>
      </c>
      <c r="AB451" s="159">
        <f>(AA451/Y451)*100</f>
        <v/>
      </c>
    </row>
    <row r="452">
      <c r="A452" s="155" t="n">
        <v>451</v>
      </c>
      <c r="B452" s="160" t="n">
        <v>45226</v>
      </c>
      <c r="C452" s="159" t="n">
        <v>31570263.3</v>
      </c>
      <c r="D452" s="174">
        <f>C452/E452</f>
        <v/>
      </c>
      <c r="E452" s="159" t="n">
        <v>83.26000000000001</v>
      </c>
      <c r="F452" s="159">
        <f>D452/100000</f>
        <v/>
      </c>
      <c r="G452" s="159">
        <f>(F452/DataSheet!$C$10*100)</f>
        <v/>
      </c>
      <c r="H452" s="159">
        <f>K452/I452</f>
        <v/>
      </c>
      <c r="I452" s="159">
        <f>(J452/L452)*100</f>
        <v/>
      </c>
      <c r="J452" s="159">
        <f>L452/O452</f>
        <v/>
      </c>
      <c r="K452" s="159" t="n">
        <v>7.35</v>
      </c>
      <c r="L452" s="159" t="n">
        <v>19047.25</v>
      </c>
      <c r="M452" s="159" t="n">
        <v>3.34</v>
      </c>
      <c r="N452" s="159">
        <f>K452-I452</f>
        <v/>
      </c>
      <c r="O452" s="159" t="n">
        <v>20.84</v>
      </c>
      <c r="P452" s="159" t="n">
        <v>4.84</v>
      </c>
      <c r="Q452" s="159">
        <f>K452-P452</f>
        <v/>
      </c>
      <c r="R452" s="159" t="n">
        <v>106.38</v>
      </c>
      <c r="S452" s="159">
        <f>(O452*T452)/100</f>
        <v/>
      </c>
      <c r="T452" s="157" t="n">
        <v>6.95</v>
      </c>
      <c r="U452" s="157" t="n">
        <v>14513.7</v>
      </c>
      <c r="V452" s="157" t="n">
        <v>25.26</v>
      </c>
      <c r="W452" s="159">
        <f>U452/V452</f>
        <v/>
      </c>
      <c r="X452" s="159">
        <f>(W452/U452)*100</f>
        <v/>
      </c>
      <c r="Y452" s="157" t="n">
        <v>12024.9</v>
      </c>
      <c r="Z452" s="157" t="n">
        <v>23.65</v>
      </c>
      <c r="AA452" s="159">
        <f>Y452/Z452</f>
        <v/>
      </c>
      <c r="AB452" s="159">
        <f>(AA452/Y452)*100</f>
        <v/>
      </c>
    </row>
    <row r="453">
      <c r="A453" s="155" t="n">
        <v>452</v>
      </c>
      <c r="B453" s="160" t="n">
        <v>45229</v>
      </c>
      <c r="C453" s="159" t="n">
        <v>31671281.29</v>
      </c>
      <c r="D453" s="174">
        <f>C453/E453</f>
        <v/>
      </c>
      <c r="E453" s="159" t="n">
        <v>83.25</v>
      </c>
      <c r="F453" s="159">
        <f>D453/100000</f>
        <v/>
      </c>
      <c r="G453" s="159">
        <f>(F453/DataSheet!$C$10*100)</f>
        <v/>
      </c>
      <c r="H453" s="159">
        <f>K453/I453</f>
        <v/>
      </c>
      <c r="I453" s="159">
        <f>(J453/L453)*100</f>
        <v/>
      </c>
      <c r="J453" s="159">
        <f>L453/O453</f>
        <v/>
      </c>
      <c r="K453" s="159" t="n">
        <v>7.36</v>
      </c>
      <c r="L453" s="159" t="n">
        <v>19140.9</v>
      </c>
      <c r="M453" s="159" t="n">
        <v>3.36</v>
      </c>
      <c r="N453" s="159">
        <f>K453-I453</f>
        <v/>
      </c>
      <c r="O453" s="159" t="n">
        <v>20.9</v>
      </c>
      <c r="P453" s="159" t="n">
        <v>4.88</v>
      </c>
      <c r="Q453" s="159">
        <f>K453-P453</f>
        <v/>
      </c>
      <c r="R453" s="159" t="n">
        <v>105.93</v>
      </c>
      <c r="S453" s="159">
        <f>(O453*T453)/100</f>
        <v/>
      </c>
      <c r="T453" s="157" t="n">
        <v>6.92</v>
      </c>
      <c r="U453" s="157" t="n">
        <v>14533.4</v>
      </c>
      <c r="V453" s="157" t="n">
        <v>25.23</v>
      </c>
      <c r="W453" s="159">
        <f>U453/V453</f>
        <v/>
      </c>
      <c r="X453" s="159">
        <f>(W453/U453)*100</f>
        <v/>
      </c>
      <c r="Y453" s="157" t="n">
        <v>12033.85</v>
      </c>
      <c r="Z453" s="157" t="n">
        <v>23.54</v>
      </c>
      <c r="AA453" s="159">
        <f>Y453/Z453</f>
        <v/>
      </c>
      <c r="AB453" s="159">
        <f>(AA453/Y453)*100</f>
        <v/>
      </c>
    </row>
    <row r="454">
      <c r="A454" s="155" t="n">
        <v>453</v>
      </c>
      <c r="B454" s="160" t="n">
        <v>45230</v>
      </c>
      <c r="C454" s="159" t="n">
        <v>31667115.1</v>
      </c>
      <c r="D454" s="174">
        <f>C454/E454</f>
        <v/>
      </c>
      <c r="E454" s="159" t="n">
        <v>83.25</v>
      </c>
      <c r="F454" s="159">
        <f>D454/100000</f>
        <v/>
      </c>
      <c r="G454" s="159">
        <f>(F454/DataSheet!$C$10*100)</f>
        <v/>
      </c>
      <c r="H454" s="159">
        <f>K454/I454</f>
        <v/>
      </c>
      <c r="I454" s="159">
        <f>(J454/L454)*100</f>
        <v/>
      </c>
      <c r="J454" s="159">
        <f>L454/O454</f>
        <v/>
      </c>
      <c r="K454" s="159" t="n">
        <v>7.35</v>
      </c>
      <c r="L454" s="159" t="n">
        <v>19079.6</v>
      </c>
      <c r="M454" s="159" t="n">
        <v>3.35</v>
      </c>
      <c r="N454" s="159">
        <f>K454-I454</f>
        <v/>
      </c>
      <c r="O454" s="159" t="n">
        <v>20.45</v>
      </c>
      <c r="P454" s="159" t="n">
        <v>4.92</v>
      </c>
      <c r="Q454" s="159">
        <f>K454-P454</f>
        <v/>
      </c>
      <c r="R454" s="159" t="n">
        <v>106.49</v>
      </c>
      <c r="S454" s="159">
        <f>(O454*T454)/100</f>
        <v/>
      </c>
      <c r="T454" s="157" t="n">
        <v>6.94</v>
      </c>
      <c r="U454" s="157" t="n">
        <v>14566.3</v>
      </c>
      <c r="V454" s="157" t="n">
        <v>25.08</v>
      </c>
      <c r="W454" s="159">
        <f>U454/V454</f>
        <v/>
      </c>
      <c r="X454" s="159">
        <f>(W454/U454)*100</f>
        <v/>
      </c>
      <c r="Y454" s="157" t="n">
        <v>12023.75</v>
      </c>
      <c r="Z454" s="157" t="n">
        <v>23.46</v>
      </c>
      <c r="AA454" s="159">
        <f>Y454/Z454</f>
        <v/>
      </c>
      <c r="AB454" s="159">
        <f>(AA454/Y454)*100</f>
        <v/>
      </c>
    </row>
    <row r="455">
      <c r="A455" s="155" t="n">
        <v>454</v>
      </c>
      <c r="B455" s="160" t="n">
        <v>45231</v>
      </c>
      <c r="C455" s="159" t="n">
        <v>31544789.55</v>
      </c>
      <c r="D455" s="174">
        <f>C455/E455</f>
        <v/>
      </c>
      <c r="E455" s="159" t="n">
        <v>83.23</v>
      </c>
      <c r="F455" s="159">
        <f>D455/100000</f>
        <v/>
      </c>
      <c r="G455" s="159">
        <f>(F455/DataSheet!$C$10*100)</f>
        <v/>
      </c>
      <c r="H455" s="159">
        <f>K455/I455</f>
        <v/>
      </c>
      <c r="I455" s="159">
        <f>(J455/L455)*100</f>
        <v/>
      </c>
      <c r="J455" s="159">
        <f>L455/O455</f>
        <v/>
      </c>
      <c r="K455" s="159" t="n">
        <v>7.35</v>
      </c>
      <c r="L455" s="159" t="n">
        <v>18989.15</v>
      </c>
      <c r="M455" s="159" t="n">
        <v>3.33</v>
      </c>
      <c r="N455" s="159">
        <f>K455-I455</f>
        <v/>
      </c>
      <c r="O455" s="159" t="n">
        <v>20.4</v>
      </c>
      <c r="P455" s="159" t="n">
        <v>4.73</v>
      </c>
      <c r="Q455" s="159">
        <f>K455-P455</f>
        <v/>
      </c>
      <c r="R455" s="159" t="n">
        <v>106.71</v>
      </c>
      <c r="S455" s="159">
        <f>(O455*T455)/100</f>
        <v/>
      </c>
      <c r="T455" s="157" t="n">
        <v>6.93</v>
      </c>
      <c r="U455" s="157" t="n">
        <v>14545.1</v>
      </c>
      <c r="V455" s="157" t="n">
        <v>24.97</v>
      </c>
      <c r="W455" s="159">
        <f>U455/V455</f>
        <v/>
      </c>
      <c r="X455" s="159">
        <f>(W455/U455)*100</f>
        <v/>
      </c>
      <c r="Y455" s="157" t="n">
        <v>12000.5</v>
      </c>
      <c r="Z455" s="157" t="n">
        <v>23.66</v>
      </c>
      <c r="AA455" s="159">
        <f>Y455/Z455</f>
        <v/>
      </c>
      <c r="AB455" s="159">
        <f>(AA455/Y455)*100</f>
        <v/>
      </c>
    </row>
    <row r="456">
      <c r="A456" s="155" t="n">
        <v>455</v>
      </c>
      <c r="B456" s="160" t="n">
        <v>45232</v>
      </c>
      <c r="C456" s="159" t="n">
        <v>31778049.3</v>
      </c>
      <c r="D456" s="174">
        <f>C456/E456</f>
        <v/>
      </c>
      <c r="E456" s="159" t="n">
        <v>83.23</v>
      </c>
      <c r="F456" s="159">
        <f>D456/100000</f>
        <v/>
      </c>
      <c r="G456" s="159">
        <f>(F456/DataSheet!$C$10*100)</f>
        <v/>
      </c>
      <c r="H456" s="159">
        <f>K456/I456</f>
        <v/>
      </c>
      <c r="I456" s="159">
        <f>(J456/L456)*100</f>
        <v/>
      </c>
      <c r="J456" s="159">
        <f>L456/O456</f>
        <v/>
      </c>
      <c r="K456" s="159" t="n">
        <v>7.32</v>
      </c>
      <c r="L456" s="159" t="n">
        <v>19133.25</v>
      </c>
      <c r="M456" s="159" t="n">
        <v>3.36</v>
      </c>
      <c r="N456" s="159">
        <f>K456-I456</f>
        <v/>
      </c>
      <c r="O456" s="159" t="n">
        <v>20.77</v>
      </c>
      <c r="P456" s="159" t="n">
        <v>4.66</v>
      </c>
      <c r="Q456" s="159">
        <f>K456-P456</f>
        <v/>
      </c>
      <c r="R456" s="159" t="n">
        <v>105.97</v>
      </c>
      <c r="S456" s="159">
        <f>(O456*T456)/100</f>
        <v/>
      </c>
      <c r="T456" s="157" t="n">
        <v>6.95</v>
      </c>
      <c r="U456" s="157" t="n">
        <v>14718.5</v>
      </c>
      <c r="V456" s="157" t="n">
        <v>25.08</v>
      </c>
      <c r="W456" s="159">
        <f>U456/V456</f>
        <v/>
      </c>
      <c r="X456" s="159">
        <f>(W456/U456)*100</f>
        <v/>
      </c>
      <c r="Y456" s="157" t="n">
        <v>12130.3</v>
      </c>
      <c r="Z456" s="157" t="n">
        <v>23.72</v>
      </c>
      <c r="AA456" s="159">
        <f>Y456/Z456</f>
        <v/>
      </c>
      <c r="AB456" s="159">
        <f>(AA456/Y456)*100</f>
        <v/>
      </c>
    </row>
    <row r="457">
      <c r="A457" s="155" t="n">
        <v>456</v>
      </c>
      <c r="B457" s="160" t="n">
        <v>45233</v>
      </c>
      <c r="C457" s="159" t="n">
        <v>32047271.53</v>
      </c>
      <c r="D457" s="174">
        <f>C457/E457</f>
        <v/>
      </c>
      <c r="E457" s="159" t="n">
        <v>83.14</v>
      </c>
      <c r="F457" s="159">
        <f>D457/100000</f>
        <v/>
      </c>
      <c r="G457" s="159">
        <f>(F457/DataSheet!$C$10*100)</f>
        <v/>
      </c>
      <c r="H457" s="159">
        <f>K457/I457</f>
        <v/>
      </c>
      <c r="I457" s="159">
        <f>(J457/L457)*100</f>
        <v/>
      </c>
      <c r="J457" s="159">
        <f>L457/O457</f>
        <v/>
      </c>
      <c r="K457" s="159" t="n">
        <v>7.31</v>
      </c>
      <c r="L457" s="159" t="n">
        <v>19230.6</v>
      </c>
      <c r="M457" s="159" t="n">
        <v>3.37</v>
      </c>
      <c r="N457" s="159">
        <f>K457-I457</f>
        <v/>
      </c>
      <c r="O457" s="159" t="n">
        <v>20.88</v>
      </c>
      <c r="P457" s="159" t="n">
        <v>4.57</v>
      </c>
      <c r="Q457" s="159">
        <f>K457-P457</f>
        <v/>
      </c>
      <c r="R457" s="159" t="n">
        <v>104.85</v>
      </c>
      <c r="S457" s="159">
        <f>(O457*T457)/100</f>
        <v/>
      </c>
      <c r="T457" s="157" t="n">
        <v>6.95</v>
      </c>
      <c r="U457" s="157" t="n">
        <v>14819.1</v>
      </c>
      <c r="V457" s="157" t="n">
        <v>25.25</v>
      </c>
      <c r="W457" s="159">
        <f>U457/V457</f>
        <v/>
      </c>
      <c r="X457" s="159">
        <f>(W457/U457)*100</f>
        <v/>
      </c>
      <c r="Y457" s="157" t="n">
        <v>12253.6</v>
      </c>
      <c r="Z457" s="157" t="n">
        <v>23.96</v>
      </c>
      <c r="AA457" s="159">
        <f>Y457/Z457</f>
        <v/>
      </c>
      <c r="AB457" s="159">
        <f>(AA457/Y457)*100</f>
        <v/>
      </c>
    </row>
    <row r="458">
      <c r="A458" s="155" t="n">
        <v>457</v>
      </c>
      <c r="B458" s="160" t="n">
        <v>45236</v>
      </c>
      <c r="C458" s="159" t="n">
        <v>32337406.35</v>
      </c>
      <c r="D458" s="174">
        <f>C458/E458</f>
        <v/>
      </c>
      <c r="E458" s="159" t="n">
        <v>83.20999999999999</v>
      </c>
      <c r="F458" s="159">
        <f>D458/100000</f>
        <v/>
      </c>
      <c r="G458" s="159">
        <f>(F458/DataSheet!$C$10*100)</f>
        <v/>
      </c>
      <c r="H458" s="159">
        <f>K458/I458</f>
        <v/>
      </c>
      <c r="I458" s="159">
        <f>(J458/L458)*100</f>
        <v/>
      </c>
      <c r="J458" s="159">
        <f>L458/O458</f>
        <v/>
      </c>
      <c r="K458" s="159" t="n">
        <v>7.3</v>
      </c>
      <c r="L458" s="159" t="n">
        <v>19411.75</v>
      </c>
      <c r="M458" s="159" t="n">
        <v>3.41</v>
      </c>
      <c r="N458" s="159">
        <f>K458-I458</f>
        <v/>
      </c>
      <c r="O458" s="159" t="n">
        <v>20.96</v>
      </c>
      <c r="P458" s="159" t="n">
        <v>4.64</v>
      </c>
      <c r="Q458" s="159">
        <f>K458-P458</f>
        <v/>
      </c>
      <c r="R458" s="159" t="n">
        <v>105.04</v>
      </c>
      <c r="S458" s="159">
        <f>(O458*T458)/100</f>
        <v/>
      </c>
      <c r="T458" s="157" t="n">
        <v>6.93</v>
      </c>
      <c r="U458" s="157" t="n">
        <v>14953.75</v>
      </c>
      <c r="V458" s="157" t="n">
        <v>25</v>
      </c>
      <c r="W458" s="159">
        <f>U458/V458</f>
        <v/>
      </c>
      <c r="X458" s="159">
        <f>(W458/U458)*100</f>
        <v/>
      </c>
      <c r="Y458" s="157" t="n">
        <v>12384.35</v>
      </c>
      <c r="Z458" s="157" t="n">
        <v>24.24</v>
      </c>
      <c r="AA458" s="159">
        <f>Y458/Z458</f>
        <v/>
      </c>
      <c r="AB458" s="159">
        <f>(AA458/Y458)*100</f>
        <v/>
      </c>
    </row>
    <row r="459">
      <c r="A459" s="155" t="n">
        <v>458</v>
      </c>
      <c r="B459" s="160" t="n">
        <v>45237</v>
      </c>
      <c r="C459" s="159" t="n">
        <v>32424777.49</v>
      </c>
      <c r="D459" s="174">
        <f>C459/E459</f>
        <v/>
      </c>
      <c r="E459" s="159" t="n">
        <v>83.23</v>
      </c>
      <c r="F459" s="159">
        <f>D459/100000</f>
        <v/>
      </c>
      <c r="G459" s="159">
        <f>(F459/DataSheet!$C$10*100)</f>
        <v/>
      </c>
      <c r="H459" s="159">
        <f>K459/I459</f>
        <v/>
      </c>
      <c r="I459" s="159">
        <f>(J459/L459)*100</f>
        <v/>
      </c>
      <c r="J459" s="159">
        <f>L459/O459</f>
        <v/>
      </c>
      <c r="K459" s="159" t="n">
        <v>7.28</v>
      </c>
      <c r="L459" s="159" t="n">
        <v>19406.7</v>
      </c>
      <c r="M459" s="159" t="n">
        <v>3.41</v>
      </c>
      <c r="N459" s="159">
        <f>K459-I459</f>
        <v/>
      </c>
      <c r="O459" s="159" t="n">
        <v>20.92</v>
      </c>
      <c r="P459" s="159" t="n">
        <v>4.56</v>
      </c>
      <c r="Q459" s="159">
        <f>K459-P459</f>
        <v/>
      </c>
      <c r="R459" s="159" t="n">
        <v>105.37</v>
      </c>
      <c r="S459" s="159">
        <f>(O459*T459)/100</f>
        <v/>
      </c>
      <c r="T459" s="157" t="n">
        <v>6.93</v>
      </c>
      <c r="U459" s="157" t="n">
        <v>14994.1</v>
      </c>
      <c r="V459" s="157" t="n">
        <v>24.91</v>
      </c>
      <c r="W459" s="159">
        <f>U459/V459</f>
        <v/>
      </c>
      <c r="X459" s="159">
        <f>(W459/U459)*100</f>
        <v/>
      </c>
      <c r="Y459" s="157" t="n">
        <v>12456.05</v>
      </c>
      <c r="Z459" s="157" t="n">
        <v>24.32</v>
      </c>
      <c r="AA459" s="159">
        <f>Y459/Z459</f>
        <v/>
      </c>
      <c r="AB459" s="159">
        <f>(AA459/Y459)*100</f>
        <v/>
      </c>
    </row>
    <row r="460">
      <c r="A460" s="155" t="n">
        <v>459</v>
      </c>
      <c r="B460" s="160" t="n">
        <v>45238</v>
      </c>
      <c r="C460" s="159" t="n">
        <v>32581055.53</v>
      </c>
      <c r="D460" s="174">
        <f>C460/E460</f>
        <v/>
      </c>
      <c r="E460" s="159" t="n">
        <v>83.20999999999999</v>
      </c>
      <c r="F460" s="159">
        <f>D460/100000</f>
        <v/>
      </c>
      <c r="G460" s="159">
        <f>(F460/DataSheet!$C$10*100)</f>
        <v/>
      </c>
      <c r="H460" s="159">
        <f>K460/I460</f>
        <v/>
      </c>
      <c r="I460" s="159">
        <f>(J460/L460)*100</f>
        <v/>
      </c>
      <c r="J460" s="159">
        <f>L460/O460</f>
        <v/>
      </c>
      <c r="K460" s="159" t="n">
        <v>7.26</v>
      </c>
      <c r="L460" s="159" t="n">
        <v>19443.5</v>
      </c>
      <c r="M460" s="159" t="n">
        <v>3.41</v>
      </c>
      <c r="N460" s="159">
        <f>K460-I460</f>
        <v/>
      </c>
      <c r="O460" s="159" t="n">
        <v>20.97</v>
      </c>
      <c r="P460" s="159" t="n">
        <v>4.49</v>
      </c>
      <c r="Q460" s="159">
        <f>K460-P460</f>
        <v/>
      </c>
      <c r="R460" s="159" t="n">
        <v>105.44</v>
      </c>
      <c r="S460" s="159">
        <f>(O460*T460)/100</f>
        <v/>
      </c>
      <c r="T460" s="157" t="n">
        <v>6.93</v>
      </c>
      <c r="U460" s="157" t="n">
        <v>15138.7</v>
      </c>
      <c r="V460" s="157" t="n">
        <v>24.16</v>
      </c>
      <c r="W460" s="159">
        <f>U460/V460</f>
        <v/>
      </c>
      <c r="X460" s="159">
        <f>(W460/U460)*100</f>
        <v/>
      </c>
      <c r="Y460" s="157" t="n">
        <v>12530.65</v>
      </c>
      <c r="Z460" s="157" t="n">
        <v>24.55</v>
      </c>
      <c r="AA460" s="159">
        <f>Y460/Z460</f>
        <v/>
      </c>
      <c r="AB460" s="159">
        <f>(AA460/Y460)*100</f>
        <v/>
      </c>
    </row>
    <row r="461">
      <c r="A461" s="155" t="n">
        <v>460</v>
      </c>
      <c r="B461" s="160" t="n">
        <v>45239</v>
      </c>
      <c r="C461" s="159" t="n">
        <v>32496397.03</v>
      </c>
      <c r="D461" s="174">
        <f>C461/E461</f>
        <v/>
      </c>
      <c r="E461" s="159" t="n">
        <v>83.31</v>
      </c>
      <c r="F461" s="159">
        <f>D461/100000</f>
        <v/>
      </c>
      <c r="G461" s="159">
        <f>(F461/DataSheet!$C$10*100)</f>
        <v/>
      </c>
      <c r="H461" s="159">
        <f>K461/I461</f>
        <v/>
      </c>
      <c r="I461" s="159">
        <f>(J461/L461)*100</f>
        <v/>
      </c>
      <c r="J461" s="159">
        <f>L461/O461</f>
        <v/>
      </c>
      <c r="K461" s="159" t="n">
        <v>7.26</v>
      </c>
      <c r="L461" s="159" t="n">
        <v>19395.3</v>
      </c>
      <c r="M461" s="159" t="n">
        <v>3.4</v>
      </c>
      <c r="N461" s="159">
        <f>K461-I461</f>
        <v/>
      </c>
      <c r="O461" s="159" t="n">
        <v>20.91</v>
      </c>
      <c r="P461" s="159" t="n">
        <v>4.63</v>
      </c>
      <c r="Q461" s="159">
        <f>K461-P461</f>
        <v/>
      </c>
      <c r="R461" s="159" t="n">
        <v>105.78</v>
      </c>
      <c r="S461" s="159">
        <f>(O461*T461)/100</f>
        <v/>
      </c>
      <c r="T461" s="157" t="n">
        <v>6.94</v>
      </c>
      <c r="U461" s="157" t="n">
        <v>15142.8</v>
      </c>
      <c r="V461" s="157" t="n">
        <v>24.02</v>
      </c>
      <c r="W461" s="159">
        <f>U461/V461</f>
        <v/>
      </c>
      <c r="X461" s="159">
        <f>(W461/U461)*100</f>
        <v/>
      </c>
      <c r="Y461" s="157" t="n">
        <v>12494.35</v>
      </c>
      <c r="Z461" s="157" t="n">
        <v>24.5</v>
      </c>
      <c r="AA461" s="159">
        <f>Y461/Z461</f>
        <v/>
      </c>
      <c r="AB461" s="159">
        <f>(AA461/Y461)*100</f>
        <v/>
      </c>
    </row>
    <row r="462">
      <c r="A462" s="155" t="n">
        <v>461</v>
      </c>
      <c r="B462" s="160" t="n">
        <v>45240</v>
      </c>
      <c r="C462" s="155" t="n">
        <v>32560054.65</v>
      </c>
      <c r="D462" s="174">
        <f>C462/E462</f>
        <v/>
      </c>
      <c r="E462" s="159" t="n">
        <v>83.3</v>
      </c>
      <c r="F462" s="159">
        <f>D462/100000</f>
        <v/>
      </c>
      <c r="G462" s="159">
        <f>(F462/DataSheet!$C$10*100)</f>
        <v/>
      </c>
      <c r="H462" s="159">
        <f>K462/I462</f>
        <v/>
      </c>
      <c r="I462" s="159">
        <f>(J462/L462)*100</f>
        <v/>
      </c>
      <c r="J462" s="159">
        <f>L462/O462</f>
        <v/>
      </c>
      <c r="K462" s="159" t="n">
        <v>7.3</v>
      </c>
      <c r="L462" s="159" t="n">
        <v>19425.35</v>
      </c>
      <c r="M462" s="159" t="n">
        <v>3.41</v>
      </c>
      <c r="N462" s="159">
        <f>K462-I462</f>
        <v/>
      </c>
      <c r="O462" s="159" t="n">
        <v>20.95</v>
      </c>
      <c r="P462" s="159" t="n">
        <v>4.64</v>
      </c>
      <c r="Q462" s="159">
        <f>K462-P462</f>
        <v/>
      </c>
      <c r="R462" s="159" t="n">
        <v>105.72</v>
      </c>
      <c r="S462" s="159">
        <f>(O462*T462)/100</f>
        <v/>
      </c>
      <c r="T462" s="157" t="n">
        <v>6.94</v>
      </c>
      <c r="U462" s="157" t="n">
        <v>15199.15</v>
      </c>
      <c r="V462" s="157" t="n">
        <v>24.25</v>
      </c>
      <c r="W462" s="159">
        <f>U462/V462</f>
        <v/>
      </c>
      <c r="X462" s="159">
        <f>(W462/U462)*100</f>
        <v/>
      </c>
      <c r="Y462" s="157" t="n">
        <v>12547.05</v>
      </c>
      <c r="Z462" s="157" t="n">
        <v>24.39</v>
      </c>
      <c r="AA462" s="159">
        <f>Y462/Z462</f>
        <v/>
      </c>
      <c r="AB462" s="159">
        <f>(AA462/Y462)*100</f>
        <v/>
      </c>
    </row>
    <row r="463">
      <c r="A463" s="155" t="n">
        <v>462</v>
      </c>
      <c r="B463" s="160" t="n">
        <v>45242</v>
      </c>
      <c r="C463" s="155" t="n">
        <v>32712347.03</v>
      </c>
      <c r="D463" s="174">
        <f>C463/E463</f>
        <v/>
      </c>
      <c r="E463" s="159" t="n">
        <v>83.29000000000001</v>
      </c>
      <c r="F463" s="159">
        <f>D463/100000</f>
        <v/>
      </c>
      <c r="G463" s="159">
        <f>(F463/DataSheet!$C$10*100)</f>
        <v/>
      </c>
      <c r="H463" s="159">
        <f>K463/I463</f>
        <v/>
      </c>
      <c r="I463" s="159">
        <f>(J463/L463)*100</f>
        <v/>
      </c>
      <c r="J463" s="159">
        <f>L463/O463</f>
        <v/>
      </c>
      <c r="K463" s="159" t="n">
        <v>7.3</v>
      </c>
      <c r="L463" s="159" t="n">
        <v>19525.55</v>
      </c>
      <c r="M463" s="159" t="n">
        <v>3.43</v>
      </c>
      <c r="N463" s="159">
        <f>K463-I463</f>
        <v/>
      </c>
      <c r="O463" s="159" t="n">
        <v>21.05</v>
      </c>
      <c r="P463" s="159" t="n">
        <v>4.65</v>
      </c>
      <c r="Q463" s="159">
        <f>K463-P463</f>
        <v/>
      </c>
      <c r="R463" s="159" t="n">
        <v>105.64</v>
      </c>
      <c r="S463" s="159">
        <f>(O463*T463)/100</f>
        <v/>
      </c>
      <c r="T463" s="157" t="n">
        <v>6.94</v>
      </c>
      <c r="U463" s="157" t="n">
        <v>15298.95</v>
      </c>
      <c r="V463" s="157" t="n">
        <v>24.41</v>
      </c>
      <c r="W463" s="159">
        <f>U463/V463</f>
        <v/>
      </c>
      <c r="X463" s="159">
        <f>(W463/U463)*100</f>
        <v/>
      </c>
      <c r="Y463" s="157" t="n">
        <v>12705.5</v>
      </c>
      <c r="Z463" s="157" t="n">
        <v>24.7</v>
      </c>
      <c r="AA463" s="159">
        <f>Y463/Z463</f>
        <v/>
      </c>
      <c r="AB463" s="159">
        <f>(AA463/Y463)*100</f>
        <v/>
      </c>
    </row>
    <row r="464">
      <c r="A464" s="155" t="n">
        <v>463</v>
      </c>
      <c r="B464" s="160" t="n">
        <v>45243</v>
      </c>
      <c r="C464" s="159" t="n">
        <v>32740562.9</v>
      </c>
      <c r="D464" s="174">
        <f>C464/E464</f>
        <v/>
      </c>
      <c r="E464" s="159" t="n">
        <v>83.18000000000001</v>
      </c>
      <c r="F464" s="159">
        <f>D464/100000</f>
        <v/>
      </c>
      <c r="G464" s="159">
        <f>(F464/DataSheet!$C$10*100)</f>
        <v/>
      </c>
      <c r="H464" s="159">
        <f>K464/I464</f>
        <v/>
      </c>
      <c r="I464" s="159">
        <f>(J464/L464)*100</f>
        <v/>
      </c>
      <c r="J464" s="159">
        <f>L464/O464</f>
        <v/>
      </c>
      <c r="K464" s="159" t="n">
        <v>7.28</v>
      </c>
      <c r="L464" s="159" t="n">
        <v>19443.55</v>
      </c>
      <c r="M464" s="159" t="n">
        <v>3.41</v>
      </c>
      <c r="N464" s="159">
        <f>K464-I464</f>
        <v/>
      </c>
      <c r="O464" s="159" t="n">
        <v>20.96</v>
      </c>
      <c r="P464" s="159" t="n">
        <v>4.63</v>
      </c>
      <c r="Q464" s="159">
        <f>K464-P464</f>
        <v/>
      </c>
      <c r="R464" s="159" t="n">
        <v>105.5</v>
      </c>
      <c r="S464" s="159">
        <f>(O464*T464)/100</f>
        <v/>
      </c>
      <c r="T464" s="157" t="n">
        <v>6.94</v>
      </c>
      <c r="U464" s="157" t="n">
        <v>15292.2</v>
      </c>
      <c r="V464" s="157" t="n">
        <v>24.12</v>
      </c>
      <c r="W464" s="159">
        <f>U464/V464</f>
        <v/>
      </c>
      <c r="X464" s="159">
        <f>(W464/U464)*100</f>
        <v/>
      </c>
      <c r="Y464" s="157" t="n">
        <v>12736.75</v>
      </c>
      <c r="Z464" s="157" t="n">
        <v>24.64</v>
      </c>
      <c r="AA464" s="159">
        <f>Y464/Z464</f>
        <v/>
      </c>
      <c r="AB464" s="159">
        <f>(AA464/Y464)*100</f>
        <v/>
      </c>
    </row>
    <row r="465">
      <c r="A465" s="155" t="n">
        <v>464</v>
      </c>
      <c r="B465" s="160" t="n">
        <v>45245</v>
      </c>
      <c r="C465" s="159" t="n">
        <v>33075584.7</v>
      </c>
      <c r="D465" s="174">
        <f>C465/E465</f>
        <v/>
      </c>
      <c r="E465" s="159" t="n">
        <v>83.18000000000001</v>
      </c>
      <c r="F465" s="159">
        <f>D465/100000</f>
        <v/>
      </c>
      <c r="G465" s="159">
        <f>(F465/DataSheet!$C$10*100)</f>
        <v/>
      </c>
      <c r="H465" s="159">
        <f>K465/I465</f>
        <v/>
      </c>
      <c r="I465" s="159">
        <f>(J465/L465)*100</f>
        <v/>
      </c>
      <c r="J465" s="159">
        <f>L465/O465</f>
        <v/>
      </c>
      <c r="K465" s="159" t="n">
        <v>7.22</v>
      </c>
      <c r="L465" s="159" t="n">
        <v>19675.45</v>
      </c>
      <c r="M465" s="159" t="n">
        <v>3.45</v>
      </c>
      <c r="N465" s="159">
        <f>K465-I465</f>
        <v/>
      </c>
      <c r="O465" s="159" t="n">
        <v>21.05</v>
      </c>
      <c r="P465" s="159" t="n">
        <v>4.53</v>
      </c>
      <c r="Q465" s="159">
        <f>K465-P465</f>
        <v/>
      </c>
      <c r="R465" s="159" t="n">
        <v>104.26</v>
      </c>
      <c r="S465" s="159">
        <f>(O465*T465)/100</f>
        <v/>
      </c>
      <c r="T465" s="157" t="n">
        <v>6.93</v>
      </c>
      <c r="U465" s="157" t="n">
        <v>15424.75</v>
      </c>
      <c r="V465" s="157" t="n">
        <v>23.96</v>
      </c>
      <c r="W465" s="159">
        <f>U465/V465</f>
        <v/>
      </c>
      <c r="X465" s="159">
        <f>(W465/U465)*100</f>
        <v/>
      </c>
      <c r="Y465" s="157" t="n">
        <v>12878</v>
      </c>
      <c r="Z465" s="157" t="n">
        <v>24.94</v>
      </c>
      <c r="AA465" s="159">
        <f>Y465/Z465</f>
        <v/>
      </c>
      <c r="AB465" s="159">
        <f>(AA465/Y465)*100</f>
        <v/>
      </c>
    </row>
    <row r="466">
      <c r="A466" s="155" t="n">
        <v>465</v>
      </c>
      <c r="B466" s="160" t="n">
        <v>45246</v>
      </c>
      <c r="C466" s="159" t="n">
        <v>33240904.43</v>
      </c>
      <c r="D466" s="174">
        <f>C466/E466</f>
        <v/>
      </c>
      <c r="E466" s="159" t="n">
        <v>83.15000000000001</v>
      </c>
      <c r="F466" s="159">
        <f>D466/100000</f>
        <v/>
      </c>
      <c r="G466" s="159">
        <f>(F466/DataSheet!$C$10*100)</f>
        <v/>
      </c>
      <c r="H466" s="159">
        <f>K466/I466</f>
        <v/>
      </c>
      <c r="I466" s="159">
        <f>(J466/L466)*100</f>
        <v/>
      </c>
      <c r="J466" s="159">
        <f>L466/O466</f>
        <v/>
      </c>
      <c r="K466" s="159" t="n">
        <v>7.23</v>
      </c>
      <c r="L466" s="159" t="n">
        <v>19765.2</v>
      </c>
      <c r="M466" s="159" t="n">
        <v>3.47</v>
      </c>
      <c r="N466" s="159">
        <f>K466-I466</f>
        <v/>
      </c>
      <c r="O466" s="159" t="n">
        <v>21.13</v>
      </c>
      <c r="P466" s="159" t="n">
        <v>4.44</v>
      </c>
      <c r="Q466" s="159">
        <f>K466-P466</f>
        <v/>
      </c>
      <c r="R466" s="159" t="n">
        <v>104.23</v>
      </c>
      <c r="S466" s="159">
        <f>(O466*T466)/100</f>
        <v/>
      </c>
      <c r="T466" s="157" t="n">
        <v>6.93</v>
      </c>
      <c r="U466" s="157" t="n">
        <v>15532.8</v>
      </c>
      <c r="V466" s="157" t="n">
        <v>24.15</v>
      </c>
      <c r="W466" s="159">
        <f>U466/V466</f>
        <v/>
      </c>
      <c r="X466" s="159">
        <f>(W466/U466)*100</f>
        <v/>
      </c>
      <c r="Y466" s="157" t="n">
        <v>12933.85</v>
      </c>
      <c r="Z466" s="157" t="n">
        <v>25.01</v>
      </c>
      <c r="AA466" s="159">
        <f>Y466/Z466</f>
        <v/>
      </c>
      <c r="AB466" s="159">
        <f>(AA466/Y466)*100</f>
        <v/>
      </c>
    </row>
    <row r="467">
      <c r="A467" s="155" t="n">
        <v>466</v>
      </c>
      <c r="B467" s="160" t="n">
        <v>45247</v>
      </c>
      <c r="C467" s="159" t="n">
        <v>33291901.36</v>
      </c>
      <c r="D467" s="174">
        <f>C467/E467</f>
        <v/>
      </c>
      <c r="E467" s="159" t="n">
        <v>83.23999999999999</v>
      </c>
      <c r="F467" s="159">
        <f>D467/100000</f>
        <v/>
      </c>
      <c r="G467" s="159">
        <f>(F467/DataSheet!$C$10*100)</f>
        <v/>
      </c>
      <c r="H467" s="159">
        <f>K467/I467</f>
        <v/>
      </c>
      <c r="I467" s="159">
        <f>(J467/L467)*100</f>
        <v/>
      </c>
      <c r="J467" s="159">
        <f>L467/O467</f>
        <v/>
      </c>
      <c r="K467" s="159" t="n">
        <v>7.21</v>
      </c>
      <c r="L467" s="159" t="n">
        <v>19731.8</v>
      </c>
      <c r="M467" s="159" t="n">
        <v>3.46</v>
      </c>
      <c r="N467" s="159">
        <f>K467-I467</f>
        <v/>
      </c>
      <c r="O467" s="159" t="n">
        <v>21.1</v>
      </c>
      <c r="P467" s="159" t="n">
        <v>4.43</v>
      </c>
      <c r="Q467" s="159">
        <f>K467-P467</f>
        <v/>
      </c>
      <c r="R467" s="159" t="n">
        <v>103.79</v>
      </c>
      <c r="S467" s="159">
        <f>(O467*T467)/100</f>
        <v/>
      </c>
      <c r="T467" s="157" t="n">
        <v>6.93</v>
      </c>
      <c r="U467" s="157" t="n">
        <v>15586.1</v>
      </c>
      <c r="V467" s="157" t="n">
        <v>24.27</v>
      </c>
      <c r="W467" s="159">
        <f>U467/V467</f>
        <v/>
      </c>
      <c r="X467" s="159">
        <f>(W467/U467)*100</f>
        <v/>
      </c>
      <c r="Y467" s="157" t="n">
        <v>12976.9</v>
      </c>
      <c r="Z467" s="157" t="n">
        <v>25.1</v>
      </c>
      <c r="AA467" s="159">
        <f>Y467/Z467</f>
        <v/>
      </c>
      <c r="AB467" s="159">
        <f>(AA467/Y467)*100</f>
        <v/>
      </c>
    </row>
    <row r="468">
      <c r="A468" s="155" t="n">
        <v>467</v>
      </c>
      <c r="B468" s="160" t="n">
        <v>45250</v>
      </c>
      <c r="C468" s="159" t="n">
        <v>33266426.87</v>
      </c>
      <c r="D468" s="174">
        <f>C468/E468</f>
        <v/>
      </c>
      <c r="E468" s="159" t="n">
        <v>83.31</v>
      </c>
      <c r="F468" s="159">
        <f>D468/100000</f>
        <v/>
      </c>
      <c r="G468" s="159">
        <f>(F468/DataSheet!$C$10*100)</f>
        <v/>
      </c>
      <c r="H468" s="159">
        <f>K468/I468</f>
        <v/>
      </c>
      <c r="I468" s="159">
        <f>(J468/L468)*100</f>
        <v/>
      </c>
      <c r="J468" s="159">
        <f>L468/O468</f>
        <v/>
      </c>
      <c r="K468" s="159" t="n">
        <v>7.25</v>
      </c>
      <c r="L468" s="159" t="n">
        <v>19694</v>
      </c>
      <c r="M468" s="159" t="n">
        <v>3.46</v>
      </c>
      <c r="N468" s="159">
        <f>K468-I468</f>
        <v/>
      </c>
      <c r="O468" s="159" t="n">
        <v>21.06</v>
      </c>
      <c r="P468" s="159" t="n">
        <v>4.42</v>
      </c>
      <c r="Q468" s="159">
        <f>K468-P468</f>
        <v/>
      </c>
      <c r="R468" s="159" t="n">
        <v>103.31</v>
      </c>
      <c r="S468" s="159">
        <f>(O468*T468)/100</f>
        <v/>
      </c>
      <c r="T468" s="157" t="n">
        <v>6.95</v>
      </c>
      <c r="U468" s="157" t="n">
        <v>15589.7</v>
      </c>
      <c r="V468" s="157" t="n">
        <v>24.27</v>
      </c>
      <c r="W468" s="159">
        <f>U468/V468</f>
        <v/>
      </c>
      <c r="X468" s="159">
        <f>(W468/U468)*100</f>
        <v/>
      </c>
      <c r="Y468" s="157" t="n">
        <v>12981.5</v>
      </c>
      <c r="Z468" s="157" t="n">
        <v>25.11</v>
      </c>
      <c r="AA468" s="159">
        <f>Y468/Z468</f>
        <v/>
      </c>
      <c r="AB468" s="159">
        <f>(AA468/Y468)*100</f>
        <v/>
      </c>
    </row>
    <row r="469">
      <c r="A469" s="155" t="n">
        <v>468</v>
      </c>
      <c r="B469" s="160" t="n">
        <v>45251</v>
      </c>
      <c r="C469" s="159" t="n">
        <v>33349955.75</v>
      </c>
      <c r="D469" s="174">
        <f>C469/E469</f>
        <v/>
      </c>
      <c r="E469" s="159" t="n">
        <v>83.3</v>
      </c>
      <c r="F469" s="159">
        <f>D469/100000</f>
        <v/>
      </c>
      <c r="G469" s="159">
        <f>(F469/DataSheet!$C$10*100)</f>
        <v/>
      </c>
      <c r="H469" s="159">
        <f>K469/I469</f>
        <v/>
      </c>
      <c r="I469" s="159">
        <f>(J469/L469)*100</f>
        <v/>
      </c>
      <c r="J469" s="159">
        <f>L469/O469</f>
        <v/>
      </c>
      <c r="K469" s="159" t="n">
        <v>7.26</v>
      </c>
      <c r="L469" s="159" t="n">
        <v>19783.4</v>
      </c>
      <c r="M469" s="159" t="n">
        <v>3.47</v>
      </c>
      <c r="N469" s="159">
        <f>K469-I469</f>
        <v/>
      </c>
      <c r="O469" s="159" t="n">
        <v>21.14</v>
      </c>
      <c r="P469" s="159" t="n">
        <v>4.39</v>
      </c>
      <c r="Q469" s="159">
        <f>K469-P469</f>
        <v/>
      </c>
      <c r="R469" s="159" t="n">
        <v>103.44</v>
      </c>
      <c r="S469" s="159">
        <f>(O469*T469)/100</f>
        <v/>
      </c>
      <c r="T469" s="157" t="n">
        <v>6.95</v>
      </c>
      <c r="U469" s="157" t="n">
        <v>15595.1</v>
      </c>
      <c r="V469" s="157" t="n">
        <v>24.28</v>
      </c>
      <c r="W469" s="159">
        <f>U469/V469</f>
        <v/>
      </c>
      <c r="X469" s="159">
        <f>(W469/U469)*100</f>
        <v/>
      </c>
      <c r="Y469" s="157" t="n">
        <v>13006.55</v>
      </c>
      <c r="Z469" s="157" t="n">
        <v>25.16</v>
      </c>
      <c r="AA469" s="159">
        <f>Y469/Z469</f>
        <v/>
      </c>
      <c r="AB469" s="159">
        <f>(AA469/Y469)*100</f>
        <v/>
      </c>
    </row>
    <row r="470">
      <c r="A470" s="155" t="n">
        <v>469</v>
      </c>
      <c r="B470" s="160" t="n">
        <v>45252</v>
      </c>
      <c r="C470" s="159" t="n">
        <v>33326537.61</v>
      </c>
      <c r="D470" s="174">
        <f>C470/E470</f>
        <v/>
      </c>
      <c r="E470" s="159" t="n">
        <v>83.28</v>
      </c>
      <c r="F470" s="159">
        <f>D470/100000</f>
        <v/>
      </c>
      <c r="G470" s="159">
        <f>(F470/DataSheet!$C$10*100)</f>
        <v/>
      </c>
      <c r="H470" s="159">
        <f>K470/I470</f>
        <v/>
      </c>
      <c r="I470" s="159">
        <f>(J470/L470)*100</f>
        <v/>
      </c>
      <c r="J470" s="159">
        <f>L470/O470</f>
        <v/>
      </c>
      <c r="K470" s="159" t="n">
        <v>7.24</v>
      </c>
      <c r="L470" s="159" t="n">
        <v>19811.85</v>
      </c>
      <c r="M470" s="159" t="n">
        <v>3.47</v>
      </c>
      <c r="N470" s="159">
        <f>K470-I470</f>
        <v/>
      </c>
      <c r="O470" s="159" t="n">
        <v>21.17</v>
      </c>
      <c r="P470" s="159" t="n">
        <v>4.4</v>
      </c>
      <c r="Q470" s="159">
        <f>K470-P470</f>
        <v/>
      </c>
      <c r="R470" s="159" t="n">
        <v>103.82</v>
      </c>
      <c r="S470" s="159">
        <f>(O470*T470)/100</f>
        <v/>
      </c>
      <c r="T470" s="157" t="n">
        <v>6.94</v>
      </c>
      <c r="U470" s="157" t="n">
        <v>15625.85</v>
      </c>
      <c r="V470" s="157" t="n">
        <v>24.33</v>
      </c>
      <c r="W470" s="159">
        <f>U470/V470</f>
        <v/>
      </c>
      <c r="X470" s="159">
        <f>(W470/U470)*100</f>
        <v/>
      </c>
      <c r="Y470" s="157" t="n">
        <v>12896.2</v>
      </c>
      <c r="Z470" s="157" t="n">
        <v>24.94</v>
      </c>
      <c r="AA470" s="159">
        <f>Y470/Z470</f>
        <v/>
      </c>
      <c r="AB470" s="159">
        <f>(AA470/Y470)*100</f>
        <v/>
      </c>
    </row>
    <row r="471">
      <c r="A471" s="155" t="n">
        <v>470</v>
      </c>
      <c r="B471" s="160" t="n">
        <v>45253</v>
      </c>
      <c r="C471" s="159" t="n">
        <v>33363383.76</v>
      </c>
      <c r="D471" s="174">
        <f>C471/E471</f>
        <v/>
      </c>
      <c r="E471" s="159" t="n">
        <v>83.3</v>
      </c>
      <c r="F471" s="159">
        <f>D471/100000</f>
        <v/>
      </c>
      <c r="G471" s="159">
        <f>(F471/DataSheet!$C$10*100)</f>
        <v/>
      </c>
      <c r="H471" s="159">
        <f>K471/I471</f>
        <v/>
      </c>
      <c r="I471" s="159">
        <f>(J471/L471)*100</f>
        <v/>
      </c>
      <c r="J471" s="159">
        <f>L471/O471</f>
        <v/>
      </c>
      <c r="K471" s="159" t="n">
        <v>7.25</v>
      </c>
      <c r="L471" s="159" t="n">
        <v>19802</v>
      </c>
      <c r="M471" s="159" t="n">
        <v>3.47</v>
      </c>
      <c r="N471" s="159">
        <f>K471-I471</f>
        <v/>
      </c>
      <c r="O471" s="159" t="n">
        <v>21.16</v>
      </c>
      <c r="P471" s="159" t="n">
        <v>4.45</v>
      </c>
      <c r="Q471" s="159">
        <f>K471-P471</f>
        <v/>
      </c>
      <c r="R471" s="159" t="n">
        <v>103.82</v>
      </c>
      <c r="S471" s="159">
        <f>(O471*T471)/100</f>
        <v/>
      </c>
      <c r="T471" s="157" t="n">
        <v>6.95</v>
      </c>
      <c r="U471" s="157" t="n">
        <v>15641.6</v>
      </c>
      <c r="V471" s="157" t="n">
        <v>24.35</v>
      </c>
      <c r="W471" s="159">
        <f>U471/V471</f>
        <v/>
      </c>
      <c r="X471" s="159">
        <f>(W471/U471)*100</f>
        <v/>
      </c>
      <c r="Y471" s="157" t="n">
        <v>12962.4</v>
      </c>
      <c r="Z471" s="157" t="n">
        <v>25.07</v>
      </c>
      <c r="AA471" s="159">
        <f>Y471/Z471</f>
        <v/>
      </c>
      <c r="AB471" s="159">
        <f>(AA471/Y471)*100</f>
        <v/>
      </c>
    </row>
    <row r="472">
      <c r="A472" s="155" t="n">
        <v>471</v>
      </c>
      <c r="B472" s="160" t="n">
        <v>45254</v>
      </c>
      <c r="C472" s="159" t="n">
        <v>33403473.02</v>
      </c>
      <c r="D472" s="174">
        <f>C472/E472</f>
        <v/>
      </c>
      <c r="E472" s="159" t="n">
        <v>83.34</v>
      </c>
      <c r="F472" s="159">
        <f>D472/100000</f>
        <v/>
      </c>
      <c r="G472" s="159">
        <f>(F472/DataSheet!$C$10*100)</f>
        <v/>
      </c>
      <c r="H472" s="159">
        <f>K472/I472</f>
        <v/>
      </c>
      <c r="I472" s="159">
        <f>(J472/L472)*100</f>
        <v/>
      </c>
      <c r="J472" s="159">
        <f>L472/O472</f>
        <v/>
      </c>
      <c r="K472" s="159" t="n">
        <v>7.27</v>
      </c>
      <c r="L472" s="159" t="n">
        <v>19794.7</v>
      </c>
      <c r="M472" s="159" t="n">
        <v>3.47</v>
      </c>
      <c r="N472" s="159">
        <f>K472-I472</f>
        <v/>
      </c>
      <c r="O472" s="159" t="n">
        <v>21.15</v>
      </c>
      <c r="P472" s="159" t="n">
        <v>4.47</v>
      </c>
      <c r="Q472" s="159">
        <f>K472-P472</f>
        <v/>
      </c>
      <c r="R472" s="159" t="n">
        <v>103.3</v>
      </c>
      <c r="S472" s="159">
        <f>(O472*T472)/100</f>
        <v/>
      </c>
      <c r="T472" s="157" t="n">
        <v>6.95</v>
      </c>
      <c r="U472" s="157" t="n">
        <v>15673.5</v>
      </c>
      <c r="V472" s="157" t="n">
        <v>24.4</v>
      </c>
      <c r="W472" s="159">
        <f>U472/V472</f>
        <v/>
      </c>
      <c r="X472" s="159">
        <f>(W472/U472)*100</f>
        <v/>
      </c>
      <c r="Y472" s="157" t="n">
        <v>12984.95</v>
      </c>
      <c r="Z472" s="157" t="n">
        <v>25.11</v>
      </c>
      <c r="AA472" s="159">
        <f>Y472/Z472</f>
        <v/>
      </c>
      <c r="AB472" s="159">
        <f>(AA472/Y472)*100</f>
        <v/>
      </c>
    </row>
    <row r="473">
      <c r="A473" s="155" t="n">
        <v>472</v>
      </c>
      <c r="B473" s="160" t="n">
        <v>45258</v>
      </c>
      <c r="C473" s="159" t="n">
        <v>33632282.71</v>
      </c>
      <c r="D473" s="174">
        <f>C473/E473</f>
        <v/>
      </c>
      <c r="E473" s="159" t="n">
        <v>83.34</v>
      </c>
      <c r="F473" s="159">
        <f>D473/100000</f>
        <v/>
      </c>
      <c r="G473" s="159">
        <f>(F473/DataSheet!$C$10*100)</f>
        <v/>
      </c>
      <c r="H473" s="159">
        <f>K473/I473</f>
        <v/>
      </c>
      <c r="I473" s="159">
        <f>(J473/L473)*100</f>
        <v/>
      </c>
      <c r="J473" s="159">
        <f>L473/O473</f>
        <v/>
      </c>
      <c r="K473" s="159" t="n">
        <v>7.27</v>
      </c>
      <c r="L473" s="159" t="n">
        <v>19889.7</v>
      </c>
      <c r="M473" s="159" t="n">
        <v>3.49</v>
      </c>
      <c r="N473" s="159">
        <f>K473-I473</f>
        <v/>
      </c>
      <c r="O473" s="159" t="n">
        <v>21.26</v>
      </c>
      <c r="P473" s="159" t="n">
        <v>4.32</v>
      </c>
      <c r="Q473" s="159">
        <f>K473-P473</f>
        <v/>
      </c>
      <c r="R473" s="159" t="n">
        <v>102.64</v>
      </c>
      <c r="S473" s="159">
        <f>(O473*T473)/100</f>
        <v/>
      </c>
      <c r="T473" s="157" t="n">
        <v>6.95</v>
      </c>
      <c r="U473" s="157" t="n">
        <v>15734.35</v>
      </c>
      <c r="V473" s="157" t="n">
        <v>24.5</v>
      </c>
      <c r="W473" s="159">
        <f>U473/V473</f>
        <v/>
      </c>
      <c r="X473" s="159">
        <f>(W473/U473)*100</f>
        <v/>
      </c>
      <c r="Y473" s="157" t="n">
        <v>13013.9</v>
      </c>
      <c r="Z473" s="157" t="n">
        <v>25.17</v>
      </c>
      <c r="AA473" s="159">
        <f>Y473/Z473</f>
        <v/>
      </c>
      <c r="AB473" s="159">
        <f>(AA473/Y473)*100</f>
        <v/>
      </c>
    </row>
    <row r="474">
      <c r="A474" s="155" t="n">
        <v>473</v>
      </c>
      <c r="B474" s="160" t="n">
        <v>45259</v>
      </c>
      <c r="C474" s="159" t="n">
        <v>33867590.56</v>
      </c>
      <c r="D474" s="174">
        <f>C474/E474</f>
        <v/>
      </c>
      <c r="E474" s="159" t="n">
        <v>83.34999999999999</v>
      </c>
      <c r="F474" s="159">
        <f>D474/100000</f>
        <v/>
      </c>
      <c r="G474" s="159">
        <f>(F474/DataSheet!$C$10*100)</f>
        <v/>
      </c>
      <c r="H474" s="159">
        <f>K474/I474</f>
        <v/>
      </c>
      <c r="I474" s="159">
        <f>(J474/L474)*100</f>
        <v/>
      </c>
      <c r="J474" s="159">
        <f>L474/O474</f>
        <v/>
      </c>
      <c r="K474" s="159" t="n">
        <v>7.25</v>
      </c>
      <c r="L474" s="159" t="n">
        <v>20096.6</v>
      </c>
      <c r="M474" s="159" t="n">
        <v>3.52</v>
      </c>
      <c r="N474" s="159">
        <f>K474-I474</f>
        <v/>
      </c>
      <c r="O474" s="159" t="n">
        <v>21.48</v>
      </c>
      <c r="P474" s="159" t="n">
        <v>4.25</v>
      </c>
      <c r="Q474" s="159">
        <f>K474-P474</f>
        <v/>
      </c>
      <c r="R474" s="159" t="n">
        <v>102.67</v>
      </c>
      <c r="S474" s="159">
        <f>(O474*T474)/100</f>
        <v/>
      </c>
      <c r="T474" s="157" t="n">
        <v>6.98</v>
      </c>
      <c r="U474" s="157" t="n">
        <v>15838.85</v>
      </c>
      <c r="V474" s="157" t="n">
        <v>24.66</v>
      </c>
      <c r="W474" s="159">
        <f>U474/V474</f>
        <v/>
      </c>
      <c r="X474" s="159">
        <f>(W474/U474)*100</f>
        <v/>
      </c>
      <c r="Y474" s="157" t="n">
        <v>13112.1</v>
      </c>
      <c r="Z474" s="157" t="n">
        <v>25.36</v>
      </c>
      <c r="AA474" s="159">
        <f>Y474/Z474</f>
        <v/>
      </c>
      <c r="AB474" s="159">
        <f>(AA474/Y474)*100</f>
        <v/>
      </c>
    </row>
    <row r="475">
      <c r="A475" s="155" t="n">
        <v>474</v>
      </c>
      <c r="B475" s="160" t="n">
        <v>45260</v>
      </c>
      <c r="C475" s="159" t="n">
        <v>34093304.47</v>
      </c>
      <c r="D475" s="174">
        <f>C475/E475</f>
        <v/>
      </c>
      <c r="E475" s="159" t="n">
        <v>83.34999999999999</v>
      </c>
      <c r="F475" s="159">
        <f>D475/100000</f>
        <v/>
      </c>
      <c r="G475" s="159">
        <f>(F475/DataSheet!$C$10*100)</f>
        <v/>
      </c>
      <c r="H475" s="159">
        <f>K475/I475</f>
        <v/>
      </c>
      <c r="I475" s="159">
        <f>(J475/L475)*100</f>
        <v/>
      </c>
      <c r="J475" s="159">
        <f>L475/O475</f>
        <v/>
      </c>
      <c r="K475" s="159" t="n">
        <v>7.27</v>
      </c>
      <c r="L475" s="159" t="n">
        <v>20133.15</v>
      </c>
      <c r="M475" s="159" t="n">
        <v>3.53</v>
      </c>
      <c r="N475" s="159">
        <f>K475-I475</f>
        <v/>
      </c>
      <c r="O475" s="159" t="n">
        <v>21.52</v>
      </c>
      <c r="P475" s="159" t="n">
        <v>4.33</v>
      </c>
      <c r="Q475" s="159">
        <f>K475-P475</f>
        <v/>
      </c>
      <c r="R475" s="159" t="n">
        <v>103.42</v>
      </c>
      <c r="S475" s="159">
        <f>(O475*T475)/100</f>
        <v/>
      </c>
      <c r="T475" s="157" t="n">
        <v>6.99</v>
      </c>
      <c r="U475" s="157" t="n">
        <v>15963.25</v>
      </c>
      <c r="V475" s="157" t="n">
        <v>24.85</v>
      </c>
      <c r="W475" s="159">
        <f>U475/V475</f>
        <v/>
      </c>
      <c r="X475" s="159">
        <f>(W475/U475)*100</f>
        <v/>
      </c>
      <c r="Y475" s="157" t="n">
        <v>13252</v>
      </c>
      <c r="Z475" s="157" t="n">
        <v>25.63</v>
      </c>
      <c r="AA475" s="159">
        <f>Y475/Z475</f>
        <v/>
      </c>
      <c r="AB475" s="159">
        <f>(AA475/Y475)*100</f>
        <v/>
      </c>
    </row>
    <row r="476">
      <c r="A476" s="155" t="n">
        <v>475</v>
      </c>
      <c r="B476" s="160" t="n">
        <v>45261</v>
      </c>
      <c r="C476" s="159" t="n">
        <v>34305305.42</v>
      </c>
      <c r="D476" s="174">
        <f>C476/E476</f>
        <v/>
      </c>
      <c r="E476" s="159" t="n">
        <v>83.26000000000001</v>
      </c>
      <c r="F476" s="159">
        <f>D476/100000</f>
        <v/>
      </c>
      <c r="G476" s="159">
        <f>(F476/DataSheet!$C$10*100)</f>
        <v/>
      </c>
      <c r="H476" s="159">
        <f>K476/I476</f>
        <v/>
      </c>
      <c r="I476" s="159">
        <f>(J476/L476)*100</f>
        <v/>
      </c>
      <c r="J476" s="159">
        <f>L476/O476</f>
        <v/>
      </c>
      <c r="K476" s="159" t="n">
        <v>7.29</v>
      </c>
      <c r="L476" s="159" t="n">
        <v>20267.9</v>
      </c>
      <c r="M476" s="159" t="n">
        <v>3.55</v>
      </c>
      <c r="N476" s="159">
        <f>K476-I476</f>
        <v/>
      </c>
      <c r="O476" s="159" t="n">
        <v>21.66</v>
      </c>
      <c r="P476" s="159" t="n">
        <v>4.2</v>
      </c>
      <c r="Q476" s="159">
        <f>K476-P476</f>
        <v/>
      </c>
      <c r="R476" s="159" t="n">
        <v>103.2</v>
      </c>
      <c r="S476" s="159">
        <f>(O476*T476)/100</f>
        <v/>
      </c>
      <c r="T476" s="157" t="n">
        <v>6.98</v>
      </c>
      <c r="U476" s="157" t="n">
        <v>16104.8</v>
      </c>
      <c r="V476" s="157" t="n">
        <v>25.07</v>
      </c>
      <c r="W476" s="159">
        <f>U476/V476</f>
        <v/>
      </c>
      <c r="X476" s="159">
        <f>(W476/U476)*100</f>
        <v/>
      </c>
      <c r="Y476" s="157" t="n">
        <v>13326.6</v>
      </c>
      <c r="Z476" s="157" t="n">
        <v>25.77</v>
      </c>
      <c r="AA476" s="159">
        <f>Y476/Z476</f>
        <v/>
      </c>
      <c r="AB476" s="159">
        <f>(AA476/Y476)*100</f>
        <v/>
      </c>
    </row>
    <row r="477">
      <c r="A477" s="155" t="n">
        <v>476</v>
      </c>
      <c r="B477" s="160" t="n">
        <v>45264</v>
      </c>
      <c r="C477" s="159" t="n">
        <v>34884134.67</v>
      </c>
      <c r="D477" s="174">
        <f>C477/E477</f>
        <v/>
      </c>
      <c r="E477" s="159" t="n">
        <v>83.42</v>
      </c>
      <c r="F477" s="159">
        <f>D477/100000</f>
        <v/>
      </c>
      <c r="G477" s="159">
        <f>(F477/DataSheet!$C$10*100)</f>
        <v/>
      </c>
      <c r="H477" s="159">
        <f>K477/I477</f>
        <v/>
      </c>
      <c r="I477" s="159">
        <f>(J477/L477)*100</f>
        <v/>
      </c>
      <c r="J477" s="159">
        <f>L477/O477</f>
        <v/>
      </c>
      <c r="K477" s="159" t="n">
        <v>7.27</v>
      </c>
      <c r="L477" s="159" t="n">
        <v>20686.8</v>
      </c>
      <c r="M477" s="159" t="n">
        <v>3.63</v>
      </c>
      <c r="N477" s="159">
        <f>K477-I477</f>
        <v/>
      </c>
      <c r="O477" s="159" t="n">
        <v>22.11</v>
      </c>
      <c r="P477" s="159" t="n">
        <v>4.25</v>
      </c>
      <c r="Q477" s="159">
        <f>K477-P477</f>
        <v/>
      </c>
      <c r="R477" s="159" t="n">
        <v>103.64</v>
      </c>
      <c r="S477" s="159">
        <f>(O477*T477)/100</f>
        <v/>
      </c>
      <c r="T477" s="157" t="n">
        <v>6.98</v>
      </c>
      <c r="U477" s="157" t="n">
        <v>16302.45</v>
      </c>
      <c r="V477" s="157" t="n">
        <v>25.38</v>
      </c>
      <c r="W477" s="159">
        <f>U477/V477</f>
        <v/>
      </c>
      <c r="X477" s="159">
        <f>(W477/U477)*100</f>
        <v/>
      </c>
      <c r="Y477" s="157" t="n">
        <v>13489.05</v>
      </c>
      <c r="Z477" s="157" t="n">
        <v>26.09</v>
      </c>
      <c r="AA477" s="159">
        <f>Y477/Z477</f>
        <v/>
      </c>
      <c r="AB477" s="159">
        <f>(AA477/Y477)*100</f>
        <v/>
      </c>
    </row>
    <row r="478">
      <c r="A478" s="155" t="n">
        <v>477</v>
      </c>
      <c r="B478" s="160" t="n">
        <v>45265</v>
      </c>
      <c r="C478" s="159" t="n">
        <v>35185533.92</v>
      </c>
      <c r="D478" s="174">
        <f>C478/E478</f>
        <v/>
      </c>
      <c r="E478" s="159" t="n">
        <v>83.31999999999999</v>
      </c>
      <c r="F478" s="159">
        <f>D478/100000</f>
        <v/>
      </c>
      <c r="G478" s="159">
        <f>(F478/DataSheet!$C$10*100)</f>
        <v/>
      </c>
      <c r="H478" s="159">
        <f>K478/I478</f>
        <v/>
      </c>
      <c r="I478" s="159">
        <f>(J478/L478)*100</f>
        <v/>
      </c>
      <c r="J478" s="159">
        <f>L478/O478</f>
        <v/>
      </c>
      <c r="K478" s="159" t="n">
        <v>7.26</v>
      </c>
      <c r="L478" s="159" t="n">
        <v>20855.1</v>
      </c>
      <c r="M478" s="159" t="n">
        <v>3.66</v>
      </c>
      <c r="N478" s="159">
        <f>K478-I478</f>
        <v/>
      </c>
      <c r="O478" s="159" t="n">
        <v>22.29</v>
      </c>
      <c r="P478" s="159" t="n">
        <v>4.16</v>
      </c>
      <c r="Q478" s="159">
        <f>K478-P478</f>
        <v/>
      </c>
      <c r="R478" s="159" t="n">
        <v>103.99</v>
      </c>
      <c r="S478" s="159">
        <f>(O478*T478)/100</f>
        <v/>
      </c>
      <c r="T478" s="157" t="n">
        <v>6.98</v>
      </c>
      <c r="U478" s="157" t="n">
        <v>16364.1</v>
      </c>
      <c r="V478" s="157" t="n">
        <v>25.48</v>
      </c>
      <c r="W478" s="159">
        <f>U478/V478</f>
        <v/>
      </c>
      <c r="X478" s="159">
        <f>(W478/U478)*100</f>
        <v/>
      </c>
      <c r="Y478" s="157" t="n">
        <v>13509.05</v>
      </c>
      <c r="Z478" s="157" t="n">
        <v>26.13</v>
      </c>
      <c r="AA478" s="159">
        <f>Y478/Z478</f>
        <v/>
      </c>
      <c r="AB478" s="159">
        <f>(AA478/Y478)*100</f>
        <v/>
      </c>
    </row>
    <row r="479">
      <c r="A479" s="155" t="n">
        <v>478</v>
      </c>
      <c r="B479" s="160" t="n">
        <v>45266</v>
      </c>
      <c r="C479" s="159" t="n">
        <v>35424796.44</v>
      </c>
      <c r="D479" s="174">
        <f>C479/E479</f>
        <v/>
      </c>
      <c r="E479" s="159" t="n">
        <v>83.33</v>
      </c>
      <c r="F479" s="159">
        <f>D479/100000</f>
        <v/>
      </c>
      <c r="G479" s="159">
        <f>(F479/DataSheet!$C$10*100)</f>
        <v/>
      </c>
      <c r="H479" s="159">
        <f>K479/I479</f>
        <v/>
      </c>
      <c r="I479" s="159">
        <f>(J479/L479)*100</f>
        <v/>
      </c>
      <c r="J479" s="159">
        <f>L479/O479</f>
        <v/>
      </c>
      <c r="K479" s="159" t="n">
        <v>7.24</v>
      </c>
      <c r="L479" s="159" t="n">
        <v>20937.7</v>
      </c>
      <c r="M479" s="159" t="n">
        <v>3.67</v>
      </c>
      <c r="N479" s="159">
        <f>K479-I479</f>
        <v/>
      </c>
      <c r="O479" s="159" t="n">
        <v>22.38</v>
      </c>
      <c r="P479" s="159" t="n">
        <v>4.11</v>
      </c>
      <c r="Q479" s="159">
        <f>K479-P479</f>
        <v/>
      </c>
      <c r="R479" s="159" t="n">
        <v>104.1</v>
      </c>
      <c r="S479" s="159">
        <f>(O479*T479)/100</f>
        <v/>
      </c>
      <c r="T479" s="157" t="n">
        <v>6.97</v>
      </c>
      <c r="U479" s="157" t="n">
        <v>16389.05</v>
      </c>
      <c r="V479" s="157" t="n">
        <v>25.52</v>
      </c>
      <c r="W479" s="159">
        <f>U479/V479</f>
        <v/>
      </c>
      <c r="X479" s="159">
        <f>(W479/U479)*100</f>
        <v/>
      </c>
      <c r="Y479" s="157" t="n">
        <v>13545.4</v>
      </c>
      <c r="Z479" s="157" t="n">
        <v>26.2</v>
      </c>
      <c r="AA479" s="159">
        <f>Y479/Z479</f>
        <v/>
      </c>
      <c r="AB479" s="159">
        <f>(AA479/Y479)*100</f>
        <v/>
      </c>
    </row>
    <row r="480">
      <c r="A480" s="155" t="n">
        <v>479</v>
      </c>
      <c r="B480" s="160" t="n">
        <v>45267</v>
      </c>
      <c r="C480" s="159" t="n">
        <v>35548642.88</v>
      </c>
      <c r="D480" s="174">
        <f>C480/E480</f>
        <v/>
      </c>
      <c r="E480" s="159" t="n">
        <v>83.34</v>
      </c>
      <c r="F480" s="159">
        <f>D480/100000</f>
        <v/>
      </c>
      <c r="G480" s="159">
        <f>(F480/DataSheet!$C$10*100)</f>
        <v/>
      </c>
      <c r="H480" s="159">
        <f>K480/I480</f>
        <v/>
      </c>
      <c r="I480" s="159">
        <f>(J480/L480)*100</f>
        <v/>
      </c>
      <c r="J480" s="159">
        <f>L480/O480</f>
        <v/>
      </c>
      <c r="K480" s="159" t="n">
        <v>7.23</v>
      </c>
      <c r="L480" s="159" t="n">
        <v>20901.15</v>
      </c>
      <c r="M480" s="159" t="n">
        <v>3.67</v>
      </c>
      <c r="N480" s="159">
        <f>K480-I480</f>
        <v/>
      </c>
      <c r="O480" s="159" t="n">
        <v>22.34</v>
      </c>
      <c r="P480" s="159" t="n">
        <v>4.14</v>
      </c>
      <c r="Q480" s="159">
        <f>K480-P480</f>
        <v/>
      </c>
      <c r="R480" s="159" t="n">
        <v>103.5</v>
      </c>
      <c r="S480" s="159">
        <f>(O480*T480)/100</f>
        <v/>
      </c>
      <c r="T480" s="157" t="n">
        <v>6.98</v>
      </c>
      <c r="U480" s="157" t="n">
        <v>16479.85</v>
      </c>
      <c r="V480" s="157" t="n">
        <v>25.66</v>
      </c>
      <c r="W480" s="159">
        <f>U480/V480</f>
        <v/>
      </c>
      <c r="X480" s="159">
        <f>(W480/U480)*100</f>
        <v/>
      </c>
      <c r="Y480" s="157" t="n">
        <v>13586.2</v>
      </c>
      <c r="Z480" s="157" t="n">
        <v>26.28</v>
      </c>
      <c r="AA480" s="159">
        <f>Y480/Z480</f>
        <v/>
      </c>
      <c r="AB480" s="159">
        <f>(AA480/Y480)*100</f>
        <v/>
      </c>
    </row>
    <row r="481">
      <c r="A481" s="155" t="n">
        <v>480</v>
      </c>
      <c r="B481" s="160" t="n">
        <v>45268</v>
      </c>
      <c r="C481" s="159" t="n">
        <v>35460198.26</v>
      </c>
      <c r="D481" s="174">
        <f>C481/E481</f>
        <v/>
      </c>
      <c r="E481" s="159" t="n">
        <v>83.42</v>
      </c>
      <c r="F481" s="159">
        <f>D481/100000</f>
        <v/>
      </c>
      <c r="G481" s="159">
        <f>(F481/DataSheet!$C$10*100)</f>
        <v/>
      </c>
      <c r="H481" s="159">
        <f>K481/I481</f>
        <v/>
      </c>
      <c r="I481" s="159">
        <f>(J481/L481)*100</f>
        <v/>
      </c>
      <c r="J481" s="159">
        <f>L481/O481</f>
        <v/>
      </c>
      <c r="K481" s="159" t="n">
        <v>7.26</v>
      </c>
      <c r="L481" s="159" t="n">
        <v>20969.4</v>
      </c>
      <c r="M481" s="159" t="n">
        <v>3.68</v>
      </c>
      <c r="N481" s="159">
        <f>K481-I481</f>
        <v/>
      </c>
      <c r="O481" s="159" t="n">
        <v>22.41</v>
      </c>
      <c r="P481" s="159" t="n">
        <v>4.22</v>
      </c>
      <c r="Q481" s="159">
        <f>K481-P481</f>
        <v/>
      </c>
      <c r="R481" s="159" t="n">
        <v>103.98</v>
      </c>
      <c r="S481" s="159">
        <f>(O481*T481)/100</f>
        <v/>
      </c>
      <c r="T481" s="157" t="n">
        <v>6.97</v>
      </c>
      <c r="U481" s="157" t="n">
        <v>16447.95</v>
      </c>
      <c r="V481" s="157" t="n">
        <v>25.61</v>
      </c>
      <c r="W481" s="159">
        <f>U481/V481</f>
        <v/>
      </c>
      <c r="X481" s="159">
        <f>(W481/U481)*100</f>
        <v/>
      </c>
      <c r="Y481" s="157" t="n">
        <v>13470.8</v>
      </c>
      <c r="Z481" s="157" t="n">
        <v>26.05</v>
      </c>
      <c r="AA481" s="159">
        <f>Y481/Z481</f>
        <v/>
      </c>
      <c r="AB481" s="159">
        <f>(AA481/Y481)*100</f>
        <v/>
      </c>
    </row>
    <row r="482">
      <c r="A482" s="155" t="n">
        <v>481</v>
      </c>
      <c r="B482" s="160" t="n">
        <v>45271</v>
      </c>
      <c r="C482" s="159" t="n">
        <v>35639463.54</v>
      </c>
      <c r="D482" s="174">
        <f>C482/E482</f>
        <v/>
      </c>
      <c r="E482" s="159" t="n">
        <v>83.34999999999999</v>
      </c>
      <c r="F482" s="159">
        <f>D482/100000</f>
        <v/>
      </c>
      <c r="G482" s="159">
        <f>(F482/DataSheet!$C$10*100)</f>
        <v/>
      </c>
      <c r="H482" s="159">
        <f>K482/I482</f>
        <v/>
      </c>
      <c r="I482" s="159">
        <f>(J482/L482)*100</f>
        <v/>
      </c>
      <c r="J482" s="159">
        <f>L482/O482</f>
        <v/>
      </c>
      <c r="K482" s="159" t="n">
        <v>7.28</v>
      </c>
      <c r="L482" s="159" t="n">
        <v>20997.1</v>
      </c>
      <c r="M482" s="159" t="n">
        <v>3.68</v>
      </c>
      <c r="N482" s="159">
        <f>K482-I482</f>
        <v/>
      </c>
      <c r="O482" s="159" t="n">
        <v>22.44</v>
      </c>
      <c r="P482" s="159" t="n">
        <v>4.23</v>
      </c>
      <c r="Q482" s="159">
        <f>K482-P482</f>
        <v/>
      </c>
      <c r="R482" s="159" t="n">
        <v>103.7</v>
      </c>
      <c r="S482" s="159">
        <f>(O482*T482)/100</f>
        <v/>
      </c>
      <c r="T482" s="157" t="n">
        <v>6.95</v>
      </c>
      <c r="U482" s="157" t="n">
        <v>16560.5</v>
      </c>
      <c r="V482" s="157" t="n">
        <v>25.78</v>
      </c>
      <c r="W482" s="159">
        <f>U482/V482</f>
        <v/>
      </c>
      <c r="X482" s="159">
        <f>(W482/U482)*100</f>
        <v/>
      </c>
      <c r="Y482" s="157" t="n">
        <v>13546.35</v>
      </c>
      <c r="Z482" s="157" t="n">
        <v>26.2</v>
      </c>
      <c r="AA482" s="159">
        <f>Y482/Z482</f>
        <v/>
      </c>
      <c r="AB482" s="159">
        <f>(AA482/Y482)*100</f>
        <v/>
      </c>
    </row>
    <row r="483">
      <c r="A483" s="155" t="n">
        <v>482</v>
      </c>
      <c r="B483" s="160" t="n">
        <v>45272</v>
      </c>
      <c r="C483" s="159" t="n">
        <v>35510493.43</v>
      </c>
      <c r="D483" s="174">
        <f>C483/E483</f>
        <v/>
      </c>
      <c r="E483" s="159" t="n">
        <v>83.39</v>
      </c>
      <c r="F483" s="159">
        <f>D483/100000</f>
        <v/>
      </c>
      <c r="G483" s="159">
        <f>(F483/DataSheet!$C$10*100)</f>
        <v/>
      </c>
      <c r="H483" s="159">
        <f>K483/I483</f>
        <v/>
      </c>
      <c r="I483" s="159">
        <f>(J483/L483)*100</f>
        <v/>
      </c>
      <c r="J483" s="159">
        <f>L483/O483</f>
        <v/>
      </c>
      <c r="K483" s="159" t="n">
        <v>7.27</v>
      </c>
      <c r="L483" s="159" t="n">
        <v>20906.4</v>
      </c>
      <c r="M483" s="159" t="n">
        <v>3.67</v>
      </c>
      <c r="N483" s="159">
        <f>K483-I483</f>
        <v/>
      </c>
      <c r="O483" s="159" t="n">
        <v>22.34</v>
      </c>
      <c r="P483" s="159" t="n">
        <v>4.21</v>
      </c>
      <c r="Q483" s="159">
        <f>K483-P483</f>
        <v/>
      </c>
      <c r="R483" s="159" t="n">
        <v>103.46</v>
      </c>
      <c r="S483" s="159">
        <f>(O483*T483)/100</f>
        <v/>
      </c>
      <c r="T483" s="157" t="n">
        <v>6.97</v>
      </c>
      <c r="U483" s="157" t="n">
        <v>16490.5</v>
      </c>
      <c r="V483" s="157" t="n">
        <v>25.67</v>
      </c>
      <c r="W483" s="159">
        <f>U483/V483</f>
        <v/>
      </c>
      <c r="X483" s="159">
        <f>(W483/U483)*100</f>
        <v/>
      </c>
      <c r="Y483" s="157" t="n">
        <v>13529.6</v>
      </c>
      <c r="Z483" s="157" t="n">
        <v>26.17</v>
      </c>
      <c r="AA483" s="159">
        <f>Y483/Z483</f>
        <v/>
      </c>
      <c r="AB483" s="159">
        <f>(AA483/Y483)*100</f>
        <v/>
      </c>
    </row>
    <row r="484">
      <c r="A484" s="155" t="n">
        <v>483</v>
      </c>
      <c r="B484" s="160" t="n">
        <v>45273</v>
      </c>
      <c r="C484" s="159" t="n">
        <v>35653070.67</v>
      </c>
      <c r="D484" s="174">
        <f>C484/E484</f>
        <v/>
      </c>
      <c r="E484" s="159" t="n">
        <v>83.34999999999999</v>
      </c>
      <c r="F484" s="159">
        <f>D484/100000</f>
        <v/>
      </c>
      <c r="G484" s="159">
        <f>(F484/DataSheet!$C$10*100)</f>
        <v/>
      </c>
      <c r="H484" s="159">
        <f>K484/I484</f>
        <v/>
      </c>
      <c r="I484" s="159">
        <f>(J484/L484)*100</f>
        <v/>
      </c>
      <c r="J484" s="159">
        <f>L484/O484</f>
        <v/>
      </c>
      <c r="K484" s="159" t="n">
        <v>7.25</v>
      </c>
      <c r="L484" s="159" t="n">
        <v>20926.35</v>
      </c>
      <c r="M484" s="159" t="n">
        <v>3.67</v>
      </c>
      <c r="N484" s="159">
        <f>K484-I484</f>
        <v/>
      </c>
      <c r="O484" s="159" t="n">
        <v>22.36</v>
      </c>
      <c r="P484" s="159" t="n">
        <v>4.02</v>
      </c>
      <c r="Q484" s="159">
        <f>K484-P484</f>
        <v/>
      </c>
      <c r="R484" s="159" t="n">
        <v>102.47</v>
      </c>
      <c r="S484" s="159">
        <f>(O484*T484)/100</f>
        <v/>
      </c>
      <c r="T484" s="157" t="n">
        <v>6.97</v>
      </c>
      <c r="U484" s="157" t="n">
        <v>16629.55</v>
      </c>
      <c r="V484" s="157" t="n">
        <v>25.89</v>
      </c>
      <c r="W484" s="159">
        <f>U484/V484</f>
        <v/>
      </c>
      <c r="X484" s="159">
        <f>(W484/U484)*100</f>
        <v/>
      </c>
      <c r="Y484" s="157" t="n">
        <v>13616.7</v>
      </c>
      <c r="Z484" s="157" t="n">
        <v>26.33</v>
      </c>
      <c r="AA484" s="159">
        <f>Y484/Z484</f>
        <v/>
      </c>
      <c r="AB484" s="159">
        <f>(AA484/Y484)*100</f>
        <v/>
      </c>
    </row>
    <row r="485">
      <c r="A485" s="155" t="n">
        <v>484</v>
      </c>
      <c r="B485" s="160" t="n">
        <v>45274</v>
      </c>
      <c r="C485" s="159" t="n">
        <v>36035345.74</v>
      </c>
      <c r="D485" s="174">
        <f>C485/E485</f>
        <v/>
      </c>
      <c r="E485" s="159" t="n">
        <v>83.3</v>
      </c>
      <c r="F485" s="159">
        <f>D485/100000</f>
        <v/>
      </c>
      <c r="G485" s="159">
        <f>(F485/DataSheet!$C$10*100)</f>
        <v/>
      </c>
      <c r="H485" s="159">
        <f>K485/I485</f>
        <v/>
      </c>
      <c r="I485" s="159">
        <f>(J485/L485)*100</f>
        <v/>
      </c>
      <c r="J485" s="159">
        <f>L485/O485</f>
        <v/>
      </c>
      <c r="K485" s="159" t="n">
        <v>7.19</v>
      </c>
      <c r="L485" s="159" t="n">
        <v>21182.7</v>
      </c>
      <c r="M485" s="159" t="n">
        <v>3.71</v>
      </c>
      <c r="N485" s="159">
        <f>K485-I485</f>
        <v/>
      </c>
      <c r="O485" s="159" t="n">
        <v>22.63</v>
      </c>
      <c r="P485" s="159" t="n">
        <v>3.92</v>
      </c>
      <c r="Q485" s="159">
        <f>K485-P485</f>
        <v/>
      </c>
      <c r="R485" s="159" t="n">
        <v>101.57</v>
      </c>
      <c r="S485" s="159">
        <f>(O485*T485)/100</f>
        <v/>
      </c>
      <c r="T485" s="157" t="n">
        <v>6.99</v>
      </c>
      <c r="U485" s="157" t="n">
        <v>16813.75</v>
      </c>
      <c r="V485" s="157" t="n">
        <v>26.18</v>
      </c>
      <c r="W485" s="159">
        <f>U485/V485</f>
        <v/>
      </c>
      <c r="X485" s="159">
        <f>(W485/U485)*100</f>
        <v/>
      </c>
      <c r="Y485" s="157" t="n">
        <v>13722.75</v>
      </c>
      <c r="Z485" s="157" t="n">
        <v>26.54</v>
      </c>
      <c r="AA485" s="159">
        <f>Y485/Z485</f>
        <v/>
      </c>
      <c r="AB485" s="159">
        <f>(AA485/Y485)*100</f>
        <v/>
      </c>
    </row>
    <row r="486">
      <c r="A486" s="155" t="n">
        <v>485</v>
      </c>
      <c r="B486" s="160" t="n">
        <v>45275</v>
      </c>
      <c r="C486" s="159" t="n">
        <v>36323869.19</v>
      </c>
      <c r="D486" s="174">
        <f>C486/E486</f>
        <v/>
      </c>
      <c r="E486" s="159" t="n">
        <v>83.04000000000001</v>
      </c>
      <c r="F486" s="159">
        <f>D486/100000</f>
        <v/>
      </c>
      <c r="G486" s="159">
        <f>(F486/DataSheet!$C$10*100)</f>
        <v/>
      </c>
      <c r="H486" s="159">
        <f>K486/I486</f>
        <v/>
      </c>
      <c r="I486" s="159">
        <f>(J486/L486)*100</f>
        <v/>
      </c>
      <c r="J486" s="159">
        <f>L486/O486</f>
        <v/>
      </c>
      <c r="K486" s="159" t="n">
        <v>7.16</v>
      </c>
      <c r="L486" s="159" t="n">
        <v>21456.65</v>
      </c>
      <c r="M486" s="159" t="n">
        <v>3.76</v>
      </c>
      <c r="N486" s="159">
        <f>K486-I486</f>
        <v/>
      </c>
      <c r="O486" s="159" t="n">
        <v>22.92</v>
      </c>
      <c r="P486" s="159" t="n">
        <v>3.91</v>
      </c>
      <c r="Q486" s="159">
        <f>K486-P486</f>
        <v/>
      </c>
      <c r="R486" s="159" t="n">
        <v>102.54</v>
      </c>
      <c r="S486" s="159">
        <f>(O486*T486)/100</f>
        <v/>
      </c>
      <c r="T486" s="157" t="n">
        <v>6.89</v>
      </c>
      <c r="U486" s="157" t="n">
        <v>16850.05</v>
      </c>
      <c r="V486" s="157" t="n">
        <v>26.23</v>
      </c>
      <c r="W486" s="159">
        <f>U486/V486</f>
        <v/>
      </c>
      <c r="X486" s="159">
        <f>(W486/U486)*100</f>
        <v/>
      </c>
      <c r="Y486" s="157" t="n">
        <v>13820.45</v>
      </c>
      <c r="Z486" s="157" t="n">
        <v>26.73</v>
      </c>
      <c r="AA486" s="159">
        <f>Y486/Z486</f>
        <v/>
      </c>
      <c r="AB486" s="159">
        <f>(AA486/Y486)*100</f>
        <v/>
      </c>
    </row>
    <row r="487">
      <c r="A487" s="155" t="n">
        <v>486</v>
      </c>
      <c r="B487" s="160" t="n">
        <v>45278</v>
      </c>
      <c r="C487" s="155" t="n">
        <v>36409498.48</v>
      </c>
      <c r="D487" s="174">
        <f>C487/E487</f>
        <v/>
      </c>
      <c r="E487" s="159" t="n">
        <v>83.14</v>
      </c>
      <c r="F487" s="159">
        <f>D487/100000</f>
        <v/>
      </c>
      <c r="G487" s="159">
        <f>(F487/DataSheet!$C$10*100)</f>
        <v/>
      </c>
      <c r="H487" s="159">
        <f>K487/I487</f>
        <v/>
      </c>
      <c r="I487" s="159">
        <f>(J487/L487)*100</f>
        <v/>
      </c>
      <c r="J487" s="159">
        <f>L487/O487</f>
        <v/>
      </c>
      <c r="K487" s="159" t="n">
        <v>7.15</v>
      </c>
      <c r="L487" s="159" t="n">
        <v>21418.65</v>
      </c>
      <c r="M487" s="159" t="n">
        <v>3.76</v>
      </c>
      <c r="N487" s="159">
        <f>K487-I487</f>
        <v/>
      </c>
      <c r="O487" s="159" t="n">
        <v>22.88</v>
      </c>
      <c r="P487" s="159" t="n">
        <v>3.93</v>
      </c>
      <c r="Q487" s="159">
        <f>K487-P487</f>
        <v/>
      </c>
      <c r="R487" s="159" t="n">
        <v>102.53</v>
      </c>
      <c r="S487" s="159">
        <f>(O487*T487)/100</f>
        <v/>
      </c>
      <c r="T487" s="157" t="n">
        <v>6.93</v>
      </c>
      <c r="U487" s="157" t="n">
        <v>16902.45</v>
      </c>
      <c r="V487" s="157" t="n">
        <v>26.32</v>
      </c>
      <c r="W487" s="159">
        <f>U487/V487</f>
        <v/>
      </c>
      <c r="X487" s="159">
        <f>(W487/U487)*100</f>
        <v/>
      </c>
      <c r="Y487" s="157" t="n">
        <v>13877.85</v>
      </c>
      <c r="Z487" s="157" t="n">
        <v>26.84</v>
      </c>
      <c r="AA487" s="159">
        <f>Y487/Z487</f>
        <v/>
      </c>
      <c r="AB487" s="159">
        <f>(AA487/Y487)*100</f>
        <v/>
      </c>
    </row>
    <row r="488">
      <c r="A488" s="155" t="n">
        <v>487</v>
      </c>
      <c r="B488" s="160" t="n">
        <v>45279</v>
      </c>
      <c r="C488" s="155" t="n">
        <v>36448416.61</v>
      </c>
      <c r="D488" s="174">
        <f>C488/E488</f>
        <v/>
      </c>
      <c r="E488" s="159" t="n">
        <v>83.09999999999999</v>
      </c>
      <c r="F488" s="159">
        <f>D488/100000</f>
        <v/>
      </c>
      <c r="G488" s="159">
        <f>(F488/DataSheet!$C$10*100)</f>
        <v/>
      </c>
      <c r="H488" s="159">
        <f>K488/I488</f>
        <v/>
      </c>
      <c r="I488" s="159">
        <f>(J488/L488)*100</f>
        <v/>
      </c>
      <c r="J488" s="159">
        <f>L488/O488</f>
        <v/>
      </c>
      <c r="K488" s="159" t="n">
        <v>7.17</v>
      </c>
      <c r="L488" s="159" t="n">
        <v>21453.1</v>
      </c>
      <c r="M488" s="159" t="n">
        <v>3.76</v>
      </c>
      <c r="N488" s="159">
        <f>K488-I488</f>
        <v/>
      </c>
      <c r="O488" s="159" t="n">
        <v>22.92</v>
      </c>
      <c r="P488" s="159" t="n">
        <v>3.93</v>
      </c>
      <c r="Q488" s="159">
        <f>K488-P488</f>
        <v/>
      </c>
      <c r="R488" s="159" t="n">
        <v>101.76</v>
      </c>
      <c r="S488" s="159">
        <f>(O488*T488)/100</f>
        <v/>
      </c>
      <c r="T488" s="157" t="n">
        <v>6.95</v>
      </c>
      <c r="U488" s="157" t="n">
        <v>16836.75</v>
      </c>
      <c r="V488" s="157" t="n">
        <v>26.21</v>
      </c>
      <c r="W488" s="159">
        <f>U488/V488</f>
        <v/>
      </c>
      <c r="X488" s="159">
        <f>(W488/U488)*100</f>
        <v/>
      </c>
      <c r="Y488" s="157" t="n">
        <v>13888.95</v>
      </c>
      <c r="Z488" s="157" t="n">
        <v>26.86</v>
      </c>
      <c r="AA488" s="159">
        <f>Y488/Z488</f>
        <v/>
      </c>
      <c r="AB488" s="159">
        <f>(AA488/Y488)*100</f>
        <v/>
      </c>
    </row>
    <row r="489">
      <c r="A489" s="155" t="n">
        <v>488</v>
      </c>
      <c r="B489" s="160" t="n">
        <v>45280</v>
      </c>
      <c r="C489" s="155" t="n">
        <v>35559532.99</v>
      </c>
      <c r="D489" s="174">
        <f>C489/E489</f>
        <v/>
      </c>
      <c r="E489" s="159" t="n">
        <v>83.13</v>
      </c>
      <c r="F489" s="159">
        <f>D489/100000</f>
        <v/>
      </c>
      <c r="G489" s="159">
        <f>(F489/DataSheet!$C$10*100)</f>
        <v/>
      </c>
      <c r="H489" s="159">
        <f>K489/I489</f>
        <v/>
      </c>
      <c r="I489" s="159">
        <f>(J489/L489)*100</f>
        <v/>
      </c>
      <c r="J489" s="159">
        <f>L489/O489</f>
        <v/>
      </c>
      <c r="K489" s="159" t="n">
        <v>7.17</v>
      </c>
      <c r="L489" s="159" t="n">
        <v>21150.15</v>
      </c>
      <c r="M489" s="159" t="n">
        <v>3.71</v>
      </c>
      <c r="N489" s="159">
        <f>K489-I489</f>
        <v/>
      </c>
      <c r="O489" s="159" t="n">
        <v>22.6</v>
      </c>
      <c r="P489" s="159" t="n">
        <v>3.85</v>
      </c>
      <c r="Q489" s="159">
        <f>K489-P489</f>
        <v/>
      </c>
      <c r="R489" s="159" t="n">
        <v>102.04</v>
      </c>
      <c r="S489" s="159">
        <f>(O489*T489)/100</f>
        <v/>
      </c>
      <c r="T489" s="157" t="n">
        <v>6.98</v>
      </c>
      <c r="U489" s="157" t="n">
        <v>16323.9</v>
      </c>
      <c r="V489" s="157" t="n">
        <v>25.42</v>
      </c>
      <c r="W489" s="159">
        <f>U489/V489</f>
        <v/>
      </c>
      <c r="X489" s="159">
        <f>(W489/U489)*100</f>
        <v/>
      </c>
      <c r="Y489" s="157" t="n">
        <v>13425.25</v>
      </c>
      <c r="Z489" s="157" t="n">
        <v>25.96</v>
      </c>
      <c r="AA489" s="159">
        <f>Y489/Z489</f>
        <v/>
      </c>
      <c r="AB489" s="159">
        <f>(AA489/Y489)*100</f>
        <v/>
      </c>
    </row>
    <row r="490">
      <c r="A490" s="155" t="n">
        <v>489</v>
      </c>
      <c r="B490" s="160" t="n">
        <v>45281</v>
      </c>
      <c r="C490" s="155" t="n">
        <v>35943299.57</v>
      </c>
      <c r="D490" s="174">
        <f>C490/E490</f>
        <v/>
      </c>
      <c r="E490" s="159" t="n">
        <v>83.20999999999999</v>
      </c>
      <c r="F490" s="159">
        <f>D490/100000</f>
        <v/>
      </c>
      <c r="G490" s="159">
        <f>(F490/DataSheet!$C$10*100)</f>
        <v/>
      </c>
      <c r="H490" s="159">
        <f>K490/I490</f>
        <v/>
      </c>
      <c r="I490" s="159">
        <f>(J490/L490)*100</f>
        <v/>
      </c>
      <c r="J490" s="159">
        <f>L490/O490</f>
        <v/>
      </c>
      <c r="K490" s="159" t="n">
        <v>7.18</v>
      </c>
      <c r="L490" s="159" t="n">
        <v>21255.05</v>
      </c>
      <c r="M490" s="159" t="n">
        <v>3.73</v>
      </c>
      <c r="N490" s="159">
        <f>K490-I490</f>
        <v/>
      </c>
      <c r="O490" s="159" t="n">
        <v>22.71</v>
      </c>
      <c r="P490" s="159" t="n">
        <v>3.89</v>
      </c>
      <c r="Q490" s="159">
        <f>K490-P490</f>
        <v/>
      </c>
      <c r="R490" s="159" t="n">
        <v>101.47</v>
      </c>
      <c r="S490" s="159">
        <f>(O490*T490)/100</f>
        <v/>
      </c>
      <c r="T490" s="157" t="n">
        <v>6.96</v>
      </c>
      <c r="U490" s="157" t="n">
        <v>16560.65</v>
      </c>
      <c r="V490" s="157" t="n">
        <v>25.78</v>
      </c>
      <c r="W490" s="159">
        <f>U490/V490</f>
        <v/>
      </c>
      <c r="X490" s="159">
        <f>(W490/U490)*100</f>
        <v/>
      </c>
      <c r="Y490" s="157" t="n">
        <v>13652.5</v>
      </c>
      <c r="Z490" s="157" t="n">
        <v>26.4</v>
      </c>
      <c r="AA490" s="159">
        <f>Y490/Z490</f>
        <v/>
      </c>
      <c r="AB490" s="159">
        <f>(AA490/Y490)*100</f>
        <v/>
      </c>
    </row>
    <row r="491">
      <c r="A491" s="155" t="n">
        <v>490</v>
      </c>
      <c r="B491" s="160" t="n">
        <v>45282</v>
      </c>
      <c r="C491" s="155" t="n">
        <v>36215715.63</v>
      </c>
      <c r="D491" s="174">
        <f>C491/E491</f>
        <v/>
      </c>
      <c r="E491" s="159" t="n">
        <v>83.16</v>
      </c>
      <c r="F491" s="159">
        <f>D491/100000</f>
        <v/>
      </c>
      <c r="G491" s="159">
        <f>(F491/DataSheet!$C$10*100)</f>
        <v/>
      </c>
      <c r="H491" s="159">
        <f>K491/I491</f>
        <v/>
      </c>
      <c r="I491" s="159">
        <f>(J491/L491)*100</f>
        <v/>
      </c>
      <c r="J491" s="159">
        <f>L491/O491</f>
        <v/>
      </c>
      <c r="K491" s="159" t="n">
        <v>7.18</v>
      </c>
      <c r="L491" s="159" t="n">
        <v>21349.4</v>
      </c>
      <c r="M491" s="159" t="n">
        <v>3.74</v>
      </c>
      <c r="N491" s="159">
        <f>K491-I491</f>
        <v/>
      </c>
      <c r="O491" s="159" t="n">
        <v>22.81</v>
      </c>
      <c r="P491" s="159" t="n">
        <v>3.9</v>
      </c>
      <c r="Q491" s="159">
        <f>K491-P491</f>
        <v/>
      </c>
      <c r="R491" s="159" t="n">
        <v>101.33</v>
      </c>
      <c r="S491" s="159">
        <f>(O491*T491)/100</f>
        <v/>
      </c>
      <c r="T491" s="157" t="n">
        <v>6.97</v>
      </c>
      <c r="U491" s="157" t="n">
        <v>16693</v>
      </c>
      <c r="V491" s="157" t="n">
        <v>25.99</v>
      </c>
      <c r="W491" s="159">
        <f>U491/V491</f>
        <v/>
      </c>
      <c r="X491" s="159">
        <f>(W491/U491)*100</f>
        <v/>
      </c>
      <c r="Y491" s="157" t="n">
        <v>13792</v>
      </c>
      <c r="Z491" s="157" t="n">
        <v>26.67</v>
      </c>
      <c r="AA491" s="159">
        <f>Y491/Z491</f>
        <v/>
      </c>
      <c r="AB491" s="159">
        <f>(AA491/Y491)*100</f>
        <v/>
      </c>
    </row>
    <row r="492">
      <c r="A492" s="155" t="n">
        <v>491</v>
      </c>
      <c r="B492" s="160" t="n">
        <v>45286</v>
      </c>
      <c r="C492" s="155" t="n">
        <v>36422360.83</v>
      </c>
      <c r="D492" s="174">
        <f>C492/E492</f>
        <v/>
      </c>
      <c r="E492" s="159" t="n">
        <v>83.16</v>
      </c>
      <c r="F492" s="159">
        <f>D492/100000</f>
        <v/>
      </c>
      <c r="G492" s="159">
        <f>(F492/DataSheet!$C$10*100)</f>
        <v/>
      </c>
      <c r="H492" s="159">
        <f>K492/I492</f>
        <v/>
      </c>
      <c r="I492" s="159">
        <f>(J492/L492)*100</f>
        <v/>
      </c>
      <c r="J492" s="159">
        <f>L492/O492</f>
        <v/>
      </c>
      <c r="K492" s="159" t="n">
        <v>7.18</v>
      </c>
      <c r="L492" s="159" t="n">
        <v>21441.35</v>
      </c>
      <c r="M492" s="159" t="n">
        <v>3.76</v>
      </c>
      <c r="N492" s="159">
        <f>K492-I492</f>
        <v/>
      </c>
      <c r="O492" s="159" t="n">
        <v>22.91</v>
      </c>
      <c r="P492" s="159" t="n">
        <v>3.89</v>
      </c>
      <c r="Q492" s="159">
        <f>K492-P492</f>
        <v/>
      </c>
      <c r="R492" s="159" t="n">
        <v>101.1</v>
      </c>
      <c r="S492" s="159">
        <f>(O492*T492)/100</f>
        <v/>
      </c>
      <c r="T492" s="157" t="n">
        <v>6.99</v>
      </c>
      <c r="U492" s="157" t="n">
        <v>16787</v>
      </c>
      <c r="V492" s="157" t="n">
        <v>26.14</v>
      </c>
      <c r="W492" s="159">
        <f>U492/V492</f>
        <v/>
      </c>
      <c r="X492" s="159">
        <f>(W492/U492)*100</f>
        <v/>
      </c>
      <c r="Y492" s="157" t="n">
        <v>13833</v>
      </c>
      <c r="Z492" s="157" t="n">
        <v>26.75</v>
      </c>
      <c r="AA492" s="159">
        <f>Y492/Z492</f>
        <v/>
      </c>
      <c r="AB492" s="159">
        <f>(AA492/Y492)*100</f>
        <v/>
      </c>
    </row>
    <row r="493">
      <c r="A493" s="155" t="n">
        <v>492</v>
      </c>
      <c r="B493" s="160" t="n">
        <v>45287</v>
      </c>
      <c r="C493" s="155" t="n">
        <v>36670847.64</v>
      </c>
      <c r="D493" s="174">
        <f>C493/E493</f>
        <v/>
      </c>
      <c r="E493" s="159" t="n">
        <v>83.15000000000001</v>
      </c>
      <c r="F493" s="159">
        <f>D493/100000</f>
        <v/>
      </c>
      <c r="G493" s="159">
        <f>(F493/DataSheet!$C$10*100)</f>
        <v/>
      </c>
      <c r="H493" s="159">
        <f>K493/I493</f>
        <v/>
      </c>
      <c r="I493" s="159">
        <f>(J493/L493)*100</f>
        <v/>
      </c>
      <c r="J493" s="159">
        <f>L493/O493</f>
        <v/>
      </c>
      <c r="K493" s="159" t="n">
        <v>7.2</v>
      </c>
      <c r="L493" s="159" t="n">
        <v>21654.75</v>
      </c>
      <c r="M493" s="159" t="n">
        <v>3.8</v>
      </c>
      <c r="N493" s="159">
        <f>K493-I493</f>
        <v/>
      </c>
      <c r="O493" s="159" t="n">
        <v>23.14</v>
      </c>
      <c r="P493" s="159" t="n">
        <v>3.78</v>
      </c>
      <c r="Q493" s="159">
        <f>K493-P493</f>
        <v/>
      </c>
      <c r="R493" s="159" t="n">
        <v>100.65</v>
      </c>
      <c r="S493" s="159">
        <f>(O493*T493)/100</f>
        <v/>
      </c>
      <c r="T493" s="157" t="n">
        <v>6.97</v>
      </c>
      <c r="U493" s="157" t="n">
        <v>16852.45</v>
      </c>
      <c r="V493" s="157" t="n">
        <v>26.24</v>
      </c>
      <c r="W493" s="159">
        <f>U493/V493</f>
        <v/>
      </c>
      <c r="X493" s="159">
        <f>(W493/U493)*100</f>
        <v/>
      </c>
      <c r="Y493" s="157" t="n">
        <v>13874.4</v>
      </c>
      <c r="Z493" s="157" t="n">
        <v>26.83</v>
      </c>
      <c r="AA493" s="159">
        <f>Y493/Z493</f>
        <v/>
      </c>
      <c r="AB493" s="159">
        <f>(AA493/Y493)*100</f>
        <v/>
      </c>
    </row>
    <row r="494">
      <c r="A494" s="155" t="n">
        <v>493</v>
      </c>
      <c r="B494" s="160" t="n">
        <v>45288</v>
      </c>
      <c r="C494" s="155" t="n">
        <v>36835140.85</v>
      </c>
      <c r="D494" s="174">
        <f>C494/E494</f>
        <v/>
      </c>
      <c r="E494" s="159" t="n">
        <v>83.26000000000001</v>
      </c>
      <c r="F494" s="159">
        <f>D494/100000</f>
        <v/>
      </c>
      <c r="G494" s="159">
        <f>(F494/DataSheet!$C$10*100)</f>
        <v/>
      </c>
      <c r="H494" s="159">
        <f>K494/I494</f>
        <v/>
      </c>
      <c r="I494" s="159">
        <f>(J494/L494)*100</f>
        <v/>
      </c>
      <c r="J494" s="159">
        <f>L494/O494</f>
        <v/>
      </c>
      <c r="K494" s="159" t="n">
        <v>7.2</v>
      </c>
      <c r="L494" s="159" t="n">
        <v>21778.7</v>
      </c>
      <c r="M494" s="159" t="n">
        <v>3.82</v>
      </c>
      <c r="N494" s="159">
        <f>K494-I494</f>
        <v/>
      </c>
      <c r="O494" s="159" t="n">
        <v>23.27</v>
      </c>
      <c r="P494" s="159" t="n">
        <v>3.84</v>
      </c>
      <c r="Q494" s="159">
        <f>K494-P494</f>
        <v/>
      </c>
      <c r="R494" s="159" t="n">
        <v>100.91</v>
      </c>
      <c r="S494" s="159">
        <f>(O494*T494)/100</f>
        <v/>
      </c>
      <c r="T494" s="157" t="n">
        <v>6.96</v>
      </c>
      <c r="U494" s="157" t="n">
        <v>16933.75</v>
      </c>
      <c r="V494" s="157" t="n">
        <v>26.36</v>
      </c>
      <c r="W494" s="159">
        <f>U494/V494</f>
        <v/>
      </c>
      <c r="X494" s="159">
        <f>(W494/U494)*100</f>
        <v/>
      </c>
      <c r="Y494" s="157" t="n">
        <v>13956.55</v>
      </c>
      <c r="Z494" s="157" t="n">
        <v>26.99</v>
      </c>
      <c r="AA494" s="159">
        <f>Y494/Z494</f>
        <v/>
      </c>
      <c r="AB494" s="159">
        <f>(AA494/Y494)*100</f>
        <v/>
      </c>
    </row>
    <row r="495">
      <c r="A495" s="155" t="n">
        <v>494</v>
      </c>
      <c r="B495" s="160" t="n">
        <v>45289</v>
      </c>
      <c r="C495" s="159" t="n">
        <v>36937725.8</v>
      </c>
      <c r="D495" s="174">
        <f>C495/E495</f>
        <v/>
      </c>
      <c r="E495" s="159" t="n">
        <v>83.19</v>
      </c>
      <c r="F495" s="159">
        <f>D495/100000</f>
        <v/>
      </c>
      <c r="G495" s="159">
        <f>(F495/DataSheet!$C$10*100)</f>
        <v/>
      </c>
      <c r="H495" s="159">
        <f>K495/I495</f>
        <v/>
      </c>
      <c r="I495" s="159">
        <f>(J495/L495)*100</f>
        <v/>
      </c>
      <c r="J495" s="159">
        <f>L495/O495</f>
        <v/>
      </c>
      <c r="K495" s="159" t="n">
        <v>7.17</v>
      </c>
      <c r="L495" s="159" t="n">
        <v>21731.4</v>
      </c>
      <c r="M495" s="159" t="n">
        <v>3.81</v>
      </c>
      <c r="N495" s="159">
        <f>K495-I495</f>
        <v/>
      </c>
      <c r="O495" s="159" t="n">
        <v>23.17</v>
      </c>
      <c r="P495" s="159" t="n">
        <v>3.86</v>
      </c>
      <c r="Q495" s="159">
        <f>K495-P495</f>
        <v/>
      </c>
      <c r="R495" s="159" t="n">
        <v>101.02</v>
      </c>
      <c r="S495" s="159">
        <f>(O495*T495)/100</f>
        <v/>
      </c>
      <c r="T495" s="157" t="n">
        <v>6.9</v>
      </c>
      <c r="U495" s="157" t="n">
        <v>17077.05</v>
      </c>
      <c r="V495" s="157" t="n">
        <v>26.51</v>
      </c>
      <c r="W495" s="159">
        <f>U495/V495</f>
        <v/>
      </c>
      <c r="X495" s="159">
        <f>(W495/U495)*100</f>
        <v/>
      </c>
      <c r="Y495" s="157" t="n">
        <v>14041.3</v>
      </c>
      <c r="Z495" s="157" t="n">
        <v>27.37</v>
      </c>
      <c r="AA495" s="159">
        <f>Y495/Z495</f>
        <v/>
      </c>
      <c r="AB495" s="159">
        <f>(AA495/Y495)*100</f>
        <v/>
      </c>
    </row>
    <row r="496" customFormat="1" s="167">
      <c r="A496" s="152" t="n">
        <v>495</v>
      </c>
      <c r="B496" s="153" t="n">
        <v>45292</v>
      </c>
      <c r="C496" s="152" t="n">
        <v>37094900.16</v>
      </c>
      <c r="D496" s="172">
        <f>C496/E496</f>
        <v/>
      </c>
      <c r="E496" s="154" t="n">
        <v>83.23</v>
      </c>
      <c r="F496" s="154">
        <f>D496/100000</f>
        <v/>
      </c>
      <c r="G496" s="154">
        <f>(F496/DataSheet!$C$11*100)</f>
        <v/>
      </c>
      <c r="H496" s="154">
        <f>K496/I496</f>
        <v/>
      </c>
      <c r="I496" s="154">
        <f>(J496/L496)*100</f>
        <v/>
      </c>
      <c r="J496" s="154">
        <f>L496/O496</f>
        <v/>
      </c>
      <c r="K496" s="154" t="n">
        <v>7.19</v>
      </c>
      <c r="L496" s="154" t="n">
        <v>21741.9</v>
      </c>
      <c r="M496" s="154" t="n">
        <v>3.81</v>
      </c>
      <c r="N496" s="154">
        <f>K496-I496</f>
        <v/>
      </c>
      <c r="O496" s="154" t="n">
        <v>23.18</v>
      </c>
      <c r="P496" s="154" t="n">
        <v>3.89</v>
      </c>
      <c r="Q496" s="154">
        <f>K496-P496</f>
        <v/>
      </c>
      <c r="R496" s="154" t="n">
        <v>101.02</v>
      </c>
      <c r="S496" s="162">
        <f>(O496*T496)/100</f>
        <v/>
      </c>
      <c r="T496" s="154" t="n">
        <v>6.94</v>
      </c>
      <c r="U496" s="154" t="n">
        <v>17174</v>
      </c>
      <c r="V496" s="154" t="n">
        <v>26.66</v>
      </c>
      <c r="W496" s="154">
        <f>U496/V496</f>
        <v/>
      </c>
      <c r="X496" s="154">
        <f>(W496/U496)*100</f>
        <v/>
      </c>
      <c r="Y496" s="154" t="n">
        <v>14129.7</v>
      </c>
      <c r="Z496" s="154" t="n">
        <v>27.54</v>
      </c>
      <c r="AA496" s="154">
        <f>Y496/Z496</f>
        <v/>
      </c>
      <c r="AB496" s="154">
        <f>(AA496/Y496)*100</f>
        <v/>
      </c>
    </row>
    <row r="497">
      <c r="A497" s="155" t="n">
        <v>496</v>
      </c>
      <c r="B497" s="160" t="n">
        <v>45293</v>
      </c>
      <c r="C497" s="155" t="n">
        <v>37029723.62</v>
      </c>
      <c r="D497" s="174">
        <f>C497/E497</f>
        <v/>
      </c>
      <c r="E497" s="159" t="n">
        <v>83.27</v>
      </c>
      <c r="F497" s="159">
        <f>D497/100000</f>
        <v/>
      </c>
      <c r="G497" s="159">
        <f>(F497/DataSheet!$C$11*100)</f>
        <v/>
      </c>
      <c r="H497" s="159">
        <f>K497/I497</f>
        <v/>
      </c>
      <c r="I497" s="159">
        <f>(J497/L497)*100</f>
        <v/>
      </c>
      <c r="J497" s="159">
        <f>L497/O497</f>
        <v/>
      </c>
      <c r="K497" s="159" t="n">
        <v>7.2</v>
      </c>
      <c r="L497" s="159" t="n">
        <v>21665.8</v>
      </c>
      <c r="M497" s="159" t="n">
        <v>3.79</v>
      </c>
      <c r="N497" s="159">
        <f>K497-I497</f>
        <v/>
      </c>
      <c r="O497" s="159" t="n">
        <v>23.1</v>
      </c>
      <c r="P497" s="159" t="n">
        <v>3.94</v>
      </c>
      <c r="Q497" s="159">
        <f>K497-P497</f>
        <v/>
      </c>
      <c r="R497" s="159" t="n">
        <v>101.89</v>
      </c>
      <c r="S497" s="159">
        <f>(O497*T497)/100</f>
        <v/>
      </c>
      <c r="T497" s="157" t="n">
        <v>6.93</v>
      </c>
      <c r="U497" s="157" t="n">
        <v>17148.1</v>
      </c>
      <c r="V497" s="157" t="n">
        <v>26.62</v>
      </c>
      <c r="W497" s="159">
        <f>U497/V497</f>
        <v/>
      </c>
      <c r="X497" s="159">
        <f>(W497/U497)*100</f>
        <v/>
      </c>
      <c r="Y497" s="157" t="n">
        <v>14124.25</v>
      </c>
      <c r="Z497" s="157" t="n">
        <v>27.53</v>
      </c>
      <c r="AA497" s="159">
        <f>Y497/Z497</f>
        <v/>
      </c>
      <c r="AB497" s="159">
        <f>(AA497/Y497)*100</f>
        <v/>
      </c>
    </row>
    <row r="498">
      <c r="A498" s="155" t="n">
        <v>497</v>
      </c>
      <c r="B498" s="160" t="n">
        <v>45294</v>
      </c>
      <c r="C498" s="155" t="n">
        <v>37019528.83</v>
      </c>
      <c r="D498" s="174">
        <f>C498/E498</f>
        <v/>
      </c>
      <c r="E498" s="159" t="n">
        <v>83.28</v>
      </c>
      <c r="F498" s="159">
        <f>D498/100000</f>
        <v/>
      </c>
      <c r="G498" s="159">
        <f>(F498/DataSheet!$C$11*100)</f>
        <v/>
      </c>
      <c r="H498" s="159">
        <f>K498/I498</f>
        <v/>
      </c>
      <c r="I498" s="159">
        <f>(J498/L498)*100</f>
        <v/>
      </c>
      <c r="J498" s="159">
        <f>L498/O498</f>
        <v/>
      </c>
      <c r="K498" s="159" t="n">
        <v>7.21</v>
      </c>
      <c r="L498" s="159" t="n">
        <v>21517.35</v>
      </c>
      <c r="M498" s="159" t="n">
        <v>3.77</v>
      </c>
      <c r="N498" s="159">
        <f>K498-I498</f>
        <v/>
      </c>
      <c r="O498" s="159" t="n">
        <v>22.94</v>
      </c>
      <c r="P498" s="159" t="n">
        <v>3.92</v>
      </c>
      <c r="Q498" s="159">
        <f>K498-P498</f>
        <v/>
      </c>
      <c r="R498" s="159" t="n">
        <v>102.19</v>
      </c>
      <c r="S498" s="159">
        <f>(O498*T498)/100</f>
        <v/>
      </c>
      <c r="T498" s="157" t="n">
        <v>6.93</v>
      </c>
      <c r="U498" s="157" t="n">
        <v>17189.95</v>
      </c>
      <c r="V498" s="157" t="n">
        <v>26.68</v>
      </c>
      <c r="W498" s="159">
        <f>U498/V498</f>
        <v/>
      </c>
      <c r="X498" s="159">
        <f>(W498/U498)*100</f>
        <v/>
      </c>
      <c r="Y498" s="157" t="n">
        <v>14141</v>
      </c>
      <c r="Z498" s="157" t="n">
        <v>27.57</v>
      </c>
      <c r="AA498" s="159">
        <f>Y498/Z498</f>
        <v/>
      </c>
      <c r="AB498" s="159">
        <f>(AA498/Y498)*100</f>
        <v/>
      </c>
    </row>
    <row r="499">
      <c r="A499" s="155" t="n">
        <v>498</v>
      </c>
      <c r="B499" s="160" t="n">
        <v>45295</v>
      </c>
      <c r="C499" s="155" t="n">
        <v>37346699.18</v>
      </c>
      <c r="D499" s="174">
        <f>C499/E499</f>
        <v/>
      </c>
      <c r="E499" s="159" t="n">
        <v>83.23999999999999</v>
      </c>
      <c r="F499" s="159">
        <f>D499/100000</f>
        <v/>
      </c>
      <c r="G499" s="159">
        <f>(F499/DataSheet!$C$11*100)</f>
        <v/>
      </c>
      <c r="H499" s="159">
        <f>K499/I499</f>
        <v/>
      </c>
      <c r="I499" s="159">
        <f>(J499/L499)*100</f>
        <v/>
      </c>
      <c r="J499" s="159">
        <f>L499/O499</f>
        <v/>
      </c>
      <c r="K499" s="159" t="n">
        <v>7.22</v>
      </c>
      <c r="L499" s="159" t="n">
        <v>21658.6</v>
      </c>
      <c r="M499" s="159" t="n">
        <v>3.79</v>
      </c>
      <c r="N499" s="159">
        <f>K499-I499</f>
        <v/>
      </c>
      <c r="O499" s="159" t="n">
        <v>23.09</v>
      </c>
      <c r="P499" s="159" t="n">
        <v>4</v>
      </c>
      <c r="Q499" s="159">
        <f>K499-P499</f>
        <v/>
      </c>
      <c r="R499" s="159" t="n">
        <v>102.13</v>
      </c>
      <c r="S499" s="159">
        <f>(O499*T499)/100</f>
        <v/>
      </c>
      <c r="T499" s="157" t="n">
        <v>6.96</v>
      </c>
      <c r="U499" s="157" t="n">
        <v>17443.75</v>
      </c>
      <c r="V499" s="157" t="n">
        <v>27.07</v>
      </c>
      <c r="W499" s="159">
        <f>U499/V499</f>
        <v/>
      </c>
      <c r="X499" s="159">
        <f>(W499/U499)*100</f>
        <v/>
      </c>
      <c r="Y499" s="157" t="n">
        <v>14286.3</v>
      </c>
      <c r="Z499" s="157" t="n">
        <v>27.85</v>
      </c>
      <c r="AA499" s="159">
        <f>Y499/Z499</f>
        <v/>
      </c>
      <c r="AB499" s="159">
        <f>(AA499/Y499)*100</f>
        <v/>
      </c>
    </row>
    <row r="500">
      <c r="A500" s="155" t="n">
        <v>499</v>
      </c>
      <c r="B500" s="160" t="n">
        <v>45296</v>
      </c>
      <c r="C500" s="155" t="n">
        <v>37448192.14</v>
      </c>
      <c r="D500" s="174">
        <f>C500/E500</f>
        <v/>
      </c>
      <c r="E500" s="159" t="n">
        <v>83.09999999999999</v>
      </c>
      <c r="F500" s="159">
        <f>D500/100000</f>
        <v/>
      </c>
      <c r="G500" s="159">
        <f>(F500/DataSheet!$C$11*100)</f>
        <v/>
      </c>
      <c r="H500" s="159">
        <f>K500/I500</f>
        <v/>
      </c>
      <c r="I500" s="159">
        <f>(J500/L500)*100</f>
        <v/>
      </c>
      <c r="J500" s="159">
        <f>L500/O500</f>
        <v/>
      </c>
      <c r="K500" s="159" t="n">
        <v>7.23</v>
      </c>
      <c r="L500" s="159" t="n">
        <v>21710.8</v>
      </c>
      <c r="M500" s="159" t="n">
        <v>3.8</v>
      </c>
      <c r="N500" s="159">
        <f>K500-I500</f>
        <v/>
      </c>
      <c r="O500" s="159" t="n">
        <v>23.15</v>
      </c>
      <c r="P500" s="159" t="n">
        <v>4.05</v>
      </c>
      <c r="Q500" s="159">
        <f>K500-P500</f>
        <v/>
      </c>
      <c r="R500" s="159" t="n">
        <v>102.12</v>
      </c>
      <c r="S500" s="159">
        <f>(O500*T500)/100</f>
        <v/>
      </c>
      <c r="T500" s="157" t="n">
        <v>6.93</v>
      </c>
      <c r="U500" s="157" t="n">
        <v>17499.65</v>
      </c>
      <c r="V500" s="157" t="n">
        <v>27.16</v>
      </c>
      <c r="W500" s="159">
        <f>U500/V500</f>
        <v/>
      </c>
      <c r="X500" s="159">
        <f>(W500/U500)*100</f>
        <v/>
      </c>
      <c r="Y500" s="157" t="n">
        <v>14382.4</v>
      </c>
      <c r="Z500" s="157" t="n">
        <v>28.04</v>
      </c>
      <c r="AA500" s="159">
        <f>Y500/Z500</f>
        <v/>
      </c>
      <c r="AB500" s="159">
        <f>(AA500/Y500)*100</f>
        <v/>
      </c>
    </row>
    <row r="501">
      <c r="A501" s="155" t="n">
        <v>500</v>
      </c>
      <c r="B501" s="160" t="n">
        <v>45299</v>
      </c>
      <c r="C501" s="155" t="n">
        <v>37150868.55</v>
      </c>
      <c r="D501" s="174">
        <f>C501/E501</f>
        <v/>
      </c>
      <c r="E501" s="159" t="n">
        <v>83.04000000000001</v>
      </c>
      <c r="F501" s="159">
        <f>D501/100000</f>
        <v/>
      </c>
      <c r="G501" s="159">
        <f>(F501/DataSheet!$C$11*100)</f>
        <v/>
      </c>
      <c r="H501" s="159">
        <f>K501/I501</f>
        <v/>
      </c>
      <c r="I501" s="159">
        <f>(J501/L501)*100</f>
        <v/>
      </c>
      <c r="J501" s="159">
        <f>L501/O501</f>
        <v/>
      </c>
      <c r="K501" s="159" t="n">
        <v>7.2</v>
      </c>
      <c r="L501" s="159" t="n">
        <v>21513</v>
      </c>
      <c r="M501" s="159" t="n">
        <v>3.77</v>
      </c>
      <c r="N501" s="159">
        <f>K501-I501</f>
        <v/>
      </c>
      <c r="O501" s="159" t="n">
        <v>22.94</v>
      </c>
      <c r="P501" s="159" t="n">
        <v>4.02</v>
      </c>
      <c r="Q501" s="159">
        <f>K501-P501</f>
        <v/>
      </c>
      <c r="R501" s="159" t="n">
        <v>101.92</v>
      </c>
      <c r="S501" s="159">
        <f>(O501*T501)/100</f>
        <v/>
      </c>
      <c r="T501" s="157" t="n">
        <v>6.95</v>
      </c>
      <c r="U501" s="157" t="n">
        <v>17350.55</v>
      </c>
      <c r="V501" s="157" t="n">
        <v>26.93</v>
      </c>
      <c r="W501" s="159">
        <f>U501/V501</f>
        <v/>
      </c>
      <c r="X501" s="159">
        <f>(W501/U501)*100</f>
        <v/>
      </c>
      <c r="Y501" s="157" t="n">
        <v>14298.2</v>
      </c>
      <c r="Z501" s="157" t="n">
        <v>27.87</v>
      </c>
      <c r="AA501" s="159">
        <f>Y501/Z501</f>
        <v/>
      </c>
      <c r="AB501" s="159">
        <f>(AA501/Y501)*100</f>
        <v/>
      </c>
    </row>
    <row r="502">
      <c r="A502" s="155" t="n">
        <v>501</v>
      </c>
      <c r="B502" s="160" t="n">
        <v>45300</v>
      </c>
      <c r="C502" s="155" t="n">
        <v>37265202.84</v>
      </c>
      <c r="D502" s="174">
        <f>C502/E502</f>
        <v/>
      </c>
      <c r="E502" s="159" t="n">
        <v>83.09999999999999</v>
      </c>
      <c r="F502" s="159">
        <f>D502/100000</f>
        <v/>
      </c>
      <c r="G502" s="159">
        <f>(F502/DataSheet!$C$11*100)</f>
        <v/>
      </c>
      <c r="H502" s="159">
        <f>K502/I502</f>
        <v/>
      </c>
      <c r="I502" s="159">
        <f>(J502/L502)*100</f>
        <v/>
      </c>
      <c r="J502" s="159">
        <f>L502/O502</f>
        <v/>
      </c>
      <c r="K502" s="159" t="n">
        <v>7.18</v>
      </c>
      <c r="L502" s="159" t="n">
        <v>21544.85</v>
      </c>
      <c r="M502" s="159" t="n">
        <v>3.77</v>
      </c>
      <c r="N502" s="159">
        <f>K502-I502</f>
        <v/>
      </c>
      <c r="O502" s="159" t="n">
        <v>22.97</v>
      </c>
      <c r="P502" s="159" t="n">
        <v>4.01</v>
      </c>
      <c r="Q502" s="159">
        <f>K502-P502</f>
        <v/>
      </c>
      <c r="R502" s="159" t="n">
        <v>102.28</v>
      </c>
      <c r="S502" s="159">
        <f>(O502*T502)/100</f>
        <v/>
      </c>
      <c r="T502" s="157" t="n">
        <v>6.96</v>
      </c>
      <c r="U502" s="157" t="n">
        <v>17382</v>
      </c>
      <c r="V502" s="157" t="n">
        <v>26.98</v>
      </c>
      <c r="W502" s="159">
        <f>U502/V502</f>
        <v/>
      </c>
      <c r="X502" s="159">
        <f>(W502/U502)*100</f>
        <v/>
      </c>
      <c r="Y502" s="157" t="n">
        <v>14350.9</v>
      </c>
      <c r="Z502" s="157" t="n">
        <v>27.97</v>
      </c>
      <c r="AA502" s="159">
        <f>Y502/Z502</f>
        <v/>
      </c>
      <c r="AB502" s="159">
        <f>(AA502/Y502)*100</f>
        <v/>
      </c>
    </row>
    <row r="503">
      <c r="A503" s="155" t="n">
        <v>502</v>
      </c>
      <c r="B503" s="160" t="n">
        <v>45301</v>
      </c>
      <c r="C503" s="155" t="n">
        <v>37392677.15</v>
      </c>
      <c r="D503" s="174">
        <f>C503/E503</f>
        <v/>
      </c>
      <c r="E503" s="159" t="n">
        <v>83.02</v>
      </c>
      <c r="F503" s="159">
        <f>D503/100000</f>
        <v/>
      </c>
      <c r="G503" s="159">
        <f>(F503/DataSheet!$C$11*100)</f>
        <v/>
      </c>
      <c r="H503" s="159">
        <f>K503/I503</f>
        <v/>
      </c>
      <c r="I503" s="159">
        <f>(J503/L503)*100</f>
        <v/>
      </c>
      <c r="J503" s="159">
        <f>L503/O503</f>
        <v/>
      </c>
      <c r="K503" s="159" t="n">
        <v>7.17</v>
      </c>
      <c r="L503" s="159" t="n">
        <v>21618.7</v>
      </c>
      <c r="M503" s="159" t="n">
        <v>3.79</v>
      </c>
      <c r="N503" s="159">
        <f>K503-I503</f>
        <v/>
      </c>
      <c r="O503" s="159" t="n">
        <v>23.05</v>
      </c>
      <c r="P503" s="159" t="n">
        <v>4.03</v>
      </c>
      <c r="Q503" s="159">
        <f>K503-P503</f>
        <v/>
      </c>
      <c r="R503" s="159" t="n">
        <v>102.08</v>
      </c>
      <c r="S503" s="159">
        <f>(O503*T503)/100</f>
        <v/>
      </c>
      <c r="T503" s="157" t="n">
        <v>6.96</v>
      </c>
      <c r="U503" s="157" t="n">
        <v>17425.35</v>
      </c>
      <c r="V503" s="157" t="n">
        <v>27.05</v>
      </c>
      <c r="W503" s="159">
        <f>U503/V503</f>
        <v/>
      </c>
      <c r="X503" s="159">
        <f>(W503/U503)*100</f>
        <v/>
      </c>
      <c r="Y503" s="157" t="n">
        <v>14379.85</v>
      </c>
      <c r="Z503" s="157" t="n">
        <v>28.03</v>
      </c>
      <c r="AA503" s="159">
        <f>Y503/Z503</f>
        <v/>
      </c>
      <c r="AB503" s="159">
        <f>(AA503/Y503)*100</f>
        <v/>
      </c>
    </row>
    <row r="504">
      <c r="A504" s="155" t="n">
        <v>503</v>
      </c>
      <c r="B504" s="160" t="n">
        <v>45302</v>
      </c>
      <c r="C504" s="155" t="n">
        <v>37565219.02</v>
      </c>
      <c r="D504" s="174">
        <f>C504/E504</f>
        <v/>
      </c>
      <c r="E504" s="159" t="n">
        <v>83.06</v>
      </c>
      <c r="F504" s="159">
        <f>D504/100000</f>
        <v/>
      </c>
      <c r="G504" s="159">
        <f>(F504/DataSheet!$C$11*100)</f>
        <v/>
      </c>
      <c r="H504" s="159">
        <f>K504/I504</f>
        <v/>
      </c>
      <c r="I504" s="159">
        <f>(J504/L504)*100</f>
        <v/>
      </c>
      <c r="J504" s="159">
        <f>L504/O504</f>
        <v/>
      </c>
      <c r="K504" s="159" t="n">
        <v>7.16</v>
      </c>
      <c r="L504" s="159" t="n">
        <v>21647.2</v>
      </c>
      <c r="M504" s="159" t="n">
        <v>3.79</v>
      </c>
      <c r="N504" s="159">
        <f>K504-I504</f>
        <v/>
      </c>
      <c r="O504" s="159" t="n">
        <v>23.08</v>
      </c>
      <c r="P504" s="159" t="n">
        <v>3.97</v>
      </c>
      <c r="Q504" s="159">
        <f>K504-P504</f>
        <v/>
      </c>
      <c r="R504" s="159" t="n">
        <v>102.02</v>
      </c>
      <c r="S504" s="159">
        <f>(O504*T504)/100</f>
        <v/>
      </c>
      <c r="T504" s="157" t="n">
        <v>6.95</v>
      </c>
      <c r="U504" s="157" t="n">
        <v>17500.5</v>
      </c>
      <c r="V504" s="157" t="n">
        <v>27.16</v>
      </c>
      <c r="W504" s="159">
        <f>U504/V504</f>
        <v/>
      </c>
      <c r="X504" s="159">
        <f>(W504/U504)*100</f>
        <v/>
      </c>
      <c r="Y504" s="157" t="n">
        <v>14498.55</v>
      </c>
      <c r="Z504" s="157" t="n">
        <v>28.28</v>
      </c>
      <c r="AA504" s="159">
        <f>Y504/Z504</f>
        <v/>
      </c>
      <c r="AB504" s="159">
        <f>(AA504/Y504)*100</f>
        <v/>
      </c>
    </row>
    <row r="505">
      <c r="A505" s="155" t="n">
        <v>504</v>
      </c>
      <c r="B505" s="160" t="n">
        <v>45303</v>
      </c>
      <c r="C505" s="155" t="n">
        <v>37846544.38</v>
      </c>
      <c r="D505" s="174">
        <f>C505/E505</f>
        <v/>
      </c>
      <c r="E505" s="159" t="n">
        <v>82.84999999999999</v>
      </c>
      <c r="F505" s="159">
        <f>D505/100000</f>
        <v/>
      </c>
      <c r="G505" s="159">
        <f>(F505/DataSheet!$C$11*100)</f>
        <v/>
      </c>
      <c r="H505" s="159">
        <f>K505/I505</f>
        <v/>
      </c>
      <c r="I505" s="159">
        <f>(J505/L505)*100</f>
        <v/>
      </c>
      <c r="J505" s="159">
        <f>L505/O505</f>
        <v/>
      </c>
      <c r="K505" s="159" t="n">
        <v>7.17</v>
      </c>
      <c r="L505" s="159" t="n">
        <v>21894.55</v>
      </c>
      <c r="M505" s="159" t="n">
        <v>3.83</v>
      </c>
      <c r="N505" s="159">
        <f>K505-I505</f>
        <v/>
      </c>
      <c r="O505" s="159" t="n">
        <v>23.34</v>
      </c>
      <c r="P505" s="159" t="n">
        <v>3.93</v>
      </c>
      <c r="Q505" s="159">
        <f>K505-P505</f>
        <v/>
      </c>
      <c r="R505" s="159" t="n">
        <v>102.15</v>
      </c>
      <c r="S505" s="159">
        <f>(O505*T505)/100</f>
        <v/>
      </c>
      <c r="T505" s="157" t="n">
        <v>6.95</v>
      </c>
      <c r="U505" s="157" t="n">
        <v>17563.85</v>
      </c>
      <c r="V505" s="157" t="n">
        <v>27.26</v>
      </c>
      <c r="W505" s="159">
        <f>U505/V505</f>
        <v/>
      </c>
      <c r="X505" s="159">
        <f>(W505/U505)*100</f>
        <v/>
      </c>
      <c r="Y505" s="157" t="n">
        <v>14552.75</v>
      </c>
      <c r="Z505" s="157" t="n">
        <v>28.39</v>
      </c>
      <c r="AA505" s="159">
        <f>Y505/Z505</f>
        <v/>
      </c>
      <c r="AB505" s="159">
        <f>(AA505/Y505)*100</f>
        <v/>
      </c>
    </row>
    <row r="506">
      <c r="A506" s="155" t="n">
        <v>505</v>
      </c>
      <c r="B506" s="160" t="n">
        <v>45306</v>
      </c>
      <c r="C506" s="155" t="n">
        <v>38129439.27</v>
      </c>
      <c r="D506" s="174">
        <f>C506/E506</f>
        <v/>
      </c>
      <c r="E506" s="159" t="n">
        <v>82.81999999999999</v>
      </c>
      <c r="F506" s="159">
        <f>D506/100000</f>
        <v/>
      </c>
      <c r="G506" s="159">
        <f>(F506/DataSheet!$C$11*100)</f>
        <v/>
      </c>
      <c r="H506" s="159">
        <f>K506/I506</f>
        <v/>
      </c>
      <c r="I506" s="159">
        <f>(J506/L506)*100</f>
        <v/>
      </c>
      <c r="J506" s="159">
        <f>L506/O506</f>
        <v/>
      </c>
      <c r="K506" s="159" t="n">
        <v>7.14</v>
      </c>
      <c r="L506" s="159" t="n">
        <v>22097.45</v>
      </c>
      <c r="M506" s="159" t="n">
        <v>3.87</v>
      </c>
      <c r="N506" s="159">
        <f>K506-I506</f>
        <v/>
      </c>
      <c r="O506" s="159" t="n">
        <v>23.59</v>
      </c>
      <c r="P506" s="159" t="n">
        <v>3.98</v>
      </c>
      <c r="Q506" s="159">
        <f>K506-P506</f>
        <v/>
      </c>
      <c r="R506" s="159" t="n">
        <v>102.15</v>
      </c>
      <c r="S506" s="159">
        <f>(O506*T506)/100</f>
        <v/>
      </c>
      <c r="T506" s="157" t="n">
        <v>6.95</v>
      </c>
      <c r="U506" s="157" t="n">
        <v>17656.35</v>
      </c>
      <c r="V506" s="157" t="n">
        <v>27.39</v>
      </c>
      <c r="W506" s="159">
        <f>U506/V506</f>
        <v/>
      </c>
      <c r="X506" s="159">
        <f>(W506/U506)*100</f>
        <v/>
      </c>
      <c r="Y506" s="157" t="n">
        <v>14589</v>
      </c>
      <c r="Z506" s="157" t="n">
        <v>28.45</v>
      </c>
      <c r="AA506" s="159">
        <f>Y506/Z506</f>
        <v/>
      </c>
      <c r="AB506" s="159">
        <f>(AA506/Y506)*100</f>
        <v/>
      </c>
    </row>
    <row r="507">
      <c r="A507" s="155" t="n">
        <v>506</v>
      </c>
      <c r="B507" s="160" t="n">
        <v>45307</v>
      </c>
      <c r="C507" s="155" t="n">
        <v>38021747.04</v>
      </c>
      <c r="D507" s="174">
        <f>C507/E507</f>
        <v/>
      </c>
      <c r="E507" s="159" t="n">
        <v>83.08</v>
      </c>
      <c r="F507" s="159">
        <f>D507/100000</f>
        <v/>
      </c>
      <c r="G507" s="159">
        <f>(F507/DataSheet!$C$11*100)</f>
        <v/>
      </c>
      <c r="H507" s="159">
        <f>K507/I507</f>
        <v/>
      </c>
      <c r="I507" s="159">
        <f>(J507/L507)*100</f>
        <v/>
      </c>
      <c r="J507" s="159">
        <f>L507/O507</f>
        <v/>
      </c>
      <c r="K507" s="159" t="n">
        <v>7.14</v>
      </c>
      <c r="L507" s="159" t="n">
        <v>22032.3</v>
      </c>
      <c r="M507" s="159" t="n">
        <v>3.86</v>
      </c>
      <c r="N507" s="159">
        <f>K507-I507</f>
        <v/>
      </c>
      <c r="O507" s="159" t="n">
        <v>23.52</v>
      </c>
      <c r="P507" s="159" t="n">
        <v>4.05</v>
      </c>
      <c r="Q507" s="159">
        <f>K507-P507</f>
        <v/>
      </c>
      <c r="R507" s="159" t="n">
        <v>103.11</v>
      </c>
      <c r="S507" s="159">
        <f>(O507*T507)/100</f>
        <v/>
      </c>
      <c r="T507" s="157" t="n">
        <v>6.97</v>
      </c>
      <c r="U507" s="157" t="n">
        <v>17599.8</v>
      </c>
      <c r="V507" s="157" t="n">
        <v>27.3</v>
      </c>
      <c r="W507" s="159">
        <f>U507/V507</f>
        <v/>
      </c>
      <c r="X507" s="159">
        <f>(W507/U507)*100</f>
        <v/>
      </c>
      <c r="Y507" s="157" t="n">
        <v>14549.05</v>
      </c>
      <c r="Z507" s="157" t="n">
        <v>28.37</v>
      </c>
      <c r="AA507" s="159">
        <f>Y507/Z507</f>
        <v/>
      </c>
      <c r="AB507" s="159">
        <f>(AA507/Y507)*100</f>
        <v/>
      </c>
    </row>
    <row r="508">
      <c r="A508" s="155" t="n">
        <v>507</v>
      </c>
      <c r="B508" s="160" t="n">
        <v>45308</v>
      </c>
      <c r="C508" s="155" t="n">
        <v>37557740.27</v>
      </c>
      <c r="D508" s="174">
        <f>C508/E508</f>
        <v/>
      </c>
      <c r="E508" s="159" t="n">
        <v>83.18000000000001</v>
      </c>
      <c r="F508" s="159">
        <f>D508/100000</f>
        <v/>
      </c>
      <c r="G508" s="159">
        <f>(F508/DataSheet!$C$11*100)</f>
        <v/>
      </c>
      <c r="H508" s="159">
        <f>K508/I508</f>
        <v/>
      </c>
      <c r="I508" s="159">
        <f>(J508/L508)*100</f>
        <v/>
      </c>
      <c r="J508" s="159">
        <f>L508/O508</f>
        <v/>
      </c>
      <c r="K508" s="159" t="n">
        <v>7.16</v>
      </c>
      <c r="L508" s="159" t="n">
        <v>21571.95</v>
      </c>
      <c r="M508" s="159" t="n">
        <v>3.78</v>
      </c>
      <c r="N508" s="159">
        <f>K508-I508</f>
        <v/>
      </c>
      <c r="O508" s="159" t="n">
        <v>23.03</v>
      </c>
      <c r="P508" s="159" t="n">
        <v>4.1</v>
      </c>
      <c r="Q508" s="159">
        <f>K508-P508</f>
        <v/>
      </c>
      <c r="R508" s="159" t="n">
        <v>103.2</v>
      </c>
      <c r="S508" s="159">
        <f>(O508*T508)/100</f>
        <v/>
      </c>
      <c r="T508" s="157" t="n">
        <v>6.95</v>
      </c>
      <c r="U508" s="157" t="n">
        <v>17413.15</v>
      </c>
      <c r="V508" s="157" t="n">
        <v>27.01</v>
      </c>
      <c r="W508" s="159">
        <f>U508/V508</f>
        <v/>
      </c>
      <c r="X508" s="159">
        <f>(W508/U508)*100</f>
        <v/>
      </c>
      <c r="Y508" s="157" t="n">
        <v>14396.6</v>
      </c>
      <c r="Z508" s="157" t="n">
        <v>28.05</v>
      </c>
      <c r="AA508" s="159">
        <f>Y508/Z508</f>
        <v/>
      </c>
      <c r="AB508" s="159">
        <f>(AA508/Y508)*100</f>
        <v/>
      </c>
    </row>
    <row r="509">
      <c r="A509" s="155" t="n">
        <v>508</v>
      </c>
      <c r="B509" s="160" t="n">
        <v>45309</v>
      </c>
      <c r="C509" s="159" t="n">
        <v>37470481.82</v>
      </c>
      <c r="D509" s="174">
        <f>C509/E509</f>
        <v/>
      </c>
      <c r="E509" s="159" t="n">
        <v>83.16</v>
      </c>
      <c r="F509" s="159">
        <f>D509/100000</f>
        <v/>
      </c>
      <c r="G509" s="159">
        <f>(F509/DataSheet!$C$11*100)</f>
        <v/>
      </c>
      <c r="H509" s="159">
        <f>K509/I509</f>
        <v/>
      </c>
      <c r="I509" s="159">
        <f>(J509/L509)*100</f>
        <v/>
      </c>
      <c r="J509" s="159">
        <f>L509/O509</f>
        <v/>
      </c>
      <c r="K509" s="159" t="n">
        <v>7.17</v>
      </c>
      <c r="L509" s="159" t="n">
        <v>21462.25</v>
      </c>
      <c r="M509" s="159" t="n">
        <v>3.76</v>
      </c>
      <c r="N509" s="159">
        <f>K509-I509</f>
        <v/>
      </c>
      <c r="O509" s="159" t="n">
        <v>22.64</v>
      </c>
      <c r="P509" s="159" t="n">
        <v>4.14</v>
      </c>
      <c r="Q509" s="159">
        <f>K509-P509</f>
        <v/>
      </c>
      <c r="R509" s="159" t="n">
        <v>103.31</v>
      </c>
      <c r="S509" s="159">
        <f>(O509*T509)/100</f>
        <v/>
      </c>
      <c r="T509" s="157" t="n">
        <v>6.99</v>
      </c>
      <c r="U509" s="157" t="n">
        <v>17409.45</v>
      </c>
      <c r="V509" s="157" t="n">
        <v>26.93</v>
      </c>
      <c r="W509" s="159">
        <f>U509/V509</f>
        <v/>
      </c>
      <c r="X509" s="159">
        <f>(W509/U509)*100</f>
        <v/>
      </c>
      <c r="Y509" s="157" t="n">
        <v>14394.95</v>
      </c>
      <c r="Z509" s="157" t="n">
        <v>28.01</v>
      </c>
      <c r="AA509" s="159">
        <f>Y509/Z509</f>
        <v/>
      </c>
      <c r="AB509" s="159">
        <f>(AA509/Y509)*100</f>
        <v/>
      </c>
    </row>
    <row r="510">
      <c r="A510" s="155" t="n">
        <v>509</v>
      </c>
      <c r="B510" s="160" t="n">
        <v>45310</v>
      </c>
      <c r="C510" s="159" t="n">
        <v>37887479.17</v>
      </c>
      <c r="D510" s="174">
        <f>C510/E510</f>
        <v/>
      </c>
      <c r="E510" s="159" t="n">
        <v>83.08</v>
      </c>
      <c r="F510" s="159">
        <f>D510/100000</f>
        <v/>
      </c>
      <c r="G510" s="159">
        <f>(F510/DataSheet!$C$11*100)</f>
        <v/>
      </c>
      <c r="H510" s="159">
        <f>K510/I510</f>
        <v/>
      </c>
      <c r="I510" s="159">
        <f>(J510/L510)*100</f>
        <v/>
      </c>
      <c r="J510" s="159">
        <f>L510/O510</f>
        <v/>
      </c>
      <c r="K510" s="159" t="n">
        <v>7.18</v>
      </c>
      <c r="L510" s="159" t="n">
        <v>21622.4</v>
      </c>
      <c r="M510" s="159" t="n">
        <v>3.79</v>
      </c>
      <c r="N510" s="159">
        <f>K510-I510</f>
        <v/>
      </c>
      <c r="O510" s="159" t="n">
        <v>22.79</v>
      </c>
      <c r="P510" s="159" t="n">
        <v>4.13</v>
      </c>
      <c r="Q510" s="159">
        <f>K510-P510</f>
        <v/>
      </c>
      <c r="R510" s="159" t="n">
        <v>103.06</v>
      </c>
      <c r="S510" s="159">
        <f>(O510*T510)/100</f>
        <v/>
      </c>
      <c r="T510" s="157" t="n">
        <v>7</v>
      </c>
      <c r="U510" s="157" t="n">
        <v>17670.85</v>
      </c>
      <c r="V510" s="157" t="n">
        <v>27.31</v>
      </c>
      <c r="W510" s="159">
        <f>U510/V510</f>
        <v/>
      </c>
      <c r="X510" s="159">
        <f>(W510/U510)*100</f>
        <v/>
      </c>
      <c r="Y510" s="157" t="n">
        <v>14548.55</v>
      </c>
      <c r="Z510" s="157" t="n">
        <v>28.26</v>
      </c>
      <c r="AA510" s="159">
        <f>Y510/Z510</f>
        <v/>
      </c>
      <c r="AB510" s="159">
        <f>(AA510/Y510)*100</f>
        <v/>
      </c>
    </row>
    <row r="511">
      <c r="A511" s="155" t="n">
        <v>510</v>
      </c>
      <c r="B511" s="160" t="n">
        <v>45311</v>
      </c>
      <c r="C511" s="159" t="n">
        <v>37973156.97</v>
      </c>
      <c r="D511" s="174">
        <f>C511/E511</f>
        <v/>
      </c>
      <c r="E511" s="159" t="n">
        <v>83.09999999999999</v>
      </c>
      <c r="F511" s="159">
        <f>D511/100000</f>
        <v/>
      </c>
      <c r="G511" s="159">
        <f>(F511/DataSheet!$C$11*100)</f>
        <v/>
      </c>
      <c r="H511" s="159">
        <f>K511/I511</f>
        <v/>
      </c>
      <c r="I511" s="159">
        <f>(J511/L511)*100</f>
        <v/>
      </c>
      <c r="J511" s="159">
        <f>L511/O511</f>
        <v/>
      </c>
      <c r="K511" s="159" t="n">
        <v>7.18</v>
      </c>
      <c r="L511" s="159" t="n">
        <v>21571.8</v>
      </c>
      <c r="M511" s="159" t="n">
        <v>3.78</v>
      </c>
      <c r="N511" s="159">
        <f>K511-I511</f>
        <v/>
      </c>
      <c r="O511" s="159" t="n">
        <v>22.73</v>
      </c>
      <c r="P511" s="159" t="n">
        <v>4.1</v>
      </c>
      <c r="Q511" s="159">
        <f>K511-P511</f>
        <v/>
      </c>
      <c r="R511" s="159" t="n">
        <v>103.11</v>
      </c>
      <c r="S511" s="159">
        <f>(O511*T511)/100</f>
        <v/>
      </c>
      <c r="T511" s="157" t="n">
        <v>7</v>
      </c>
      <c r="U511" s="157" t="n">
        <v>17724.7</v>
      </c>
      <c r="V511" s="157" t="n">
        <v>27.37</v>
      </c>
      <c r="W511" s="159">
        <f>U511/V511</f>
        <v/>
      </c>
      <c r="X511" s="159">
        <f>(W511/U511)*100</f>
        <v/>
      </c>
      <c r="Y511" s="157" t="n">
        <v>14614.2</v>
      </c>
      <c r="Z511" s="157" t="n">
        <v>28.38</v>
      </c>
      <c r="AA511" s="159">
        <f>Y511/Z511</f>
        <v/>
      </c>
      <c r="AB511" s="159">
        <f>(AA511/Y511)*100</f>
        <v/>
      </c>
    </row>
    <row r="512">
      <c r="A512" s="155" t="n">
        <v>511</v>
      </c>
      <c r="B512" s="160" t="n">
        <v>45314</v>
      </c>
      <c r="C512" s="159" t="n">
        <v>37116565.62</v>
      </c>
      <c r="D512" s="174">
        <f>C512/E512</f>
        <v/>
      </c>
      <c r="E512" s="159" t="n">
        <v>83.15000000000001</v>
      </c>
      <c r="F512" s="159">
        <f>D512/100000</f>
        <v/>
      </c>
      <c r="G512" s="159">
        <f>(F512/DataSheet!$C$11*100)</f>
        <v/>
      </c>
      <c r="H512" s="159">
        <f>K512/I512</f>
        <v/>
      </c>
      <c r="I512" s="159">
        <f>(J512/L512)*100</f>
        <v/>
      </c>
      <c r="J512" s="159">
        <f>L512/O512</f>
        <v/>
      </c>
      <c r="K512" s="159" t="n">
        <v>7.17</v>
      </c>
      <c r="L512" s="159" t="n">
        <v>21238.8</v>
      </c>
      <c r="M512" s="159" t="n">
        <v>3.72</v>
      </c>
      <c r="N512" s="159">
        <f>K512-I512</f>
        <v/>
      </c>
      <c r="O512" s="159" t="n">
        <v>22.31</v>
      </c>
      <c r="P512" s="159" t="n">
        <v>4.13</v>
      </c>
      <c r="Q512" s="159">
        <f>K512-P512</f>
        <v/>
      </c>
      <c r="R512" s="159" t="n">
        <v>103.4</v>
      </c>
      <c r="S512" s="159">
        <f>(O512*T512)/100</f>
        <v/>
      </c>
      <c r="T512" s="157" t="n">
        <v>6.99</v>
      </c>
      <c r="U512" s="157" t="n">
        <v>17204.35</v>
      </c>
      <c r="V512" s="157" t="n">
        <v>26.55</v>
      </c>
      <c r="W512" s="159">
        <f>U512/V512</f>
        <v/>
      </c>
      <c r="X512" s="159">
        <f>(W512/U512)*100</f>
        <v/>
      </c>
      <c r="Y512" s="157" t="n">
        <v>14217.35</v>
      </c>
      <c r="Z512" s="157" t="n">
        <v>27.58</v>
      </c>
      <c r="AA512" s="159">
        <f>Y512/Z512</f>
        <v/>
      </c>
      <c r="AB512" s="159">
        <f>(AA512/Y512)*100</f>
        <v/>
      </c>
    </row>
    <row r="513">
      <c r="A513" s="155" t="n">
        <v>512</v>
      </c>
      <c r="B513" s="160" t="n">
        <v>45315</v>
      </c>
      <c r="C513" s="159" t="n">
        <v>37627993.44</v>
      </c>
      <c r="D513" s="174">
        <f>C513/E513</f>
        <v/>
      </c>
      <c r="E513" s="159" t="n">
        <v>83.13</v>
      </c>
      <c r="F513" s="159">
        <f>D513/100000</f>
        <v/>
      </c>
      <c r="G513" s="159">
        <f>(F513/DataSheet!$C$11*100)</f>
        <v/>
      </c>
      <c r="H513" s="159">
        <f>K513/I513</f>
        <v/>
      </c>
      <c r="I513" s="159">
        <f>(J513/L513)*100</f>
        <v/>
      </c>
      <c r="J513" s="159">
        <f>L513/O513</f>
        <v/>
      </c>
      <c r="K513" s="159" t="n">
        <v>7.18</v>
      </c>
      <c r="L513" s="159" t="n">
        <v>21453.95</v>
      </c>
      <c r="M513" s="159" t="n">
        <v>3.76</v>
      </c>
      <c r="N513" s="159">
        <f>K513-I513</f>
        <v/>
      </c>
      <c r="O513" s="159" t="n">
        <v>22.39</v>
      </c>
      <c r="P513" s="159" t="n">
        <v>4.18</v>
      </c>
      <c r="Q513" s="159">
        <f>K513-P513</f>
        <v/>
      </c>
      <c r="R513" s="159" t="n">
        <v>103.03</v>
      </c>
      <c r="S513" s="159">
        <f>(O513*T513)/100</f>
        <v/>
      </c>
      <c r="T513" s="157" t="n">
        <v>6.99</v>
      </c>
      <c r="U513" s="157" t="n">
        <v>17495.55</v>
      </c>
      <c r="V513" s="157" t="n">
        <v>26.88</v>
      </c>
      <c r="W513" s="159">
        <f>U513/V513</f>
        <v/>
      </c>
      <c r="X513" s="159">
        <f>(W513/U513)*100</f>
        <v/>
      </c>
      <c r="Y513" s="157" t="n">
        <v>14467.35</v>
      </c>
      <c r="Z513" s="157" t="n">
        <v>27.92</v>
      </c>
      <c r="AA513" s="159">
        <f>Y513/Z513</f>
        <v/>
      </c>
      <c r="AB513" s="159">
        <f>(AA513/Y513)*100</f>
        <v/>
      </c>
    </row>
    <row r="514">
      <c r="A514" s="155" t="n">
        <v>513</v>
      </c>
      <c r="B514" s="160" t="n">
        <v>45316</v>
      </c>
      <c r="C514" s="159" t="n">
        <v>37636886.59</v>
      </c>
      <c r="D514" s="174">
        <f>C514/E514</f>
        <v/>
      </c>
      <c r="E514" s="159" t="n">
        <v>83.14</v>
      </c>
      <c r="F514" s="159">
        <f>D514/100000</f>
        <v/>
      </c>
      <c r="G514" s="159">
        <f>(F514/DataSheet!$C$11*100)</f>
        <v/>
      </c>
      <c r="H514" s="159">
        <f>K514/I514</f>
        <v/>
      </c>
      <c r="I514" s="159">
        <f>(J514/L514)*100</f>
        <v/>
      </c>
      <c r="J514" s="159">
        <f>L514/O514</f>
        <v/>
      </c>
      <c r="K514" s="159" t="n">
        <v>7.17</v>
      </c>
      <c r="L514" s="159" t="n">
        <v>21352.6</v>
      </c>
      <c r="M514" s="159" t="n">
        <v>3.74</v>
      </c>
      <c r="N514" s="159">
        <f>K514-I514</f>
        <v/>
      </c>
      <c r="O514" s="159" t="n">
        <v>22.27</v>
      </c>
      <c r="P514" s="159" t="n">
        <v>4.12</v>
      </c>
      <c r="Q514" s="159">
        <f>K514-P514</f>
        <v/>
      </c>
      <c r="R514" s="159" t="n">
        <v>103.37</v>
      </c>
      <c r="S514" s="159">
        <f>(O514*T514)/100</f>
        <v/>
      </c>
      <c r="T514" s="157" t="n">
        <v>7.03</v>
      </c>
      <c r="U514" s="157" t="n">
        <v>17413.75</v>
      </c>
      <c r="V514" s="157" t="n">
        <v>26.49</v>
      </c>
      <c r="W514" s="159">
        <f>U514/V514</f>
        <v/>
      </c>
      <c r="X514" s="159">
        <f>(W514/U514)*100</f>
        <v/>
      </c>
      <c r="Y514" s="157" t="n">
        <v>14543.8</v>
      </c>
      <c r="Z514" s="157" t="n">
        <v>27.99</v>
      </c>
      <c r="AA514" s="159">
        <f>Y514/Z514</f>
        <v/>
      </c>
      <c r="AB514" s="159">
        <f>(AA514/Y514)*100</f>
        <v/>
      </c>
    </row>
    <row r="515">
      <c r="A515" s="155" t="n">
        <v>514</v>
      </c>
      <c r="B515" s="160" t="n">
        <v>45320</v>
      </c>
      <c r="C515" s="159" t="n">
        <v>38240643.81</v>
      </c>
      <c r="D515" s="174">
        <f>C515/E515</f>
        <v/>
      </c>
      <c r="E515" s="159" t="n">
        <v>83.13</v>
      </c>
      <c r="F515" s="159">
        <f>D515/100000</f>
        <v/>
      </c>
      <c r="G515" s="159">
        <f>(F515/DataSheet!$C$11*100)</f>
        <v/>
      </c>
      <c r="H515" s="159">
        <f>K515/I515</f>
        <v/>
      </c>
      <c r="I515" s="159">
        <f>(J515/L515)*100</f>
        <v/>
      </c>
      <c r="J515" s="159">
        <f>L515/O515</f>
        <v/>
      </c>
      <c r="K515" s="159" t="n">
        <v>7.17</v>
      </c>
      <c r="L515" s="159" t="n">
        <v>21737.6</v>
      </c>
      <c r="M515" s="159" t="n">
        <v>3.81</v>
      </c>
      <c r="N515" s="159">
        <f>K515-I515</f>
        <v/>
      </c>
      <c r="O515" s="159" t="n">
        <v>22.58</v>
      </c>
      <c r="P515" s="159" t="n">
        <v>4.07</v>
      </c>
      <c r="Q515" s="159">
        <f>K515-P515</f>
        <v/>
      </c>
      <c r="R515" s="159" t="n">
        <v>103.42</v>
      </c>
      <c r="S515" s="159">
        <f>(O515*T515)/100</f>
        <v/>
      </c>
      <c r="T515" s="157" t="n">
        <v>7.04</v>
      </c>
      <c r="U515" s="157" t="n">
        <v>17669.7</v>
      </c>
      <c r="V515" s="157" t="n">
        <v>26.68</v>
      </c>
      <c r="W515" s="159">
        <f>U515/V515</f>
        <v/>
      </c>
      <c r="X515" s="159">
        <f>(W515/U515)*100</f>
        <v/>
      </c>
      <c r="Y515" s="157" t="n">
        <v>14730.25</v>
      </c>
      <c r="Z515" s="157" t="n">
        <v>28.19</v>
      </c>
      <c r="AA515" s="159">
        <f>Y515/Z515</f>
        <v/>
      </c>
      <c r="AB515" s="159">
        <f>(AA515/Y515)*100</f>
        <v/>
      </c>
    </row>
    <row r="516">
      <c r="A516" s="155" t="n">
        <v>515</v>
      </c>
      <c r="B516" s="160" t="n">
        <v>45321</v>
      </c>
      <c r="C516" s="159" t="n">
        <v>38053566.52</v>
      </c>
      <c r="D516" s="174">
        <f>C516/E516</f>
        <v/>
      </c>
      <c r="E516" s="159" t="n">
        <v>83.12</v>
      </c>
      <c r="F516" s="159">
        <f>D516/100000</f>
        <v/>
      </c>
      <c r="G516" s="159">
        <f>(F516/DataSheet!$C$11*100)</f>
        <v/>
      </c>
      <c r="H516" s="159">
        <f>K516/I516</f>
        <v/>
      </c>
      <c r="I516" s="159">
        <f>(J516/L516)*100</f>
        <v/>
      </c>
      <c r="J516" s="159">
        <f>L516/O516</f>
        <v/>
      </c>
      <c r="K516" s="159" t="n">
        <v>7.15</v>
      </c>
      <c r="L516" s="159" t="n">
        <v>21522.1</v>
      </c>
      <c r="M516" s="159" t="n">
        <v>3.77</v>
      </c>
      <c r="N516" s="159">
        <f>K516-I516</f>
        <v/>
      </c>
      <c r="O516" s="159" t="n">
        <v>22.31</v>
      </c>
      <c r="P516" s="159" t="n">
        <v>4.03</v>
      </c>
      <c r="Q516" s="159">
        <f>K516-P516</f>
        <v/>
      </c>
      <c r="R516" s="159" t="n">
        <v>103.21</v>
      </c>
      <c r="S516" s="159">
        <f>(O516*T516)/100</f>
        <v/>
      </c>
      <c r="T516" s="157" t="n">
        <v>7.04</v>
      </c>
      <c r="U516" s="157" t="n">
        <v>17607.15</v>
      </c>
      <c r="V516" s="157" t="n">
        <v>26.28</v>
      </c>
      <c r="W516" s="159">
        <f>U516/V516</f>
        <v/>
      </c>
      <c r="X516" s="159">
        <f>(W516/U516)*100</f>
        <v/>
      </c>
      <c r="Y516" s="157" t="n">
        <v>14749.95</v>
      </c>
      <c r="Z516" s="157" t="n">
        <v>28.22</v>
      </c>
      <c r="AA516" s="159">
        <f>Y516/Z516</f>
        <v/>
      </c>
      <c r="AB516" s="159">
        <f>(AA516/Y516)*100</f>
        <v/>
      </c>
    </row>
    <row r="517">
      <c r="A517" s="155" t="n">
        <v>516</v>
      </c>
      <c r="B517" s="160" t="n">
        <v>45322</v>
      </c>
      <c r="C517" s="159" t="n">
        <v>38511922.9</v>
      </c>
      <c r="D517" s="174">
        <f>C517/E517</f>
        <v/>
      </c>
      <c r="E517" s="159" t="n">
        <v>83.09</v>
      </c>
      <c r="F517" s="159">
        <f>D517/100000</f>
        <v/>
      </c>
      <c r="G517" s="159">
        <f>(F517/DataSheet!$C$11*100)</f>
        <v/>
      </c>
      <c r="H517" s="159">
        <f>K517/I517</f>
        <v/>
      </c>
      <c r="I517" s="159">
        <f>(J517/L517)*100</f>
        <v/>
      </c>
      <c r="J517" s="159">
        <f>L517/O517</f>
        <v/>
      </c>
      <c r="K517" s="159" t="n">
        <v>7.14</v>
      </c>
      <c r="L517" s="159" t="n">
        <v>21725.7</v>
      </c>
      <c r="M517" s="159" t="n">
        <v>3.81</v>
      </c>
      <c r="N517" s="159">
        <f>K517-I517</f>
        <v/>
      </c>
      <c r="O517" s="159" t="n">
        <v>22.46</v>
      </c>
      <c r="P517" s="159" t="n">
        <v>3.91</v>
      </c>
      <c r="Q517" s="159">
        <f>K517-P517</f>
        <v/>
      </c>
      <c r="R517" s="159" t="n">
        <v>103.08</v>
      </c>
      <c r="S517" s="159">
        <f>(O517*T517)/100</f>
        <v/>
      </c>
      <c r="T517" s="157" t="n">
        <v>7.04</v>
      </c>
      <c r="U517" s="157" t="n">
        <v>17884.7</v>
      </c>
      <c r="V517" s="157" t="n">
        <v>27.5</v>
      </c>
      <c r="W517" s="159">
        <f>U517/V517</f>
        <v/>
      </c>
      <c r="X517" s="159">
        <f>(W517/U517)*100</f>
        <v/>
      </c>
      <c r="Y517" s="157" t="n">
        <v>15063.5</v>
      </c>
      <c r="Z517" s="157" t="n">
        <v>28.76</v>
      </c>
      <c r="AA517" s="159">
        <f>Y517/Z517</f>
        <v/>
      </c>
      <c r="AB517" s="159">
        <f>(AA517/Y517)*100</f>
        <v/>
      </c>
    </row>
    <row r="518">
      <c r="A518" s="155" t="n">
        <v>517</v>
      </c>
      <c r="B518" s="160" t="n">
        <v>45323</v>
      </c>
      <c r="C518" s="159" t="n">
        <v>38475305.82</v>
      </c>
      <c r="D518" s="174">
        <f>C518/E518</f>
        <v/>
      </c>
      <c r="E518" s="159" t="n">
        <v>82.94</v>
      </c>
      <c r="F518" s="159">
        <f>D518/100000</f>
        <v/>
      </c>
      <c r="G518" s="159">
        <f>(F518/DataSheet!$C$11*100)</f>
        <v/>
      </c>
      <c r="H518" s="159">
        <f>K518/I518</f>
        <v/>
      </c>
      <c r="I518" s="159">
        <f>(J518/L518)*100</f>
        <v/>
      </c>
      <c r="J518" s="159">
        <f>L518/O518</f>
        <v/>
      </c>
      <c r="K518" s="159" t="n">
        <v>7.06</v>
      </c>
      <c r="L518" s="159" t="n">
        <v>21697.45</v>
      </c>
      <c r="M518" s="159" t="n">
        <v>3.8</v>
      </c>
      <c r="N518" s="159">
        <f>K518-I518</f>
        <v/>
      </c>
      <c r="O518" s="159" t="n">
        <v>22.38</v>
      </c>
      <c r="P518" s="159" t="n">
        <v>3.88</v>
      </c>
      <c r="Q518" s="159">
        <f>K518-P518</f>
        <v/>
      </c>
      <c r="R518" s="159" t="n">
        <v>102.87</v>
      </c>
      <c r="S518" s="159">
        <f>(O518*T518)/100</f>
        <v/>
      </c>
      <c r="T518" s="157" t="n">
        <v>7.04</v>
      </c>
      <c r="U518" s="157" t="n">
        <v>17782.8</v>
      </c>
      <c r="V518" s="157" t="n">
        <v>27.36</v>
      </c>
      <c r="W518" s="159">
        <f>U518/V518</f>
        <v/>
      </c>
      <c r="X518" s="159">
        <f>(W518/U518)*100</f>
        <v/>
      </c>
      <c r="Y518" s="157" t="n">
        <v>15084.2</v>
      </c>
      <c r="Z518" s="157" t="n">
        <v>28.71</v>
      </c>
      <c r="AA518" s="159">
        <f>Y518/Z518</f>
        <v/>
      </c>
      <c r="AB518" s="159">
        <f>(AA518/Y518)*100</f>
        <v/>
      </c>
    </row>
    <row r="519">
      <c r="A519" s="155" t="n">
        <v>518</v>
      </c>
      <c r="B519" s="160" t="n">
        <v>45324</v>
      </c>
      <c r="C519" s="159" t="n">
        <v>38809851.85</v>
      </c>
      <c r="D519" s="174">
        <f>C519/E519</f>
        <v/>
      </c>
      <c r="E519" s="159" t="n">
        <v>82.98999999999999</v>
      </c>
      <c r="F519" s="159">
        <f>D519/100000</f>
        <v/>
      </c>
      <c r="G519" s="159">
        <f>(F519/DataSheet!$C$11*100)</f>
        <v/>
      </c>
      <c r="H519" s="159">
        <f>K519/I519</f>
        <v/>
      </c>
      <c r="I519" s="159">
        <f>(J519/L519)*100</f>
        <v/>
      </c>
      <c r="J519" s="159">
        <f>L519/O519</f>
        <v/>
      </c>
      <c r="K519" s="159" t="n">
        <v>7.05</v>
      </c>
      <c r="L519" s="159" t="n">
        <v>21853.8</v>
      </c>
      <c r="M519" s="159" t="n">
        <v>3.83</v>
      </c>
      <c r="N519" s="159">
        <f>K519-I519</f>
        <v/>
      </c>
      <c r="O519" s="159" t="n">
        <v>22.51</v>
      </c>
      <c r="P519" s="159" t="n">
        <v>4.02</v>
      </c>
      <c r="Q519" s="159">
        <f>K519-P519</f>
        <v/>
      </c>
      <c r="R519" s="159" t="n">
        <v>103.78</v>
      </c>
      <c r="S519" s="159">
        <f>(O519*T519)/100</f>
        <v/>
      </c>
      <c r="T519" s="157" t="n">
        <v>7.02</v>
      </c>
      <c r="U519" s="157" t="n">
        <v>17873.35</v>
      </c>
      <c r="V519" s="157" t="n">
        <v>27.53</v>
      </c>
      <c r="W519" s="159">
        <f>U519/V519</f>
        <v/>
      </c>
      <c r="X519" s="159">
        <f>(W519/U519)*100</f>
        <v/>
      </c>
      <c r="Y519" s="157" t="n">
        <v>15175.9</v>
      </c>
      <c r="Z519" s="157" t="n">
        <v>28.82</v>
      </c>
      <c r="AA519" s="159">
        <f>Y519/Z519</f>
        <v/>
      </c>
      <c r="AB519" s="159">
        <f>(AA519/Y519)*100</f>
        <v/>
      </c>
    </row>
    <row r="520">
      <c r="A520" s="155" t="n">
        <v>519</v>
      </c>
      <c r="B520" s="160" t="n">
        <v>45327</v>
      </c>
      <c r="C520" s="159" t="n">
        <v>38787779.53</v>
      </c>
      <c r="D520" s="174">
        <f>C520/E520</f>
        <v/>
      </c>
      <c r="E520" s="159" t="n">
        <v>83.03</v>
      </c>
      <c r="F520" s="159">
        <f>D520/100000</f>
        <v/>
      </c>
      <c r="G520" s="159">
        <f>(F520/DataSheet!$C$11*100)</f>
        <v/>
      </c>
      <c r="H520" s="159">
        <f>K520/I520</f>
        <v/>
      </c>
      <c r="I520" s="159">
        <f>(J520/L520)*100</f>
        <v/>
      </c>
      <c r="J520" s="159">
        <f>L520/O520</f>
        <v/>
      </c>
      <c r="K520" s="159" t="n">
        <v>7.09</v>
      </c>
      <c r="L520" s="159" t="n">
        <v>21771.7</v>
      </c>
      <c r="M520" s="159" t="n">
        <v>3.81</v>
      </c>
      <c r="N520" s="159">
        <f>K520-I520</f>
        <v/>
      </c>
      <c r="O520" s="159" t="n">
        <v>22.39</v>
      </c>
      <c r="P520" s="159" t="n">
        <v>4.16</v>
      </c>
      <c r="Q520" s="159">
        <f>K520-P520</f>
        <v/>
      </c>
      <c r="R520" s="159" t="n">
        <v>104.31</v>
      </c>
      <c r="S520" s="159">
        <f>(O520*T520)/100</f>
        <v/>
      </c>
      <c r="T520" s="157" t="n">
        <v>7.03</v>
      </c>
      <c r="U520" s="157" t="n">
        <v>17871.55</v>
      </c>
      <c r="V520" s="157" t="n">
        <v>27.71</v>
      </c>
      <c r="W520" s="159">
        <f>U520/V520</f>
        <v/>
      </c>
      <c r="X520" s="159">
        <f>(W520/U520)*100</f>
        <v/>
      </c>
      <c r="Y520" s="157" t="n">
        <v>15168.4</v>
      </c>
      <c r="Z520" s="157" t="n">
        <v>28.87</v>
      </c>
      <c r="AA520" s="159">
        <f>Y520/Z520</f>
        <v/>
      </c>
      <c r="AB520" s="159">
        <f>(AA520/Y520)*100</f>
        <v/>
      </c>
    </row>
    <row r="521">
      <c r="A521" s="155" t="n">
        <v>520</v>
      </c>
      <c r="B521" s="160" t="n">
        <v>45328</v>
      </c>
      <c r="C521" s="159" t="n">
        <v>39221464.84</v>
      </c>
      <c r="D521" s="174">
        <f>C521/E521</f>
        <v/>
      </c>
      <c r="E521" s="159" t="n">
        <v>83.05</v>
      </c>
      <c r="F521" s="159">
        <f>D521/100000</f>
        <v/>
      </c>
      <c r="G521" s="159">
        <f>(F521/DataSheet!$C$11*100)</f>
        <v/>
      </c>
      <c r="H521" s="159">
        <f>K521/I521</f>
        <v/>
      </c>
      <c r="I521" s="159">
        <f>(J521/L521)*100</f>
        <v/>
      </c>
      <c r="J521" s="159">
        <f>L521/O521</f>
        <v/>
      </c>
      <c r="K521" s="159" t="n">
        <v>7.08</v>
      </c>
      <c r="L521" s="159" t="n">
        <v>21929.4</v>
      </c>
      <c r="M521" s="159" t="n">
        <v>3.84</v>
      </c>
      <c r="N521" s="159">
        <f>K521-I521</f>
        <v/>
      </c>
      <c r="O521" s="159" t="n">
        <v>22.66</v>
      </c>
      <c r="P521" s="159" t="n">
        <v>4.15</v>
      </c>
      <c r="Q521" s="159">
        <f>K521-P521</f>
        <v/>
      </c>
      <c r="R521" s="159" t="n">
        <v>104.36</v>
      </c>
      <c r="S521" s="159">
        <f>(O521*T521)/100</f>
        <v/>
      </c>
      <c r="T521" s="157" t="n">
        <v>7.05</v>
      </c>
      <c r="U521" s="157" t="n">
        <v>18082</v>
      </c>
      <c r="V521" s="157" t="n">
        <v>27.83</v>
      </c>
      <c r="W521" s="159">
        <f>U521/V521</f>
        <v/>
      </c>
      <c r="X521" s="159">
        <f>(W521/U521)*100</f>
        <v/>
      </c>
      <c r="Y521" s="157" t="n">
        <v>15310.15</v>
      </c>
      <c r="Z521" s="157" t="n">
        <v>29.07</v>
      </c>
      <c r="AA521" s="159">
        <f>Y521/Z521</f>
        <v/>
      </c>
      <c r="AB521" s="159">
        <f>(AA521/Y521)*100</f>
        <v/>
      </c>
    </row>
    <row r="522">
      <c r="A522" s="155" t="n">
        <v>521</v>
      </c>
      <c r="B522" s="160" t="n">
        <v>45329</v>
      </c>
      <c r="C522" s="159" t="n">
        <v>39466513.91</v>
      </c>
      <c r="D522" s="174">
        <f>C522/E522</f>
        <v/>
      </c>
      <c r="E522" s="159" t="n">
        <v>82.97</v>
      </c>
      <c r="F522" s="159">
        <f>D522/100000</f>
        <v/>
      </c>
      <c r="G522" s="159">
        <f>(F522/DataSheet!$C$11*100)</f>
        <v/>
      </c>
      <c r="H522" s="159">
        <f>K522/I522</f>
        <v/>
      </c>
      <c r="I522" s="159">
        <f>(J522/L522)*100</f>
        <v/>
      </c>
      <c r="J522" s="159">
        <f>L522/O522</f>
        <v/>
      </c>
      <c r="K522" s="159" t="n">
        <v>7.07</v>
      </c>
      <c r="L522" s="159" t="n">
        <v>21930.5</v>
      </c>
      <c r="M522" s="159" t="n">
        <v>3.84</v>
      </c>
      <c r="N522" s="159">
        <f>K522-I522</f>
        <v/>
      </c>
      <c r="O522" s="159" t="n">
        <v>22.66</v>
      </c>
      <c r="P522" s="159" t="n">
        <v>4.11</v>
      </c>
      <c r="Q522" s="159">
        <f>K522-P522</f>
        <v/>
      </c>
      <c r="R522" s="159" t="n">
        <v>103.91</v>
      </c>
      <c r="S522" s="159">
        <f>(O522*T522)/100</f>
        <v/>
      </c>
      <c r="T522" s="157" t="n">
        <v>7.03</v>
      </c>
      <c r="U522" s="157" t="n">
        <v>18203.35</v>
      </c>
      <c r="V522" s="157" t="n">
        <v>27.98</v>
      </c>
      <c r="W522" s="159">
        <f>U522/V522</f>
        <v/>
      </c>
      <c r="X522" s="159">
        <f>(W522/U522)*100</f>
        <v/>
      </c>
      <c r="Y522" s="157" t="n">
        <v>15390.45</v>
      </c>
      <c r="Z522" s="157" t="n">
        <v>29.11</v>
      </c>
      <c r="AA522" s="159">
        <f>Y522/Z522</f>
        <v/>
      </c>
      <c r="AB522" s="159">
        <f>(AA522/Y522)*100</f>
        <v/>
      </c>
    </row>
    <row r="523">
      <c r="A523" s="155" t="n">
        <v>522</v>
      </c>
      <c r="B523" s="160" t="n">
        <v>45330</v>
      </c>
      <c r="C523" s="159" t="n">
        <v>39356397.24</v>
      </c>
      <c r="D523" s="174">
        <f>C523/E523</f>
        <v/>
      </c>
      <c r="E523" s="159" t="n">
        <v>82.97</v>
      </c>
      <c r="F523" s="159">
        <f>D523/100000</f>
        <v/>
      </c>
      <c r="G523" s="159">
        <f>(F523/DataSheet!$C$11*100)</f>
        <v/>
      </c>
      <c r="H523" s="159">
        <f>K523/I523</f>
        <v/>
      </c>
      <c r="I523" s="159">
        <f>(J523/L523)*100</f>
        <v/>
      </c>
      <c r="J523" s="159">
        <f>L523/O523</f>
        <v/>
      </c>
      <c r="K523" s="159" t="n">
        <v>7.08</v>
      </c>
      <c r="L523" s="159" t="n">
        <v>21717.95</v>
      </c>
      <c r="M523" s="159" t="n">
        <v>3.8</v>
      </c>
      <c r="N523" s="159">
        <f>K523-I523</f>
        <v/>
      </c>
      <c r="O523" s="159" t="n">
        <v>22.45</v>
      </c>
      <c r="P523" s="159" t="n">
        <v>4.15</v>
      </c>
      <c r="Q523" s="159">
        <f>K523-P523</f>
        <v/>
      </c>
      <c r="R523" s="159" t="n">
        <v>104.03</v>
      </c>
      <c r="S523" s="159">
        <f>(O523*T523)/100</f>
        <v/>
      </c>
      <c r="T523" s="157" t="n">
        <v>7.04</v>
      </c>
      <c r="U523" s="157" t="n">
        <v>18161.85</v>
      </c>
      <c r="V523" s="157" t="n">
        <v>27.94</v>
      </c>
      <c r="W523" s="159">
        <f>U523/V523</f>
        <v/>
      </c>
      <c r="X523" s="159">
        <f>(W523/U523)*100</f>
        <v/>
      </c>
      <c r="Y523" s="157" t="n">
        <v>15323</v>
      </c>
      <c r="Z523" s="157" t="n">
        <v>28.91</v>
      </c>
      <c r="AA523" s="159">
        <f>Y523/Z523</f>
        <v/>
      </c>
      <c r="AB523" s="159">
        <f>(AA523/Y523)*100</f>
        <v/>
      </c>
    </row>
    <row r="524">
      <c r="A524" s="155" t="n">
        <v>523</v>
      </c>
      <c r="B524" s="160" t="n">
        <v>45331</v>
      </c>
      <c r="C524" s="159" t="n">
        <v>39177108.08</v>
      </c>
      <c r="D524" s="174">
        <f>C524/E524</f>
        <v/>
      </c>
      <c r="E524" s="159" t="n">
        <v>83</v>
      </c>
      <c r="F524" s="159">
        <f>D524/100000</f>
        <v/>
      </c>
      <c r="G524" s="159">
        <f>(F524/DataSheet!$C$11*100)</f>
        <v/>
      </c>
      <c r="H524" s="159">
        <f>K524/I524</f>
        <v/>
      </c>
      <c r="I524" s="159">
        <f>(J524/L524)*100</f>
        <v/>
      </c>
      <c r="J524" s="159">
        <f>L524/O524</f>
        <v/>
      </c>
      <c r="K524" s="159" t="n">
        <v>7.11</v>
      </c>
      <c r="L524" s="159" t="n">
        <v>21782.5</v>
      </c>
      <c r="M524" s="159" t="n">
        <v>3.82</v>
      </c>
      <c r="N524" s="159">
        <f>K524-I524</f>
        <v/>
      </c>
      <c r="O524" s="159" t="n">
        <v>22.51</v>
      </c>
      <c r="P524" s="159" t="n">
        <v>4.17</v>
      </c>
      <c r="Q524" s="159">
        <f>K524-P524</f>
        <v/>
      </c>
      <c r="R524" s="159" t="n">
        <v>103.99</v>
      </c>
      <c r="S524" s="159">
        <f>(O524*T524)/100</f>
        <v/>
      </c>
      <c r="T524" s="157" t="n">
        <v>7.03</v>
      </c>
      <c r="U524" s="157" t="n">
        <v>18003.1</v>
      </c>
      <c r="V524" s="157" t="n">
        <v>27.62</v>
      </c>
      <c r="W524" s="159">
        <f>U524/V524</f>
        <v/>
      </c>
      <c r="X524" s="159">
        <f>(W524/U524)*100</f>
        <v/>
      </c>
      <c r="Y524" s="157" t="n">
        <v>15128.35</v>
      </c>
      <c r="Z524" s="157" t="n">
        <v>28.52</v>
      </c>
      <c r="AA524" s="159">
        <f>Y524/Z524</f>
        <v/>
      </c>
      <c r="AB524" s="159">
        <f>(AA524/Y524)*100</f>
        <v/>
      </c>
    </row>
    <row r="525">
      <c r="A525" s="155" t="n">
        <v>524</v>
      </c>
      <c r="B525" s="160" t="n">
        <v>45334</v>
      </c>
      <c r="C525" s="159" t="n">
        <v>38419004.97</v>
      </c>
      <c r="D525" s="174">
        <f>C525/E525</f>
        <v/>
      </c>
      <c r="E525" s="159" t="n">
        <v>82.97</v>
      </c>
      <c r="F525" s="159">
        <f>D525/100000</f>
        <v/>
      </c>
      <c r="G525" s="159">
        <f>(F525/DataSheet!$C$11*100)</f>
        <v/>
      </c>
      <c r="H525" s="159">
        <f>K525/I525</f>
        <v/>
      </c>
      <c r="I525" s="159">
        <f>(J525/L525)*100</f>
        <v/>
      </c>
      <c r="J525" s="159">
        <f>L525/O525</f>
        <v/>
      </c>
      <c r="K525" s="159" t="n">
        <v>7.09</v>
      </c>
      <c r="L525" s="159" t="n">
        <v>21616.05</v>
      </c>
      <c r="M525" s="159" t="n">
        <v>3.79</v>
      </c>
      <c r="N525" s="159">
        <f>K525-I525</f>
        <v/>
      </c>
      <c r="O525" s="159" t="n">
        <v>22.38</v>
      </c>
      <c r="P525" s="159" t="n">
        <v>4.17</v>
      </c>
      <c r="Q525" s="159">
        <f>K525-P525</f>
        <v/>
      </c>
      <c r="R525" s="159" t="n">
        <v>104.04</v>
      </c>
      <c r="S525" s="159">
        <f>(O525*T525)/100</f>
        <v/>
      </c>
      <c r="T525" s="157" t="n">
        <v>7.02</v>
      </c>
      <c r="U525" s="157" t="n">
        <v>17572.25</v>
      </c>
      <c r="V525" s="157" t="n">
        <v>26.76</v>
      </c>
      <c r="W525" s="159">
        <f>U525/V525</f>
        <v/>
      </c>
      <c r="X525" s="159">
        <f>(W525/U525)*100</f>
        <v/>
      </c>
      <c r="Y525" s="157" t="n">
        <v>14589.05</v>
      </c>
      <c r="Z525" s="157" t="n">
        <v>27.39</v>
      </c>
      <c r="AA525" s="159">
        <f>Y525/Z525</f>
        <v/>
      </c>
      <c r="AB525" s="159">
        <f>(AA525/Y525)*100</f>
        <v/>
      </c>
    </row>
    <row r="526">
      <c r="A526" s="155" t="n">
        <v>525</v>
      </c>
      <c r="B526" s="160" t="n">
        <v>45335</v>
      </c>
      <c r="C526" s="159" t="n">
        <v>38612008.49</v>
      </c>
      <c r="D526" s="174">
        <f>C526/E526</f>
        <v/>
      </c>
      <c r="E526" s="159" t="n">
        <v>83.09</v>
      </c>
      <c r="F526" s="159">
        <f>D526/100000</f>
        <v/>
      </c>
      <c r="G526" s="159">
        <f>(F526/DataSheet!$C$11*100)</f>
        <v/>
      </c>
      <c r="H526" s="159">
        <f>K526/I526</f>
        <v/>
      </c>
      <c r="I526" s="159">
        <f>(J526/L526)*100</f>
        <v/>
      </c>
      <c r="J526" s="159">
        <f>L526/O526</f>
        <v/>
      </c>
      <c r="K526" s="159" t="n">
        <v>7.09</v>
      </c>
      <c r="L526" s="159" t="n">
        <v>21743.25</v>
      </c>
      <c r="M526" s="159" t="n">
        <v>3.81</v>
      </c>
      <c r="N526" s="159">
        <f>K526-I526</f>
        <v/>
      </c>
      <c r="O526" s="159" t="n">
        <v>22.5</v>
      </c>
      <c r="P526" s="159" t="n">
        <v>4.32</v>
      </c>
      <c r="Q526" s="159">
        <f>K526-P526</f>
        <v/>
      </c>
      <c r="R526" s="159" t="n">
        <v>104.85</v>
      </c>
      <c r="S526" s="159">
        <f>(O526*T526)/100</f>
        <v/>
      </c>
      <c r="T526" s="157" t="n">
        <v>7.03</v>
      </c>
      <c r="U526" s="157" t="n">
        <v>17622.65</v>
      </c>
      <c r="V526" s="157" t="n">
        <v>26.67</v>
      </c>
      <c r="W526" s="159">
        <f>U526/V526</f>
        <v/>
      </c>
      <c r="X526" s="159">
        <f>(W526/U526)*100</f>
        <v/>
      </c>
      <c r="Y526" s="157" t="n">
        <v>14641.05</v>
      </c>
      <c r="Z526" s="157" t="n">
        <v>27.54</v>
      </c>
      <c r="AA526" s="159">
        <f>Y526/Z526</f>
        <v/>
      </c>
      <c r="AB526" s="159">
        <f>(AA526/Y526)*100</f>
        <v/>
      </c>
    </row>
    <row r="527">
      <c r="A527" s="155" t="n">
        <v>526</v>
      </c>
      <c r="B527" s="160" t="n">
        <v>45336</v>
      </c>
      <c r="C527" s="159" t="n">
        <v>39013295.22</v>
      </c>
      <c r="D527" s="174">
        <f>C527/E527</f>
        <v/>
      </c>
      <c r="E527" s="159" t="n">
        <v>83.03</v>
      </c>
      <c r="F527" s="159">
        <f>D527/100000</f>
        <v/>
      </c>
      <c r="G527" s="159">
        <f>(F527/DataSheet!$C$11*100)</f>
        <v/>
      </c>
      <c r="H527" s="159">
        <f>K527/I527</f>
        <v/>
      </c>
      <c r="I527" s="159">
        <f>(J527/L527)*100</f>
        <v/>
      </c>
      <c r="J527" s="159">
        <f>L527/O527</f>
        <v/>
      </c>
      <c r="K527" s="159" t="n">
        <v>7.11</v>
      </c>
      <c r="L527" s="159" t="n">
        <v>21840.05</v>
      </c>
      <c r="M527" s="159" t="n">
        <v>3.83</v>
      </c>
      <c r="N527" s="159">
        <f>K527-I527</f>
        <v/>
      </c>
      <c r="O527" s="159" t="n">
        <v>22.59</v>
      </c>
      <c r="P527" s="159" t="n">
        <v>4.26</v>
      </c>
      <c r="Q527" s="159">
        <f>K527-P527</f>
        <v/>
      </c>
      <c r="R527" s="159" t="n">
        <v>104.61</v>
      </c>
      <c r="S527" s="159">
        <f>(O527*T527)/100</f>
        <v/>
      </c>
      <c r="T527" s="157" t="n">
        <v>7.05</v>
      </c>
      <c r="U527" s="157" t="n">
        <v>17773.85</v>
      </c>
      <c r="V527" s="157" t="n">
        <v>26.87</v>
      </c>
      <c r="W527" s="159">
        <f>U527/V527</f>
        <v/>
      </c>
      <c r="X527" s="159">
        <f>(W527/U527)*100</f>
        <v/>
      </c>
      <c r="Y527" s="157" t="n">
        <v>14829.25</v>
      </c>
      <c r="Z527" s="157" t="n">
        <v>27.93</v>
      </c>
      <c r="AA527" s="159">
        <f>Y527/Z527</f>
        <v/>
      </c>
      <c r="AB527" s="159">
        <f>(AA527/Y527)*100</f>
        <v/>
      </c>
    </row>
    <row r="528">
      <c r="A528" s="155" t="n">
        <v>527</v>
      </c>
      <c r="B528" s="160" t="n">
        <v>45337</v>
      </c>
      <c r="C528" s="159" t="n">
        <v>39273480.19</v>
      </c>
      <c r="D528" s="174">
        <f>C528/E528</f>
        <v/>
      </c>
      <c r="E528" s="159" t="n">
        <v>83.08</v>
      </c>
      <c r="F528" s="159">
        <f>D528/100000</f>
        <v/>
      </c>
      <c r="G528" s="159">
        <f>(F528/DataSheet!$C$11*100)</f>
        <v/>
      </c>
      <c r="H528" s="159">
        <f>K528/I528</f>
        <v/>
      </c>
      <c r="I528" s="159">
        <f>(J528/L528)*100</f>
        <v/>
      </c>
      <c r="J528" s="159">
        <f>L528/O528</f>
        <v/>
      </c>
      <c r="K528" s="159" t="n">
        <v>7.08</v>
      </c>
      <c r="L528" s="159" t="n">
        <v>21910.75</v>
      </c>
      <c r="M528" s="159" t="n">
        <v>3.84</v>
      </c>
      <c r="N528" s="159">
        <f>K528-I528</f>
        <v/>
      </c>
      <c r="O528" s="159" t="n">
        <v>22.62</v>
      </c>
      <c r="P528" s="159" t="n">
        <v>4.22</v>
      </c>
      <c r="Q528" s="159">
        <f>K528-P528</f>
        <v/>
      </c>
      <c r="R528" s="159" t="n">
        <v>104.52</v>
      </c>
      <c r="S528" s="159">
        <f>(O528*T528)/100</f>
        <v/>
      </c>
      <c r="T528" s="157" t="n">
        <v>7.06</v>
      </c>
      <c r="U528" s="157" t="n">
        <v>17941.8</v>
      </c>
      <c r="V528" s="157" t="n">
        <v>27.15</v>
      </c>
      <c r="W528" s="159">
        <f>U528/V528</f>
        <v/>
      </c>
      <c r="X528" s="159">
        <f>(W528/U528)*100</f>
        <v/>
      </c>
      <c r="Y528" s="157" t="n">
        <v>15002.05</v>
      </c>
      <c r="Z528" s="157" t="n">
        <v>28.29</v>
      </c>
      <c r="AA528" s="159">
        <f>Y528/Z528</f>
        <v/>
      </c>
      <c r="AB528" s="159">
        <f>(AA528/Y528)*100</f>
        <v/>
      </c>
    </row>
    <row r="529">
      <c r="A529" s="155" t="n">
        <v>528</v>
      </c>
      <c r="B529" s="160" t="n">
        <v>45338</v>
      </c>
      <c r="C529" s="159" t="n">
        <v>39495674.89</v>
      </c>
      <c r="D529" s="174">
        <f>C529/E529</f>
        <v/>
      </c>
      <c r="E529" s="159" t="n">
        <v>83.01000000000001</v>
      </c>
      <c r="F529" s="159">
        <f>D529/100000</f>
        <v/>
      </c>
      <c r="G529" s="159">
        <f>(F529/DataSheet!$C$11*100)</f>
        <v/>
      </c>
      <c r="H529" s="159">
        <f>K529/I529</f>
        <v/>
      </c>
      <c r="I529" s="159">
        <f>(J529/L529)*100</f>
        <v/>
      </c>
      <c r="J529" s="159">
        <f>L529/O529</f>
        <v/>
      </c>
      <c r="K529" s="159" t="n">
        <v>7.09</v>
      </c>
      <c r="L529" s="159" t="n">
        <v>22040.7</v>
      </c>
      <c r="M529" s="159" t="n">
        <v>3.86</v>
      </c>
      <c r="N529" s="159">
        <f>K529-I529</f>
        <v/>
      </c>
      <c r="O529" s="159" t="n">
        <v>22.76</v>
      </c>
      <c r="P529" s="159" t="n">
        <v>4.27</v>
      </c>
      <c r="Q529" s="159">
        <f>K529-P529</f>
        <v/>
      </c>
      <c r="R529" s="159" t="n">
        <v>104.29</v>
      </c>
      <c r="S529" s="159">
        <f>(O529*T529)/100</f>
        <v/>
      </c>
      <c r="T529" s="157" t="n">
        <v>7.05</v>
      </c>
      <c r="U529" s="157" t="n">
        <v>18081.7</v>
      </c>
      <c r="V529" s="157" t="n">
        <v>27.35</v>
      </c>
      <c r="W529" s="159">
        <f>U529/V529</f>
        <v/>
      </c>
      <c r="X529" s="159">
        <f>(W529/U529)*100</f>
        <v/>
      </c>
      <c r="Y529" s="157" t="n">
        <v>15098.9</v>
      </c>
      <c r="Z529" s="157" t="n">
        <v>28.6</v>
      </c>
      <c r="AA529" s="159">
        <f>Y529/Z529</f>
        <v/>
      </c>
      <c r="AB529" s="159">
        <f>(AA529/Y529)*100</f>
        <v/>
      </c>
    </row>
    <row r="530">
      <c r="A530" s="155" t="n">
        <v>529</v>
      </c>
      <c r="B530" s="160" t="n">
        <v>45341</v>
      </c>
      <c r="C530" s="159" t="n">
        <v>39706844.16</v>
      </c>
      <c r="D530" s="174">
        <f>C530/E530</f>
        <v/>
      </c>
      <c r="E530" s="159" t="n">
        <v>83.02</v>
      </c>
      <c r="F530" s="159">
        <f>D530/100000</f>
        <v/>
      </c>
      <c r="G530" s="159">
        <f>(F530/DataSheet!$C$11*100)</f>
        <v/>
      </c>
      <c r="H530" s="159">
        <f>K530/I530</f>
        <v/>
      </c>
      <c r="I530" s="159">
        <f>(J530/L530)*100</f>
        <v/>
      </c>
      <c r="J530" s="159">
        <f>L530/O530</f>
        <v/>
      </c>
      <c r="K530" s="159" t="n">
        <v>7.09</v>
      </c>
      <c r="L530" s="159" t="n">
        <v>22122.25</v>
      </c>
      <c r="M530" s="159" t="n">
        <v>3.88</v>
      </c>
      <c r="N530" s="159">
        <f>K530-I530</f>
        <v/>
      </c>
      <c r="O530" s="159" t="n">
        <v>22.84</v>
      </c>
      <c r="P530" s="159" t="n">
        <v>4.31</v>
      </c>
      <c r="Q530" s="159">
        <f>K530-P530</f>
        <v/>
      </c>
      <c r="R530" s="159" t="n">
        <v>104.18</v>
      </c>
      <c r="S530" s="159">
        <f>(O530*T530)/100</f>
        <v/>
      </c>
      <c r="T530" s="157" t="n">
        <v>7.05</v>
      </c>
      <c r="U530" s="157" t="n">
        <v>18166.65</v>
      </c>
      <c r="V530" s="157" t="n">
        <v>27.48</v>
      </c>
      <c r="W530" s="159">
        <f>U530/V530</f>
        <v/>
      </c>
      <c r="X530" s="159">
        <f>(W530/U530)*100</f>
        <v/>
      </c>
      <c r="Y530" s="157" t="n">
        <v>15171</v>
      </c>
      <c r="Z530" s="157" t="n">
        <v>28.85</v>
      </c>
      <c r="AA530" s="159">
        <f>Y530/Z530</f>
        <v/>
      </c>
      <c r="AB530" s="159">
        <f>(AA530/Y530)*100</f>
        <v/>
      </c>
    </row>
    <row r="531">
      <c r="A531" s="155" t="n">
        <v>530</v>
      </c>
      <c r="B531" s="160" t="n">
        <v>45342</v>
      </c>
      <c r="C531" s="159" t="n">
        <v>39695109.5</v>
      </c>
      <c r="D531" s="174">
        <f>C531/E531</f>
        <v/>
      </c>
      <c r="E531" s="159" t="n">
        <v>82.81999999999999</v>
      </c>
      <c r="F531" s="159">
        <f>D531/100000</f>
        <v/>
      </c>
      <c r="G531" s="159">
        <f>(F531/DataSheet!$C$11*100)</f>
        <v/>
      </c>
      <c r="H531" s="159">
        <f>K531/I531</f>
        <v/>
      </c>
      <c r="I531" s="159">
        <f>(J531/L531)*100</f>
        <v/>
      </c>
      <c r="J531" s="159">
        <f>L531/O531</f>
        <v/>
      </c>
      <c r="K531" s="159" t="n">
        <v>7.06</v>
      </c>
      <c r="L531" s="159" t="n">
        <v>22196.95</v>
      </c>
      <c r="M531" s="159" t="n">
        <v>3.89</v>
      </c>
      <c r="N531" s="159">
        <f>K531-I531</f>
        <v/>
      </c>
      <c r="O531" s="159" t="n">
        <v>22.92</v>
      </c>
      <c r="P531" s="159" t="n">
        <v>4.27</v>
      </c>
      <c r="Q531" s="159">
        <f>K531-P531</f>
        <v/>
      </c>
      <c r="R531" s="159" t="n">
        <v>103.96</v>
      </c>
      <c r="S531" s="159">
        <f>(O531*T531)/100</f>
        <v/>
      </c>
      <c r="T531" s="157" t="n">
        <v>7.06</v>
      </c>
      <c r="U531" s="157" t="n">
        <v>18137.4</v>
      </c>
      <c r="V531" s="157" t="n">
        <v>27.42</v>
      </c>
      <c r="W531" s="159">
        <f>U531/V531</f>
        <v/>
      </c>
      <c r="X531" s="159">
        <f>(W531/U531)*100</f>
        <v/>
      </c>
      <c r="Y531" s="157" t="n">
        <v>15110.7</v>
      </c>
      <c r="Z531" s="157" t="n">
        <v>28.74</v>
      </c>
      <c r="AA531" s="159">
        <f>Y531/Z531</f>
        <v/>
      </c>
      <c r="AB531" s="159">
        <f>(AA531/Y531)*100</f>
        <v/>
      </c>
    </row>
    <row r="532">
      <c r="A532" s="155" t="n">
        <v>531</v>
      </c>
      <c r="B532" s="160" t="n">
        <v>45343</v>
      </c>
      <c r="C532" s="159" t="n">
        <v>39432876.06</v>
      </c>
      <c r="D532" s="174">
        <f>C532/E532</f>
        <v/>
      </c>
      <c r="E532" s="159" t="n">
        <v>82.93000000000001</v>
      </c>
      <c r="F532" s="159">
        <f>D532/100000</f>
        <v/>
      </c>
      <c r="G532" s="159">
        <f>(F532/DataSheet!$C$11*100)</f>
        <v/>
      </c>
      <c r="H532" s="159">
        <f>K532/I532</f>
        <v/>
      </c>
      <c r="I532" s="159">
        <f>(J532/L532)*100</f>
        <v/>
      </c>
      <c r="J532" s="159">
        <f>L532/O532</f>
        <v/>
      </c>
      <c r="K532" s="159" t="n">
        <v>7.04</v>
      </c>
      <c r="L532" s="159" t="n">
        <v>22055.05</v>
      </c>
      <c r="M532" s="159" t="n">
        <v>3.86</v>
      </c>
      <c r="N532" s="159">
        <f>K532-I532</f>
        <v/>
      </c>
      <c r="O532" s="159" t="n">
        <v>22.77</v>
      </c>
      <c r="P532" s="159" t="n">
        <v>4.31</v>
      </c>
      <c r="Q532" s="159">
        <f>K532-P532</f>
        <v/>
      </c>
      <c r="R532" s="159" t="n">
        <v>103.91</v>
      </c>
      <c r="S532" s="159">
        <f>(O532*T532)/100</f>
        <v/>
      </c>
      <c r="T532" s="157" t="n">
        <v>7.06</v>
      </c>
      <c r="U532" s="157" t="n">
        <v>17939.45</v>
      </c>
      <c r="V532" s="157" t="n">
        <v>27.13</v>
      </c>
      <c r="W532" s="159">
        <f>U532/V532</f>
        <v/>
      </c>
      <c r="X532" s="159">
        <f>(W532/U532)*100</f>
        <v/>
      </c>
      <c r="Y532" s="157" t="n">
        <v>14992.15</v>
      </c>
      <c r="Z532" s="157" t="n">
        <v>28.52</v>
      </c>
      <c r="AA532" s="159">
        <f>Y532/Z532</f>
        <v/>
      </c>
      <c r="AB532" s="159">
        <f>(AA532/Y532)*100</f>
        <v/>
      </c>
    </row>
    <row r="533">
      <c r="A533" s="155" t="n">
        <v>532</v>
      </c>
      <c r="B533" s="160" t="n">
        <v>45344</v>
      </c>
      <c r="C533" s="159" t="n">
        <v>39762271.88</v>
      </c>
      <c r="D533" s="174">
        <f>C533/E533</f>
        <v/>
      </c>
      <c r="E533" s="159" t="n">
        <v>82.83</v>
      </c>
      <c r="F533" s="159">
        <f>D533/100000</f>
        <v/>
      </c>
      <c r="G533" s="159">
        <f>(F533/DataSheet!$C$11*100)</f>
        <v/>
      </c>
      <c r="H533" s="159">
        <f>K533/I533</f>
        <v/>
      </c>
      <c r="I533" s="159">
        <f>(J533/L533)*100</f>
        <v/>
      </c>
      <c r="J533" s="159">
        <f>L533/O533</f>
        <v/>
      </c>
      <c r="K533" s="159" t="n">
        <v>7.06</v>
      </c>
      <c r="L533" s="159" t="n">
        <v>22217.45</v>
      </c>
      <c r="M533" s="159" t="n">
        <v>3.89</v>
      </c>
      <c r="N533" s="159">
        <f>K533-I533</f>
        <v/>
      </c>
      <c r="O533" s="159" t="n">
        <v>22.94</v>
      </c>
      <c r="P533" s="159" t="n">
        <v>4.33</v>
      </c>
      <c r="Q533" s="159">
        <f>K533-P533</f>
        <v/>
      </c>
      <c r="R533" s="159" t="n">
        <v>103.87</v>
      </c>
      <c r="S533" s="159">
        <f>(O533*T533)/100</f>
        <v/>
      </c>
      <c r="T533" s="157" t="n">
        <v>7.05</v>
      </c>
      <c r="U533" s="157" t="n">
        <v>18082.9</v>
      </c>
      <c r="V533" s="157" t="n">
        <v>27.34</v>
      </c>
      <c r="W533" s="159">
        <f>U533/V533</f>
        <v/>
      </c>
      <c r="X533" s="159">
        <f>(W533/U533)*100</f>
        <v/>
      </c>
      <c r="Y533" s="157" t="n">
        <v>15083.55</v>
      </c>
      <c r="Z533" s="157" t="n">
        <v>28.69</v>
      </c>
      <c r="AA533" s="159">
        <f>Y533/Z533</f>
        <v/>
      </c>
      <c r="AB533" s="159">
        <f>(AA533/Y533)*100</f>
        <v/>
      </c>
    </row>
    <row r="534">
      <c r="A534" s="155" t="n">
        <v>533</v>
      </c>
      <c r="B534" s="160" t="n">
        <v>45345</v>
      </c>
      <c r="C534" s="159" t="n">
        <v>39851982.1</v>
      </c>
      <c r="D534" s="174">
        <f>C534/E534</f>
        <v/>
      </c>
      <c r="E534" s="159" t="n">
        <v>82.84999999999999</v>
      </c>
      <c r="F534" s="159">
        <f>D534/100000</f>
        <v/>
      </c>
      <c r="G534" s="159">
        <f>(F534/DataSheet!$C$11*100)</f>
        <v/>
      </c>
      <c r="H534" s="159">
        <f>K534/I534</f>
        <v/>
      </c>
      <c r="I534" s="159">
        <f>(J534/L534)*100</f>
        <v/>
      </c>
      <c r="J534" s="159">
        <f>L534/O534</f>
        <v/>
      </c>
      <c r="K534" s="159" t="n">
        <v>7.07</v>
      </c>
      <c r="L534" s="159" t="n">
        <v>22212.7</v>
      </c>
      <c r="M534" s="159" t="n">
        <v>3.89</v>
      </c>
      <c r="N534" s="159">
        <f>K534-I534</f>
        <v/>
      </c>
      <c r="O534" s="159" t="n">
        <v>22.93</v>
      </c>
      <c r="P534" s="159" t="n">
        <v>4.24</v>
      </c>
      <c r="Q534" s="159">
        <f>K534-P534</f>
        <v/>
      </c>
      <c r="R534" s="159" t="n">
        <v>103.85</v>
      </c>
      <c r="S534" s="159">
        <f>(O534*T534)/100</f>
        <v/>
      </c>
      <c r="T534" s="157" t="n">
        <v>7.05</v>
      </c>
      <c r="U534" s="157" t="n">
        <v>18149.05</v>
      </c>
      <c r="V534" s="157" t="n">
        <v>27.44</v>
      </c>
      <c r="W534" s="159">
        <f>U534/V534</f>
        <v/>
      </c>
      <c r="X534" s="159">
        <f>(W534/U534)*100</f>
        <v/>
      </c>
      <c r="Y534" s="157" t="n">
        <v>15169.5</v>
      </c>
      <c r="Z534" s="157" t="n">
        <v>28.85</v>
      </c>
      <c r="AA534" s="159">
        <f>Y534/Z534</f>
        <v/>
      </c>
      <c r="AB534" s="159">
        <f>(AA534/Y534)*100</f>
        <v/>
      </c>
    </row>
    <row r="535">
      <c r="A535" s="155" t="n">
        <v>534</v>
      </c>
      <c r="B535" s="160" t="n">
        <v>45348</v>
      </c>
      <c r="C535" s="159" t="n">
        <v>39741568.38</v>
      </c>
      <c r="D535" s="174">
        <f>C535/E535</f>
        <v/>
      </c>
      <c r="E535" s="159" t="n">
        <v>82.84</v>
      </c>
      <c r="F535" s="159">
        <f>D535/100000</f>
        <v/>
      </c>
      <c r="G535" s="159">
        <f>(F535/DataSheet!$C$11*100)</f>
        <v/>
      </c>
      <c r="H535" s="159">
        <f>K535/I535</f>
        <v/>
      </c>
      <c r="I535" s="159">
        <f>(J535/L535)*100</f>
        <v/>
      </c>
      <c r="J535" s="159">
        <f>L535/O535</f>
        <v/>
      </c>
      <c r="K535" s="159" t="n">
        <v>7.06</v>
      </c>
      <c r="L535" s="159" t="n">
        <v>22122.05</v>
      </c>
      <c r="M535" s="159" t="n">
        <v>3.87</v>
      </c>
      <c r="N535" s="159">
        <f>K535-I535</f>
        <v/>
      </c>
      <c r="O535" s="159" t="n">
        <v>22.84</v>
      </c>
      <c r="P535" s="159" t="n">
        <v>4.28</v>
      </c>
      <c r="Q535" s="159">
        <f>K535-P535</f>
        <v/>
      </c>
      <c r="R535" s="159" t="n">
        <v>103.75</v>
      </c>
      <c r="S535" s="159">
        <f>(O535*T535)/100</f>
        <v/>
      </c>
      <c r="T535" s="157" t="n">
        <v>7.02</v>
      </c>
      <c r="U535" s="157" t="n">
        <v>18093</v>
      </c>
      <c r="V535" s="157" t="n">
        <v>27.36</v>
      </c>
      <c r="W535" s="159">
        <f>U535/V535</f>
        <v/>
      </c>
      <c r="X535" s="159">
        <f>(W535/U535)*100</f>
        <v/>
      </c>
      <c r="Y535" s="157" t="n">
        <v>15143.4</v>
      </c>
      <c r="Z535" s="157" t="n">
        <v>28.81</v>
      </c>
      <c r="AA535" s="159">
        <f>Y535/Z535</f>
        <v/>
      </c>
      <c r="AB535" s="159">
        <f>(AA535/Y535)*100</f>
        <v/>
      </c>
    </row>
    <row r="536">
      <c r="A536" s="155" t="n">
        <v>535</v>
      </c>
      <c r="B536" s="160" t="n">
        <v>45349</v>
      </c>
      <c r="C536" s="159" t="n">
        <v>39746429.94</v>
      </c>
      <c r="D536" s="174">
        <f>C536/E536</f>
        <v/>
      </c>
      <c r="E536" s="159" t="n">
        <v>82.87</v>
      </c>
      <c r="F536" s="159">
        <f>D536/100000</f>
        <v/>
      </c>
      <c r="G536" s="159">
        <f>(F536/DataSheet!$C$11*100)</f>
        <v/>
      </c>
      <c r="H536" s="159">
        <f>K536/I536</f>
        <v/>
      </c>
      <c r="I536" s="159">
        <f>(J536/L536)*100</f>
        <v/>
      </c>
      <c r="J536" s="159">
        <f>L536/O536</f>
        <v/>
      </c>
      <c r="K536" s="159" t="n">
        <v>7.06</v>
      </c>
      <c r="L536" s="159" t="n">
        <v>22198.35</v>
      </c>
      <c r="M536" s="159" t="n">
        <v>3.89</v>
      </c>
      <c r="N536" s="159">
        <f>K536-I536</f>
        <v/>
      </c>
      <c r="O536" s="159" t="n">
        <v>22.92</v>
      </c>
      <c r="P536" s="159" t="n">
        <v>4.3</v>
      </c>
      <c r="Q536" s="159">
        <f>K536-P536</f>
        <v/>
      </c>
      <c r="R536" s="159" t="n">
        <v>103.75</v>
      </c>
      <c r="S536" s="159">
        <f>(O536*T536)/100</f>
        <v/>
      </c>
      <c r="T536" s="157" t="n">
        <v>7.02</v>
      </c>
      <c r="U536" s="157" t="n">
        <v>18074.3</v>
      </c>
      <c r="V536" s="157" t="n">
        <v>27.32</v>
      </c>
      <c r="W536" s="159">
        <f>U536/V536</f>
        <v/>
      </c>
      <c r="X536" s="159">
        <f>(W536/U536)*100</f>
        <v/>
      </c>
      <c r="Y536" s="157" t="n">
        <v>15181.95</v>
      </c>
      <c r="Z536" s="157" t="n">
        <v>29.27</v>
      </c>
      <c r="AA536" s="159">
        <f>Y536/Z536</f>
        <v/>
      </c>
      <c r="AB536" s="159">
        <f>(AA536/Y536)*100</f>
        <v/>
      </c>
    </row>
    <row r="537">
      <c r="A537" s="155" t="n">
        <v>536</v>
      </c>
      <c r="B537" s="160" t="n">
        <v>45350</v>
      </c>
      <c r="C537" s="159" t="n">
        <v>39148154.53</v>
      </c>
      <c r="D537" s="174">
        <f>C537/E537</f>
        <v/>
      </c>
      <c r="E537" s="159" t="n">
        <v>82.90000000000001</v>
      </c>
      <c r="F537" s="159">
        <f>D537/100000</f>
        <v/>
      </c>
      <c r="G537" s="159">
        <f>(F537/DataSheet!$C$11*100)</f>
        <v/>
      </c>
      <c r="H537" s="159">
        <f>K537/I537</f>
        <v/>
      </c>
      <c r="I537" s="159">
        <f>(J537/L537)*100</f>
        <v/>
      </c>
      <c r="J537" s="159">
        <f>L537/O537</f>
        <v/>
      </c>
      <c r="K537" s="159" t="n">
        <v>7.06</v>
      </c>
      <c r="L537" s="159" t="n">
        <v>21951.15</v>
      </c>
      <c r="M537" s="159" t="n">
        <v>3.84</v>
      </c>
      <c r="N537" s="159">
        <f>K537-I537</f>
        <v/>
      </c>
      <c r="O537" s="159" t="n">
        <v>22.66</v>
      </c>
      <c r="P537" s="159" t="n">
        <v>4.26</v>
      </c>
      <c r="Q537" s="159">
        <f>K537-P537</f>
        <v/>
      </c>
      <c r="R537" s="159" t="n">
        <v>103.9</v>
      </c>
      <c r="S537" s="159">
        <f>(O537*T537)/100</f>
        <v/>
      </c>
      <c r="T537" s="157" t="n">
        <v>6.97</v>
      </c>
      <c r="U537" s="157" t="n">
        <v>17749</v>
      </c>
      <c r="V537" s="157" t="n">
        <v>26.83</v>
      </c>
      <c r="W537" s="159">
        <f>U537/V537</f>
        <v/>
      </c>
      <c r="X537" s="159">
        <f>(W537/U537)*100</f>
        <v/>
      </c>
      <c r="Y537" s="157" t="n">
        <v>14895.25</v>
      </c>
      <c r="Z537" s="157" t="n">
        <v>28.71</v>
      </c>
      <c r="AA537" s="159">
        <f>Y537/Z537</f>
        <v/>
      </c>
      <c r="AB537" s="159">
        <f>(AA537/Y537)*100</f>
        <v/>
      </c>
    </row>
    <row r="538">
      <c r="A538" s="155" t="n">
        <v>537</v>
      </c>
      <c r="B538" s="160" t="n">
        <v>45351</v>
      </c>
      <c r="C538" s="159" t="n">
        <v>39329609.6</v>
      </c>
      <c r="D538" s="174">
        <f>C538/E538</f>
        <v/>
      </c>
      <c r="E538" s="159" t="n">
        <v>82.90000000000001</v>
      </c>
      <c r="F538" s="159">
        <f>D538/100000</f>
        <v/>
      </c>
      <c r="G538" s="159">
        <f>(F538/DataSheet!$C$11*100)</f>
        <v/>
      </c>
      <c r="H538" s="159">
        <f>K538/I538</f>
        <v/>
      </c>
      <c r="I538" s="159">
        <f>(J538/L538)*100</f>
        <v/>
      </c>
      <c r="J538" s="159">
        <f>L538/O538</f>
        <v/>
      </c>
      <c r="K538" s="159" t="n">
        <v>7.07</v>
      </c>
      <c r="L538" s="159" t="n">
        <v>21982.8</v>
      </c>
      <c r="M538" s="159" t="n">
        <v>3.85</v>
      </c>
      <c r="N538" s="159">
        <f>K538-I538</f>
        <v/>
      </c>
      <c r="O538" s="159" t="n">
        <v>22.7</v>
      </c>
      <c r="P538" s="159" t="n">
        <v>4.25</v>
      </c>
      <c r="Q538" s="159">
        <f>K538-P538</f>
        <v/>
      </c>
      <c r="R538" s="159" t="n">
        <v>104.09</v>
      </c>
      <c r="S538" s="159">
        <f>(O538*T538)/100</f>
        <v/>
      </c>
      <c r="T538" s="157" t="n">
        <v>6.89</v>
      </c>
      <c r="U538" s="157" t="n">
        <v>17831.1</v>
      </c>
      <c r="V538" s="157" t="n">
        <v>26.96</v>
      </c>
      <c r="W538" s="159">
        <f>U538/V538</f>
        <v/>
      </c>
      <c r="X538" s="159">
        <f>(W538/U538)*100</f>
        <v/>
      </c>
      <c r="Y538" s="157" t="n">
        <v>14965.05</v>
      </c>
      <c r="Z538" s="157" t="n">
        <v>28.85</v>
      </c>
      <c r="AA538" s="159">
        <f>Y538/Z538</f>
        <v/>
      </c>
      <c r="AB538" s="159">
        <f>(AA538/Y538)*100</f>
        <v/>
      </c>
    </row>
    <row r="539">
      <c r="A539" s="155" t="n">
        <v>538</v>
      </c>
      <c r="B539" s="160" t="n">
        <v>45352</v>
      </c>
      <c r="C539" s="159" t="n">
        <v>39763870.91</v>
      </c>
      <c r="D539" s="174">
        <f>C539/E539</f>
        <v/>
      </c>
      <c r="E539" s="159" t="n">
        <v>82.84</v>
      </c>
      <c r="F539" s="159">
        <f>D539/100000</f>
        <v/>
      </c>
      <c r="G539" s="159">
        <f>(F539/DataSheet!$C$11*100)</f>
        <v/>
      </c>
      <c r="H539" s="159">
        <f>K539/I539</f>
        <v/>
      </c>
      <c r="I539" s="159">
        <f>(J539/L539)*100</f>
        <v/>
      </c>
      <c r="J539" s="159">
        <f>L539/O539</f>
        <v/>
      </c>
      <c r="K539" s="159" t="n">
        <v>7.06</v>
      </c>
      <c r="L539" s="159" t="n">
        <v>22338.75</v>
      </c>
      <c r="M539" s="159" t="n">
        <v>3.91</v>
      </c>
      <c r="N539" s="159">
        <f>K539-I539</f>
        <v/>
      </c>
      <c r="O539" s="159" t="n">
        <v>23.06</v>
      </c>
      <c r="P539" s="159" t="n">
        <v>4.18</v>
      </c>
      <c r="Q539" s="159">
        <f>K539-P539</f>
        <v/>
      </c>
      <c r="R539" s="159" t="n">
        <v>103.79</v>
      </c>
      <c r="S539" s="159">
        <f>(O539*T539)/100</f>
        <v/>
      </c>
      <c r="T539" s="157" t="n">
        <v>6.9</v>
      </c>
      <c r="U539" s="159" t="n">
        <v>17974.65</v>
      </c>
      <c r="V539" s="159" t="n">
        <v>27.17</v>
      </c>
      <c r="W539" s="159">
        <f>U539/V539</f>
        <v/>
      </c>
      <c r="X539" s="159">
        <f>(W539/U539)*100</f>
        <v/>
      </c>
      <c r="Y539" s="159" t="n">
        <v>15061.35</v>
      </c>
      <c r="Z539" s="159" t="n">
        <v>29.03</v>
      </c>
      <c r="AA539" s="159">
        <f>Y539/Z539</f>
        <v/>
      </c>
      <c r="AB539" s="159">
        <f>(AA539/Y539)*100</f>
        <v/>
      </c>
    </row>
    <row r="540">
      <c r="A540" s="155" t="n">
        <v>539</v>
      </c>
      <c r="B540" s="160" t="n">
        <v>45353</v>
      </c>
      <c r="C540" s="159" t="n">
        <v>39922379.45</v>
      </c>
      <c r="D540" s="174">
        <f>C540/E540</f>
        <v/>
      </c>
      <c r="E540" s="159" t="n">
        <v>82.84</v>
      </c>
      <c r="F540" s="159">
        <f>D540/100000</f>
        <v/>
      </c>
      <c r="G540" s="159">
        <f>(F540/DataSheet!$C$11*100)</f>
        <v/>
      </c>
      <c r="H540" s="159">
        <f>K540/I540</f>
        <v/>
      </c>
      <c r="I540" s="159">
        <f>(J540/L540)*100</f>
        <v/>
      </c>
      <c r="J540" s="159">
        <f>L540/O540</f>
        <v/>
      </c>
      <c r="K540" s="159" t="n">
        <v>7.06</v>
      </c>
      <c r="L540" s="159" t="n">
        <v>22378.4</v>
      </c>
      <c r="M540" s="159" t="n">
        <v>3.92</v>
      </c>
      <c r="N540" s="159">
        <f>K540-I540</f>
        <v/>
      </c>
      <c r="O540" s="159" t="n">
        <v>23.1</v>
      </c>
      <c r="P540" s="159" t="n">
        <v>4.18</v>
      </c>
      <c r="Q540" s="159">
        <f>K540-P540</f>
        <v/>
      </c>
      <c r="R540" s="159" t="n">
        <v>103.79</v>
      </c>
      <c r="S540" s="159">
        <f>(O540*T540)/100</f>
        <v/>
      </c>
      <c r="T540" s="157" t="n">
        <v>6.9</v>
      </c>
      <c r="U540" s="159" t="n">
        <v>18093</v>
      </c>
      <c r="V540" s="159" t="n">
        <v>27.35</v>
      </c>
      <c r="W540" s="159">
        <f>U540/V540</f>
        <v/>
      </c>
      <c r="X540" s="159">
        <f>(W540/U540)*100</f>
        <v/>
      </c>
      <c r="Y540" s="159" t="n">
        <v>15168.15</v>
      </c>
      <c r="Z540" s="159" t="n">
        <v>29.24</v>
      </c>
      <c r="AA540" s="159">
        <f>Y540/Z540</f>
        <v/>
      </c>
      <c r="AB540" s="159">
        <f>(AA540/Y540)*100</f>
        <v/>
      </c>
    </row>
    <row r="541">
      <c r="A541" s="155" t="n">
        <v>540</v>
      </c>
      <c r="B541" s="160" t="n">
        <v>45355</v>
      </c>
      <c r="C541" s="159" t="n">
        <v>39889768.11</v>
      </c>
      <c r="D541" s="174">
        <f>C541/E541</f>
        <v/>
      </c>
      <c r="E541" s="159" t="n">
        <v>82.91</v>
      </c>
      <c r="F541" s="159">
        <f>D541/100000</f>
        <v/>
      </c>
      <c r="G541" s="159">
        <f>(F541/DataSheet!$C$11*100)</f>
        <v/>
      </c>
      <c r="H541" s="159">
        <f>K541/I541</f>
        <v/>
      </c>
      <c r="I541" s="159">
        <f>(J541/L541)*100</f>
        <v/>
      </c>
      <c r="J541" s="159">
        <f>L541/O541</f>
        <v/>
      </c>
      <c r="K541" s="159" t="n">
        <v>7.06</v>
      </c>
      <c r="L541" s="159" t="n">
        <v>22405.6</v>
      </c>
      <c r="M541" s="159" t="n">
        <v>3.92</v>
      </c>
      <c r="N541" s="159">
        <f>K541-I541</f>
        <v/>
      </c>
      <c r="O541" s="159" t="n">
        <v>23.13</v>
      </c>
      <c r="P541" s="159" t="n">
        <v>4.21</v>
      </c>
      <c r="Q541" s="159">
        <f>K541-P541</f>
        <v/>
      </c>
      <c r="R541" s="159" t="n">
        <v>103.77</v>
      </c>
      <c r="S541" s="159">
        <f>(O541*T541)/100</f>
        <v/>
      </c>
      <c r="T541" s="157" t="n">
        <v>6.9</v>
      </c>
      <c r="U541" s="159" t="n">
        <v>18110.05</v>
      </c>
      <c r="V541" s="159" t="n">
        <v>27.38</v>
      </c>
      <c r="W541" s="159">
        <f>U541/V541</f>
        <v/>
      </c>
      <c r="X541" s="159">
        <f>(W541/U541)*100</f>
        <v/>
      </c>
      <c r="Y541" s="159" t="n">
        <v>15077.1</v>
      </c>
      <c r="Z541" s="159" t="n">
        <v>29.06</v>
      </c>
      <c r="AA541" s="159">
        <f>Y541/Z541</f>
        <v/>
      </c>
      <c r="AB541" s="159">
        <f>(AA541/Y541)*100</f>
        <v/>
      </c>
    </row>
    <row r="542">
      <c r="A542" s="155" t="n">
        <v>541</v>
      </c>
      <c r="B542" s="160" t="n">
        <v>45356</v>
      </c>
      <c r="C542" s="159" t="n">
        <v>39810301.9</v>
      </c>
      <c r="D542" s="174">
        <f>C542/E542</f>
        <v/>
      </c>
      <c r="E542" s="159" t="n">
        <v>82.89</v>
      </c>
      <c r="F542" s="159">
        <f>D542/100000</f>
        <v/>
      </c>
      <c r="G542" s="159">
        <f>(F542/DataSheet!$C$11*100)</f>
        <v/>
      </c>
      <c r="H542" s="159">
        <f>K542/I542</f>
        <v/>
      </c>
      <c r="I542" s="159">
        <f>(J542/L542)*100</f>
        <v/>
      </c>
      <c r="J542" s="159">
        <f>L542/O542</f>
        <v/>
      </c>
      <c r="K542" s="159" t="n">
        <v>7.05</v>
      </c>
      <c r="L542" s="159" t="n">
        <v>22356.3</v>
      </c>
      <c r="M542" s="159" t="n">
        <v>3.92</v>
      </c>
      <c r="N542" s="159">
        <f>K542-I542</f>
        <v/>
      </c>
      <c r="O542" s="159" t="n">
        <v>23.08</v>
      </c>
      <c r="P542" s="159" t="n">
        <v>4.15</v>
      </c>
      <c r="Q542" s="159">
        <f>K542-P542</f>
        <v/>
      </c>
      <c r="R542" s="159" t="n">
        <v>103.75</v>
      </c>
      <c r="S542" s="159">
        <f>(O542*T542)/100</f>
        <v/>
      </c>
      <c r="T542" s="157" t="n">
        <v>6.94</v>
      </c>
      <c r="U542" s="159" t="n">
        <v>18065.2</v>
      </c>
      <c r="V542" s="159" t="n">
        <v>27.31</v>
      </c>
      <c r="W542" s="159">
        <f>U542/V542</f>
        <v/>
      </c>
      <c r="X542" s="159">
        <f>(W542/U542)*100</f>
        <v/>
      </c>
      <c r="Y542" s="159" t="n">
        <v>14979.6</v>
      </c>
      <c r="Z542" s="159" t="n">
        <v>28.87</v>
      </c>
      <c r="AA542" s="159">
        <f>Y542/Z542</f>
        <v/>
      </c>
      <c r="AB542" s="159">
        <f>(AA542/Y542)*100</f>
        <v/>
      </c>
    </row>
    <row r="543">
      <c r="A543" s="155" t="n">
        <v>542</v>
      </c>
      <c r="B543" s="160" t="n">
        <v>45357</v>
      </c>
      <c r="C543" s="159" t="n">
        <v>39640109.44</v>
      </c>
      <c r="D543" s="174">
        <f>C543/E543</f>
        <v/>
      </c>
      <c r="E543" s="159" t="n">
        <v>82.78</v>
      </c>
      <c r="F543" s="159">
        <f>D543/100000</f>
        <v/>
      </c>
      <c r="G543" s="159">
        <f>(F543/DataSheet!$C$11*100)</f>
        <v/>
      </c>
      <c r="H543" s="159">
        <f>K543/I543</f>
        <v/>
      </c>
      <c r="I543" s="159">
        <f>(J543/L543)*100</f>
        <v/>
      </c>
      <c r="J543" s="159">
        <f>L543/O543</f>
        <v/>
      </c>
      <c r="K543" s="159" t="n">
        <v>7.05</v>
      </c>
      <c r="L543" s="159" t="n">
        <v>22474.05</v>
      </c>
      <c r="M543" s="159" t="n">
        <v>3.94</v>
      </c>
      <c r="N543" s="159">
        <f>K543-I543</f>
        <v/>
      </c>
      <c r="O543" s="159" t="n">
        <v>23.2</v>
      </c>
      <c r="P543" s="159" t="n">
        <v>4.1</v>
      </c>
      <c r="Q543" s="159">
        <f>K543-P543</f>
        <v/>
      </c>
      <c r="R543" s="159" t="n">
        <v>103.32</v>
      </c>
      <c r="S543" s="159">
        <f>(O543*T543)/100</f>
        <v/>
      </c>
      <c r="T543" s="157" t="n">
        <v>6.93</v>
      </c>
      <c r="U543" s="159" t="n">
        <v>17950</v>
      </c>
      <c r="V543" s="159" t="n">
        <v>27.14</v>
      </c>
      <c r="W543" s="159">
        <f>U543/V543</f>
        <v/>
      </c>
      <c r="X543" s="159">
        <f>(W543/U543)*100</f>
        <v/>
      </c>
      <c r="Y543" s="159" t="n">
        <v>14684.2</v>
      </c>
      <c r="Z543" s="159" t="n">
        <v>28.3</v>
      </c>
      <c r="AA543" s="159">
        <f>Y543/Z543</f>
        <v/>
      </c>
      <c r="AB543" s="159">
        <f>(AA543/Y543)*100</f>
        <v/>
      </c>
    </row>
    <row r="544">
      <c r="A544" s="155" t="n">
        <v>543</v>
      </c>
      <c r="B544" s="160" t="n">
        <v>45358</v>
      </c>
      <c r="C544" s="159" t="n">
        <v>39790010.48</v>
      </c>
      <c r="D544" s="174">
        <f>C544/E544</f>
        <v/>
      </c>
      <c r="E544" s="159" t="n">
        <v>82.7</v>
      </c>
      <c r="F544" s="159">
        <f>D544/100000</f>
        <v/>
      </c>
      <c r="G544" s="159">
        <f>(F544/DataSheet!$C$11*100)</f>
        <v/>
      </c>
      <c r="H544" s="159">
        <f>K544/I544</f>
        <v/>
      </c>
      <c r="I544" s="159">
        <f>(J544/L544)*100</f>
        <v/>
      </c>
      <c r="J544" s="159">
        <f>L544/O544</f>
        <v/>
      </c>
      <c r="K544" s="159" t="n">
        <v>7.03</v>
      </c>
      <c r="L544" s="159" t="n">
        <v>22493.55</v>
      </c>
      <c r="M544" s="159" t="n">
        <v>3.94</v>
      </c>
      <c r="N544" s="159">
        <f>K544-I544</f>
        <v/>
      </c>
      <c r="O544" s="159" t="n">
        <v>23.22</v>
      </c>
      <c r="P544" s="159" t="n">
        <v>4.08</v>
      </c>
      <c r="Q544" s="159">
        <f>K544-P544</f>
        <v/>
      </c>
      <c r="R544" s="159" t="n">
        <v>102.77</v>
      </c>
      <c r="S544" s="159">
        <f>(O544*T544)/100</f>
        <v/>
      </c>
      <c r="T544" s="157" t="n">
        <v>6.91</v>
      </c>
      <c r="U544" s="159" t="n">
        <v>17995.7</v>
      </c>
      <c r="V544" s="159" t="n">
        <v>27.21</v>
      </c>
      <c r="W544" s="159">
        <f>U544/V544</f>
        <v/>
      </c>
      <c r="X544" s="159">
        <f>(W544/U544)*100</f>
        <v/>
      </c>
      <c r="Y544" s="159" t="n">
        <v>14803.2</v>
      </c>
      <c r="Z544" s="159" t="n">
        <v>28.53</v>
      </c>
      <c r="AA544" s="159">
        <f>Y544/Z544</f>
        <v/>
      </c>
      <c r="AB544" s="159">
        <f>(AA544/Y544)*100</f>
        <v/>
      </c>
    </row>
    <row r="545">
      <c r="A545" s="155" t="n">
        <v>544</v>
      </c>
      <c r="B545" s="160" t="n">
        <v>45362</v>
      </c>
      <c r="C545" s="159" t="n">
        <v>39468166.37</v>
      </c>
      <c r="D545" s="174">
        <f>C545/E545</f>
        <v/>
      </c>
      <c r="E545" s="159" t="n">
        <v>82.73</v>
      </c>
      <c r="F545" s="159">
        <f>D545/100000</f>
        <v/>
      </c>
      <c r="G545" s="159">
        <f>(F545/DataSheet!$C$11*100)</f>
        <v/>
      </c>
      <c r="H545" s="159">
        <f>K545/I545</f>
        <v/>
      </c>
      <c r="I545" s="159">
        <f>(J545/L545)*100</f>
        <v/>
      </c>
      <c r="J545" s="159">
        <f>L545/O545</f>
        <v/>
      </c>
      <c r="K545" s="159" t="n">
        <v>7.01</v>
      </c>
      <c r="L545" s="159" t="n">
        <v>22332.65</v>
      </c>
      <c r="M545" s="159" t="n">
        <v>3.91</v>
      </c>
      <c r="N545" s="159">
        <f>K545-I545</f>
        <v/>
      </c>
      <c r="O545" s="159" t="n">
        <v>23.06</v>
      </c>
      <c r="P545" s="159" t="n">
        <v>4.09</v>
      </c>
      <c r="Q545" s="159">
        <f>K545-P545</f>
        <v/>
      </c>
      <c r="R545" s="159" t="n">
        <v>102.46</v>
      </c>
      <c r="S545" s="159">
        <f>(O545*T545)/100</f>
        <v/>
      </c>
      <c r="T545" s="157" t="n">
        <v>6.92</v>
      </c>
      <c r="U545" s="159" t="n">
        <v>17911.75</v>
      </c>
      <c r="V545" s="159" t="n">
        <v>27.08</v>
      </c>
      <c r="W545" s="159">
        <f>U545/V545</f>
        <v/>
      </c>
      <c r="X545" s="159">
        <f>(W545/U545)*100</f>
        <v/>
      </c>
      <c r="Y545" s="159" t="n">
        <v>14507.15</v>
      </c>
      <c r="Z545" s="159" t="n">
        <v>27.96</v>
      </c>
      <c r="AA545" s="159">
        <f>Y545/Z545</f>
        <v/>
      </c>
      <c r="AB545" s="159">
        <f>(AA545/Y545)*100</f>
        <v/>
      </c>
    </row>
    <row r="546">
      <c r="A546" s="155" t="n">
        <v>545</v>
      </c>
      <c r="B546" s="160" t="n">
        <v>45363</v>
      </c>
      <c r="C546" s="159" t="n">
        <v>39069312.74</v>
      </c>
      <c r="D546" s="174">
        <f>C546/E546</f>
        <v/>
      </c>
      <c r="E546" s="159" t="n">
        <v>82.78</v>
      </c>
      <c r="F546" s="159">
        <f>D546/100000</f>
        <v/>
      </c>
      <c r="G546" s="159">
        <f>(F546/DataSheet!$C$11*100)</f>
        <v/>
      </c>
      <c r="H546" s="159">
        <f>K546/I546</f>
        <v/>
      </c>
      <c r="I546" s="159">
        <f>(J546/L546)*100</f>
        <v/>
      </c>
      <c r="J546" s="159">
        <f>L546/O546</f>
        <v/>
      </c>
      <c r="K546" s="159" t="n">
        <v>7.02</v>
      </c>
      <c r="L546" s="159" t="n">
        <v>22335.7</v>
      </c>
      <c r="M546" s="159" t="n">
        <v>3.91</v>
      </c>
      <c r="N546" s="159">
        <f>K546-I546</f>
        <v/>
      </c>
      <c r="O546" s="159" t="n">
        <v>23.06</v>
      </c>
      <c r="P546" s="159" t="n">
        <v>4.15</v>
      </c>
      <c r="Q546" s="159">
        <f>K546-P546</f>
        <v/>
      </c>
      <c r="R546" s="159" t="n">
        <v>102.54</v>
      </c>
      <c r="S546" s="159">
        <f>(O546*T546)/100</f>
        <v/>
      </c>
      <c r="T546" s="157" t="n">
        <v>6.89</v>
      </c>
      <c r="U546" s="159" t="n">
        <v>17685.6</v>
      </c>
      <c r="V546" s="159" t="n">
        <v>26.74</v>
      </c>
      <c r="W546" s="159">
        <f>U546/V546</f>
        <v/>
      </c>
      <c r="X546" s="159">
        <f>(W546/U546)*100</f>
        <v/>
      </c>
      <c r="Y546" s="159" t="n">
        <v>14208.65</v>
      </c>
      <c r="Z546" s="159" t="n">
        <v>27.39</v>
      </c>
      <c r="AA546" s="159">
        <f>Y546/Z546</f>
        <v/>
      </c>
      <c r="AB546" s="159">
        <f>(AA546/Y546)*100</f>
        <v/>
      </c>
    </row>
    <row r="547">
      <c r="A547" s="155" t="n">
        <v>546</v>
      </c>
      <c r="B547" s="160" t="n">
        <v>45364</v>
      </c>
      <c r="C547" s="159" t="n">
        <v>37715421.05</v>
      </c>
      <c r="D547" s="174">
        <f>C547/E547</f>
        <v/>
      </c>
      <c r="E547" s="159" t="n">
        <v>82.81999999999999</v>
      </c>
      <c r="F547" s="159">
        <f>D547/100000</f>
        <v/>
      </c>
      <c r="G547" s="159">
        <f>(F547/DataSheet!$C$11*100)</f>
        <v/>
      </c>
      <c r="H547" s="159">
        <f>K547/I547</f>
        <v/>
      </c>
      <c r="I547" s="159">
        <f>(J547/L547)*100</f>
        <v/>
      </c>
      <c r="J547" s="159">
        <f>L547/O547</f>
        <v/>
      </c>
      <c r="K547" s="159" t="n">
        <v>7.03</v>
      </c>
      <c r="L547" s="159" t="n">
        <v>21997.7</v>
      </c>
      <c r="M547" s="159" t="n">
        <v>3.85</v>
      </c>
      <c r="N547" s="159">
        <f>K547-I547</f>
        <v/>
      </c>
      <c r="O547" s="159" t="n">
        <v>22.71</v>
      </c>
      <c r="P547" s="159" t="n">
        <v>4.18</v>
      </c>
      <c r="Q547" s="159">
        <f>K547-P547</f>
        <v/>
      </c>
      <c r="R547" s="159" t="n">
        <v>102.39</v>
      </c>
      <c r="S547" s="159">
        <f>(O547*T547)/100</f>
        <v/>
      </c>
      <c r="T547" s="157" t="n">
        <v>6.91</v>
      </c>
      <c r="U547" s="159" t="n">
        <v>16948.25</v>
      </c>
      <c r="V547" s="159" t="n">
        <v>25.62</v>
      </c>
      <c r="W547" s="159">
        <f>U547/V547</f>
        <v/>
      </c>
      <c r="X547" s="159">
        <f>(W547/U547)*100</f>
        <v/>
      </c>
      <c r="Y547" s="159" t="n">
        <v>13473.2</v>
      </c>
      <c r="Z547" s="159" t="n">
        <v>25.97</v>
      </c>
      <c r="AA547" s="159">
        <f>Y547/Z547</f>
        <v/>
      </c>
      <c r="AB547" s="159">
        <f>(AA547/Y547)*100</f>
        <v/>
      </c>
    </row>
    <row r="548">
      <c r="A548" s="155" t="n">
        <v>547</v>
      </c>
      <c r="B548" s="160" t="n">
        <v>45365</v>
      </c>
      <c r="C548" s="159" t="n">
        <v>38493522.27</v>
      </c>
      <c r="D548" s="174">
        <f>C548/E548</f>
        <v/>
      </c>
      <c r="E548" s="159" t="n">
        <v>82.91</v>
      </c>
      <c r="F548" s="159">
        <f>D548/100000</f>
        <v/>
      </c>
      <c r="G548" s="159">
        <f>(F548/DataSheet!$C$11*100)</f>
        <v/>
      </c>
      <c r="H548" s="159">
        <f>K548/I548</f>
        <v/>
      </c>
      <c r="I548" s="159">
        <f>(J548/L548)*100</f>
        <v/>
      </c>
      <c r="J548" s="159">
        <f>L548/O548</f>
        <v/>
      </c>
      <c r="K548" s="159" t="n">
        <v>7.04</v>
      </c>
      <c r="L548" s="159" t="n">
        <v>22146.65</v>
      </c>
      <c r="M548" s="159" t="n">
        <v>3.88</v>
      </c>
      <c r="N548" s="159">
        <f>K548-I548</f>
        <v/>
      </c>
      <c r="O548" s="159" t="n">
        <v>22.86</v>
      </c>
      <c r="P548" s="159" t="n">
        <v>4.29</v>
      </c>
      <c r="Q548" s="159">
        <f>K548-P548</f>
        <v/>
      </c>
      <c r="R548" s="159" t="n">
        <v>102.99</v>
      </c>
      <c r="S548" s="159">
        <f>(O548*T548)/100</f>
        <v/>
      </c>
      <c r="T548" s="157" t="n">
        <v>6.9</v>
      </c>
      <c r="U548" s="159" t="n">
        <v>17308.75</v>
      </c>
      <c r="V548" s="159" t="n">
        <v>26.17</v>
      </c>
      <c r="W548" s="159">
        <f>U548/V548</f>
        <v/>
      </c>
      <c r="X548" s="159">
        <f>(W548/U548)*100</f>
        <v/>
      </c>
      <c r="Y548" s="159" t="n">
        <v>13892.7</v>
      </c>
      <c r="Z548" s="159" t="n">
        <v>26.78</v>
      </c>
      <c r="AA548" s="159">
        <f>Y548/Z548</f>
        <v/>
      </c>
      <c r="AB548" s="159">
        <f>(AA548/Y548)*100</f>
        <v/>
      </c>
    </row>
    <row r="549">
      <c r="A549" s="155" t="n">
        <v>548</v>
      </c>
      <c r="B549" s="160" t="n">
        <v>45366</v>
      </c>
      <c r="C549" s="159" t="n">
        <v>38347978.08</v>
      </c>
      <c r="D549" s="174">
        <f>C549/E549</f>
        <v/>
      </c>
      <c r="E549" s="159" t="n">
        <v>82.88</v>
      </c>
      <c r="F549" s="159">
        <f>D549/100000</f>
        <v/>
      </c>
      <c r="G549" s="159">
        <f>(F549/DataSheet!$C$11*100)</f>
        <v/>
      </c>
      <c r="H549" s="159">
        <f>K549/I549</f>
        <v/>
      </c>
      <c r="I549" s="159">
        <f>(J549/L549)*100</f>
        <v/>
      </c>
      <c r="J549" s="159">
        <f>L549/O549</f>
        <v/>
      </c>
      <c r="K549" s="159" t="n">
        <v>7.06</v>
      </c>
      <c r="L549" s="159" t="n">
        <v>22023.35</v>
      </c>
      <c r="M549" s="159" t="n">
        <v>3.86</v>
      </c>
      <c r="N549" s="159">
        <f>K549-I549</f>
        <v/>
      </c>
      <c r="O549" s="159" t="n">
        <v>22.74</v>
      </c>
      <c r="P549" s="159" t="n">
        <v>4.3</v>
      </c>
      <c r="Q549" s="159">
        <f>K549-P549</f>
        <v/>
      </c>
      <c r="R549" s="159" t="n">
        <v>103.06</v>
      </c>
      <c r="S549" s="159">
        <f>(O549*T549)/100</f>
        <v/>
      </c>
      <c r="T549" s="157" t="n">
        <v>6.88</v>
      </c>
      <c r="U549" s="159" t="n">
        <v>17254.2</v>
      </c>
      <c r="V549" s="159" t="n">
        <v>26.09</v>
      </c>
      <c r="W549" s="159">
        <f>U549/V549</f>
        <v/>
      </c>
      <c r="X549" s="159">
        <f>(W549/U549)*100</f>
        <v/>
      </c>
      <c r="Y549" s="159" t="n">
        <v>13922.35</v>
      </c>
      <c r="Z549" s="159" t="n">
        <v>26.84</v>
      </c>
      <c r="AA549" s="159">
        <f>Y549/Z549</f>
        <v/>
      </c>
      <c r="AB549" s="159">
        <f>(AA549/Y549)*100</f>
        <v/>
      </c>
    </row>
    <row r="550">
      <c r="A550" s="155" t="n">
        <v>549</v>
      </c>
      <c r="B550" s="160" t="n">
        <v>45369</v>
      </c>
      <c r="C550" s="159" t="n">
        <v>38383634.31</v>
      </c>
      <c r="D550" s="174">
        <f>C550/E550</f>
        <v/>
      </c>
      <c r="E550" s="159" t="n">
        <v>82.90000000000001</v>
      </c>
      <c r="F550" s="159">
        <f>D550/100000</f>
        <v/>
      </c>
      <c r="G550" s="159">
        <f>(F550/DataSheet!$C$11*100)</f>
        <v/>
      </c>
      <c r="H550" s="159">
        <f>K550/I550</f>
        <v/>
      </c>
      <c r="I550" s="159">
        <f>(J550/L550)*100</f>
        <v/>
      </c>
      <c r="J550" s="159">
        <f>L550/O550</f>
        <v/>
      </c>
      <c r="K550" s="159" t="n">
        <v>7.08</v>
      </c>
      <c r="L550" s="159" t="n">
        <v>22055.7</v>
      </c>
      <c r="M550" s="159" t="n">
        <v>3.88</v>
      </c>
      <c r="N550" s="159">
        <f>K550-I550</f>
        <v/>
      </c>
      <c r="O550" s="159" t="n">
        <v>22.77</v>
      </c>
      <c r="P550" s="159" t="n">
        <v>4.32</v>
      </c>
      <c r="Q550" s="159">
        <f>K550-P550</f>
        <v/>
      </c>
      <c r="R550" s="159" t="n">
        <v>103.46</v>
      </c>
      <c r="S550" s="159">
        <f>(O550*T550)/100</f>
        <v/>
      </c>
      <c r="T550" s="157" t="n">
        <v>6.87</v>
      </c>
      <c r="U550" s="159" t="n">
        <v>17215.85</v>
      </c>
      <c r="V550" s="159" t="n">
        <v>26.03</v>
      </c>
      <c r="W550" s="159">
        <f>U550/V550</f>
        <v/>
      </c>
      <c r="X550" s="159">
        <f>(W550/U550)*100</f>
        <v/>
      </c>
      <c r="Y550" s="159" t="n">
        <v>13882.25</v>
      </c>
      <c r="Z550" s="159" t="n">
        <v>26.76</v>
      </c>
      <c r="AA550" s="159">
        <f>Y550/Z550</f>
        <v/>
      </c>
      <c r="AB550" s="159">
        <f>(AA550/Y550)*100</f>
        <v/>
      </c>
    </row>
    <row r="551">
      <c r="A551" s="155" t="n">
        <v>550</v>
      </c>
      <c r="B551" s="160" t="n">
        <v>45370</v>
      </c>
      <c r="C551" s="159" t="n">
        <v>37895639.8</v>
      </c>
      <c r="D551" s="174">
        <f>C551/E551</f>
        <v/>
      </c>
      <c r="E551" s="159" t="n">
        <v>83</v>
      </c>
      <c r="F551" s="159">
        <f>D551/100000</f>
        <v/>
      </c>
      <c r="G551" s="159">
        <f>(F551/DataSheet!$C$11*100)</f>
        <v/>
      </c>
      <c r="H551" s="159">
        <f>K551/I551</f>
        <v/>
      </c>
      <c r="I551" s="159">
        <f>(J551/L551)*100</f>
        <v/>
      </c>
      <c r="J551" s="159">
        <f>L551/O551</f>
        <v/>
      </c>
      <c r="K551" s="159" t="n">
        <v>7.09</v>
      </c>
      <c r="L551" s="159" t="n">
        <v>21817.45</v>
      </c>
      <c r="M551" s="159" t="n">
        <v>3.84</v>
      </c>
      <c r="N551" s="159">
        <f>K551-I551</f>
        <v/>
      </c>
      <c r="O551" s="159" t="n">
        <v>22.52</v>
      </c>
      <c r="P551" s="159" t="n">
        <v>4.29</v>
      </c>
      <c r="Q551" s="159">
        <f>K551-P551</f>
        <v/>
      </c>
      <c r="R551" s="159" t="n">
        <v>103.48</v>
      </c>
      <c r="S551" s="159">
        <f>(O551*T551)/100</f>
        <v/>
      </c>
      <c r="T551" s="157" t="n">
        <v>6.87</v>
      </c>
      <c r="U551" s="159" t="n">
        <v>17022.65</v>
      </c>
      <c r="V551" s="159" t="n">
        <v>25.74</v>
      </c>
      <c r="W551" s="159">
        <f>U551/V551</f>
        <v/>
      </c>
      <c r="X551" s="159">
        <f>(W551/U551)*100</f>
        <v/>
      </c>
      <c r="Y551" s="159" t="n">
        <v>13718.4</v>
      </c>
      <c r="Z551" s="159" t="n">
        <v>26.44</v>
      </c>
      <c r="AA551" s="159">
        <f>Y551/Z551</f>
        <v/>
      </c>
      <c r="AB551" s="159">
        <f>(AA551/Y551)*100</f>
        <v/>
      </c>
    </row>
    <row r="552">
      <c r="A552" s="155" t="n">
        <v>551</v>
      </c>
      <c r="B552" s="160" t="n">
        <v>45371</v>
      </c>
      <c r="C552" s="159" t="n">
        <v>37923765.92</v>
      </c>
      <c r="D552" s="174">
        <f>C552/E552</f>
        <v/>
      </c>
      <c r="E552" s="159" t="n">
        <v>83.17</v>
      </c>
      <c r="F552" s="159">
        <f>D552/100000</f>
        <v/>
      </c>
      <c r="G552" s="159">
        <f>(F552/DataSheet!$C$11*100)</f>
        <v/>
      </c>
      <c r="H552" s="159">
        <f>K552/I552</f>
        <v/>
      </c>
      <c r="I552" s="159">
        <f>(J552/L552)*100</f>
        <v/>
      </c>
      <c r="J552" s="159">
        <f>L552/O552</f>
        <v/>
      </c>
      <c r="K552" s="159" t="n">
        <v>7.09</v>
      </c>
      <c r="L552" s="159" t="n">
        <v>21839.1</v>
      </c>
      <c r="M552" s="159" t="n">
        <v>3.85</v>
      </c>
      <c r="N552" s="159">
        <f>K552-I552</f>
        <v/>
      </c>
      <c r="O552" s="159" t="n">
        <v>22.55</v>
      </c>
      <c r="P552" s="159" t="n">
        <v>4.27</v>
      </c>
      <c r="Q552" s="159">
        <f>K552-P552</f>
        <v/>
      </c>
      <c r="R552" s="159" t="n">
        <v>103.04</v>
      </c>
      <c r="S552" s="159">
        <f>(O552*T552)/100</f>
        <v/>
      </c>
      <c r="T552" s="157" t="n">
        <v>6.93</v>
      </c>
      <c r="U552" s="159" t="n">
        <v>17011.75</v>
      </c>
      <c r="V552" s="159" t="n">
        <v>25.72</v>
      </c>
      <c r="W552" s="159">
        <f>U552/V552</f>
        <v/>
      </c>
      <c r="X552" s="159">
        <f>(W552/U552)*100</f>
        <v/>
      </c>
      <c r="Y552" s="159" t="n">
        <v>13733.55</v>
      </c>
      <c r="Z552" s="159" t="n">
        <v>26.47</v>
      </c>
      <c r="AA552" s="159">
        <f>Y552/Z552</f>
        <v/>
      </c>
      <c r="AB552" s="159">
        <f>(AA552/Y552)*100</f>
        <v/>
      </c>
    </row>
    <row r="553">
      <c r="A553" s="155" t="n">
        <v>552</v>
      </c>
      <c r="B553" s="160" t="n">
        <v>45372</v>
      </c>
      <c r="C553" s="157" t="n">
        <v>38493731.82</v>
      </c>
      <c r="D553" s="174">
        <f>C553/E553</f>
        <v/>
      </c>
      <c r="E553" s="159" t="n">
        <v>83.17</v>
      </c>
      <c r="F553" s="159">
        <f>D553/100000</f>
        <v/>
      </c>
      <c r="G553" s="159">
        <f>(F553/DataSheet!$C$11*100)</f>
        <v/>
      </c>
      <c r="H553" s="159">
        <f>K553/I553</f>
        <v/>
      </c>
      <c r="I553" s="159">
        <f>(J553/L553)*100</f>
        <v/>
      </c>
      <c r="J553" s="159">
        <f>L553/O553</f>
        <v/>
      </c>
      <c r="K553" s="159" t="n">
        <v>7.05</v>
      </c>
      <c r="L553" s="159" t="n">
        <v>22011.95</v>
      </c>
      <c r="M553" s="159" t="n">
        <v>3.88</v>
      </c>
      <c r="N553" s="159">
        <f>K553-I553</f>
        <v/>
      </c>
      <c r="O553" s="159" t="n">
        <v>22.73</v>
      </c>
      <c r="P553" s="159" t="n">
        <v>4.26</v>
      </c>
      <c r="Q553" s="159">
        <f>K553-P553</f>
        <v/>
      </c>
      <c r="R553" s="159" t="n">
        <v>103.66</v>
      </c>
      <c r="S553" s="159">
        <f>(O553*T553)/100</f>
        <v/>
      </c>
      <c r="T553" s="157" t="n">
        <v>6.9</v>
      </c>
      <c r="U553" s="159" t="n">
        <v>17396.3</v>
      </c>
      <c r="V553" s="159" t="n">
        <v>26.3</v>
      </c>
      <c r="W553" s="159">
        <f>U553/V553</f>
        <v/>
      </c>
      <c r="X553" s="159">
        <f>(W553/U553)*100</f>
        <v/>
      </c>
      <c r="Y553" s="159" t="n">
        <v>14047.3</v>
      </c>
      <c r="Z553" s="159" t="n">
        <v>27.07</v>
      </c>
      <c r="AA553" s="159">
        <f>Y553/Z553</f>
        <v/>
      </c>
      <c r="AB553" s="159">
        <f>(AA553/Y553)*100</f>
        <v/>
      </c>
    </row>
    <row r="554">
      <c r="A554" s="155" t="n">
        <v>553</v>
      </c>
      <c r="B554" s="160" t="n">
        <v>45373</v>
      </c>
      <c r="C554" s="159" t="n">
        <v>38742636.97</v>
      </c>
      <c r="D554" s="174">
        <f>C554/E554</f>
        <v/>
      </c>
      <c r="E554" s="159" t="n">
        <v>83.58</v>
      </c>
      <c r="F554" s="159">
        <f>D554/100000</f>
        <v/>
      </c>
      <c r="G554" s="159">
        <f>(F554/DataSheet!$C$11*100)</f>
        <v/>
      </c>
      <c r="H554" s="159">
        <f>K554/I554</f>
        <v/>
      </c>
      <c r="I554" s="159">
        <f>(J554/L554)*100</f>
        <v/>
      </c>
      <c r="J554" s="159">
        <f>L554/O554</f>
        <v/>
      </c>
      <c r="K554" s="159" t="n">
        <v>7.08</v>
      </c>
      <c r="L554" s="159" t="n">
        <v>22096.75</v>
      </c>
      <c r="M554" s="159" t="n">
        <v>3.89</v>
      </c>
      <c r="N554" s="159">
        <f>K554-I554</f>
        <v/>
      </c>
      <c r="O554" s="159" t="n">
        <v>22.81</v>
      </c>
      <c r="P554" s="159" t="n">
        <v>4.2</v>
      </c>
      <c r="Q554" s="159">
        <f>K554-P554</f>
        <v/>
      </c>
      <c r="R554" s="159" t="n">
        <v>104.17</v>
      </c>
      <c r="S554" s="159">
        <f>(O554*T554)/100</f>
        <v/>
      </c>
      <c r="T554" s="157" t="n">
        <v>6.87</v>
      </c>
      <c r="U554" s="159" t="n">
        <v>17502.8</v>
      </c>
      <c r="V554" s="159" t="n">
        <v>26.46</v>
      </c>
      <c r="W554" s="159">
        <f>U554/V554</f>
        <v/>
      </c>
      <c r="X554" s="159">
        <f>(W554/U554)*100</f>
        <v/>
      </c>
      <c r="Y554" s="159" t="n">
        <v>14161.4</v>
      </c>
      <c r="Z554" s="159" t="n">
        <v>27.29</v>
      </c>
      <c r="AA554" s="159">
        <f>Y554/Z554</f>
        <v/>
      </c>
      <c r="AB554" s="159">
        <f>(AA554/Y554)*100</f>
        <v/>
      </c>
    </row>
    <row r="555">
      <c r="A555" s="155" t="n">
        <v>554</v>
      </c>
      <c r="B555" s="160" t="n">
        <v>45377</v>
      </c>
      <c r="C555" s="159" t="n">
        <v>38760537.56</v>
      </c>
      <c r="D555" s="174">
        <f>C555/E555</f>
        <v/>
      </c>
      <c r="E555" s="159" t="n">
        <v>83.3</v>
      </c>
      <c r="F555" s="159">
        <f>D555/100000</f>
        <v/>
      </c>
      <c r="G555" s="159">
        <f>(F555/DataSheet!$C$11*100)</f>
        <v/>
      </c>
      <c r="H555" s="159">
        <f>K555/I555</f>
        <v/>
      </c>
      <c r="I555" s="159">
        <f>(J555/L555)*100</f>
        <v/>
      </c>
      <c r="J555" s="159">
        <f>L555/O555</f>
        <v/>
      </c>
      <c r="K555" s="159" t="n">
        <v>7.08</v>
      </c>
      <c r="L555" s="159" t="n">
        <v>22004.7</v>
      </c>
      <c r="M555" s="159" t="n">
        <v>3.87</v>
      </c>
      <c r="N555" s="159">
        <f>K555-I555</f>
        <v/>
      </c>
      <c r="O555" s="159" t="n">
        <v>22.72</v>
      </c>
      <c r="P555" s="159" t="n">
        <v>4.23</v>
      </c>
      <c r="Q555" s="159">
        <f>K555-P555</f>
        <v/>
      </c>
      <c r="R555" s="159" t="n">
        <v>103.99</v>
      </c>
      <c r="S555" s="159">
        <f>(O555*T555)/100</f>
        <v/>
      </c>
      <c r="T555" s="157" t="n">
        <v>6.94</v>
      </c>
      <c r="U555" s="159" t="n">
        <v>17664.35</v>
      </c>
      <c r="V555" s="159" t="n">
        <v>26.71</v>
      </c>
      <c r="W555" s="159">
        <f>U555/V555</f>
        <v/>
      </c>
      <c r="X555" s="159">
        <f>(W555/U555)*100</f>
        <v/>
      </c>
      <c r="Y555" s="159" t="n">
        <v>14167.85</v>
      </c>
      <c r="Z555" s="159" t="n">
        <v>27.3</v>
      </c>
      <c r="AA555" s="159">
        <f>Y555/Z555</f>
        <v/>
      </c>
      <c r="AB555" s="159">
        <f>(AA555/Y555)*100</f>
        <v/>
      </c>
    </row>
    <row r="556">
      <c r="A556" s="155" t="n">
        <v>555</v>
      </c>
      <c r="B556" s="160" t="n">
        <v>45378</v>
      </c>
      <c r="C556" s="159" t="n">
        <v>38870992.02</v>
      </c>
      <c r="D556" s="174">
        <f>C556/E556</f>
        <v/>
      </c>
      <c r="E556" s="159" t="n">
        <v>83.29000000000001</v>
      </c>
      <c r="F556" s="159">
        <f>D556/100000</f>
        <v/>
      </c>
      <c r="G556" s="159">
        <f>(F556/DataSheet!$C$11*100)</f>
        <v/>
      </c>
      <c r="H556" s="159">
        <f>K556/I556</f>
        <v/>
      </c>
      <c r="I556" s="159">
        <f>(J556/L556)*100</f>
        <v/>
      </c>
      <c r="J556" s="159">
        <f>L556/O556</f>
        <v/>
      </c>
      <c r="K556" s="159" t="n">
        <v>7.07</v>
      </c>
      <c r="L556" s="159" t="n">
        <v>22123.65</v>
      </c>
      <c r="M556" s="159" t="n">
        <v>3.9</v>
      </c>
      <c r="N556" s="159">
        <f>K556-I556</f>
        <v/>
      </c>
      <c r="O556" s="159" t="n">
        <v>22.84</v>
      </c>
      <c r="P556" s="159" t="n">
        <v>4.18</v>
      </c>
      <c r="Q556" s="159">
        <f>K556-P556</f>
        <v/>
      </c>
      <c r="R556" s="159" t="n">
        <v>104.06</v>
      </c>
      <c r="S556" s="159">
        <f>(O556*T556)/100</f>
        <v/>
      </c>
      <c r="T556" s="157" t="n">
        <v>6.97</v>
      </c>
      <c r="U556" s="159" t="n">
        <v>17685.85</v>
      </c>
      <c r="V556" s="159" t="n">
        <v>26.74</v>
      </c>
      <c r="W556" s="159">
        <f>U556/V556</f>
        <v/>
      </c>
      <c r="X556" s="159">
        <f>(W556/U556)*100</f>
        <v/>
      </c>
      <c r="Y556" s="159" t="n">
        <v>14283.6</v>
      </c>
      <c r="Z556" s="159" t="n">
        <v>27.53</v>
      </c>
      <c r="AA556" s="159">
        <f>Y556/Z556</f>
        <v/>
      </c>
      <c r="AB556" s="159">
        <f>(AA556/Y556)*100</f>
        <v/>
      </c>
    </row>
    <row r="557">
      <c r="A557" s="155" t="n">
        <v>556</v>
      </c>
      <c r="B557" s="160" t="n">
        <v>45379</v>
      </c>
      <c r="C557" s="159" t="n">
        <v>38697657.52</v>
      </c>
      <c r="D557" s="174">
        <f>C557/E557</f>
        <v/>
      </c>
      <c r="E557" s="159" t="n">
        <v>83.34999999999999</v>
      </c>
      <c r="F557" s="159">
        <f>D557/100000</f>
        <v/>
      </c>
      <c r="G557" s="159">
        <f>(F557/DataSheet!$C$11*100)</f>
        <v/>
      </c>
      <c r="H557" s="159">
        <f>K557/I557</f>
        <v/>
      </c>
      <c r="I557" s="159">
        <f>(J557/L557)*100</f>
        <v/>
      </c>
      <c r="J557" s="159">
        <f>L557/O557</f>
        <v/>
      </c>
      <c r="K557" s="159" t="n">
        <v>7.05</v>
      </c>
      <c r="L557" s="159" t="n">
        <v>22326.9</v>
      </c>
      <c r="M557" s="159" t="n">
        <v>3.94</v>
      </c>
      <c r="N557" s="159">
        <f>K557-I557</f>
        <v/>
      </c>
      <c r="O557" s="159" t="n">
        <v>22.88</v>
      </c>
      <c r="P557" s="159" t="n">
        <v>4.2</v>
      </c>
      <c r="Q557" s="159">
        <f>K557-P557</f>
        <v/>
      </c>
      <c r="R557" s="159" t="n">
        <v>104.26</v>
      </c>
      <c r="S557" s="159">
        <f>(O557*T557)/100</f>
        <v/>
      </c>
      <c r="T557" s="157" t="n">
        <v>7.02</v>
      </c>
      <c r="U557" s="159" t="n">
        <v>17766</v>
      </c>
      <c r="V557" s="159" t="n">
        <v>33.63</v>
      </c>
      <c r="W557" s="159">
        <f>U557/V557</f>
        <v/>
      </c>
      <c r="X557" s="159">
        <f>(W557/U557)*100</f>
        <v/>
      </c>
      <c r="Y557" s="159" t="n">
        <v>14330.5</v>
      </c>
      <c r="Z557" s="159" t="n">
        <v>26.6</v>
      </c>
      <c r="AA557" s="159">
        <f>Y557/Z557</f>
        <v/>
      </c>
      <c r="AB557" s="159">
        <f>(AA557/Y557)*100</f>
        <v/>
      </c>
    </row>
    <row r="558">
      <c r="A558" s="155" t="n">
        <v>557</v>
      </c>
      <c r="B558" s="160" t="n">
        <v>45383</v>
      </c>
      <c r="C558" s="159" t="n">
        <v>39320089.74</v>
      </c>
      <c r="D558" s="174">
        <f>C558/E558</f>
        <v/>
      </c>
      <c r="E558" s="159" t="n">
        <v>83.36</v>
      </c>
      <c r="F558" s="159">
        <f>D558/100000</f>
        <v/>
      </c>
      <c r="G558" s="159">
        <f>(F558/DataSheet!$C$11*100)</f>
        <v/>
      </c>
      <c r="H558" s="159">
        <f>K558/I558</f>
        <v/>
      </c>
      <c r="I558" s="159">
        <f>(J558/L558)*100</f>
        <v/>
      </c>
      <c r="J558" s="159">
        <f>L558/O558</f>
        <v/>
      </c>
      <c r="K558" s="159" t="n">
        <v>7.1</v>
      </c>
      <c r="L558" s="159" t="n">
        <v>22462</v>
      </c>
      <c r="M558" s="159" t="n">
        <v>3.96</v>
      </c>
      <c r="N558" s="159">
        <f>K558-I558</f>
        <v/>
      </c>
      <c r="O558" s="159" t="n">
        <v>23.02</v>
      </c>
      <c r="P558" s="159" t="n">
        <v>4.31</v>
      </c>
      <c r="Q558" s="159">
        <f>K558-P558</f>
        <v/>
      </c>
      <c r="R558" s="159" t="n">
        <v>104.76</v>
      </c>
      <c r="S558" s="159">
        <f>(O558*T558)/100</f>
        <v/>
      </c>
      <c r="T558" s="157" t="n">
        <v>7.02</v>
      </c>
      <c r="U558" s="159" t="n">
        <v>18084.7</v>
      </c>
      <c r="V558" s="159" t="n">
        <v>34.24</v>
      </c>
      <c r="W558" s="159">
        <f>U558/V558</f>
        <v/>
      </c>
      <c r="X558" s="159">
        <f>(W558/U558)*100</f>
        <v/>
      </c>
      <c r="Y558" s="159" t="n">
        <v>14762.15</v>
      </c>
      <c r="Z558" s="159" t="n">
        <v>27.41</v>
      </c>
      <c r="AA558" s="159">
        <f>Y558/Z558</f>
        <v/>
      </c>
      <c r="AB558" s="159">
        <f>(AA558/Y558)*100</f>
        <v/>
      </c>
    </row>
    <row r="559">
      <c r="A559" s="155" t="n">
        <v>558</v>
      </c>
      <c r="B559" s="160" t="n">
        <v>45384</v>
      </c>
      <c r="C559" s="159" t="n">
        <v>39571607.96</v>
      </c>
      <c r="D559" s="174">
        <f>C559/E559</f>
        <v/>
      </c>
      <c r="E559" s="159" t="n">
        <v>83.31999999999999</v>
      </c>
      <c r="F559" s="159">
        <f>D559/100000</f>
        <v/>
      </c>
      <c r="G559" s="159">
        <f>(F559/DataSheet!$C$11*100)</f>
        <v/>
      </c>
      <c r="H559" s="159">
        <f>K559/I559</f>
        <v/>
      </c>
      <c r="I559" s="159">
        <f>(J559/L559)*100</f>
        <v/>
      </c>
      <c r="J559" s="159">
        <f>L559/O559</f>
        <v/>
      </c>
      <c r="K559" s="159" t="n">
        <v>7.1</v>
      </c>
      <c r="L559" s="159" t="n">
        <v>22453.3</v>
      </c>
      <c r="M559" s="159" t="n">
        <v>3.96</v>
      </c>
      <c r="N559" s="159">
        <f>K559-I559</f>
        <v/>
      </c>
      <c r="O559" s="159" t="n">
        <v>23.01</v>
      </c>
      <c r="P559" s="159" t="n">
        <v>4.35</v>
      </c>
      <c r="Q559" s="159">
        <f>K559-P559</f>
        <v/>
      </c>
      <c r="R559" s="159" t="n">
        <v>104.56</v>
      </c>
      <c r="S559" s="159">
        <f>(O559*T559)/100</f>
        <v/>
      </c>
      <c r="T559" s="157" t="n">
        <v>6.83</v>
      </c>
      <c r="U559" s="159" t="n">
        <v>18286.35</v>
      </c>
      <c r="V559" s="159" t="n">
        <v>34.62</v>
      </c>
      <c r="W559" s="159">
        <f>U559/V559</f>
        <v/>
      </c>
      <c r="X559" s="159">
        <f>(W559/U559)*100</f>
        <v/>
      </c>
      <c r="Y559" s="159" t="n">
        <v>14908.3</v>
      </c>
      <c r="Z559" s="159" t="n">
        <v>27.68</v>
      </c>
      <c r="AA559" s="159">
        <f>Y559/Z559</f>
        <v/>
      </c>
      <c r="AB559" s="159">
        <f>(AA559/Y559)*100</f>
        <v/>
      </c>
    </row>
    <row r="560">
      <c r="A560" s="155" t="n">
        <v>559</v>
      </c>
      <c r="B560" s="160" t="n">
        <v>45385</v>
      </c>
      <c r="C560" s="159" t="n">
        <v>39749671.79</v>
      </c>
      <c r="D560" s="174">
        <f>C560/E560</f>
        <v/>
      </c>
      <c r="E560" s="159" t="n">
        <v>83.5</v>
      </c>
      <c r="F560" s="159">
        <f>D560/100000</f>
        <v/>
      </c>
      <c r="G560" s="159">
        <f>(F560/DataSheet!$C$11*100)</f>
        <v/>
      </c>
      <c r="H560" s="159">
        <f>K560/I560</f>
        <v/>
      </c>
      <c r="I560" s="159">
        <f>(J560/L560)*100</f>
        <v/>
      </c>
      <c r="J560" s="159">
        <f>L560/O560</f>
        <v/>
      </c>
      <c r="K560" s="159" t="n">
        <v>7.09</v>
      </c>
      <c r="L560" s="159" t="n">
        <v>22434.65</v>
      </c>
      <c r="M560" s="159" t="n">
        <v>3.96</v>
      </c>
      <c r="N560" s="159">
        <f>K560-I560</f>
        <v/>
      </c>
      <c r="O560" s="159" t="n">
        <v>22.99</v>
      </c>
      <c r="P560" s="159" t="n">
        <v>4.35</v>
      </c>
      <c r="Q560" s="159">
        <f>K560-P560</f>
        <v/>
      </c>
      <c r="R560" s="159" t="n">
        <v>103.99</v>
      </c>
      <c r="S560" s="159">
        <f>(O560*T560)/100</f>
        <v/>
      </c>
      <c r="T560" s="157" t="n">
        <v>6.83</v>
      </c>
      <c r="U560" s="159" t="n">
        <v>18378.6</v>
      </c>
      <c r="V560" s="159" t="n">
        <v>34.78</v>
      </c>
      <c r="W560" s="159">
        <f>U560/V560</f>
        <v/>
      </c>
      <c r="X560" s="159">
        <f>(W560/U560)*100</f>
        <v/>
      </c>
      <c r="Y560" s="159" t="n">
        <v>15065.35</v>
      </c>
      <c r="Z560" s="159" t="n">
        <v>27.97</v>
      </c>
      <c r="AA560" s="159">
        <f>Y560/Z560</f>
        <v/>
      </c>
      <c r="AB560" s="159">
        <f>(AA560/Y560)*100</f>
        <v/>
      </c>
    </row>
    <row r="561">
      <c r="A561" s="155" t="n">
        <v>560</v>
      </c>
      <c r="B561" s="160" t="n">
        <v>45386</v>
      </c>
      <c r="C561" s="159" t="n">
        <v>39839596.9</v>
      </c>
      <c r="D561" s="174">
        <f>C561/E561</f>
        <v/>
      </c>
      <c r="E561" s="159" t="n">
        <v>83.34</v>
      </c>
      <c r="F561" s="159">
        <f>D561/100000</f>
        <v/>
      </c>
      <c r="G561" s="159">
        <f>(F561/DataSheet!$C$11*100)</f>
        <v/>
      </c>
      <c r="H561" s="159">
        <f>K561/I561</f>
        <v/>
      </c>
      <c r="I561" s="159">
        <f>(J561/L561)*100</f>
        <v/>
      </c>
      <c r="J561" s="159">
        <f>L561/O561</f>
        <v/>
      </c>
      <c r="K561" s="159" t="n">
        <v>7.11</v>
      </c>
      <c r="L561" s="159" t="n">
        <v>22514.65</v>
      </c>
      <c r="M561" s="159" t="n">
        <v>3.97</v>
      </c>
      <c r="N561" s="159">
        <f>K561-I561</f>
        <v/>
      </c>
      <c r="O561" s="159" t="n">
        <v>23.07</v>
      </c>
      <c r="P561" s="159" t="n">
        <v>4.3</v>
      </c>
      <c r="Q561" s="159">
        <f>K561-P561</f>
        <v/>
      </c>
      <c r="R561" s="159" t="n">
        <v>103.89</v>
      </c>
      <c r="S561" s="159">
        <f>(O561*T561)/100</f>
        <v/>
      </c>
      <c r="T561" s="157" t="n">
        <v>6.85</v>
      </c>
      <c r="U561" s="159" t="n">
        <v>18385.95</v>
      </c>
      <c r="V561" s="159" t="n">
        <v>34.8</v>
      </c>
      <c r="W561" s="159">
        <f>U561/V561</f>
        <v/>
      </c>
      <c r="X561" s="159">
        <f>(W561/U561)*100</f>
        <v/>
      </c>
      <c r="Y561" s="159" t="n">
        <v>15159.25</v>
      </c>
      <c r="Z561" s="159" t="n">
        <v>28.14</v>
      </c>
      <c r="AA561" s="159">
        <f>Y561/Z561</f>
        <v/>
      </c>
      <c r="AB561" s="159">
        <f>(AA561/Y561)*100</f>
        <v/>
      </c>
    </row>
    <row r="562">
      <c r="A562" s="155" t="n">
        <v>561</v>
      </c>
      <c r="B562" s="160" t="n">
        <v>45387</v>
      </c>
      <c r="C562" s="159" t="n">
        <v>39946754.22</v>
      </c>
      <c r="D562" s="174">
        <f>C562/E562</f>
        <v/>
      </c>
      <c r="E562" s="159" t="n">
        <v>83.29000000000001</v>
      </c>
      <c r="F562" s="159">
        <f>D562/100000</f>
        <v/>
      </c>
      <c r="G562" s="159">
        <f>(F562/DataSheet!$C$11*100)</f>
        <v/>
      </c>
      <c r="H562" s="159">
        <f>K562/I562</f>
        <v/>
      </c>
      <c r="I562" s="159">
        <f>(J562/L562)*100</f>
        <v/>
      </c>
      <c r="J562" s="159">
        <f>L562/O562</f>
        <v/>
      </c>
      <c r="K562" s="159" t="n">
        <v>7.15</v>
      </c>
      <c r="L562" s="159" t="n">
        <v>22513.7</v>
      </c>
      <c r="M562" s="159" t="n">
        <v>3.97</v>
      </c>
      <c r="N562" s="159">
        <f>K562-I562</f>
        <v/>
      </c>
      <c r="O562" s="159" t="n">
        <v>23.07</v>
      </c>
      <c r="P562" s="159" t="n">
        <v>4.4</v>
      </c>
      <c r="Q562" s="159">
        <f>K562-P562</f>
        <v/>
      </c>
      <c r="R562" s="159" t="n">
        <v>104.07</v>
      </c>
      <c r="S562" s="159">
        <f>(O562*T562)/100</f>
        <v/>
      </c>
      <c r="T562" s="157" t="n">
        <v>6.86</v>
      </c>
      <c r="U562" s="159" t="n">
        <v>18473.25</v>
      </c>
      <c r="V562" s="159" t="n">
        <v>34.96</v>
      </c>
      <c r="W562" s="159">
        <f>U562/V562</f>
        <v/>
      </c>
      <c r="X562" s="159">
        <f>(W562/U562)*100</f>
        <v/>
      </c>
      <c r="Y562" s="159" t="n">
        <v>15248.2</v>
      </c>
      <c r="Z562" s="159" t="n">
        <v>28.31</v>
      </c>
      <c r="AA562" s="159">
        <f>Y562/Z562</f>
        <v/>
      </c>
      <c r="AB562" s="159">
        <f>(AA562/Y562)*100</f>
        <v/>
      </c>
    </row>
    <row r="563">
      <c r="A563" s="155" t="n">
        <v>562</v>
      </c>
      <c r="B563" s="160" t="n">
        <v>45390</v>
      </c>
      <c r="C563" s="159" t="n">
        <v>40099215.37</v>
      </c>
      <c r="D563" s="174">
        <f>C563/E563</f>
        <v/>
      </c>
      <c r="E563" s="159" t="n">
        <v>83.27</v>
      </c>
      <c r="F563" s="159">
        <f>D563/100000</f>
        <v/>
      </c>
      <c r="G563" s="159">
        <f>(F563/DataSheet!$C$11*100)</f>
        <v/>
      </c>
      <c r="H563" s="159">
        <f>K563/I563</f>
        <v/>
      </c>
      <c r="I563" s="159">
        <f>(J563/L563)*100</f>
        <v/>
      </c>
      <c r="J563" s="159">
        <f>L563/O563</f>
        <v/>
      </c>
      <c r="K563" s="159" t="n">
        <v>7.11</v>
      </c>
      <c r="L563" s="159" t="n">
        <v>22666.3</v>
      </c>
      <c r="M563" s="159" t="n">
        <v>4</v>
      </c>
      <c r="N563" s="159">
        <f>K563-I563</f>
        <v/>
      </c>
      <c r="O563" s="159" t="n">
        <v>23.23</v>
      </c>
      <c r="P563" s="159" t="n">
        <v>4.42</v>
      </c>
      <c r="Q563" s="159">
        <f>K563-P563</f>
        <v/>
      </c>
      <c r="R563" s="159" t="n">
        <v>103.9</v>
      </c>
      <c r="S563" s="159">
        <f>(O563*T563)/100</f>
        <v/>
      </c>
      <c r="T563" s="157" t="n">
        <v>6.86</v>
      </c>
      <c r="U563" s="159" t="n">
        <v>18511.15</v>
      </c>
      <c r="V563" s="159" t="n">
        <v>35.04</v>
      </c>
      <c r="W563" s="159">
        <f>U563/V563</f>
        <v/>
      </c>
      <c r="X563" s="159">
        <f>(W563/U563)*100</f>
        <v/>
      </c>
      <c r="Y563" s="159" t="n">
        <v>15286.55</v>
      </c>
      <c r="Z563" s="159" t="n">
        <v>28.38</v>
      </c>
      <c r="AA563" s="159">
        <f>Y563/Z563</f>
        <v/>
      </c>
      <c r="AB563" s="159">
        <f>(AA563/Y563)*100</f>
        <v/>
      </c>
    </row>
    <row r="564">
      <c r="A564" s="155" t="n">
        <v>563</v>
      </c>
      <c r="B564" s="160" t="n">
        <v>45391</v>
      </c>
      <c r="C564" s="159" t="n">
        <v>40011543.28</v>
      </c>
      <c r="D564" s="174">
        <f>C564/E564</f>
        <v/>
      </c>
      <c r="E564" s="159" t="n">
        <v>83.18000000000001</v>
      </c>
      <c r="F564" s="159">
        <f>D564/100000</f>
        <v/>
      </c>
      <c r="G564" s="159">
        <f>(F564/DataSheet!$C$11*100)</f>
        <v/>
      </c>
      <c r="H564" s="159">
        <f>K564/I564</f>
        <v/>
      </c>
      <c r="I564" s="159">
        <f>(J564/L564)*100</f>
        <v/>
      </c>
      <c r="J564" s="159">
        <f>L564/O564</f>
        <v/>
      </c>
      <c r="K564" s="159" t="n">
        <v>7.15</v>
      </c>
      <c r="L564" s="159" t="n">
        <v>22642.75</v>
      </c>
      <c r="M564" s="159" t="n">
        <v>3.99</v>
      </c>
      <c r="N564" s="159">
        <f>K564-I564</f>
        <v/>
      </c>
      <c r="O564" s="159" t="n">
        <v>23.2</v>
      </c>
      <c r="P564" s="159" t="n">
        <v>4.36</v>
      </c>
      <c r="Q564" s="159">
        <f>K564-P564</f>
        <v/>
      </c>
      <c r="R564" s="159" t="n">
        <v>103.92</v>
      </c>
      <c r="S564" s="159">
        <f>(O564*T564)/100</f>
        <v/>
      </c>
      <c r="T564" s="157" t="n">
        <v>6.86</v>
      </c>
      <c r="U564" s="159" t="n">
        <v>18465.55</v>
      </c>
      <c r="V564" s="159" t="n">
        <v>34.95</v>
      </c>
      <c r="W564" s="159">
        <f>U564/V564</f>
        <v/>
      </c>
      <c r="X564" s="159">
        <f>(W564/U564)*100</f>
        <v/>
      </c>
      <c r="Y564" s="159" t="n">
        <v>15293.4</v>
      </c>
      <c r="Z564" s="159" t="n">
        <v>28.39</v>
      </c>
      <c r="AA564" s="159">
        <f>Y564/Z564</f>
        <v/>
      </c>
      <c r="AB564" s="159">
        <f>(AA564/Y564)*100</f>
        <v/>
      </c>
    </row>
    <row r="565">
      <c r="A565" s="155" t="n">
        <v>564</v>
      </c>
      <c r="B565" s="160" t="n">
        <v>45392</v>
      </c>
      <c r="C565" s="159" t="n">
        <v>40240219.26</v>
      </c>
      <c r="D565" s="174">
        <f>C565/E565</f>
        <v/>
      </c>
      <c r="E565" s="159" t="n">
        <v>83.38</v>
      </c>
      <c r="F565" s="159">
        <f>D565/100000</f>
        <v/>
      </c>
      <c r="G565" s="159">
        <f>(F565/DataSheet!$C$11*100)</f>
        <v/>
      </c>
      <c r="H565" s="159">
        <f>K565/I565</f>
        <v/>
      </c>
      <c r="I565" s="159">
        <f>(J565/L565)*100</f>
        <v/>
      </c>
      <c r="J565" s="159">
        <f>L565/O565</f>
        <v/>
      </c>
      <c r="K565" s="159" t="n">
        <v>7.11</v>
      </c>
      <c r="L565" s="159" t="n">
        <v>22753.8</v>
      </c>
      <c r="M565" s="159" t="n">
        <v>4.01</v>
      </c>
      <c r="N565" s="159">
        <f>K565-I565</f>
        <v/>
      </c>
      <c r="O565" s="159" t="n">
        <v>23.32</v>
      </c>
      <c r="P565" s="159" t="n">
        <v>4.54</v>
      </c>
      <c r="Q565" s="159">
        <f>K565-P565</f>
        <v/>
      </c>
      <c r="R565" s="159" t="n">
        <v>105.03</v>
      </c>
      <c r="S565" s="159">
        <f>(O565*T565)/100</f>
        <v/>
      </c>
      <c r="T565" s="157" t="n">
        <v>6.85</v>
      </c>
      <c r="U565" s="159" t="n">
        <v>18625.4</v>
      </c>
      <c r="V565" s="159" t="n">
        <v>35.19</v>
      </c>
      <c r="W565" s="159">
        <f>U565/V565</f>
        <v/>
      </c>
      <c r="X565" s="159">
        <f>(W565/U565)*100</f>
        <v/>
      </c>
      <c r="Y565" s="159" t="n">
        <v>15384.5</v>
      </c>
      <c r="Z565" s="159" t="n">
        <v>28.56</v>
      </c>
      <c r="AA565" s="159">
        <f>Y565/Z565</f>
        <v/>
      </c>
      <c r="AB565" s="159">
        <f>(AA565/Y565)*100</f>
        <v/>
      </c>
    </row>
    <row r="566">
      <c r="A566" s="155" t="n">
        <v>565</v>
      </c>
      <c r="B566" s="160" t="n">
        <v>45394</v>
      </c>
      <c r="C566" s="159" t="n">
        <v>39989013.97</v>
      </c>
      <c r="D566" s="174">
        <f>C566/E566</f>
        <v/>
      </c>
      <c r="E566" s="159" t="n">
        <v>83.54000000000001</v>
      </c>
      <c r="F566" s="159">
        <f>D566/100000</f>
        <v/>
      </c>
      <c r="G566" s="159">
        <f>(F566/DataSheet!$C$11*100)</f>
        <v/>
      </c>
      <c r="H566" s="159">
        <f>K566/I566</f>
        <v/>
      </c>
      <c r="I566" s="159">
        <f>(J566/L566)*100</f>
        <v/>
      </c>
      <c r="J566" s="159">
        <f>L566/O566</f>
        <v/>
      </c>
      <c r="K566" s="159" t="n">
        <v>7.17</v>
      </c>
      <c r="L566" s="159" t="n">
        <v>22519.4</v>
      </c>
      <c r="M566" s="159" t="n">
        <v>3.95</v>
      </c>
      <c r="N566" s="159">
        <f>K566-I566</f>
        <v/>
      </c>
      <c r="O566" s="159" t="n">
        <v>23.08</v>
      </c>
      <c r="P566" s="159" t="n">
        <v>4.51</v>
      </c>
      <c r="Q566" s="159">
        <f>K566-P566</f>
        <v/>
      </c>
      <c r="R566" s="159" t="n">
        <v>105.83</v>
      </c>
      <c r="S566" s="159">
        <f>(O566*T566)/100</f>
        <v/>
      </c>
      <c r="T566" s="157" t="n">
        <v>6.86</v>
      </c>
      <c r="U566" s="159" t="n">
        <v>18534.7</v>
      </c>
      <c r="V566" s="159" t="n">
        <v>35.02</v>
      </c>
      <c r="W566" s="159">
        <f>U566/V566</f>
        <v/>
      </c>
      <c r="X566" s="159">
        <f>(W566/U566)*100</f>
        <v/>
      </c>
      <c r="Y566" s="159" t="n">
        <v>15322.15</v>
      </c>
      <c r="Z566" s="159" t="n">
        <v>28.44</v>
      </c>
      <c r="AA566" s="159">
        <f>Y566/Z566</f>
        <v/>
      </c>
      <c r="AB566" s="159">
        <f>(AA566/Y566)*100</f>
        <v/>
      </c>
    </row>
    <row r="567">
      <c r="A567" s="155" t="n">
        <v>566</v>
      </c>
      <c r="B567" s="160" t="n">
        <v>45397</v>
      </c>
      <c r="C567" s="159" t="n">
        <v>39456548.15</v>
      </c>
      <c r="D567" s="174">
        <f>C567/E567</f>
        <v/>
      </c>
      <c r="E567" s="159" t="n">
        <v>83.48</v>
      </c>
      <c r="F567" s="159">
        <f>D567/100000</f>
        <v/>
      </c>
      <c r="G567" s="159">
        <f>(F567/DataSheet!$C$11*100)</f>
        <v/>
      </c>
      <c r="H567" s="159">
        <f>K567/I567</f>
        <v/>
      </c>
      <c r="I567" s="159">
        <f>(J567/L567)*100</f>
        <v/>
      </c>
      <c r="J567" s="159">
        <f>L567/O567</f>
        <v/>
      </c>
      <c r="K567" s="159" t="n">
        <v>7.17</v>
      </c>
      <c r="L567" s="159" t="n">
        <v>22272.5</v>
      </c>
      <c r="M567" s="159" t="n">
        <v>3.91</v>
      </c>
      <c r="N567" s="159">
        <f>K567-I567</f>
        <v/>
      </c>
      <c r="O567" s="159" t="n">
        <v>22.82</v>
      </c>
      <c r="P567" s="159" t="n">
        <v>4.61</v>
      </c>
      <c r="Q567" s="159">
        <f>K567-P567</f>
        <v/>
      </c>
      <c r="R567" s="159" t="n">
        <v>105.99</v>
      </c>
      <c r="S567" s="159">
        <f>(O567*T567)/100</f>
        <v/>
      </c>
      <c r="T567" s="157" t="n">
        <v>6.86</v>
      </c>
      <c r="U567" s="159" t="n">
        <v>18283.2</v>
      </c>
      <c r="V567" s="159" t="n">
        <v>34.55</v>
      </c>
      <c r="W567" s="159">
        <f>U567/V567</f>
        <v/>
      </c>
      <c r="X567" s="159">
        <f>(W567/U567)*100</f>
        <v/>
      </c>
      <c r="Y567" s="159" t="n">
        <v>15086.65</v>
      </c>
      <c r="Z567" s="159" t="n">
        <v>28.01</v>
      </c>
      <c r="AA567" s="159">
        <f>Y567/Z567</f>
        <v/>
      </c>
      <c r="AB567" s="159">
        <f>(AA567/Y567)*100</f>
        <v/>
      </c>
    </row>
    <row r="568">
      <c r="A568" s="155" t="n">
        <v>567</v>
      </c>
      <c r="B568" s="160" t="n">
        <v>45398</v>
      </c>
      <c r="C568" s="159" t="n">
        <v>39444173.19</v>
      </c>
      <c r="D568" s="174">
        <f>C568/E568</f>
        <v/>
      </c>
      <c r="E568" s="159" t="n">
        <v>83.63</v>
      </c>
      <c r="F568" s="159">
        <f>D568/100000</f>
        <v/>
      </c>
      <c r="G568" s="159">
        <f>(F568/DataSheet!$C$11*100)</f>
        <v/>
      </c>
      <c r="H568" s="159">
        <f>K568/I568</f>
        <v/>
      </c>
      <c r="I568" s="159">
        <f>(J568/L568)*100</f>
        <v/>
      </c>
      <c r="J568" s="159">
        <f>L568/O568</f>
        <v/>
      </c>
      <c r="K568" s="159" t="n">
        <v>7.19</v>
      </c>
      <c r="L568" s="159" t="n">
        <v>22147.9</v>
      </c>
      <c r="M568" s="159" t="n">
        <v>3.88</v>
      </c>
      <c r="N568" s="159">
        <f>K568-I568</f>
        <v/>
      </c>
      <c r="O568" s="159" t="n">
        <v>22.68</v>
      </c>
      <c r="P568" s="159" t="n">
        <v>4.66</v>
      </c>
      <c r="Q568" s="159">
        <f>K568-P568</f>
        <v/>
      </c>
      <c r="R568" s="159" t="n">
        <v>106.06</v>
      </c>
      <c r="S568" s="159">
        <f>(O568*T568)/100</f>
        <v/>
      </c>
      <c r="T568" s="157" t="n">
        <v>6.86</v>
      </c>
      <c r="U568" s="159" t="n">
        <v>18260.6</v>
      </c>
      <c r="V568" s="159" t="n">
        <v>34.5</v>
      </c>
      <c r="W568" s="159">
        <f>U568/V568</f>
        <v/>
      </c>
      <c r="X568" s="159">
        <f>(W568/U568)*100</f>
        <v/>
      </c>
      <c r="Y568" s="159" t="n">
        <v>15183.7</v>
      </c>
      <c r="Z568" s="159" t="n">
        <v>28.18</v>
      </c>
      <c r="AA568" s="159">
        <f>Y568/Z568</f>
        <v/>
      </c>
      <c r="AB568" s="159">
        <f>(AA568/Y568)*100</f>
        <v/>
      </c>
    </row>
    <row r="569">
      <c r="A569" s="155" t="n">
        <v>568</v>
      </c>
      <c r="B569" s="160" t="n">
        <v>45400</v>
      </c>
      <c r="C569" s="159" t="n">
        <v>39308157.05</v>
      </c>
      <c r="D569" s="174">
        <f>C569/E569</f>
        <v/>
      </c>
      <c r="E569" s="159" t="n">
        <v>83.53</v>
      </c>
      <c r="F569" s="159">
        <f>D569/100000</f>
        <v/>
      </c>
      <c r="G569" s="159">
        <f>(F569/DataSheet!$C$11*100)</f>
        <v/>
      </c>
      <c r="H569" s="159">
        <f>K569/I569</f>
        <v/>
      </c>
      <c r="I569" s="159">
        <f>(J569/L569)*100</f>
        <v/>
      </c>
      <c r="J569" s="159">
        <f>L569/O569</f>
        <v/>
      </c>
      <c r="K569" s="159" t="n">
        <v>7.18</v>
      </c>
      <c r="L569" s="159" t="n">
        <v>21995.85</v>
      </c>
      <c r="M569" s="159" t="n">
        <v>3.86</v>
      </c>
      <c r="N569" s="159">
        <f>K569-I569</f>
        <v/>
      </c>
      <c r="O569" s="159" t="n">
        <v>22.53</v>
      </c>
      <c r="P569" s="159" t="n">
        <v>4.63</v>
      </c>
      <c r="Q569" s="159">
        <f>K569-P569</f>
        <v/>
      </c>
      <c r="R569" s="159" t="n">
        <v>105.98</v>
      </c>
      <c r="S569" s="159">
        <f>(O569*T569)/100</f>
        <v/>
      </c>
      <c r="T569" s="157" t="n">
        <v>6.88</v>
      </c>
      <c r="U569" s="159" t="n">
        <v>18195.65</v>
      </c>
      <c r="V569" s="159" t="n">
        <v>34.38</v>
      </c>
      <c r="W569" s="159">
        <f>U569/V569</f>
        <v/>
      </c>
      <c r="X569" s="159">
        <f>(W569/U569)*100</f>
        <v/>
      </c>
      <c r="Y569" s="159" t="n">
        <v>15180.6</v>
      </c>
      <c r="Z569" s="159" t="n">
        <v>28.18</v>
      </c>
      <c r="AA569" s="159">
        <f>Y569/Z569</f>
        <v/>
      </c>
      <c r="AB569" s="159">
        <f>(AA569/Y569)*100</f>
        <v/>
      </c>
    </row>
    <row r="570">
      <c r="A570" s="155" t="n">
        <v>569</v>
      </c>
      <c r="B570" s="160" t="n">
        <v>45401</v>
      </c>
      <c r="C570" s="159" t="n">
        <v>39361808.41</v>
      </c>
      <c r="D570" s="174">
        <f>C570/E570</f>
        <v/>
      </c>
      <c r="E570" s="159" t="n">
        <v>83.34999999999999</v>
      </c>
      <c r="F570" s="159">
        <f>D570/100000</f>
        <v/>
      </c>
      <c r="G570" s="159">
        <f>(F570/DataSheet!$C$11*100)</f>
        <v/>
      </c>
      <c r="H570" s="159">
        <f>K570/I570</f>
        <v/>
      </c>
      <c r="I570" s="159">
        <f>(J570/L570)*100</f>
        <v/>
      </c>
      <c r="J570" s="159">
        <f>L570/O570</f>
        <v/>
      </c>
      <c r="K570" s="159" t="n">
        <v>7.22</v>
      </c>
      <c r="L570" s="159" t="n">
        <v>22147</v>
      </c>
      <c r="M570" s="159" t="n">
        <v>3.88</v>
      </c>
      <c r="N570" s="159">
        <f>K570-I570</f>
        <v/>
      </c>
      <c r="O570" s="159" t="n">
        <v>22.68</v>
      </c>
      <c r="P570" s="159" t="n">
        <v>4.62</v>
      </c>
      <c r="Q570" s="159">
        <f>K570-P570</f>
        <v/>
      </c>
      <c r="R570" s="159" t="n">
        <v>105.98</v>
      </c>
      <c r="S570" s="159">
        <f>(O570*T570)/100</f>
        <v/>
      </c>
      <c r="T570" s="157" t="n">
        <v>6.88</v>
      </c>
      <c r="U570" s="159" t="n">
        <v>18111.25</v>
      </c>
      <c r="V570" s="159" t="n">
        <v>34.22</v>
      </c>
      <c r="W570" s="159">
        <f>U570/V570</f>
        <v/>
      </c>
      <c r="X570" s="159">
        <f>(W570/U570)*100</f>
        <v/>
      </c>
      <c r="Y570" s="159" t="n">
        <v>15162.2</v>
      </c>
      <c r="Z570" s="159" t="n">
        <v>28.12</v>
      </c>
      <c r="AA570" s="159">
        <f>Y570/Z570</f>
        <v/>
      </c>
      <c r="AB570" s="159">
        <f>(AA570/Y570)*100</f>
        <v/>
      </c>
    </row>
    <row r="571">
      <c r="A571" s="155" t="n">
        <v>570</v>
      </c>
      <c r="B571" s="160" t="n">
        <v>45404</v>
      </c>
      <c r="C571" s="159" t="n">
        <v>39796943.29</v>
      </c>
      <c r="D571" s="174">
        <f>C571/E571</f>
        <v/>
      </c>
      <c r="E571" s="159" t="n">
        <v>83.36</v>
      </c>
      <c r="F571" s="159">
        <f>D571/100000</f>
        <v/>
      </c>
      <c r="G571" s="159">
        <f>(F571/DataSheet!$C$11*100)</f>
        <v/>
      </c>
      <c r="H571" s="159">
        <f>K571/I571</f>
        <v/>
      </c>
      <c r="I571" s="159">
        <f>(J571/L571)*100</f>
        <v/>
      </c>
      <c r="J571" s="159">
        <f>L571/O571</f>
        <v/>
      </c>
      <c r="K571" s="159" t="n">
        <v>7.19</v>
      </c>
      <c r="L571" s="159" t="n">
        <v>22336.4</v>
      </c>
      <c r="M571" s="159" t="n">
        <v>3.92</v>
      </c>
      <c r="N571" s="159">
        <f>K571-I571</f>
        <v/>
      </c>
      <c r="O571" s="159" t="n">
        <v>22.78</v>
      </c>
      <c r="P571" s="159" t="n">
        <v>4.61</v>
      </c>
      <c r="Q571" s="159">
        <f>K571-P571</f>
        <v/>
      </c>
      <c r="R571" s="159" t="n">
        <v>105.91</v>
      </c>
      <c r="S571" s="159">
        <f>(O571*T571)/100</f>
        <v/>
      </c>
      <c r="T571" s="157" t="n">
        <v>6.88</v>
      </c>
      <c r="U571" s="159" t="n">
        <v>18234.3</v>
      </c>
      <c r="V571" s="159" t="n">
        <v>34.43</v>
      </c>
      <c r="W571" s="159">
        <f>U571/V571</f>
        <v/>
      </c>
      <c r="X571" s="159">
        <f>(W571/U571)*100</f>
        <v/>
      </c>
      <c r="Y571" s="159" t="n">
        <v>15338</v>
      </c>
      <c r="Z571" s="159" t="n">
        <v>28.5</v>
      </c>
      <c r="AA571" s="159">
        <f>Y571/Z571</f>
        <v/>
      </c>
      <c r="AB571" s="159">
        <f>(AA571/Y571)*100</f>
        <v/>
      </c>
    </row>
    <row r="572">
      <c r="A572" s="155" t="n">
        <v>571</v>
      </c>
      <c r="B572" s="160" t="n">
        <v>45405</v>
      </c>
      <c r="C572" s="159" t="n">
        <v>39989720.64</v>
      </c>
      <c r="D572" s="174">
        <f>C572/E572</f>
        <v/>
      </c>
      <c r="E572" s="159" t="n">
        <v>83.26000000000001</v>
      </c>
      <c r="F572" s="159">
        <f>D572/100000</f>
        <v/>
      </c>
      <c r="G572" s="159">
        <f>(F572/DataSheet!$C$11*100)</f>
        <v/>
      </c>
      <c r="H572" s="159">
        <f>K572/I572</f>
        <v/>
      </c>
      <c r="I572" s="159">
        <f>(J572/L572)*100</f>
        <v/>
      </c>
      <c r="J572" s="159">
        <f>L572/O572</f>
        <v/>
      </c>
      <c r="K572" s="159" t="n">
        <v>7.16</v>
      </c>
      <c r="L572" s="159" t="n">
        <v>22368</v>
      </c>
      <c r="M572" s="159" t="n">
        <v>3.92</v>
      </c>
      <c r="N572" s="159">
        <f>K572-I572</f>
        <v/>
      </c>
      <c r="O572" s="159" t="n">
        <v>22.54</v>
      </c>
      <c r="P572" s="159" t="n">
        <v>4.6</v>
      </c>
      <c r="Q572" s="159">
        <f>K572-P572</f>
        <v/>
      </c>
      <c r="R572" s="159" t="n">
        <v>105.5</v>
      </c>
      <c r="S572" s="159">
        <f>(O572*T572)/100</f>
        <v/>
      </c>
      <c r="T572" s="157" t="n">
        <v>6.88</v>
      </c>
      <c r="U572" s="159" t="n">
        <v>18417.95</v>
      </c>
      <c r="V572" s="159" t="n">
        <v>34.75</v>
      </c>
      <c r="W572" s="159">
        <f>U572/V572</f>
        <v/>
      </c>
      <c r="X572" s="159">
        <f>(W572/U572)*100</f>
        <v/>
      </c>
      <c r="Y572" s="159" t="n">
        <v>15486</v>
      </c>
      <c r="Z572" s="159" t="n">
        <v>28.65</v>
      </c>
      <c r="AA572" s="159">
        <f>Y572/Z572</f>
        <v/>
      </c>
      <c r="AB572" s="159">
        <f>(AA572/Y572)*100</f>
        <v/>
      </c>
    </row>
    <row r="573">
      <c r="A573" s="155" t="n">
        <v>572</v>
      </c>
      <c r="B573" s="160" t="n">
        <v>45406</v>
      </c>
      <c r="C573" s="159" t="n">
        <v>40158925.94</v>
      </c>
      <c r="D573" s="174">
        <f>C573/E573</f>
        <v/>
      </c>
      <c r="E573" s="159" t="n">
        <v>83.31</v>
      </c>
      <c r="F573" s="159">
        <f>D573/100000</f>
        <v/>
      </c>
      <c r="G573" s="159">
        <f>(F573/DataSheet!$C$11*100)</f>
        <v/>
      </c>
      <c r="H573" s="159">
        <f>K573/I573</f>
        <v/>
      </c>
      <c r="I573" s="159">
        <f>(J573/L573)*100</f>
        <v/>
      </c>
      <c r="J573" s="159">
        <f>L573/O573</f>
        <v/>
      </c>
      <c r="K573" s="159" t="n">
        <v>7.18</v>
      </c>
      <c r="L573" s="159" t="n">
        <v>22402.4</v>
      </c>
      <c r="M573" s="159" t="n">
        <v>3.93</v>
      </c>
      <c r="N573" s="159">
        <f>K573-I573</f>
        <v/>
      </c>
      <c r="O573" s="159" t="n">
        <v>22.58</v>
      </c>
      <c r="P573" s="159" t="n">
        <v>4.64</v>
      </c>
      <c r="Q573" s="159">
        <f>K573-P573</f>
        <v/>
      </c>
      <c r="R573" s="159" t="n">
        <v>105.7</v>
      </c>
      <c r="S573" s="159">
        <f>(O573*T573)/100</f>
        <v/>
      </c>
      <c r="T573" s="157" t="n">
        <v>6.88</v>
      </c>
      <c r="U573" s="159" t="n">
        <v>18568.3</v>
      </c>
      <c r="V573" s="159" t="n">
        <v>35.04</v>
      </c>
      <c r="W573" s="159">
        <f>U573/V573</f>
        <v/>
      </c>
      <c r="X573" s="159">
        <f>(W573/U573)*100</f>
        <v/>
      </c>
      <c r="Y573" s="159" t="n">
        <v>15609.2</v>
      </c>
      <c r="Z573" s="159" t="n">
        <v>28.83</v>
      </c>
      <c r="AA573" s="159">
        <f>Y573/Z573</f>
        <v/>
      </c>
      <c r="AB573" s="159">
        <f>(AA573/Y573)*100</f>
        <v/>
      </c>
    </row>
    <row r="574">
      <c r="A574" s="155" t="n">
        <v>573</v>
      </c>
      <c r="B574" s="160" t="n">
        <v>45407</v>
      </c>
      <c r="C574" s="159" t="n">
        <v>40328639</v>
      </c>
      <c r="D574" s="174">
        <f>C574/E574</f>
        <v/>
      </c>
      <c r="E574" s="159" t="n">
        <v>83.31</v>
      </c>
      <c r="F574" s="159">
        <f>D574/100000</f>
        <v/>
      </c>
      <c r="G574" s="159">
        <f>(F574/DataSheet!$C$11*100)</f>
        <v/>
      </c>
      <c r="H574" s="159">
        <f>K574/I574</f>
        <v/>
      </c>
      <c r="I574" s="159">
        <f>(J574/L574)*100</f>
        <v/>
      </c>
      <c r="J574" s="159">
        <f>L574/O574</f>
        <v/>
      </c>
      <c r="K574" s="159" t="n">
        <v>7.2</v>
      </c>
      <c r="L574" s="159" t="n">
        <v>22570.35</v>
      </c>
      <c r="M574" s="159" t="n">
        <v>3.96</v>
      </c>
      <c r="N574" s="159">
        <f>K574-I574</f>
        <v/>
      </c>
      <c r="O574" s="159" t="n">
        <v>22.75</v>
      </c>
      <c r="P574" s="159" t="n">
        <v>4.7</v>
      </c>
      <c r="Q574" s="159">
        <f>K574-P574</f>
        <v/>
      </c>
      <c r="R574" s="159" t="n">
        <v>105.45</v>
      </c>
      <c r="S574" s="159">
        <f>(O574*T574)/100</f>
        <v/>
      </c>
      <c r="T574" s="157" t="n">
        <v>6.94</v>
      </c>
      <c r="U574" s="159" t="n">
        <v>18643.25</v>
      </c>
      <c r="V574" s="159" t="n">
        <v>35.16</v>
      </c>
      <c r="W574" s="159">
        <f>U574/V574</f>
        <v/>
      </c>
      <c r="X574" s="159">
        <f>(W574/U574)*100</f>
        <v/>
      </c>
      <c r="Y574" s="159" t="n">
        <v>15739.15</v>
      </c>
      <c r="Z574" s="159" t="n">
        <v>29.05</v>
      </c>
      <c r="AA574" s="159">
        <f>Y574/Z574</f>
        <v/>
      </c>
      <c r="AB574" s="159">
        <f>(AA574/Y574)*100</f>
        <v/>
      </c>
    </row>
    <row r="575">
      <c r="A575" s="155" t="n">
        <v>574</v>
      </c>
      <c r="B575" s="160" t="n">
        <v>45408</v>
      </c>
      <c r="C575" s="159" t="n">
        <v>40430580.53</v>
      </c>
      <c r="D575" s="174">
        <f>C575/E575</f>
        <v/>
      </c>
      <c r="E575" s="159" t="n">
        <v>83.40000000000001</v>
      </c>
      <c r="F575" s="159">
        <f>D575/100000</f>
        <v/>
      </c>
      <c r="G575" s="159">
        <f>(F575/DataSheet!$C$11*100)</f>
        <v/>
      </c>
      <c r="H575" s="159">
        <f>K575/I575</f>
        <v/>
      </c>
      <c r="I575" s="159">
        <f>(J575/L575)*100</f>
        <v/>
      </c>
      <c r="J575" s="159">
        <f>L575/O575</f>
        <v/>
      </c>
      <c r="K575" s="159" t="n">
        <v>7.19</v>
      </c>
      <c r="L575" s="159" t="n">
        <v>22419.95</v>
      </c>
      <c r="M575" s="159" t="n">
        <v>3.93</v>
      </c>
      <c r="N575" s="159">
        <f>K575-I575</f>
        <v/>
      </c>
      <c r="O575" s="159" t="n">
        <v>22</v>
      </c>
      <c r="P575" s="159" t="n">
        <v>4.66</v>
      </c>
      <c r="Q575" s="159">
        <f>K575-P575</f>
        <v/>
      </c>
      <c r="R575" s="159" t="n">
        <v>105.8</v>
      </c>
      <c r="S575" s="159">
        <f>(O575*T575)/100</f>
        <v/>
      </c>
      <c r="T575" s="157" t="n">
        <v>6.96</v>
      </c>
      <c r="U575" s="159" t="n">
        <v>18782.5</v>
      </c>
      <c r="V575" s="159" t="n">
        <v>35.45</v>
      </c>
      <c r="W575" s="159">
        <f>U575/V575</f>
        <v/>
      </c>
      <c r="X575" s="159">
        <f>(W575/U575)*100</f>
        <v/>
      </c>
      <c r="Y575" s="159" t="n">
        <v>15814.5</v>
      </c>
      <c r="Z575" s="159" t="n">
        <v>29.18</v>
      </c>
      <c r="AA575" s="159">
        <f>Y575/Z575</f>
        <v/>
      </c>
      <c r="AB575" s="159">
        <f>(AA575/Y575)*100</f>
        <v/>
      </c>
    </row>
    <row r="576">
      <c r="A576" s="155" t="n">
        <v>575</v>
      </c>
      <c r="B576" s="160" t="n">
        <v>45411</v>
      </c>
      <c r="C576" s="155" t="n">
        <v>40667264.94</v>
      </c>
      <c r="D576" s="174">
        <f>C576/E576</f>
        <v/>
      </c>
      <c r="E576" s="159" t="n">
        <v>83.41</v>
      </c>
      <c r="F576" s="159">
        <f>D576/100000</f>
        <v/>
      </c>
      <c r="G576" s="159">
        <f>(F576/DataSheet!$C$11*100)</f>
        <v/>
      </c>
      <c r="H576" s="159">
        <f>K576/I576</f>
        <v/>
      </c>
      <c r="I576" s="159">
        <f>(J576/L576)*100</f>
        <v/>
      </c>
      <c r="J576" s="159">
        <f>L576/O576</f>
        <v/>
      </c>
      <c r="K576" s="159" t="n">
        <v>7.19</v>
      </c>
      <c r="L576" s="159" t="n">
        <v>22643.4</v>
      </c>
      <c r="M576" s="159" t="n">
        <v>3.97</v>
      </c>
      <c r="N576" s="159">
        <f>K576-I576</f>
        <v/>
      </c>
      <c r="O576" s="159" t="n">
        <v>22.2</v>
      </c>
      <c r="P576" s="159" t="n">
        <v>4.61</v>
      </c>
      <c r="Q576" s="159">
        <f>K576-P576</f>
        <v/>
      </c>
      <c r="R576" s="159" t="n">
        <v>105.44</v>
      </c>
      <c r="S576" s="159">
        <f>(O576*T576)/100</f>
        <v/>
      </c>
      <c r="T576" s="157" t="n">
        <v>7</v>
      </c>
      <c r="U576" s="159" t="n">
        <v>18847</v>
      </c>
      <c r="V576" s="159" t="n">
        <v>35.48</v>
      </c>
      <c r="W576" s="159">
        <f>U576/V576</f>
        <v/>
      </c>
      <c r="X576" s="159">
        <f>(W576/U576)*100</f>
        <v/>
      </c>
      <c r="Y576" s="159" t="n">
        <v>15824.55</v>
      </c>
      <c r="Z576" s="159" t="n">
        <v>29.1</v>
      </c>
      <c r="AA576" s="159">
        <f>Y576/Z576</f>
        <v/>
      </c>
      <c r="AB576" s="159">
        <f>(AA576/Y576)*100</f>
        <v/>
      </c>
    </row>
    <row r="577">
      <c r="A577" s="155" t="n">
        <v>576</v>
      </c>
      <c r="B577" s="160" t="n">
        <v>45412</v>
      </c>
      <c r="C577" s="155" t="n">
        <v>40682160.53</v>
      </c>
      <c r="D577" s="174">
        <f>C577/E577</f>
        <v/>
      </c>
      <c r="E577" s="159" t="n">
        <v>83.45</v>
      </c>
      <c r="F577" s="159">
        <f>D577/100000</f>
        <v/>
      </c>
      <c r="G577" s="159">
        <f>(F577/DataSheet!$C$11*100)</f>
        <v/>
      </c>
      <c r="H577" s="159">
        <f>K577/I577</f>
        <v/>
      </c>
      <c r="I577" s="159">
        <f>(J577/L577)*100</f>
        <v/>
      </c>
      <c r="J577" s="159">
        <f>L577/O577</f>
        <v/>
      </c>
      <c r="K577" s="159" t="n">
        <v>7.19</v>
      </c>
      <c r="L577" s="159" t="n">
        <v>22604.85</v>
      </c>
      <c r="M577" s="159" t="n">
        <v>3.96</v>
      </c>
      <c r="N577" s="159">
        <f>K577-I577</f>
        <v/>
      </c>
      <c r="O577" s="159" t="n">
        <v>22</v>
      </c>
      <c r="P577" s="159" t="n">
        <v>4.68</v>
      </c>
      <c r="Q577" s="159">
        <f>K577-P577</f>
        <v/>
      </c>
      <c r="R577" s="159" t="n">
        <v>106.1</v>
      </c>
      <c r="S577" s="159">
        <f>(O577*T577)/100</f>
        <v/>
      </c>
      <c r="T577" s="157" t="n">
        <v>7.01</v>
      </c>
      <c r="U577" s="159" t="n">
        <v>18893</v>
      </c>
      <c r="V577" s="159" t="n">
        <v>35.49</v>
      </c>
      <c r="W577" s="159">
        <f>U577/V577</f>
        <v/>
      </c>
      <c r="X577" s="159">
        <f>(W577/U577)*100</f>
        <v/>
      </c>
      <c r="Y577" s="159" t="n">
        <v>15833.4</v>
      </c>
      <c r="Z577" s="159" t="n">
        <v>28.98</v>
      </c>
      <c r="AA577" s="159">
        <f>Y577/Z577</f>
        <v/>
      </c>
      <c r="AB577" s="159">
        <f>(AA577/Y577)*100</f>
        <v/>
      </c>
    </row>
    <row r="578">
      <c r="A578" s="155" t="n">
        <v>577</v>
      </c>
      <c r="B578" s="160" t="n">
        <v>45414</v>
      </c>
      <c r="C578" s="155" t="n">
        <v>40873843.69</v>
      </c>
      <c r="D578" s="174">
        <f>C578/E578</f>
        <v/>
      </c>
      <c r="E578" s="159" t="n">
        <v>83.43000000000001</v>
      </c>
      <c r="F578" s="159">
        <f>D578/100000</f>
        <v/>
      </c>
      <c r="G578" s="159">
        <f>(F578/DataSheet!$C$11*100)</f>
        <v/>
      </c>
      <c r="H578" s="159">
        <f>K578/I578</f>
        <v/>
      </c>
      <c r="I578" s="159">
        <f>(J578/L578)*100</f>
        <v/>
      </c>
      <c r="J578" s="159">
        <f>L578/O578</f>
        <v/>
      </c>
      <c r="K578" s="159" t="n">
        <v>7.16</v>
      </c>
      <c r="L578" s="159" t="n">
        <v>22648.2</v>
      </c>
      <c r="M578" s="159" t="n">
        <v>3.97</v>
      </c>
      <c r="N578" s="159">
        <f>K578-I578</f>
        <v/>
      </c>
      <c r="O578" s="159" t="n">
        <v>22.03</v>
      </c>
      <c r="P578" s="159" t="n">
        <v>4.58</v>
      </c>
      <c r="Q578" s="159">
        <f>K578-P578</f>
        <v/>
      </c>
      <c r="R578" s="159" t="n">
        <v>105.17</v>
      </c>
      <c r="S578" s="159">
        <f>(O578*T578)/100</f>
        <v/>
      </c>
      <c r="T578" s="157" t="n">
        <v>7.01</v>
      </c>
      <c r="U578" s="159" t="n">
        <v>18975.25</v>
      </c>
      <c r="V578" s="159" t="n">
        <v>35.95</v>
      </c>
      <c r="W578" s="159">
        <f>U578/V578</f>
        <v/>
      </c>
      <c r="X578" s="159">
        <f>(W578/U578)*100</f>
        <v/>
      </c>
      <c r="Y578" s="159" t="n">
        <v>15848.4</v>
      </c>
      <c r="Z578" s="159" t="n">
        <v>28.87</v>
      </c>
      <c r="AA578" s="159">
        <f>Y578/Z578</f>
        <v/>
      </c>
      <c r="AB578" s="159">
        <f>(AA578/Y578)*100</f>
        <v/>
      </c>
    </row>
    <row r="579">
      <c r="A579" s="155" t="n">
        <v>578</v>
      </c>
      <c r="B579" s="160" t="n">
        <v>45415</v>
      </c>
      <c r="C579" s="155" t="n">
        <v>40662149.85</v>
      </c>
      <c r="D579" s="174">
        <f>C579/E579</f>
        <v/>
      </c>
      <c r="E579" s="159" t="n">
        <v>83.37</v>
      </c>
      <c r="F579" s="159">
        <f>D579/100000</f>
        <v/>
      </c>
      <c r="G579" s="159">
        <f>(F579/DataSheet!$C$11*100)</f>
        <v/>
      </c>
      <c r="H579" s="159">
        <f>K579/I579</f>
        <v/>
      </c>
      <c r="I579" s="159">
        <f>(J579/L579)*100</f>
        <v/>
      </c>
      <c r="J579" s="159">
        <f>L579/O579</f>
        <v/>
      </c>
      <c r="K579" s="159" t="n">
        <v>7.14</v>
      </c>
      <c r="L579" s="159" t="n">
        <v>22475.85</v>
      </c>
      <c r="M579" s="159" t="n">
        <v>3.94</v>
      </c>
      <c r="N579" s="159">
        <f>K579-I579</f>
        <v/>
      </c>
      <c r="O579" s="159" t="n">
        <v>21.87</v>
      </c>
      <c r="P579" s="159" t="n">
        <v>4.49</v>
      </c>
      <c r="Q579" s="159">
        <f>K579-P579</f>
        <v/>
      </c>
      <c r="R579" s="159" t="n">
        <v>104.91</v>
      </c>
      <c r="S579" s="159">
        <f>(O579*T579)/100</f>
        <v/>
      </c>
      <c r="T579" s="157" t="n">
        <v>7.03</v>
      </c>
      <c r="U579" s="159" t="n">
        <v>18907.7</v>
      </c>
      <c r="V579" s="159" t="n">
        <v>35.87</v>
      </c>
      <c r="W579" s="159">
        <f>U579/V579</f>
        <v/>
      </c>
      <c r="X579" s="159">
        <f>(W579/U579)*100</f>
        <v/>
      </c>
      <c r="Y579" s="159" t="n">
        <v>15793.3</v>
      </c>
      <c r="Z579" s="159" t="n">
        <v>28.51</v>
      </c>
      <c r="AA579" s="159">
        <f>Y579/Z579</f>
        <v/>
      </c>
      <c r="AB579" s="159">
        <f>(AA579/Y579)*100</f>
        <v/>
      </c>
    </row>
    <row r="580">
      <c r="A580" s="155" t="n">
        <v>579</v>
      </c>
      <c r="B580" s="160" t="n">
        <v>45418</v>
      </c>
      <c r="C580" s="155" t="n">
        <v>40366309.43</v>
      </c>
      <c r="D580" s="174">
        <f>C580/E580</f>
        <v/>
      </c>
      <c r="E580" s="159" t="n">
        <v>83.47</v>
      </c>
      <c r="F580" s="159">
        <f>D580/100000</f>
        <v/>
      </c>
      <c r="G580" s="159">
        <f>(F580/DataSheet!$C$11*100)</f>
        <v/>
      </c>
      <c r="H580" s="159">
        <f>K580/I580</f>
        <v/>
      </c>
      <c r="I580" s="159">
        <f>(J580/L580)*100</f>
        <v/>
      </c>
      <c r="J580" s="159">
        <f>L580/O580</f>
        <v/>
      </c>
      <c r="K580" s="159" t="n">
        <v>7.1</v>
      </c>
      <c r="L580" s="159" t="n">
        <v>22442.7</v>
      </c>
      <c r="M580" s="159" t="n">
        <v>3.94</v>
      </c>
      <c r="N580" s="159">
        <f>K580-I580</f>
        <v/>
      </c>
      <c r="O580" s="159" t="n">
        <v>21.77</v>
      </c>
      <c r="P580" s="159" t="n">
        <v>4.48</v>
      </c>
      <c r="Q580" s="159">
        <f>K580-P580</f>
        <v/>
      </c>
      <c r="R580" s="159" t="n">
        <v>104.91</v>
      </c>
      <c r="S580" s="159">
        <f>(O580*T580)/100</f>
        <v/>
      </c>
      <c r="T580" s="157" t="n">
        <v>6.96</v>
      </c>
      <c r="U580" s="159" t="n">
        <v>18821.3</v>
      </c>
      <c r="V580" s="159" t="n">
        <v>35.64</v>
      </c>
      <c r="W580" s="159">
        <f>U580/V580</f>
        <v/>
      </c>
      <c r="X580" s="159">
        <f>(W580/U580)*100</f>
        <v/>
      </c>
      <c r="Y580" s="159" t="n">
        <v>15617.15</v>
      </c>
      <c r="Z580" s="159" t="n">
        <v>28.2</v>
      </c>
      <c r="AA580" s="159">
        <f>Y580/Z580</f>
        <v/>
      </c>
      <c r="AB580" s="159">
        <f>(AA580/Y580)*100</f>
        <v/>
      </c>
    </row>
    <row r="581">
      <c r="A581" s="155" t="n">
        <v>580</v>
      </c>
      <c r="B581" s="160" t="n">
        <v>45419</v>
      </c>
      <c r="C581" s="155" t="n">
        <v>39879565.52</v>
      </c>
      <c r="D581" s="174">
        <f>C581/E581</f>
        <v/>
      </c>
      <c r="E581" s="159" t="n">
        <v>83.45</v>
      </c>
      <c r="F581" s="159">
        <f>D581/100000</f>
        <v/>
      </c>
      <c r="G581" s="159">
        <f>(F581/DataSheet!$C$11*100)</f>
        <v/>
      </c>
      <c r="H581" s="159">
        <f>K581/I581</f>
        <v/>
      </c>
      <c r="I581" s="159">
        <f>(J581/L581)*100</f>
        <v/>
      </c>
      <c r="J581" s="159">
        <f>L581/O581</f>
        <v/>
      </c>
      <c r="K581" s="159" t="n">
        <v>7.12</v>
      </c>
      <c r="L581" s="159" t="n">
        <v>22302.5</v>
      </c>
      <c r="M581" s="159" t="n">
        <v>3.91</v>
      </c>
      <c r="N581" s="159">
        <f>K581-I581</f>
        <v/>
      </c>
      <c r="O581" s="159" t="n">
        <v>21.61</v>
      </c>
      <c r="P581" s="159" t="n">
        <v>4.46</v>
      </c>
      <c r="Q581" s="159">
        <f>K581-P581</f>
        <v/>
      </c>
      <c r="R581" s="159" t="n">
        <v>105.3</v>
      </c>
      <c r="S581" s="159">
        <f>(O581*T581)/100</f>
        <v/>
      </c>
      <c r="T581" s="157" t="n">
        <v>6.97</v>
      </c>
      <c r="U581" s="159" t="n">
        <v>18471.85</v>
      </c>
      <c r="V581" s="159" t="n">
        <v>34.93</v>
      </c>
      <c r="W581" s="159">
        <f>U581/V581</f>
        <v/>
      </c>
      <c r="X581" s="159">
        <f>(W581/U581)*100</f>
        <v/>
      </c>
      <c r="Y581" s="159" t="n">
        <v>15339.25</v>
      </c>
      <c r="Z581" s="159" t="n">
        <v>27.61</v>
      </c>
      <c r="AA581" s="159">
        <f>Y581/Z581</f>
        <v/>
      </c>
      <c r="AB581" s="159">
        <f>(AA581/Y581)*100</f>
        <v/>
      </c>
    </row>
    <row r="582">
      <c r="A582" s="155" t="n">
        <v>581</v>
      </c>
      <c r="B582" s="160" t="n">
        <v>45420</v>
      </c>
      <c r="C582" s="155" t="n">
        <v>40097894.26</v>
      </c>
      <c r="D582" s="174">
        <f>C582/E582</f>
        <v/>
      </c>
      <c r="E582" s="159" t="n">
        <v>83.45999999999999</v>
      </c>
      <c r="F582" s="159">
        <f>D582/100000</f>
        <v/>
      </c>
      <c r="G582" s="159">
        <f>(F582/DataSheet!$C$11*100)</f>
        <v/>
      </c>
      <c r="H582" s="159">
        <f>K582/I582</f>
        <v/>
      </c>
      <c r="I582" s="159">
        <f>(J582/L582)*100</f>
        <v/>
      </c>
      <c r="J582" s="159">
        <f>L582/O582</f>
        <v/>
      </c>
      <c r="K582" s="159" t="n">
        <v>7.13</v>
      </c>
      <c r="L582" s="159" t="n">
        <v>22302.5</v>
      </c>
      <c r="M582" s="159" t="n">
        <v>3.91</v>
      </c>
      <c r="N582" s="159">
        <f>K582-I582</f>
        <v/>
      </c>
      <c r="O582" s="159" t="n">
        <v>21.61</v>
      </c>
      <c r="P582" s="159" t="n">
        <v>4.5</v>
      </c>
      <c r="Q582" s="159">
        <f>K582-P582</f>
        <v/>
      </c>
      <c r="R582" s="159" t="n">
        <v>105.42</v>
      </c>
      <c r="S582" s="159">
        <f>(O582*T582)/100</f>
        <v/>
      </c>
      <c r="T582" s="157" t="n">
        <v>7</v>
      </c>
      <c r="U582" s="159" t="n">
        <v>18568.7</v>
      </c>
      <c r="V582" s="159" t="n">
        <v>35.07</v>
      </c>
      <c r="W582" s="159">
        <f>U582/V582</f>
        <v/>
      </c>
      <c r="X582" s="159">
        <f>(W582/U582)*100</f>
        <v/>
      </c>
      <c r="Y582" s="159" t="n">
        <v>15414.9</v>
      </c>
      <c r="Z582" s="159" t="n">
        <v>27.76</v>
      </c>
      <c r="AA582" s="159">
        <f>Y582/Z582</f>
        <v/>
      </c>
      <c r="AB582" s="159">
        <f>(AA582/Y582)*100</f>
        <v/>
      </c>
    </row>
    <row r="583">
      <c r="A583" s="155" t="n">
        <v>582</v>
      </c>
      <c r="B583" s="160" t="n">
        <v>45421</v>
      </c>
      <c r="C583" s="159" t="n">
        <v>39363100.48</v>
      </c>
      <c r="D583" s="174">
        <f>C583/E583</f>
        <v/>
      </c>
      <c r="E583" s="159" t="n">
        <v>83.44</v>
      </c>
      <c r="F583" s="159">
        <f>D583/100000</f>
        <v/>
      </c>
      <c r="G583" s="159">
        <f>(F583/DataSheet!$C$11*100)</f>
        <v/>
      </c>
      <c r="H583" s="159">
        <f>K583/I583</f>
        <v/>
      </c>
      <c r="I583" s="159">
        <f>(J583/L583)*100</f>
        <v/>
      </c>
      <c r="J583" s="159">
        <f>L583/O583</f>
        <v/>
      </c>
      <c r="K583" s="159" t="n">
        <v>7.13</v>
      </c>
      <c r="L583" s="159" t="n">
        <v>21957.5</v>
      </c>
      <c r="M583" s="159" t="n">
        <v>3.85</v>
      </c>
      <c r="N583" s="159">
        <f>K583-I583</f>
        <v/>
      </c>
      <c r="O583" s="159" t="n">
        <v>21.26</v>
      </c>
      <c r="P583" s="159" t="n">
        <v>4.45</v>
      </c>
      <c r="Q583" s="159">
        <f>K583-P583</f>
        <v/>
      </c>
      <c r="R583" s="159" t="n">
        <v>105.1</v>
      </c>
      <c r="S583" s="159">
        <f>(O583*T583)/100</f>
        <v/>
      </c>
      <c r="T583" s="157" t="n">
        <v>7.02</v>
      </c>
      <c r="U583" s="159" t="n">
        <v>18245.35</v>
      </c>
      <c r="V583" s="159" t="n">
        <v>34.46</v>
      </c>
      <c r="W583" s="159">
        <f>U583/V583</f>
        <v/>
      </c>
      <c r="X583" s="159">
        <f>(W583/U583)*100</f>
        <v/>
      </c>
      <c r="Y583" s="159" t="n">
        <v>15006.35</v>
      </c>
      <c r="Z583" s="159" t="n">
        <v>26.82</v>
      </c>
      <c r="AA583" s="159">
        <f>Y583/Z583</f>
        <v/>
      </c>
      <c r="AB583" s="159">
        <f>(AA583/Y583)*100</f>
        <v/>
      </c>
    </row>
    <row r="584">
      <c r="A584" s="155" t="n">
        <v>583</v>
      </c>
      <c r="B584" s="160" t="n">
        <v>45422</v>
      </c>
      <c r="C584" s="159" t="n">
        <v>39666011.9</v>
      </c>
      <c r="D584" s="174">
        <f>C584/E584</f>
        <v/>
      </c>
      <c r="E584" s="159" t="n">
        <v>83.54000000000001</v>
      </c>
      <c r="F584" s="159">
        <f>D584/100000</f>
        <v/>
      </c>
      <c r="G584" s="159">
        <f>(F584/DataSheet!$C$11*100)</f>
        <v/>
      </c>
      <c r="H584" s="159">
        <f>K584/I584</f>
        <v/>
      </c>
      <c r="I584" s="159">
        <f>(J584/L584)*100</f>
        <v/>
      </c>
      <c r="J584" s="159">
        <f>L584/O584</f>
        <v/>
      </c>
      <c r="K584" s="159" t="n">
        <v>7.12</v>
      </c>
      <c r="L584" s="159" t="n">
        <v>22055.2</v>
      </c>
      <c r="M584" s="159" t="n">
        <v>3.87</v>
      </c>
      <c r="N584" s="159">
        <f>K584-I584</f>
        <v/>
      </c>
      <c r="O584" s="159" t="n">
        <v>21.33</v>
      </c>
      <c r="P584" s="159" t="n">
        <v>4.5</v>
      </c>
      <c r="Q584" s="159">
        <f>K584-P584</f>
        <v/>
      </c>
      <c r="R584" s="159" t="n">
        <v>105.17</v>
      </c>
      <c r="S584" s="159">
        <f>(O584*T584)/100</f>
        <v/>
      </c>
      <c r="T584" s="157" t="n">
        <v>7.02</v>
      </c>
      <c r="U584" s="159" t="n">
        <v>18423.3</v>
      </c>
      <c r="V584" s="159" t="n">
        <v>34.67</v>
      </c>
      <c r="W584" s="159">
        <f>U584/V584</f>
        <v/>
      </c>
      <c r="X584" s="159">
        <f>(W584/U584)*100</f>
        <v/>
      </c>
      <c r="Y584" s="159" t="n">
        <v>15104.9</v>
      </c>
      <c r="Z584" s="159" t="n">
        <v>26.96</v>
      </c>
      <c r="AA584" s="159">
        <f>Y584/Z584</f>
        <v/>
      </c>
      <c r="AB584" s="159">
        <f>(AA584/Y584)*100</f>
        <v/>
      </c>
    </row>
    <row r="585">
      <c r="A585" s="155" t="n">
        <v>584</v>
      </c>
      <c r="B585" s="160" t="n">
        <v>45425</v>
      </c>
      <c r="C585" s="159" t="n">
        <v>39743403.98</v>
      </c>
      <c r="D585" s="174">
        <f>C585/E585</f>
        <v/>
      </c>
      <c r="E585" s="159" t="n">
        <v>83.45999999999999</v>
      </c>
      <c r="F585" s="159">
        <f>D585/100000</f>
        <v/>
      </c>
      <c r="G585" s="159">
        <f>(F585/DataSheet!$C$11*100)</f>
        <v/>
      </c>
      <c r="H585" s="159">
        <f>K585/I585</f>
        <v/>
      </c>
      <c r="I585" s="159">
        <f>(J585/L585)*100</f>
        <v/>
      </c>
      <c r="J585" s="159">
        <f>L585/O585</f>
        <v/>
      </c>
      <c r="K585" s="159" t="n">
        <v>7.11</v>
      </c>
      <c r="L585" s="159" t="n">
        <v>22104.05</v>
      </c>
      <c r="M585" s="159" t="n">
        <v>3.88</v>
      </c>
      <c r="N585" s="159">
        <f>K585-I585</f>
        <v/>
      </c>
      <c r="O585" s="159" t="n">
        <v>21.35</v>
      </c>
      <c r="P585" s="159" t="n">
        <v>4.49</v>
      </c>
      <c r="Q585" s="159">
        <f>K585-P585</f>
        <v/>
      </c>
      <c r="R585" s="159" t="n">
        <v>105.1</v>
      </c>
      <c r="S585" s="159">
        <f>(O585*T585)/100</f>
        <v/>
      </c>
      <c r="T585" s="157" t="n">
        <v>7.03</v>
      </c>
      <c r="U585" s="159" t="n">
        <v>18516.75</v>
      </c>
      <c r="V585" s="159" t="n">
        <v>35.01</v>
      </c>
      <c r="W585" s="159">
        <f>U585/V585</f>
        <v/>
      </c>
      <c r="X585" s="159">
        <f>(W585/U585)*100</f>
        <v/>
      </c>
      <c r="Y585" s="159" t="n">
        <v>15050.75</v>
      </c>
      <c r="Z585" s="159" t="n">
        <v>26.87</v>
      </c>
      <c r="AA585" s="159">
        <f>Y585/Z585</f>
        <v/>
      </c>
      <c r="AB585" s="159">
        <f>(AA585/Y585)*100</f>
        <v/>
      </c>
    </row>
    <row r="586">
      <c r="A586" s="155" t="n">
        <v>585</v>
      </c>
      <c r="B586" s="160" t="n">
        <v>45426</v>
      </c>
      <c r="C586" s="159" t="n">
        <v>40199785.69</v>
      </c>
      <c r="D586" s="174">
        <f>C586/E586</f>
        <v/>
      </c>
      <c r="E586" s="159" t="n">
        <v>83.48</v>
      </c>
      <c r="F586" s="159">
        <f>D586/100000</f>
        <v/>
      </c>
      <c r="G586" s="159">
        <f>(F586/DataSheet!$C$11*100)</f>
        <v/>
      </c>
      <c r="H586" s="159">
        <f>K586/I586</f>
        <v/>
      </c>
      <c r="I586" s="159">
        <f>(J586/L586)*100</f>
        <v/>
      </c>
      <c r="J586" s="159">
        <f>L586/O586</f>
        <v/>
      </c>
      <c r="K586" s="159" t="n">
        <v>7.1</v>
      </c>
      <c r="L586" s="159" t="n">
        <v>22217.85</v>
      </c>
      <c r="M586" s="159" t="n">
        <v>3.9</v>
      </c>
      <c r="N586" s="159">
        <f>K586-I586</f>
        <v/>
      </c>
      <c r="O586" s="159" t="n">
        <v>21.19</v>
      </c>
      <c r="P586" s="159" t="n">
        <v>4.44</v>
      </c>
      <c r="Q586" s="159">
        <f>K586-P586</f>
        <v/>
      </c>
      <c r="R586" s="159" t="n">
        <v>104.89</v>
      </c>
      <c r="S586" s="159">
        <f>(O586*T586)/100</f>
        <v/>
      </c>
      <c r="T586" s="157" t="n">
        <v>7.02</v>
      </c>
      <c r="U586" s="159" t="n">
        <v>18690.1</v>
      </c>
      <c r="V586" s="159" t="n">
        <v>35.23</v>
      </c>
      <c r="W586" s="159">
        <f>U586/V586</f>
        <v/>
      </c>
      <c r="X586" s="159">
        <f>(W586/U586)*100</f>
        <v/>
      </c>
      <c r="Y586" s="159" t="n">
        <v>15315.45</v>
      </c>
      <c r="Z586" s="159" t="n">
        <v>27.25</v>
      </c>
      <c r="AA586" s="159">
        <f>Y586/Z586</f>
        <v/>
      </c>
      <c r="AB586" s="159">
        <f>(AA586/Y586)*100</f>
        <v/>
      </c>
    </row>
    <row r="587">
      <c r="A587" s="155" t="n">
        <v>586</v>
      </c>
      <c r="B587" s="160" t="n">
        <v>45427</v>
      </c>
      <c r="C587" s="159" t="n">
        <v>40436646.87</v>
      </c>
      <c r="D587" s="174">
        <f>C587/E587</f>
        <v/>
      </c>
      <c r="E587" s="159" t="n">
        <v>83.41</v>
      </c>
      <c r="F587" s="159">
        <f>D587/100000</f>
        <v/>
      </c>
      <c r="G587" s="159">
        <f>(F587/DataSheet!$C$11*100)</f>
        <v/>
      </c>
      <c r="H587" s="159">
        <f>K587/I587</f>
        <v/>
      </c>
      <c r="I587" s="159">
        <f>(J587/L587)*100</f>
        <v/>
      </c>
      <c r="J587" s="159">
        <f>L587/O587</f>
        <v/>
      </c>
      <c r="K587" s="159" t="n">
        <v>7.08</v>
      </c>
      <c r="L587" s="159" t="n">
        <v>22200.55</v>
      </c>
      <c r="M587" s="159" t="n">
        <v>3.89</v>
      </c>
      <c r="N587" s="159">
        <f>K587-I587</f>
        <v/>
      </c>
      <c r="O587" s="159" t="n">
        <v>21.17</v>
      </c>
      <c r="P587" s="159" t="n">
        <v>4.34</v>
      </c>
      <c r="Q587" s="159">
        <f>K587-P587</f>
        <v/>
      </c>
      <c r="R587" s="159" t="n">
        <v>104.21</v>
      </c>
      <c r="S587" s="159">
        <f>(O587*T587)/100</f>
        <v/>
      </c>
      <c r="T587" s="157" t="n">
        <v>7.02</v>
      </c>
      <c r="U587" s="159" t="n">
        <v>18865.2</v>
      </c>
      <c r="V587" s="159" t="n">
        <v>35.84</v>
      </c>
      <c r="W587" s="159">
        <f>U587/V587</f>
        <v/>
      </c>
      <c r="X587" s="159">
        <f>(W587/U587)*100</f>
        <v/>
      </c>
      <c r="Y587" s="159" t="n">
        <v>15431.2</v>
      </c>
      <c r="Z587" s="159" t="n">
        <v>27.4</v>
      </c>
      <c r="AA587" s="159">
        <f>Y587/Z587</f>
        <v/>
      </c>
      <c r="AB587" s="159">
        <f>(AA587/Y587)*100</f>
        <v/>
      </c>
    </row>
    <row r="588">
      <c r="A588" s="155" t="n">
        <v>587</v>
      </c>
      <c r="B588" s="160" t="n">
        <v>45428</v>
      </c>
      <c r="C588" s="159" t="n">
        <v>40749121.16</v>
      </c>
      <c r="D588" s="174">
        <f>C588/E588</f>
        <v/>
      </c>
      <c r="E588" s="159" t="n">
        <v>83.45</v>
      </c>
      <c r="F588" s="159">
        <f>D588/100000</f>
        <v/>
      </c>
      <c r="G588" s="159">
        <f>(F588/DataSheet!$C$11*100)</f>
        <v/>
      </c>
      <c r="H588" s="159">
        <f>K588/I588</f>
        <v/>
      </c>
      <c r="I588" s="159">
        <f>(J588/L588)*100</f>
        <v/>
      </c>
      <c r="J588" s="159">
        <f>L588/O588</f>
        <v/>
      </c>
      <c r="K588" s="159" t="n">
        <v>7.07</v>
      </c>
      <c r="L588" s="159" t="n">
        <v>22403.85</v>
      </c>
      <c r="M588" s="159" t="n">
        <v>3.93</v>
      </c>
      <c r="N588" s="159">
        <f>K588-I588</f>
        <v/>
      </c>
      <c r="O588" s="159" t="n">
        <v>21.41</v>
      </c>
      <c r="P588" s="159" t="n">
        <v>4.37</v>
      </c>
      <c r="Q588" s="159">
        <f>K588-P588</f>
        <v/>
      </c>
      <c r="R588" s="159" t="n">
        <v>104.34</v>
      </c>
      <c r="S588" s="159">
        <f>(O588*T588)/100</f>
        <v/>
      </c>
      <c r="T588" s="157" t="n">
        <v>7.03</v>
      </c>
      <c r="U588" s="159" t="n">
        <v>19048.8</v>
      </c>
      <c r="V588" s="159" t="n">
        <v>36.18</v>
      </c>
      <c r="W588" s="159">
        <f>U588/V588</f>
        <v/>
      </c>
      <c r="X588" s="159">
        <f>(W588/U588)*100</f>
        <v/>
      </c>
      <c r="Y588" s="159" t="n">
        <v>15545.75</v>
      </c>
      <c r="Z588" s="159" t="n">
        <v>27.31</v>
      </c>
      <c r="AA588" s="159">
        <f>Y588/Z588</f>
        <v/>
      </c>
      <c r="AB588" s="159">
        <f>(AA588/Y588)*100</f>
        <v/>
      </c>
    </row>
    <row r="589">
      <c r="A589" s="155" t="n">
        <v>588</v>
      </c>
      <c r="B589" s="160" t="n">
        <v>45429</v>
      </c>
      <c r="C589" s="159" t="n">
        <v>41039455.76</v>
      </c>
      <c r="D589" s="174">
        <f>C589/E589</f>
        <v/>
      </c>
      <c r="E589" s="159" t="n">
        <v>83.28</v>
      </c>
      <c r="F589" s="159">
        <f>D589/100000</f>
        <v/>
      </c>
      <c r="G589" s="159">
        <f>(F589/DataSheet!$C$11*100)</f>
        <v/>
      </c>
      <c r="H589" s="159">
        <f>K589/I589</f>
        <v/>
      </c>
      <c r="I589" s="159">
        <f>(J589/L589)*100</f>
        <v/>
      </c>
      <c r="J589" s="159">
        <f>L589/O589</f>
        <v/>
      </c>
      <c r="K589" s="159" t="n">
        <v>7.09</v>
      </c>
      <c r="L589" s="159" t="n">
        <v>22466.1</v>
      </c>
      <c r="M589" s="159" t="n">
        <v>3.94</v>
      </c>
      <c r="N589" s="159">
        <f>K589-I589</f>
        <v/>
      </c>
      <c r="O589" s="159" t="n">
        <v>21.47</v>
      </c>
      <c r="P589" s="159" t="n">
        <v>4.42</v>
      </c>
      <c r="Q589" s="159">
        <f>K589-P589</f>
        <v/>
      </c>
      <c r="R589" s="159" t="n">
        <v>104.33</v>
      </c>
      <c r="S589" s="159">
        <f>(O589*T589)/100</f>
        <v/>
      </c>
      <c r="T589" s="157" t="n">
        <v>6.99</v>
      </c>
      <c r="U589" s="159" t="n">
        <v>19249.2</v>
      </c>
      <c r="V589" s="159" t="n">
        <v>36.61</v>
      </c>
      <c r="W589" s="159">
        <f>U589/V589</f>
        <v/>
      </c>
      <c r="X589" s="159">
        <f>(W589/U589)*100</f>
        <v/>
      </c>
      <c r="Y589" s="159" t="n">
        <v>15792.9</v>
      </c>
      <c r="Z589" s="159" t="n">
        <v>27.79</v>
      </c>
      <c r="AA589" s="159">
        <f>Y589/Z589</f>
        <v/>
      </c>
      <c r="AB589" s="159">
        <f>(AA589/Y589)*100</f>
        <v/>
      </c>
    </row>
    <row r="590">
      <c r="A590" s="155" t="n">
        <v>589</v>
      </c>
      <c r="B590" s="160" t="n">
        <v>45430</v>
      </c>
      <c r="C590" s="159" t="n">
        <v>41255336.84</v>
      </c>
      <c r="D590" s="174">
        <f>C590/E590</f>
        <v/>
      </c>
      <c r="E590" s="159" t="n">
        <v>83.28</v>
      </c>
      <c r="F590" s="159">
        <f>D590/100000</f>
        <v/>
      </c>
      <c r="G590" s="159">
        <f>(F590/DataSheet!$C$11*100)</f>
        <v/>
      </c>
      <c r="H590" s="159">
        <f>K590/I590</f>
        <v/>
      </c>
      <c r="I590" s="159">
        <f>(J590/L590)*100</f>
        <v/>
      </c>
      <c r="J590" s="159">
        <f>L590/O590</f>
        <v/>
      </c>
      <c r="K590" s="159" t="n">
        <v>7.07</v>
      </c>
      <c r="L590" s="159" t="n">
        <v>22502</v>
      </c>
      <c r="M590" s="159" t="n">
        <v>3.95</v>
      </c>
      <c r="N590" s="159">
        <f>K590-I590</f>
        <v/>
      </c>
      <c r="O590" s="159" t="n">
        <v>21.5</v>
      </c>
      <c r="P590" s="159" t="n">
        <v>4.42</v>
      </c>
      <c r="Q590" s="159">
        <f>K590-P590</f>
        <v/>
      </c>
      <c r="R590" s="159" t="n">
        <v>104.46</v>
      </c>
      <c r="S590" s="159">
        <f>(O590*T590)/100</f>
        <v/>
      </c>
      <c r="T590" s="157" t="n">
        <v>6.99</v>
      </c>
      <c r="U590" s="159" t="n">
        <v>19352.6</v>
      </c>
      <c r="V590" s="159" t="n">
        <v>36.8</v>
      </c>
      <c r="W590" s="159">
        <f>U590/V590</f>
        <v/>
      </c>
      <c r="X590" s="159">
        <f>(W590/U590)*100</f>
        <v/>
      </c>
      <c r="Y590" s="159" t="n">
        <v>15935.5</v>
      </c>
      <c r="Z590" s="159" t="n">
        <v>28.04</v>
      </c>
      <c r="AA590" s="159">
        <f>Y590/Z590</f>
        <v/>
      </c>
      <c r="AB590" s="159">
        <f>(AA590/Y590)*100</f>
        <v/>
      </c>
    </row>
    <row r="591">
      <c r="A591" s="155" t="n">
        <v>590</v>
      </c>
      <c r="B591" s="160" t="n">
        <v>45433</v>
      </c>
      <c r="C591" s="159" t="n">
        <v>41472492.49</v>
      </c>
      <c r="D591" s="174">
        <f>C591/E591</f>
        <v/>
      </c>
      <c r="E591" s="159" t="n">
        <v>83.25</v>
      </c>
      <c r="F591" s="159">
        <f>D591/100000</f>
        <v/>
      </c>
      <c r="G591" s="159">
        <f>(F591/DataSheet!$C$11*100)</f>
        <v/>
      </c>
      <c r="H591" s="159">
        <f>K591/I591</f>
        <v/>
      </c>
      <c r="I591" s="159">
        <f>(J591/L591)*100</f>
        <v/>
      </c>
      <c r="J591" s="159">
        <f>L591/O591</f>
        <v/>
      </c>
      <c r="K591" s="159" t="n">
        <v>6.99</v>
      </c>
      <c r="L591" s="159" t="n">
        <v>22529.05</v>
      </c>
      <c r="M591" s="159" t="n">
        <v>3.95</v>
      </c>
      <c r="N591" s="159">
        <f>K591-I591</f>
        <v/>
      </c>
      <c r="O591" s="159" t="n">
        <v>21.52</v>
      </c>
      <c r="P591" s="159" t="n">
        <v>4.41</v>
      </c>
      <c r="Q591" s="159">
        <f>K591-P591</f>
        <v/>
      </c>
      <c r="R591" s="159" t="n">
        <v>104.55</v>
      </c>
      <c r="S591" s="159">
        <f>(O591*T591)/100</f>
        <v/>
      </c>
      <c r="T591" s="157" t="n">
        <v>6.86</v>
      </c>
      <c r="U591" s="159" t="n">
        <v>19413.2</v>
      </c>
      <c r="V591" s="159" t="n">
        <v>37.04</v>
      </c>
      <c r="W591" s="159">
        <f>U591/V591</f>
        <v/>
      </c>
      <c r="X591" s="159">
        <f>(W591/U591)*100</f>
        <v/>
      </c>
      <c r="Y591" s="159" t="n">
        <v>15867.75</v>
      </c>
      <c r="Z591" s="159" t="n">
        <v>27.92</v>
      </c>
      <c r="AA591" s="159">
        <f>Y591/Z591</f>
        <v/>
      </c>
      <c r="AB591" s="159">
        <f>(AA591/Y591)*100</f>
        <v/>
      </c>
    </row>
    <row r="592">
      <c r="A592" s="155" t="n">
        <v>591</v>
      </c>
      <c r="B592" s="160" t="n">
        <v>45434</v>
      </c>
      <c r="C592" s="159" t="n">
        <v>41612682.8</v>
      </c>
      <c r="D592" s="174">
        <f>C592/E592</f>
        <v/>
      </c>
      <c r="E592" s="159" t="n">
        <v>83.22</v>
      </c>
      <c r="F592" s="159">
        <f>D592/100000</f>
        <v/>
      </c>
      <c r="G592" s="159">
        <f>(F592/DataSheet!$C$11*100)</f>
        <v/>
      </c>
      <c r="H592" s="159">
        <f>K592/I592</f>
        <v/>
      </c>
      <c r="I592" s="159">
        <f>(J592/L592)*100</f>
        <v/>
      </c>
      <c r="J592" s="159">
        <f>L592/O592</f>
        <v/>
      </c>
      <c r="K592" s="159" t="n">
        <v>6.99</v>
      </c>
      <c r="L592" s="159" t="n">
        <v>22597.8</v>
      </c>
      <c r="M592" s="159" t="n">
        <v>3.96</v>
      </c>
      <c r="N592" s="159">
        <f>K592-I592</f>
        <v/>
      </c>
      <c r="O592" s="159" t="n">
        <v>21.55</v>
      </c>
      <c r="P592" s="159" t="n">
        <v>4.42</v>
      </c>
      <c r="Q592" s="159">
        <f>K592-P592</f>
        <v/>
      </c>
      <c r="R592" s="159" t="n">
        <v>104.83</v>
      </c>
      <c r="S592" s="159">
        <f>(O592*T592)/100</f>
        <v/>
      </c>
      <c r="T592" s="157" t="n">
        <v>6.87</v>
      </c>
      <c r="U592" s="159" t="n">
        <v>19469.35</v>
      </c>
      <c r="V592" s="159" t="n">
        <v>37.21</v>
      </c>
      <c r="W592" s="159">
        <f>U592/V592</f>
        <v/>
      </c>
      <c r="X592" s="159">
        <f>(W592/U592)*100</f>
        <v/>
      </c>
      <c r="Y592" s="159" t="n">
        <v>15847.05</v>
      </c>
      <c r="Z592" s="159" t="n">
        <v>27.92</v>
      </c>
      <c r="AA592" s="159">
        <f>Y592/Z592</f>
        <v/>
      </c>
      <c r="AB592" s="159">
        <f>(AA592/Y592)*100</f>
        <v/>
      </c>
    </row>
    <row r="593">
      <c r="A593" s="155" t="n">
        <v>592</v>
      </c>
      <c r="B593" s="160" t="n">
        <v>45435</v>
      </c>
      <c r="C593" s="159" t="n">
        <v>42034696.43</v>
      </c>
      <c r="D593" s="174">
        <f>C593/E593</f>
        <v/>
      </c>
      <c r="E593" s="159" t="n">
        <v>83.23999999999999</v>
      </c>
      <c r="F593" s="159">
        <f>D593/100000</f>
        <v/>
      </c>
      <c r="G593" s="159">
        <f>(F593/DataSheet!$C$11*100)</f>
        <v/>
      </c>
      <c r="H593" s="159">
        <f>K593/I593</f>
        <v/>
      </c>
      <c r="I593" s="159">
        <f>(J593/L593)*100</f>
        <v/>
      </c>
      <c r="J593" s="159">
        <f>L593/O593</f>
        <v/>
      </c>
      <c r="K593" s="159" t="n">
        <v>6.98</v>
      </c>
      <c r="L593" s="159" t="n">
        <v>22967.65</v>
      </c>
      <c r="M593" s="159" t="n">
        <v>4.03</v>
      </c>
      <c r="N593" s="159">
        <f>K593-I593</f>
        <v/>
      </c>
      <c r="O593" s="159" t="n">
        <v>21.9</v>
      </c>
      <c r="P593" s="159" t="n">
        <v>4.47</v>
      </c>
      <c r="Q593" s="159">
        <f>K593-P593</f>
        <v/>
      </c>
      <c r="R593" s="159" t="n">
        <v>105.03</v>
      </c>
      <c r="S593" s="159">
        <f>(O593*T593)/100</f>
        <v/>
      </c>
      <c r="T593" s="157" t="n">
        <v>6.87</v>
      </c>
      <c r="U593" s="159" t="n">
        <v>19562.55</v>
      </c>
      <c r="V593" s="159" t="n">
        <v>37.39</v>
      </c>
      <c r="W593" s="159">
        <f>U593/V593</f>
        <v/>
      </c>
      <c r="X593" s="159">
        <f>(W593/U593)*100</f>
        <v/>
      </c>
      <c r="Y593" s="159" t="n">
        <v>15885.85</v>
      </c>
      <c r="Z593" s="159" t="n">
        <v>27.99</v>
      </c>
      <c r="AA593" s="159">
        <f>Y593/Z593</f>
        <v/>
      </c>
      <c r="AB593" s="159">
        <f>(AA593/Y593)*100</f>
        <v/>
      </c>
    </row>
    <row r="594">
      <c r="A594" s="155" t="n">
        <v>593</v>
      </c>
      <c r="B594" s="160" t="n">
        <v>45436</v>
      </c>
      <c r="C594" s="159" t="n">
        <v>42012888.33</v>
      </c>
      <c r="D594" s="174">
        <f>C594/E594</f>
        <v/>
      </c>
      <c r="E594" s="159" t="n">
        <v>83.06</v>
      </c>
      <c r="F594" s="159">
        <f>D594/100000</f>
        <v/>
      </c>
      <c r="G594" s="159">
        <f>(F594/DataSheet!$C$11*100)</f>
        <v/>
      </c>
      <c r="H594" s="159">
        <f>K594/I594</f>
        <v/>
      </c>
      <c r="I594" s="159">
        <f>(J594/L594)*100</f>
        <v/>
      </c>
      <c r="J594" s="159">
        <f>L594/O594</f>
        <v/>
      </c>
      <c r="K594" s="159" t="n">
        <v>6.99</v>
      </c>
      <c r="L594" s="159" t="n">
        <v>22957.1</v>
      </c>
      <c r="M594" s="159" t="n">
        <v>4.03</v>
      </c>
      <c r="N594" s="159">
        <f>K594-I594</f>
        <v/>
      </c>
      <c r="O594" s="159" t="n">
        <v>21.88</v>
      </c>
      <c r="P594" s="159" t="n">
        <v>4.46</v>
      </c>
      <c r="Q594" s="159">
        <f>K594-P594</f>
        <v/>
      </c>
      <c r="R594" s="159" t="n">
        <v>104.63</v>
      </c>
      <c r="S594" s="159">
        <f>(O594*T594)/100</f>
        <v/>
      </c>
      <c r="T594" s="157" t="n">
        <v>6.88</v>
      </c>
      <c r="U594" s="159" t="n">
        <v>19553.15</v>
      </c>
      <c r="V594" s="159" t="n">
        <v>37.33</v>
      </c>
      <c r="W594" s="159">
        <f>U594/V594</f>
        <v/>
      </c>
      <c r="X594" s="159">
        <f>(W594/U594)*100</f>
        <v/>
      </c>
      <c r="Y594" s="159" t="n">
        <v>15865.65</v>
      </c>
      <c r="Z594" s="159" t="n">
        <v>27.98</v>
      </c>
      <c r="AA594" s="159">
        <f>Y594/Z594</f>
        <v/>
      </c>
      <c r="AB594" s="159">
        <f>(AA594/Y594)*100</f>
        <v/>
      </c>
    </row>
    <row r="595">
      <c r="A595" s="155" t="n">
        <v>594</v>
      </c>
      <c r="B595" s="160" t="n">
        <v>45439</v>
      </c>
      <c r="C595" s="159" t="n">
        <v>41997745.34</v>
      </c>
      <c r="D595" s="174">
        <f>C595/E595</f>
        <v/>
      </c>
      <c r="E595" s="159" t="n">
        <v>83.09999999999999</v>
      </c>
      <c r="F595" s="159">
        <f>D595/100000</f>
        <v/>
      </c>
      <c r="G595" s="159">
        <f>(F595/DataSheet!$C$11*100)</f>
        <v/>
      </c>
      <c r="H595" s="159">
        <f>K595/I595</f>
        <v/>
      </c>
      <c r="I595" s="159">
        <f>(J595/L595)*100</f>
        <v/>
      </c>
      <c r="J595" s="159">
        <f>L595/O595</f>
        <v/>
      </c>
      <c r="K595" s="159" t="n">
        <v>6.98</v>
      </c>
      <c r="L595" s="159" t="n">
        <v>22932.45</v>
      </c>
      <c r="M595" s="159" t="n">
        <v>4.02</v>
      </c>
      <c r="N595" s="159">
        <f>K595-I595</f>
        <v/>
      </c>
      <c r="O595" s="159" t="n">
        <v>21.85</v>
      </c>
      <c r="P595" s="159" t="n">
        <v>4.46</v>
      </c>
      <c r="Q595" s="159">
        <f>K595-P595</f>
        <v/>
      </c>
      <c r="R595" s="159" t="n">
        <v>104.63</v>
      </c>
      <c r="S595" s="159">
        <f>(O595*T595)/100</f>
        <v/>
      </c>
      <c r="T595" s="157" t="n">
        <v>6.91</v>
      </c>
      <c r="U595" s="159" t="n">
        <v>19625.9</v>
      </c>
      <c r="V595" s="159" t="n">
        <v>37.43</v>
      </c>
      <c r="W595" s="159">
        <f>U595/V595</f>
        <v/>
      </c>
      <c r="X595" s="159">
        <f>(W595/U595)*100</f>
        <v/>
      </c>
      <c r="Y595" s="159" t="n">
        <v>15935.55</v>
      </c>
      <c r="Z595" s="159" t="n">
        <v>28.08</v>
      </c>
      <c r="AA595" s="159">
        <f>Y595/Z595</f>
        <v/>
      </c>
      <c r="AB595" s="159">
        <f>(AA595/Y595)*100</f>
        <v/>
      </c>
    </row>
    <row r="596">
      <c r="A596" s="155" t="n">
        <v>595</v>
      </c>
      <c r="B596" s="160" t="n">
        <v>45440</v>
      </c>
      <c r="C596" s="159" t="n">
        <v>41704680.41</v>
      </c>
      <c r="D596" s="174">
        <f>C596/E596</f>
        <v/>
      </c>
      <c r="E596" s="159" t="n">
        <v>83.16</v>
      </c>
      <c r="F596" s="159">
        <f>D596/100000</f>
        <v/>
      </c>
      <c r="G596" s="159">
        <f>(F596/DataSheet!$C$11*100)</f>
        <v/>
      </c>
      <c r="H596" s="159">
        <f>K596/I596</f>
        <v/>
      </c>
      <c r="I596" s="159">
        <f>(J596/L596)*100</f>
        <v/>
      </c>
      <c r="J596" s="159">
        <f>L596/O596</f>
        <v/>
      </c>
      <c r="K596" s="159" t="n">
        <v>6.99</v>
      </c>
      <c r="L596" s="159" t="n">
        <v>22888.15</v>
      </c>
      <c r="M596" s="159" t="n">
        <v>4.01</v>
      </c>
      <c r="N596" s="159">
        <f>K596-I596</f>
        <v/>
      </c>
      <c r="O596" s="159" t="n">
        <v>21.74</v>
      </c>
      <c r="P596" s="159" t="n">
        <v>4.54</v>
      </c>
      <c r="Q596" s="159">
        <f>K596-P596</f>
        <v/>
      </c>
      <c r="R596" s="159" t="n">
        <v>104.53</v>
      </c>
      <c r="S596" s="159">
        <f>(O596*T596)/100</f>
        <v/>
      </c>
      <c r="T596" s="157" t="n">
        <v>6.91</v>
      </c>
      <c r="U596" s="159" t="n">
        <v>19474.95</v>
      </c>
      <c r="V596" s="159" t="n">
        <v>37.06</v>
      </c>
      <c r="W596" s="159">
        <f>U596/V596</f>
        <v/>
      </c>
      <c r="X596" s="159">
        <f>(W596/U596)*100</f>
        <v/>
      </c>
      <c r="Y596" s="159" t="n">
        <v>15773.05</v>
      </c>
      <c r="Z596" s="159" t="n">
        <v>28.05</v>
      </c>
      <c r="AA596" s="159">
        <f>Y596/Z596</f>
        <v/>
      </c>
      <c r="AB596" s="159">
        <f>(AA596/Y596)*100</f>
        <v/>
      </c>
    </row>
    <row r="597">
      <c r="A597" s="155" t="n">
        <v>596</v>
      </c>
      <c r="B597" s="160" t="n">
        <v>45441</v>
      </c>
      <c r="C597" s="159" t="n">
        <v>41520721.83</v>
      </c>
      <c r="D597" s="174">
        <f>C597/E597</f>
        <v/>
      </c>
      <c r="E597" s="159" t="n">
        <v>83.34</v>
      </c>
      <c r="F597" s="159">
        <f>D597/100000</f>
        <v/>
      </c>
      <c r="G597" s="159">
        <f>(F597/DataSheet!$C$11*100)</f>
        <v/>
      </c>
      <c r="H597" s="159">
        <f>K597/I597</f>
        <v/>
      </c>
      <c r="I597" s="159">
        <f>(J597/L597)*100</f>
        <v/>
      </c>
      <c r="J597" s="159">
        <f>L597/O597</f>
        <v/>
      </c>
      <c r="K597" s="159" t="n">
        <v>7</v>
      </c>
      <c r="L597" s="159" t="n">
        <v>22704.7</v>
      </c>
      <c r="M597" s="159" t="n">
        <v>3.98</v>
      </c>
      <c r="N597" s="159">
        <f>K597-I597</f>
        <v/>
      </c>
      <c r="O597" s="159" t="n">
        <v>21.57</v>
      </c>
      <c r="P597" s="159" t="n">
        <v>4.61</v>
      </c>
      <c r="Q597" s="159">
        <f>K597-P597</f>
        <v/>
      </c>
      <c r="R597" s="159" t="n">
        <v>105.03</v>
      </c>
      <c r="S597" s="159">
        <f>(O597*T597)/100</f>
        <v/>
      </c>
      <c r="T597" s="157" t="n">
        <v>6.9</v>
      </c>
      <c r="U597" s="159" t="n">
        <v>19421.2</v>
      </c>
      <c r="V597" s="159" t="n">
        <v>36.95</v>
      </c>
      <c r="W597" s="159">
        <f>U597/V597</f>
        <v/>
      </c>
      <c r="X597" s="159">
        <f>(W597/U597)*100</f>
        <v/>
      </c>
      <c r="Y597" s="159" t="n">
        <v>15786.2</v>
      </c>
      <c r="Z597" s="159" t="n">
        <v>27.96</v>
      </c>
      <c r="AA597" s="159">
        <f>Y597/Z597</f>
        <v/>
      </c>
      <c r="AB597" s="159">
        <f>(AA597/Y597)*100</f>
        <v/>
      </c>
    </row>
    <row r="598">
      <c r="A598" s="155" t="n">
        <v>597</v>
      </c>
      <c r="B598" s="160" t="n">
        <v>45442</v>
      </c>
      <c r="C598" s="159" t="n">
        <v>41044220.46</v>
      </c>
      <c r="D598" s="174">
        <f>C598/E598</f>
        <v/>
      </c>
      <c r="E598" s="159" t="n">
        <v>83.28</v>
      </c>
      <c r="F598" s="159">
        <f>D598/100000</f>
        <v/>
      </c>
      <c r="G598" s="159">
        <f>(F598/DataSheet!$C$11*100)</f>
        <v/>
      </c>
      <c r="H598" s="159">
        <f>K598/I598</f>
        <v/>
      </c>
      <c r="I598" s="159">
        <f>(J598/L598)*100</f>
        <v/>
      </c>
      <c r="J598" s="159">
        <f>L598/O598</f>
        <v/>
      </c>
      <c r="K598" s="159" t="n">
        <v>7</v>
      </c>
      <c r="L598" s="159" t="n">
        <v>22488.65</v>
      </c>
      <c r="M598" s="159" t="n">
        <v>3.94</v>
      </c>
      <c r="N598" s="159">
        <f>K598-I598</f>
        <v/>
      </c>
      <c r="O598" s="159" t="n">
        <v>21.36</v>
      </c>
      <c r="P598" s="159" t="n">
        <v>4.55</v>
      </c>
      <c r="Q598" s="159">
        <f>K598-P598</f>
        <v/>
      </c>
      <c r="R598" s="159" t="n">
        <v>104.65</v>
      </c>
      <c r="S598" s="159">
        <f>(O598*T598)/100</f>
        <v/>
      </c>
      <c r="T598" s="157" t="n">
        <v>6.88</v>
      </c>
      <c r="U598" s="159" t="n">
        <v>19196.7</v>
      </c>
      <c r="V598" s="159" t="n">
        <v>36.65</v>
      </c>
      <c r="W598" s="159">
        <f>U598/V598</f>
        <v/>
      </c>
      <c r="X598" s="159">
        <f>(W598/U598)*100</f>
        <v/>
      </c>
      <c r="Y598" s="159" t="n">
        <v>15551.95</v>
      </c>
      <c r="Z598" s="159" t="n">
        <v>27.58</v>
      </c>
      <c r="AA598" s="159">
        <f>Y598/Z598</f>
        <v/>
      </c>
      <c r="AB598" s="159">
        <f>(AA598/Y598)*100</f>
        <v/>
      </c>
    </row>
    <row r="599">
      <c r="A599" s="155" t="n">
        <v>598</v>
      </c>
      <c r="B599" s="160" t="n">
        <v>45443</v>
      </c>
      <c r="C599" s="159" t="n">
        <v>41220552.19</v>
      </c>
      <c r="D599" s="174">
        <f>C599/E599</f>
        <v/>
      </c>
      <c r="E599" s="159" t="n">
        <v>83.42</v>
      </c>
      <c r="F599" s="159">
        <f>D599/100000</f>
        <v/>
      </c>
      <c r="G599" s="159">
        <f>(F599/DataSheet!$C$11*100)</f>
        <v/>
      </c>
      <c r="H599" s="159">
        <f>K599/I599</f>
        <v/>
      </c>
      <c r="I599" s="159">
        <f>(J599/L599)*100</f>
        <v/>
      </c>
      <c r="J599" s="159">
        <f>L599/O599</f>
        <v/>
      </c>
      <c r="K599" s="159" t="n">
        <v>6.98</v>
      </c>
      <c r="L599" s="159" t="n">
        <v>22530.7</v>
      </c>
      <c r="M599" s="159" t="n">
        <v>3.95</v>
      </c>
      <c r="N599" s="159">
        <f>K599-I599</f>
        <v/>
      </c>
      <c r="O599" s="159" t="n">
        <v>21.4</v>
      </c>
      <c r="P599" s="159" t="n">
        <v>4.5</v>
      </c>
      <c r="Q599" s="159">
        <f>K599-P599</f>
        <v/>
      </c>
      <c r="R599" s="159" t="n">
        <v>104.62</v>
      </c>
      <c r="S599" s="159">
        <f>(O599*T599)/100</f>
        <v/>
      </c>
      <c r="T599" s="157" t="n">
        <v>6.89</v>
      </c>
      <c r="U599" s="159" t="n">
        <v>19308.75</v>
      </c>
      <c r="V599" s="159" t="n">
        <v>39.46</v>
      </c>
      <c r="W599" s="159">
        <f>U599/V599</f>
        <v/>
      </c>
      <c r="X599" s="159">
        <f>(W599/U599)*100</f>
        <v/>
      </c>
      <c r="Y599" s="159" t="n">
        <v>15626.65</v>
      </c>
      <c r="Z599" s="159" t="n">
        <v>27.72</v>
      </c>
      <c r="AA599" s="159">
        <f>Y599/Z599</f>
        <v/>
      </c>
      <c r="AB599" s="159">
        <f>(AA599/Y599)*100</f>
        <v/>
      </c>
    </row>
    <row r="600">
      <c r="A600" s="155" t="n">
        <v>599</v>
      </c>
      <c r="B600" s="160" t="n">
        <v>45446</v>
      </c>
      <c r="C600" s="159" t="n">
        <v>42587013.04</v>
      </c>
      <c r="D600" s="174">
        <f>C600/E600</f>
        <v/>
      </c>
      <c r="E600" s="159" t="n">
        <v>83.08</v>
      </c>
      <c r="F600" s="159">
        <f>D600/100000</f>
        <v/>
      </c>
      <c r="G600" s="159">
        <f>(F600/DataSheet!$C$11*100)</f>
        <v/>
      </c>
      <c r="H600" s="159">
        <f>K600/I600</f>
        <v/>
      </c>
      <c r="I600" s="159">
        <f>(J600/L600)*100</f>
        <v/>
      </c>
      <c r="J600" s="159">
        <f>L600/O600</f>
        <v/>
      </c>
      <c r="K600" s="159" t="n">
        <v>6.94</v>
      </c>
      <c r="L600" s="159" t="n">
        <v>23263.9</v>
      </c>
      <c r="M600" s="159" t="n">
        <v>4.08</v>
      </c>
      <c r="N600" s="159">
        <f>K600-I600</f>
        <v/>
      </c>
      <c r="O600" s="159" t="n">
        <v>22.13</v>
      </c>
      <c r="P600" s="159" t="n">
        <v>4.39</v>
      </c>
      <c r="Q600" s="159">
        <f>K600-P600</f>
        <v/>
      </c>
      <c r="R600" s="159" t="n">
        <v>104.07</v>
      </c>
      <c r="S600" s="159">
        <f>(O600*T600)/100</f>
        <v/>
      </c>
      <c r="T600" s="157" t="n">
        <v>6.89</v>
      </c>
      <c r="U600" s="159" t="n">
        <v>19889.85</v>
      </c>
      <c r="V600" s="159" t="n">
        <v>40.47</v>
      </c>
      <c r="W600" s="159">
        <f>U600/V600</f>
        <v/>
      </c>
      <c r="X600" s="159">
        <f>(W600/U600)*100</f>
        <v/>
      </c>
      <c r="Y600" s="159" t="n">
        <v>15948.75</v>
      </c>
      <c r="Z600" s="159" t="n">
        <v>28.25</v>
      </c>
      <c r="AA600" s="159">
        <f>Y600/Z600</f>
        <v/>
      </c>
      <c r="AB600" s="159">
        <f>(AA600/Y600)*100</f>
        <v/>
      </c>
    </row>
    <row r="601">
      <c r="A601" s="155" t="n">
        <v>600</v>
      </c>
      <c r="B601" s="160" t="n">
        <v>45447</v>
      </c>
      <c r="C601" s="159" t="n">
        <v>39481254.77</v>
      </c>
      <c r="D601" s="174">
        <f>C601/E601</f>
        <v/>
      </c>
      <c r="E601" s="159" t="n">
        <v>83.52</v>
      </c>
      <c r="F601" s="159">
        <f>D601/100000</f>
        <v/>
      </c>
      <c r="G601" s="159">
        <f>(F601/DataSheet!$C$11*100)</f>
        <v/>
      </c>
      <c r="H601" s="159">
        <f>K601/I601</f>
        <v/>
      </c>
      <c r="I601" s="159">
        <f>(J601/L601)*100</f>
        <v/>
      </c>
      <c r="J601" s="159">
        <f>L601/O601</f>
        <v/>
      </c>
      <c r="K601" s="159" t="n">
        <v>7.03</v>
      </c>
      <c r="L601" s="159" t="n">
        <v>21884.5</v>
      </c>
      <c r="M601" s="159" t="n">
        <v>3.84</v>
      </c>
      <c r="N601" s="159">
        <f>K601-I601</f>
        <v/>
      </c>
      <c r="O601" s="159" t="n">
        <v>20.81</v>
      </c>
      <c r="P601" s="159" t="n">
        <v>4.33</v>
      </c>
      <c r="Q601" s="159">
        <f>K601-P601</f>
        <v/>
      </c>
      <c r="R601" s="159" t="n">
        <v>104.05</v>
      </c>
      <c r="S601" s="159">
        <f>(O601*T601)/100</f>
        <v/>
      </c>
      <c r="T601" s="157" t="n">
        <v>6.89</v>
      </c>
      <c r="U601" s="159" t="n">
        <v>18476.25</v>
      </c>
      <c r="V601" s="159" t="n">
        <v>37.58</v>
      </c>
      <c r="W601" s="159">
        <f>U601/V601</f>
        <v/>
      </c>
      <c r="X601" s="159">
        <f>(W601/U601)*100</f>
        <v/>
      </c>
      <c r="Y601" s="159" t="n">
        <v>14761.1</v>
      </c>
      <c r="Z601" s="159" t="n">
        <v>26.36</v>
      </c>
      <c r="AA601" s="159">
        <f>Y601/Z601</f>
        <v/>
      </c>
      <c r="AB601" s="159">
        <f>(AA601/Y601)*100</f>
        <v/>
      </c>
    </row>
    <row r="602">
      <c r="A602" s="155" t="n">
        <v>601</v>
      </c>
      <c r="B602" s="160" t="n">
        <v>45448</v>
      </c>
      <c r="C602" s="159" t="n">
        <v>40808337.45</v>
      </c>
      <c r="D602" s="174">
        <f>C602/E602</f>
        <v/>
      </c>
      <c r="E602" s="159" t="n">
        <v>83.37</v>
      </c>
      <c r="F602" s="159">
        <f>D602/100000</f>
        <v/>
      </c>
      <c r="G602" s="159">
        <f>(F602/DataSheet!$C$11*100)</f>
        <v/>
      </c>
      <c r="H602" s="159">
        <f>K602/I602</f>
        <v/>
      </c>
      <c r="I602" s="159">
        <f>(J602/L602)*100</f>
        <v/>
      </c>
      <c r="J602" s="159">
        <f>L602/O602</f>
        <v/>
      </c>
      <c r="K602" s="159" t="n">
        <v>7.02</v>
      </c>
      <c r="L602" s="159" t="n">
        <v>22620.35</v>
      </c>
      <c r="M602" s="159" t="n">
        <v>3.97</v>
      </c>
      <c r="N602" s="159">
        <f>K602-I602</f>
        <v/>
      </c>
      <c r="O602" s="159" t="n">
        <v>21.51</v>
      </c>
      <c r="P602" s="159" t="n">
        <v>4.27</v>
      </c>
      <c r="Q602" s="159">
        <f>K602-P602</f>
        <v/>
      </c>
      <c r="R602" s="159" t="n">
        <v>104.22</v>
      </c>
      <c r="S602" s="159">
        <f>(O602*T602)/100</f>
        <v/>
      </c>
      <c r="T602" s="157" t="n">
        <v>6.87</v>
      </c>
      <c r="U602" s="159" t="n">
        <v>19189.8</v>
      </c>
      <c r="V602" s="159" t="n">
        <v>39.03</v>
      </c>
      <c r="W602" s="159">
        <f>U602/V602</f>
        <v/>
      </c>
      <c r="X602" s="159">
        <f>(W602/U602)*100</f>
        <v/>
      </c>
      <c r="Y602" s="159" t="n">
        <v>15250</v>
      </c>
      <c r="Z602" s="159" t="n">
        <v>27.25</v>
      </c>
      <c r="AA602" s="159">
        <f>Y602/Z602</f>
        <v/>
      </c>
      <c r="AB602" s="159">
        <f>(AA602/Y602)*100</f>
        <v/>
      </c>
    </row>
    <row r="603">
      <c r="A603" s="155" t="n">
        <v>602</v>
      </c>
      <c r="B603" s="160" t="n">
        <v>45449</v>
      </c>
      <c r="C603" s="159" t="n">
        <v>41593792.43</v>
      </c>
      <c r="D603" s="174">
        <f>C603/E603</f>
        <v/>
      </c>
      <c r="E603" s="159" t="n">
        <v>83.45999999999999</v>
      </c>
      <c r="F603" s="159">
        <f>D603/100000</f>
        <v/>
      </c>
      <c r="G603" s="159">
        <f>(F603/DataSheet!$C$11*100)</f>
        <v/>
      </c>
      <c r="H603" s="159">
        <f>K603/I603</f>
        <v/>
      </c>
      <c r="I603" s="159">
        <f>(J603/L603)*100</f>
        <v/>
      </c>
      <c r="J603" s="159">
        <f>L603/O603</f>
        <v/>
      </c>
      <c r="K603" s="159" t="n">
        <v>7.01</v>
      </c>
      <c r="L603" s="159" t="n">
        <v>22821.4</v>
      </c>
      <c r="M603" s="159" t="n">
        <v>4</v>
      </c>
      <c r="N603" s="159">
        <f>K603-I603</f>
        <v/>
      </c>
      <c r="O603" s="159" t="n">
        <v>21.71</v>
      </c>
      <c r="P603" s="159" t="n">
        <v>4.28</v>
      </c>
      <c r="Q603" s="159">
        <f>K603-P603</f>
        <v/>
      </c>
      <c r="R603" s="159" t="n">
        <v>104.05</v>
      </c>
      <c r="S603" s="159">
        <f>(O603*T603)/100</f>
        <v/>
      </c>
      <c r="T603" s="157" t="n">
        <v>6.88</v>
      </c>
      <c r="U603" s="159" t="n">
        <v>19607.2</v>
      </c>
      <c r="V603" s="159" t="n">
        <v>39.88</v>
      </c>
      <c r="W603" s="159">
        <f>U603/V603</f>
        <v/>
      </c>
      <c r="X603" s="159">
        <f>(W603/U603)*100</f>
        <v/>
      </c>
      <c r="Y603" s="159" t="n">
        <v>15745.9</v>
      </c>
      <c r="Z603" s="159" t="n">
        <v>28.08</v>
      </c>
      <c r="AA603" s="159">
        <f>Y603/Z603</f>
        <v/>
      </c>
      <c r="AB603" s="159">
        <f>(AA603/Y603)*100</f>
        <v/>
      </c>
    </row>
    <row r="604">
      <c r="A604" s="155" t="n">
        <v>603</v>
      </c>
      <c r="B604" s="160" t="n">
        <v>45450</v>
      </c>
      <c r="C604" s="159" t="n">
        <v>42362278.53</v>
      </c>
      <c r="D604" s="174">
        <f>C604/E604</f>
        <v/>
      </c>
      <c r="E604" s="159" t="n">
        <v>83.52</v>
      </c>
      <c r="F604" s="159">
        <f>D604/100000</f>
        <v/>
      </c>
      <c r="G604" s="159">
        <f>(F604/DataSheet!$C$11*100)</f>
        <v/>
      </c>
      <c r="H604" s="159">
        <f>K604/I604</f>
        <v/>
      </c>
      <c r="I604" s="159">
        <f>(J604/L604)*100</f>
        <v/>
      </c>
      <c r="J604" s="159">
        <f>L604/O604</f>
        <v/>
      </c>
      <c r="K604" s="159" t="n">
        <v>7.01</v>
      </c>
      <c r="L604" s="159" t="n">
        <v>23290.15</v>
      </c>
      <c r="M604" s="159" t="n">
        <v>4.08</v>
      </c>
      <c r="N604" s="159">
        <f>K604-I604</f>
        <v/>
      </c>
      <c r="O604" s="159" t="n">
        <v>22.15</v>
      </c>
      <c r="P604" s="159" t="n">
        <v>4.43</v>
      </c>
      <c r="Q604" s="159">
        <f>K604-P604</f>
        <v/>
      </c>
      <c r="R604" s="159" t="n">
        <v>104.85</v>
      </c>
      <c r="S604" s="159">
        <f>(O604*T604)/100</f>
        <v/>
      </c>
      <c r="T604" s="157" t="n">
        <v>6.88</v>
      </c>
      <c r="U604" s="159" t="n">
        <v>19884.25</v>
      </c>
      <c r="V604" s="159" t="n">
        <v>40.44</v>
      </c>
      <c r="W604" s="159">
        <f>U604/V604</f>
        <v/>
      </c>
      <c r="X604" s="159">
        <f>(W604/U604)*100</f>
        <v/>
      </c>
      <c r="Y604" s="159" t="n">
        <v>16100</v>
      </c>
      <c r="Z604" s="159" t="n">
        <v>28.68</v>
      </c>
      <c r="AA604" s="159">
        <f>Y604/Z604</f>
        <v/>
      </c>
      <c r="AB604" s="159">
        <f>(AA604/Y604)*100</f>
        <v/>
      </c>
    </row>
    <row r="605">
      <c r="A605" s="155" t="n">
        <v>604</v>
      </c>
      <c r="B605" s="160" t="n">
        <v>45453</v>
      </c>
      <c r="C605" s="159" t="n">
        <v>42532403.08</v>
      </c>
      <c r="D605" s="174">
        <f>C605/E605</f>
        <v/>
      </c>
      <c r="E605" s="159" t="n">
        <v>83.5</v>
      </c>
      <c r="F605" s="159">
        <f>D605/100000</f>
        <v/>
      </c>
      <c r="G605" s="159">
        <f>(F605/DataSheet!$C$11*100)</f>
        <v/>
      </c>
      <c r="H605" s="159">
        <f>K605/I605</f>
        <v/>
      </c>
      <c r="I605" s="159">
        <f>(J605/L605)*100</f>
        <v/>
      </c>
      <c r="J605" s="159">
        <f>L605/O605</f>
        <v/>
      </c>
      <c r="K605" s="159" t="n">
        <v>7.03</v>
      </c>
      <c r="L605" s="159" t="n">
        <v>23259.2</v>
      </c>
      <c r="M605" s="159" t="n">
        <v>4.08</v>
      </c>
      <c r="N605" s="159">
        <f>K605-I605</f>
        <v/>
      </c>
      <c r="O605" s="159" t="n">
        <v>22.12</v>
      </c>
      <c r="P605" s="159" t="n">
        <v>4.47</v>
      </c>
      <c r="Q605" s="159">
        <f>K605-P605</f>
        <v/>
      </c>
      <c r="R605" s="159" t="n">
        <v>105.11</v>
      </c>
      <c r="S605" s="159">
        <f>(O605*T605)/100</f>
        <v/>
      </c>
      <c r="T605" s="157" t="n">
        <v>6.88</v>
      </c>
      <c r="U605" s="159" t="n">
        <v>19956.65</v>
      </c>
      <c r="V605" s="159" t="n">
        <v>40.55</v>
      </c>
      <c r="W605" s="159">
        <f>U605/V605</f>
        <v/>
      </c>
      <c r="X605" s="159">
        <f>(W605/U605)*100</f>
        <v/>
      </c>
      <c r="Y605" s="159" t="n">
        <v>16312.5</v>
      </c>
      <c r="Z605" s="159" t="n">
        <v>29.06</v>
      </c>
      <c r="AA605" s="159">
        <f>Y605/Z605</f>
        <v/>
      </c>
      <c r="AB605" s="159">
        <f>(AA605/Y605)*100</f>
        <v/>
      </c>
    </row>
    <row r="606">
      <c r="A606" s="155" t="n">
        <v>605</v>
      </c>
      <c r="B606" s="160" t="n">
        <v>45454</v>
      </c>
      <c r="C606" s="159" t="n">
        <v>42707122.5</v>
      </c>
      <c r="D606" s="174">
        <f>C606/E606</f>
        <v/>
      </c>
      <c r="E606" s="159" t="n">
        <v>83.59999999999999</v>
      </c>
      <c r="F606" s="159">
        <f>D606/100000</f>
        <v/>
      </c>
      <c r="G606" s="159">
        <f>(F606/DataSheet!$C$11*100)</f>
        <v/>
      </c>
      <c r="H606" s="159">
        <f>K606/I606</f>
        <v/>
      </c>
      <c r="I606" s="159">
        <f>(J606/L606)*100</f>
        <v/>
      </c>
      <c r="J606" s="159">
        <f>L606/O606</f>
        <v/>
      </c>
      <c r="K606" s="159" t="n">
        <v>7.01</v>
      </c>
      <c r="L606" s="159" t="n">
        <v>23264.85</v>
      </c>
      <c r="M606" s="159" t="n">
        <v>4.08</v>
      </c>
      <c r="N606" s="159">
        <f>K606-I606</f>
        <v/>
      </c>
      <c r="O606" s="159" t="n">
        <v>22.13</v>
      </c>
      <c r="P606" s="159" t="n">
        <v>4.4</v>
      </c>
      <c r="Q606" s="159">
        <f>K606-P606</f>
        <v/>
      </c>
      <c r="R606" s="159" t="n">
        <v>105.19</v>
      </c>
      <c r="S606" s="159">
        <f>(O606*T606)/100</f>
        <v/>
      </c>
      <c r="T606" s="157" t="n">
        <v>6.88</v>
      </c>
      <c r="U606" s="159" t="n">
        <v>20119.55</v>
      </c>
      <c r="V606" s="159" t="n">
        <v>40.88</v>
      </c>
      <c r="W606" s="159">
        <f>U606/V606</f>
        <v/>
      </c>
      <c r="X606" s="159">
        <f>(W606/U606)*100</f>
        <v/>
      </c>
      <c r="Y606" s="159" t="n">
        <v>16413.65</v>
      </c>
      <c r="Z606" s="159" t="n">
        <v>29.24</v>
      </c>
      <c r="AA606" s="159">
        <f>Y606/Z606</f>
        <v/>
      </c>
      <c r="AB606" s="159">
        <f>(AA606/Y606)*100</f>
        <v/>
      </c>
    </row>
    <row r="607">
      <c r="A607" s="155" t="n">
        <v>606</v>
      </c>
      <c r="B607" s="160" t="n">
        <v>45455</v>
      </c>
      <c r="C607" s="159" t="n">
        <v>42951615.61</v>
      </c>
      <c r="D607" s="174">
        <f>C607/E607</f>
        <v/>
      </c>
      <c r="E607" s="159" t="n">
        <v>83.43000000000001</v>
      </c>
      <c r="F607" s="159">
        <f>D607/100000</f>
        <v/>
      </c>
      <c r="G607" s="159">
        <f>(F607/DataSheet!$C$11*100)</f>
        <v/>
      </c>
      <c r="H607" s="159">
        <f>K607/I607</f>
        <v/>
      </c>
      <c r="I607" s="159">
        <f>(J607/L607)*100</f>
        <v/>
      </c>
      <c r="J607" s="159">
        <f>L607/O607</f>
        <v/>
      </c>
      <c r="K607" s="159" t="n">
        <v>6.98</v>
      </c>
      <c r="L607" s="159" t="n">
        <v>23322.95</v>
      </c>
      <c r="M607" s="159" t="n">
        <v>4.09</v>
      </c>
      <c r="N607" s="159">
        <f>K607-I607</f>
        <v/>
      </c>
      <c r="O607" s="159" t="n">
        <v>22.18</v>
      </c>
      <c r="P607" s="159" t="n">
        <v>4.31</v>
      </c>
      <c r="Q607" s="159">
        <f>K607-P607</f>
        <v/>
      </c>
      <c r="R607" s="159" t="n">
        <v>104.61</v>
      </c>
      <c r="S607" s="159">
        <f>(O607*T607)/100</f>
        <v/>
      </c>
      <c r="T607" s="157" t="n">
        <v>6.88</v>
      </c>
      <c r="U607" s="159" t="n">
        <v>20321.2</v>
      </c>
      <c r="V607" s="159" t="n">
        <v>41.29</v>
      </c>
      <c r="W607" s="159">
        <f>U607/V607</f>
        <v/>
      </c>
      <c r="X607" s="159">
        <f>(W607/U607)*100</f>
        <v/>
      </c>
      <c r="Y607" s="159" t="n">
        <v>16567.7</v>
      </c>
      <c r="Z607" s="159" t="n">
        <v>29.52</v>
      </c>
      <c r="AA607" s="159">
        <f>Y607/Z607</f>
        <v/>
      </c>
      <c r="AB607" s="159">
        <f>(AA607/Y607)*100</f>
        <v/>
      </c>
    </row>
    <row r="608">
      <c r="A608" s="155" t="n">
        <v>607</v>
      </c>
      <c r="B608" s="160" t="n">
        <v>45456</v>
      </c>
      <c r="C608" s="159" t="n">
        <v>43190115.96</v>
      </c>
      <c r="D608" s="174">
        <f>C608/E608</f>
        <v/>
      </c>
      <c r="E608" s="159" t="n">
        <v>83.54000000000001</v>
      </c>
      <c r="F608" s="159">
        <f>D608/100000</f>
        <v/>
      </c>
      <c r="G608" s="159">
        <f>(F608/DataSheet!$C$11*100)</f>
        <v/>
      </c>
      <c r="H608" s="159">
        <f>K608/I608</f>
        <v/>
      </c>
      <c r="I608" s="159">
        <f>(J608/L608)*100</f>
        <v/>
      </c>
      <c r="J608" s="159">
        <f>L608/O608</f>
        <v/>
      </c>
      <c r="K608" s="159" t="n">
        <v>6.98</v>
      </c>
      <c r="L608" s="159" t="n">
        <v>23398.9</v>
      </c>
      <c r="M608" s="159" t="n">
        <v>4.06</v>
      </c>
      <c r="N608" s="159">
        <f>K608-I608</f>
        <v/>
      </c>
      <c r="O608" s="159" t="n">
        <v>22.25</v>
      </c>
      <c r="P608" s="159" t="n">
        <v>4.24</v>
      </c>
      <c r="Q608" s="159">
        <f>K608-P608</f>
        <v/>
      </c>
      <c r="R608" s="159" t="n">
        <v>105.18</v>
      </c>
      <c r="S608" s="159">
        <f>(O608*T608)/100</f>
        <v/>
      </c>
      <c r="T608" s="157" t="n">
        <v>6.86</v>
      </c>
      <c r="U608" s="159" t="n">
        <v>20480.05</v>
      </c>
      <c r="V608" s="159" t="n">
        <v>41.6</v>
      </c>
      <c r="W608" s="159">
        <f>U608/V608</f>
        <v/>
      </c>
      <c r="X608" s="159">
        <f>(W608/U608)*100</f>
        <v/>
      </c>
      <c r="Y608" s="159" t="n">
        <v>16701.65</v>
      </c>
      <c r="Z608" s="159" t="n">
        <v>29.76</v>
      </c>
      <c r="AA608" s="159">
        <f>Y608/Z608</f>
        <v/>
      </c>
      <c r="AB608" s="159">
        <f>(AA608/Y608)*100</f>
        <v/>
      </c>
    </row>
    <row r="609">
      <c r="A609" s="155" t="n">
        <v>608</v>
      </c>
      <c r="B609" s="160" t="n">
        <v>45457</v>
      </c>
      <c r="C609" s="159" t="n">
        <v>43513560.25</v>
      </c>
      <c r="D609" s="174">
        <f>C609/E609</f>
        <v/>
      </c>
      <c r="E609" s="159" t="n">
        <v>83.54000000000001</v>
      </c>
      <c r="F609" s="159">
        <f>D609/100000</f>
        <v/>
      </c>
      <c r="G609" s="159">
        <f>(F609/DataSheet!$C$11*100)</f>
        <v/>
      </c>
      <c r="H609" s="159">
        <f>K609/I609</f>
        <v/>
      </c>
      <c r="I609" s="159">
        <f>(J609/L609)*100</f>
        <v/>
      </c>
      <c r="J609" s="159">
        <f>L609/O609</f>
        <v/>
      </c>
      <c r="K609" s="159" t="n">
        <v>6.98</v>
      </c>
      <c r="L609" s="159" t="n">
        <v>23465.6</v>
      </c>
      <c r="M609" s="159" t="n">
        <v>4.07</v>
      </c>
      <c r="N609" s="159">
        <f>K609-I609</f>
        <v/>
      </c>
      <c r="O609" s="159" t="n">
        <v>22.32</v>
      </c>
      <c r="P609" s="159" t="n">
        <v>4.22</v>
      </c>
      <c r="Q609" s="159">
        <f>K609-P609</f>
        <v/>
      </c>
      <c r="R609" s="159" t="n">
        <v>105.54</v>
      </c>
      <c r="S609" s="159">
        <f>(O609*T609)/100</f>
        <v/>
      </c>
      <c r="T609" s="157" t="n">
        <v>6.85</v>
      </c>
      <c r="U609" s="159" t="n">
        <v>20698.25</v>
      </c>
      <c r="V609" s="159" t="n">
        <v>42.04</v>
      </c>
      <c r="W609" s="159">
        <f>U609/V609</f>
        <v/>
      </c>
      <c r="X609" s="159">
        <f>(W609/U609)*100</f>
        <v/>
      </c>
      <c r="Y609" s="159" t="n">
        <v>16845.55</v>
      </c>
      <c r="Z609" s="159" t="n">
        <v>30.01</v>
      </c>
      <c r="AA609" s="159">
        <f>Y609/Z609</f>
        <v/>
      </c>
      <c r="AB609" s="159">
        <f>(AA609/Y609)*100</f>
        <v/>
      </c>
    </row>
    <row r="610">
      <c r="A610" s="155" t="n">
        <v>609</v>
      </c>
      <c r="B610" s="160" t="n">
        <v>45461</v>
      </c>
      <c r="C610" s="159" t="n">
        <v>43742181.18</v>
      </c>
      <c r="D610" s="174">
        <f>C610/E610</f>
        <v/>
      </c>
      <c r="E610" s="159" t="n">
        <v>83.33</v>
      </c>
      <c r="F610" s="159">
        <f>D610/100000</f>
        <v/>
      </c>
      <c r="G610" s="159">
        <f>(F610/DataSheet!$C$11*100)</f>
        <v/>
      </c>
      <c r="H610" s="159">
        <f>K610/I610</f>
        <v/>
      </c>
      <c r="I610" s="159">
        <f>(J610/L610)*100</f>
        <v/>
      </c>
      <c r="J610" s="159">
        <f>L610/O610</f>
        <v/>
      </c>
      <c r="K610" s="159" t="n">
        <v>6.98</v>
      </c>
      <c r="L610" s="159" t="n">
        <v>23557.9</v>
      </c>
      <c r="M610" s="159" t="n">
        <v>4.08</v>
      </c>
      <c r="N610" s="159">
        <f>K610-I610</f>
        <v/>
      </c>
      <c r="O610" s="159" t="n">
        <v>22.4</v>
      </c>
      <c r="P610" s="159" t="n">
        <v>4.21</v>
      </c>
      <c r="Q610" s="159">
        <f>K610-P610</f>
        <v/>
      </c>
      <c r="R610" s="159" t="n">
        <v>104.87</v>
      </c>
      <c r="S610" s="159">
        <f>(O610*T610)/100</f>
        <v/>
      </c>
      <c r="T610" s="157" t="n">
        <v>6.86</v>
      </c>
      <c r="U610" s="159" t="n">
        <v>20809.75</v>
      </c>
      <c r="V610" s="159" t="n">
        <v>42.27</v>
      </c>
      <c r="W610" s="159">
        <f>U610/V610</f>
        <v/>
      </c>
      <c r="X610" s="159">
        <f>(W610/U610)*100</f>
        <v/>
      </c>
      <c r="Y610" s="159" t="n">
        <v>17007.85</v>
      </c>
      <c r="Z610" s="159" t="n">
        <v>30.31</v>
      </c>
      <c r="AA610" s="159">
        <f>Y610/Z610</f>
        <v/>
      </c>
      <c r="AB610" s="159">
        <f>(AA610/Y610)*100</f>
        <v/>
      </c>
    </row>
    <row r="611">
      <c r="A611" s="155" t="n">
        <v>610</v>
      </c>
      <c r="B611" s="160" t="n">
        <v>45462</v>
      </c>
      <c r="C611" s="159" t="n">
        <v>43423245.43</v>
      </c>
      <c r="D611" s="174">
        <f>C611/E611</f>
        <v/>
      </c>
      <c r="E611" s="159" t="n">
        <v>83.45999999999999</v>
      </c>
      <c r="F611" s="159">
        <f>D611/100000</f>
        <v/>
      </c>
      <c r="G611" s="159">
        <f>(F611/DataSheet!$C$11*100)</f>
        <v/>
      </c>
      <c r="H611" s="159">
        <f>K611/I611</f>
        <v/>
      </c>
      <c r="I611" s="159">
        <f>(J611/L611)*100</f>
        <v/>
      </c>
      <c r="J611" s="159">
        <f>L611/O611</f>
        <v/>
      </c>
      <c r="K611" s="159" t="n">
        <v>6.97</v>
      </c>
      <c r="L611" s="159" t="n">
        <v>23516</v>
      </c>
      <c r="M611" s="159" t="n">
        <v>4.08</v>
      </c>
      <c r="N611" s="159">
        <f>K611-I611</f>
        <v/>
      </c>
      <c r="O611" s="159" t="n">
        <v>22.36</v>
      </c>
      <c r="P611" s="159" t="n">
        <v>4.23</v>
      </c>
      <c r="Q611" s="159">
        <f>K611-P611</f>
        <v/>
      </c>
      <c r="R611" s="159" t="n">
        <v>104.87</v>
      </c>
      <c r="S611" s="159">
        <f>(O611*T611)/100</f>
        <v/>
      </c>
      <c r="T611" s="157" t="n">
        <v>6.87</v>
      </c>
      <c r="U611" s="159" t="n">
        <v>20591.65</v>
      </c>
      <c r="V611" s="159" t="n">
        <v>41.82</v>
      </c>
      <c r="W611" s="159">
        <f>U611/V611</f>
        <v/>
      </c>
      <c r="X611" s="159">
        <f>(W611/U611)*100</f>
        <v/>
      </c>
      <c r="Y611" s="159" t="n">
        <v>16942.8</v>
      </c>
      <c r="Z611" s="159" t="n">
        <v>30.15</v>
      </c>
      <c r="AA611" s="159">
        <f>Y611/Z611</f>
        <v/>
      </c>
      <c r="AB611" s="159">
        <f>(AA611/Y611)*100</f>
        <v/>
      </c>
    </row>
    <row r="612">
      <c r="A612" s="155" t="n">
        <v>611</v>
      </c>
      <c r="B612" s="160" t="n">
        <v>45463</v>
      </c>
      <c r="C612" s="159" t="n">
        <v>43602241.6</v>
      </c>
      <c r="D612" s="174">
        <f>C612/E612</f>
        <v/>
      </c>
      <c r="E612" s="159" t="n">
        <v>83.62</v>
      </c>
      <c r="F612" s="159">
        <f>D612/100000</f>
        <v/>
      </c>
      <c r="G612" s="159">
        <f>(F612/DataSheet!$C$11*100)</f>
        <v/>
      </c>
      <c r="H612" s="159">
        <f>K612/I612</f>
        <v/>
      </c>
      <c r="I612" s="159">
        <f>(J612/L612)*100</f>
        <v/>
      </c>
      <c r="J612" s="159">
        <f>L612/O612</f>
        <v/>
      </c>
      <c r="K612" s="159" t="n">
        <v>6.97</v>
      </c>
      <c r="L612" s="159" t="n">
        <v>23567</v>
      </c>
      <c r="M612" s="159" t="n">
        <v>4.05</v>
      </c>
      <c r="N612" s="159">
        <f>K612-I612</f>
        <v/>
      </c>
      <c r="O612" s="159" t="n">
        <v>22.41</v>
      </c>
      <c r="P612" s="159" t="n">
        <v>4.26</v>
      </c>
      <c r="Q612" s="159">
        <f>K612-P612</f>
        <v/>
      </c>
      <c r="R612" s="159" t="n">
        <v>105.22</v>
      </c>
      <c r="S612" s="159">
        <f>(O612*T612)/100</f>
        <v/>
      </c>
      <c r="T612" s="157" t="n">
        <v>6.83</v>
      </c>
      <c r="U612" s="159" t="n">
        <v>20766.7</v>
      </c>
      <c r="V612" s="159" t="n">
        <v>42.18</v>
      </c>
      <c r="W612" s="159">
        <f>U612/V612</f>
        <v/>
      </c>
      <c r="X612" s="159">
        <f>(W612/U612)*100</f>
        <v/>
      </c>
      <c r="Y612" s="159" t="n">
        <v>17054</v>
      </c>
      <c r="Z612" s="159" t="n">
        <v>30.35</v>
      </c>
      <c r="AA612" s="159">
        <f>Y612/Z612</f>
        <v/>
      </c>
      <c r="AB612" s="159">
        <f>(AA612/Y612)*100</f>
        <v/>
      </c>
    </row>
    <row r="613">
      <c r="A613" s="155" t="n">
        <v>612</v>
      </c>
      <c r="B613" s="160" t="n">
        <v>45464</v>
      </c>
      <c r="C613" s="159" t="n">
        <v>43480399.44</v>
      </c>
      <c r="D613" s="174">
        <f>C613/E613</f>
        <v/>
      </c>
      <c r="E613" s="159" t="n">
        <v>83.55</v>
      </c>
      <c r="F613" s="159">
        <f>D613/100000</f>
        <v/>
      </c>
      <c r="G613" s="159">
        <f>(F613/DataSheet!$C$11*100)</f>
        <v/>
      </c>
      <c r="H613" s="159">
        <f>K613/I613</f>
        <v/>
      </c>
      <c r="I613" s="159">
        <f>(J613/L613)*100</f>
        <v/>
      </c>
      <c r="J613" s="159">
        <f>L613/O613</f>
        <v/>
      </c>
      <c r="K613" s="159" t="n">
        <v>6.97</v>
      </c>
      <c r="L613" s="159" t="n">
        <v>23501.1</v>
      </c>
      <c r="M613" s="159" t="n">
        <v>4.04</v>
      </c>
      <c r="N613" s="159">
        <f>K613-I613</f>
        <v/>
      </c>
      <c r="O613" s="159" t="n">
        <v>22.34</v>
      </c>
      <c r="P613" s="159" t="n">
        <v>4.25</v>
      </c>
      <c r="Q613" s="159">
        <f>K613-P613</f>
        <v/>
      </c>
      <c r="R613" s="159" t="n">
        <v>105.44</v>
      </c>
      <c r="S613" s="159">
        <f>(O613*T613)/100</f>
        <v/>
      </c>
      <c r="T613" s="157" t="n">
        <v>6.83</v>
      </c>
      <c r="U613" s="159" t="n">
        <v>20735.25</v>
      </c>
      <c r="V613" s="159" t="n">
        <v>42.11</v>
      </c>
      <c r="W613" s="159">
        <f>U613/V613</f>
        <v/>
      </c>
      <c r="X613" s="159">
        <f>(W613/U613)*100</f>
        <v/>
      </c>
      <c r="Y613" s="159" t="n">
        <v>17046.55</v>
      </c>
      <c r="Z613" s="159" t="n">
        <v>30.33</v>
      </c>
      <c r="AA613" s="159">
        <f>Y613/Z613</f>
        <v/>
      </c>
      <c r="AB613" s="159">
        <f>(AA613/Y613)*100</f>
        <v/>
      </c>
    </row>
    <row r="614">
      <c r="A614" s="155" t="n">
        <v>613</v>
      </c>
      <c r="B614" s="160" t="n">
        <v>45467</v>
      </c>
      <c r="C614" s="159" t="n">
        <v>43580375.93</v>
      </c>
      <c r="D614" s="174">
        <f>C614/E614</f>
        <v/>
      </c>
      <c r="E614" s="159" t="n">
        <v>83.45</v>
      </c>
      <c r="F614" s="159">
        <f>D614/100000</f>
        <v/>
      </c>
      <c r="G614" s="159">
        <f>(F614/DataSheet!$C$11*100)</f>
        <v/>
      </c>
      <c r="H614" s="159">
        <f>K614/I614</f>
        <v/>
      </c>
      <c r="I614" s="159">
        <f>(J614/L614)*100</f>
        <v/>
      </c>
      <c r="J614" s="159">
        <f>L614/O614</f>
        <v/>
      </c>
      <c r="K614" s="159" t="n">
        <v>6.97</v>
      </c>
      <c r="L614" s="159" t="n">
        <v>23537.85</v>
      </c>
      <c r="M614" s="159" t="n">
        <v>4.05</v>
      </c>
      <c r="N614" s="159">
        <f>K614-I614</f>
        <v/>
      </c>
      <c r="O614" s="159" t="n">
        <v>22.38</v>
      </c>
      <c r="P614" s="159" t="n">
        <v>4.23</v>
      </c>
      <c r="Q614" s="159">
        <f>K614-P614</f>
        <v/>
      </c>
      <c r="R614" s="159" t="n">
        <v>105.12</v>
      </c>
      <c r="S614" s="159">
        <f>(O614*T614)/100</f>
        <v/>
      </c>
      <c r="T614" s="157" t="n">
        <v>6.83</v>
      </c>
      <c r="U614" s="159" t="n">
        <v>20784</v>
      </c>
      <c r="V614" s="159" t="n">
        <v>42.21</v>
      </c>
      <c r="W614" s="159">
        <f>U614/V614</f>
        <v/>
      </c>
      <c r="X614" s="159">
        <f>(W614/U614)*100</f>
        <v/>
      </c>
      <c r="Y614" s="159" t="n">
        <v>17048.15</v>
      </c>
      <c r="Z614" s="159" t="n">
        <v>30.34</v>
      </c>
      <c r="AA614" s="159">
        <f>Y614/Z614</f>
        <v/>
      </c>
      <c r="AB614" s="159">
        <f>(AA614/Y614)*100</f>
        <v/>
      </c>
    </row>
    <row r="615">
      <c r="A615" s="155" t="n">
        <v>614</v>
      </c>
      <c r="B615" s="160" t="n">
        <v>45468</v>
      </c>
      <c r="C615" s="159" t="n">
        <v>43606749.49</v>
      </c>
      <c r="D615" s="174">
        <f>C615/E615</f>
        <v/>
      </c>
      <c r="E615" s="159" t="n">
        <v>83.40000000000001</v>
      </c>
      <c r="F615" s="159">
        <f>D615/100000</f>
        <v/>
      </c>
      <c r="G615" s="159">
        <f>(F615/DataSheet!$C$11*100)</f>
        <v/>
      </c>
      <c r="H615" s="159">
        <f>K615/I615</f>
        <v/>
      </c>
      <c r="I615" s="159">
        <f>(J615/L615)*100</f>
        <v/>
      </c>
      <c r="J615" s="159">
        <f>L615/O615</f>
        <v/>
      </c>
      <c r="K615" s="159" t="n">
        <v>6.98</v>
      </c>
      <c r="L615" s="159" t="n">
        <v>23721.3</v>
      </c>
      <c r="M615" s="159" t="n">
        <v>4.08</v>
      </c>
      <c r="N615" s="159">
        <f>K615-I615</f>
        <v/>
      </c>
      <c r="O615" s="159" t="n">
        <v>22.55</v>
      </c>
      <c r="P615" s="159" t="n">
        <v>4.24</v>
      </c>
      <c r="Q615" s="159">
        <f>K615-P615</f>
        <v/>
      </c>
      <c r="R615" s="159" t="n">
        <v>105.25</v>
      </c>
      <c r="S615" s="159">
        <f>(O615*T615)/100</f>
        <v/>
      </c>
      <c r="T615" s="157" t="n">
        <v>6.84</v>
      </c>
      <c r="U615" s="159" t="n">
        <v>20734.55</v>
      </c>
      <c r="V615" s="159" t="n">
        <v>42.11</v>
      </c>
      <c r="W615" s="159">
        <f>U615/V615</f>
        <v/>
      </c>
      <c r="X615" s="159">
        <f>(W615/U615)*100</f>
        <v/>
      </c>
      <c r="Y615" s="159" t="n">
        <v>17059.7</v>
      </c>
      <c r="Z615" s="159" t="n">
        <v>30.36</v>
      </c>
      <c r="AA615" s="159">
        <f>Y615/Z615</f>
        <v/>
      </c>
      <c r="AB615" s="159">
        <f>(AA615/Y615)*100</f>
        <v/>
      </c>
    </row>
    <row r="616">
      <c r="A616" s="155" t="n">
        <v>615</v>
      </c>
      <c r="B616" s="160" t="n">
        <v>45469</v>
      </c>
      <c r="C616" s="159" t="n">
        <v>43733308.06</v>
      </c>
      <c r="D616" s="174">
        <f>C616/E616</f>
        <v/>
      </c>
      <c r="E616" s="159" t="n">
        <v>83.56</v>
      </c>
      <c r="F616" s="159">
        <f>D616/100000</f>
        <v/>
      </c>
      <c r="G616" s="159">
        <f>(F616/DataSheet!$C$11*100)</f>
        <v/>
      </c>
      <c r="H616" s="159">
        <f>K616/I616</f>
        <v/>
      </c>
      <c r="I616" s="159">
        <f>(J616/L616)*100</f>
        <v/>
      </c>
      <c r="J616" s="159">
        <f>L616/O616</f>
        <v/>
      </c>
      <c r="K616" s="159" t="n">
        <v>6.99</v>
      </c>
      <c r="L616" s="159" t="n">
        <v>23868.8</v>
      </c>
      <c r="M616" s="159" t="n">
        <v>4.1</v>
      </c>
      <c r="N616" s="159">
        <f>K616-I616</f>
        <v/>
      </c>
      <c r="O616" s="159" t="n">
        <v>22.69</v>
      </c>
      <c r="P616" s="159" t="n">
        <v>4.32</v>
      </c>
      <c r="Q616" s="159">
        <f>K616-P616</f>
        <v/>
      </c>
      <c r="R616" s="159" t="n">
        <v>105.71</v>
      </c>
      <c r="S616" s="159">
        <f>(O616*T616)/100</f>
        <v/>
      </c>
      <c r="T616" s="157" t="n">
        <v>6.84</v>
      </c>
      <c r="U616" s="159" t="n">
        <v>20680.7</v>
      </c>
      <c r="V616" s="159" t="n">
        <v>42</v>
      </c>
      <c r="W616" s="159">
        <f>U616/V616</f>
        <v/>
      </c>
      <c r="X616" s="159">
        <f>(W616/U616)*100</f>
        <v/>
      </c>
      <c r="Y616" s="159" t="n">
        <v>17095.7</v>
      </c>
      <c r="Z616" s="159" t="n">
        <v>30.42</v>
      </c>
      <c r="AA616" s="159">
        <f>Y616/Z616</f>
        <v/>
      </c>
      <c r="AB616" s="159">
        <f>(AA616/Y616)*100</f>
        <v/>
      </c>
    </row>
    <row r="617">
      <c r="A617" s="155" t="n">
        <v>616</v>
      </c>
      <c r="B617" s="160" t="n">
        <v>45470</v>
      </c>
      <c r="C617" s="159" t="n">
        <v>43871681.82</v>
      </c>
      <c r="D617" s="174">
        <f>C617/E617</f>
        <v/>
      </c>
      <c r="E617" s="159" t="n">
        <v>83.43000000000001</v>
      </c>
      <c r="F617" s="159">
        <f>D617/100000</f>
        <v/>
      </c>
      <c r="G617" s="159">
        <f>(F617/DataSheet!$C$11*100)</f>
        <v/>
      </c>
      <c r="H617" s="159">
        <f>K617/I617</f>
        <v/>
      </c>
      <c r="I617" s="159">
        <f>(J617/L617)*100</f>
        <v/>
      </c>
      <c r="J617" s="159">
        <f>L617/O617</f>
        <v/>
      </c>
      <c r="K617" s="159" t="n">
        <v>7</v>
      </c>
      <c r="L617" s="159" t="n">
        <v>24044.5</v>
      </c>
      <c r="M617" s="159" t="n">
        <v>4.13</v>
      </c>
      <c r="N617" s="159">
        <f>K617-I617</f>
        <v/>
      </c>
      <c r="O617" s="159" t="n">
        <v>22.86</v>
      </c>
      <c r="P617" s="159" t="n">
        <v>4.28</v>
      </c>
      <c r="Q617" s="159">
        <f>K617-P617</f>
        <v/>
      </c>
      <c r="R617" s="159" t="n">
        <v>105.57</v>
      </c>
      <c r="S617" s="159">
        <f>(O617*T617)/100</f>
        <v/>
      </c>
      <c r="T617" s="157" t="n">
        <v>6.83</v>
      </c>
      <c r="U617" s="159" t="n">
        <v>20723.15</v>
      </c>
      <c r="V617" s="159" t="n">
        <v>42.09</v>
      </c>
      <c r="W617" s="159">
        <f>U617/V617</f>
        <v/>
      </c>
      <c r="X617" s="159">
        <f>(W617/U617)*100</f>
        <v/>
      </c>
      <c r="Y617" s="159" t="n">
        <v>16999.55</v>
      </c>
      <c r="Z617" s="159" t="n">
        <v>30.25</v>
      </c>
      <c r="AA617" s="159">
        <f>Y617/Z617</f>
        <v/>
      </c>
      <c r="AB617" s="159">
        <f>(AA617/Y617)*100</f>
        <v/>
      </c>
    </row>
    <row r="618">
      <c r="A618" s="155" t="n">
        <v>617</v>
      </c>
      <c r="B618" s="160" t="n">
        <v>45471</v>
      </c>
      <c r="C618" s="159" t="n">
        <v>43967789.06</v>
      </c>
      <c r="D618" s="174">
        <f>C618/E618</f>
        <v/>
      </c>
      <c r="E618" s="159" t="n">
        <v>83.34999999999999</v>
      </c>
      <c r="F618" s="159">
        <f>D618/100000</f>
        <v/>
      </c>
      <c r="G618" s="159">
        <f>(F618/DataSheet!$C$11*100)</f>
        <v/>
      </c>
      <c r="H618" s="159">
        <f>K618/I618</f>
        <v/>
      </c>
      <c r="I618" s="159">
        <f>(J618/L618)*100</f>
        <v/>
      </c>
      <c r="J618" s="159">
        <f>L618/O618</f>
        <v/>
      </c>
      <c r="K618" s="159" t="n">
        <v>7</v>
      </c>
      <c r="L618" s="159" t="n">
        <v>24010.6</v>
      </c>
      <c r="M618" s="159" t="n">
        <v>4.14</v>
      </c>
      <c r="N618" s="159">
        <f>K618-I618</f>
        <v/>
      </c>
      <c r="O618" s="159" t="n">
        <v>22.85</v>
      </c>
      <c r="P618" s="159" t="n">
        <v>4.39</v>
      </c>
      <c r="Q618" s="159">
        <f>K618-P618</f>
        <v/>
      </c>
      <c r="R618" s="159" t="n">
        <v>105.54</v>
      </c>
      <c r="S618" s="159">
        <f>(O618*T618)/100</f>
        <v/>
      </c>
      <c r="T618" s="157" t="n">
        <v>6.83</v>
      </c>
      <c r="U618" s="159" t="n">
        <v>20831.95</v>
      </c>
      <c r="V618" s="159" t="n">
        <v>42.33</v>
      </c>
      <c r="W618" s="159">
        <f>U618/V618</f>
        <v/>
      </c>
      <c r="X618" s="159">
        <f>(W618/U618)*100</f>
        <v/>
      </c>
      <c r="Y618" s="159" t="n">
        <v>17111.05</v>
      </c>
      <c r="Z618" s="159" t="n">
        <v>30.7</v>
      </c>
      <c r="AA618" s="159">
        <f>Y618/Z618</f>
        <v/>
      </c>
      <c r="AB618" s="159">
        <f>(AA618/Y618)*100</f>
        <v/>
      </c>
    </row>
    <row r="619">
      <c r="A619" s="155" t="n">
        <v>618</v>
      </c>
      <c r="B619" s="160" t="n">
        <v>45474</v>
      </c>
      <c r="C619" s="159" t="n">
        <v>44341027</v>
      </c>
      <c r="D619" s="174">
        <f>C619/E619</f>
        <v/>
      </c>
      <c r="E619" s="159" t="n">
        <v>83.43000000000001</v>
      </c>
      <c r="F619" s="159">
        <f>D619/100000</f>
        <v/>
      </c>
      <c r="G619" s="159">
        <f>(F619/DataSheet!$C$11*100)</f>
        <v/>
      </c>
      <c r="H619" s="159">
        <f>K619/I619</f>
        <v/>
      </c>
      <c r="I619" s="159">
        <f>(J619/L619)*100</f>
        <v/>
      </c>
      <c r="J619" s="159">
        <f>L619/O619</f>
        <v/>
      </c>
      <c r="K619" s="159" t="n">
        <v>7.01</v>
      </c>
      <c r="L619" s="159" t="n">
        <v>24141.95</v>
      </c>
      <c r="M619" s="159" t="n">
        <v>4.16</v>
      </c>
      <c r="N619" s="159">
        <f>K619-I619</f>
        <v/>
      </c>
      <c r="O619" s="159" t="n">
        <v>22.97</v>
      </c>
      <c r="P619" s="159" t="n">
        <v>4.47</v>
      </c>
      <c r="Q619" s="159">
        <f>K619-P619</f>
        <v/>
      </c>
      <c r="R619" s="159" t="n">
        <v>105.63</v>
      </c>
      <c r="S619" s="159">
        <f>(O619*T619)/100</f>
        <v/>
      </c>
      <c r="T619" s="157" t="n">
        <v>6.83</v>
      </c>
      <c r="U619" s="159" t="n">
        <v>21029.9</v>
      </c>
      <c r="V619" s="159" t="n">
        <v>42.73</v>
      </c>
      <c r="W619" s="159">
        <f>U619/V619</f>
        <v/>
      </c>
      <c r="X619" s="159">
        <f>(W619/U619)*100</f>
        <v/>
      </c>
      <c r="Y619" s="159" t="n">
        <v>17367.65</v>
      </c>
      <c r="Z619" s="159" t="n">
        <v>31.16</v>
      </c>
      <c r="AA619" s="159">
        <f>Y619/Z619</f>
        <v/>
      </c>
      <c r="AB619" s="159">
        <f>(AA619/Y619)*100</f>
        <v/>
      </c>
    </row>
    <row r="620">
      <c r="A620" s="155" t="n">
        <v>619</v>
      </c>
      <c r="B620" s="160" t="n">
        <v>45475</v>
      </c>
      <c r="C620" s="159" t="n">
        <v>44271573.34</v>
      </c>
      <c r="D620" s="174">
        <f>C620/E620</f>
        <v/>
      </c>
      <c r="E620" s="159" t="n">
        <v>83.5</v>
      </c>
      <c r="F620" s="159">
        <f>D620/100000</f>
        <v/>
      </c>
      <c r="G620" s="159">
        <f>(F620/DataSheet!$C$11*100)</f>
        <v/>
      </c>
      <c r="H620" s="159">
        <f>K620/I620</f>
        <v/>
      </c>
      <c r="I620" s="159">
        <f>(J620/L620)*100</f>
        <v/>
      </c>
      <c r="J620" s="159">
        <f>L620/O620</f>
        <v/>
      </c>
      <c r="K620" s="159" t="n">
        <v>7</v>
      </c>
      <c r="L620" s="155" t="n">
        <v>24123.85</v>
      </c>
      <c r="M620" s="159" t="n">
        <v>4.16</v>
      </c>
      <c r="N620" s="159">
        <f>K620-I620</f>
        <v/>
      </c>
      <c r="O620" s="159" t="n">
        <v>22.96</v>
      </c>
      <c r="P620" s="159" t="n">
        <v>4.43</v>
      </c>
      <c r="Q620" s="159">
        <f>K620-P620</f>
        <v/>
      </c>
      <c r="R620" s="159" t="n">
        <v>105.72</v>
      </c>
      <c r="S620" s="159">
        <f>(O620*T620)/100</f>
        <v/>
      </c>
      <c r="T620" s="157" t="n">
        <v>6.82</v>
      </c>
      <c r="U620" s="159" t="n">
        <v>20909.9</v>
      </c>
      <c r="V620" s="159" t="n">
        <v>42.49</v>
      </c>
      <c r="W620" s="159">
        <f>U620/V620</f>
        <v/>
      </c>
      <c r="X620" s="159">
        <f>(W620/U620)*100</f>
        <v/>
      </c>
      <c r="Y620" s="159" t="n">
        <v>17339.35</v>
      </c>
      <c r="Z620" s="159" t="n">
        <v>31.11</v>
      </c>
      <c r="AA620" s="159">
        <f>Y620/Z620</f>
        <v/>
      </c>
      <c r="AB620" s="159">
        <f>(AA620/Y620)*100</f>
        <v/>
      </c>
    </row>
    <row r="621">
      <c r="A621" s="155" t="n">
        <v>620</v>
      </c>
      <c r="B621" s="160" t="n">
        <v>45476</v>
      </c>
      <c r="C621" s="159" t="n">
        <v>44602042.92</v>
      </c>
      <c r="D621" s="174">
        <f>C621/E621</f>
        <v/>
      </c>
      <c r="E621" s="159" t="n">
        <v>83.52</v>
      </c>
      <c r="F621" s="159">
        <f>D621/100000</f>
        <v/>
      </c>
      <c r="G621" s="159">
        <f>(F621/DataSheet!$C$11*100)</f>
        <v/>
      </c>
      <c r="H621" s="159">
        <f>K621/I621</f>
        <v/>
      </c>
      <c r="I621" s="159">
        <f>(J621/L621)*100</f>
        <v/>
      </c>
      <c r="J621" s="159">
        <f>L621/O621</f>
        <v/>
      </c>
      <c r="K621" s="159" t="n">
        <v>7</v>
      </c>
      <c r="L621" s="159" t="n">
        <v>24286.5</v>
      </c>
      <c r="M621" s="159" t="n">
        <v>4.18</v>
      </c>
      <c r="N621" s="159">
        <f>K621-I621</f>
        <v/>
      </c>
      <c r="O621" s="159" t="n">
        <v>23.11</v>
      </c>
      <c r="P621" s="159" t="n">
        <v>4.35</v>
      </c>
      <c r="Q621" s="159">
        <f>K621-P621</f>
        <v/>
      </c>
      <c r="R621" s="159" t="n">
        <v>105.4</v>
      </c>
      <c r="S621" s="159">
        <f>(O621*T621)/100</f>
        <v/>
      </c>
      <c r="T621" s="157" t="n">
        <v>6.78</v>
      </c>
      <c r="U621" s="159" t="n">
        <v>21072.75</v>
      </c>
      <c r="V621" s="159" t="n">
        <v>42.82</v>
      </c>
      <c r="W621" s="159">
        <f>U621/V621</f>
        <v/>
      </c>
      <c r="X621" s="159">
        <f>(W621/U621)*100</f>
        <v/>
      </c>
      <c r="Y621" s="159" t="n">
        <v>17494.7</v>
      </c>
      <c r="Z621" s="159" t="n">
        <v>31.39</v>
      </c>
      <c r="AA621" s="159">
        <f>Y621/Z621</f>
        <v/>
      </c>
      <c r="AB621" s="159">
        <f>(AA621/Y621)*100</f>
        <v/>
      </c>
    </row>
    <row r="622">
      <c r="A622" s="155" t="n">
        <v>621</v>
      </c>
      <c r="B622" s="160" t="n">
        <v>45477</v>
      </c>
      <c r="C622" s="159" t="n">
        <v>44787012.68</v>
      </c>
      <c r="D622" s="174">
        <f>C622/E622</f>
        <v/>
      </c>
      <c r="E622" s="159" t="n">
        <v>83.47</v>
      </c>
      <c r="F622" s="159">
        <f>D622/100000</f>
        <v/>
      </c>
      <c r="G622" s="159">
        <f>(F622/DataSheet!$C$11*100)</f>
        <v/>
      </c>
      <c r="H622" s="159">
        <f>K622/I622</f>
        <v/>
      </c>
      <c r="I622" s="159">
        <f>(J622/L622)*100</f>
        <v/>
      </c>
      <c r="J622" s="159">
        <f>L622/O622</f>
        <v/>
      </c>
      <c r="K622" s="159" t="n">
        <v>6.99</v>
      </c>
      <c r="L622" s="159" t="n">
        <v>24302.15</v>
      </c>
      <c r="M622" s="159" t="n">
        <v>4.19</v>
      </c>
      <c r="N622" s="159">
        <f>K622-I622</f>
        <v/>
      </c>
      <c r="O622" s="159" t="n">
        <v>23.13</v>
      </c>
      <c r="P622" s="159" t="n">
        <v>4.37</v>
      </c>
      <c r="Q622" s="159">
        <f>K622-P622</f>
        <v/>
      </c>
      <c r="R622" s="159" t="n">
        <v>105.13</v>
      </c>
      <c r="S622" s="159">
        <f>(O622*T622)/100</f>
        <v/>
      </c>
      <c r="T622" s="157" t="n">
        <v>6.78</v>
      </c>
      <c r="U622" s="159" t="n">
        <v>21215.3</v>
      </c>
      <c r="V622" s="159" t="n">
        <v>43.1</v>
      </c>
      <c r="W622" s="159">
        <f>U622/V622</f>
        <v/>
      </c>
      <c r="X622" s="159">
        <f>(W622/U622)*100</f>
        <v/>
      </c>
      <c r="Y622" s="159" t="n">
        <v>17591.95</v>
      </c>
      <c r="Z622" s="159" t="n">
        <v>31.56</v>
      </c>
      <c r="AA622" s="159">
        <f>Y622/Z622</f>
        <v/>
      </c>
      <c r="AB622" s="159">
        <f>(AA622/Y622)*100</f>
        <v/>
      </c>
    </row>
    <row r="623">
      <c r="A623" s="155" t="n">
        <v>622</v>
      </c>
      <c r="B623" s="160" t="n">
        <v>45478</v>
      </c>
      <c r="C623" s="159" t="n">
        <v>45043956.25</v>
      </c>
      <c r="D623" s="174">
        <f>C623/E623</f>
        <v/>
      </c>
      <c r="E623" s="159" t="n">
        <v>83.5</v>
      </c>
      <c r="F623" s="159">
        <f>D623/100000</f>
        <v/>
      </c>
      <c r="G623" s="159">
        <f>(F623/DataSheet!$C$11*100)</f>
        <v/>
      </c>
      <c r="H623" s="159">
        <f>K623/I623</f>
        <v/>
      </c>
      <c r="I623" s="159">
        <f>(J623/L623)*100</f>
        <v/>
      </c>
      <c r="J623" s="159">
        <f>L623/O623</f>
        <v/>
      </c>
      <c r="K623" s="159" t="n">
        <v>6.99</v>
      </c>
      <c r="L623" s="159" t="n">
        <v>24323.85</v>
      </c>
      <c r="M623" s="159" t="n">
        <v>4.19</v>
      </c>
      <c r="N623" s="159">
        <f>K623-I623</f>
        <v/>
      </c>
      <c r="O623" s="159" t="n">
        <v>23.15</v>
      </c>
      <c r="P623" s="159" t="n">
        <v>4.27</v>
      </c>
      <c r="Q623" s="159">
        <f>K623-P623</f>
        <v/>
      </c>
      <c r="R623" s="159" t="n">
        <v>104.88</v>
      </c>
      <c r="S623" s="159">
        <f>(O623*T623)/100</f>
        <v/>
      </c>
      <c r="T623" s="157" t="n">
        <v>6.78</v>
      </c>
      <c r="U623" s="159" t="n">
        <v>21352.5</v>
      </c>
      <c r="V623" s="159" t="n">
        <v>43.38</v>
      </c>
      <c r="W623" s="159">
        <f>U623/V623</f>
        <v/>
      </c>
      <c r="X623" s="159">
        <f>(W623/U623)*100</f>
        <v/>
      </c>
      <c r="Y623" s="159" t="n">
        <v>17712.3</v>
      </c>
      <c r="Z623" s="159" t="n">
        <v>31.77</v>
      </c>
      <c r="AA623" s="159">
        <f>Y623/Z623</f>
        <v/>
      </c>
      <c r="AB623" s="159">
        <f>(AA623/Y623)*100</f>
        <v/>
      </c>
    </row>
    <row r="624">
      <c r="A624" s="155" t="n">
        <v>623</v>
      </c>
      <c r="B624" s="160" t="n">
        <v>45481</v>
      </c>
      <c r="C624" s="159" t="n">
        <v>45018897.51</v>
      </c>
      <c r="D624" s="174">
        <f>C624/E624</f>
        <v/>
      </c>
      <c r="E624" s="159" t="n">
        <v>83.5</v>
      </c>
      <c r="F624" s="159">
        <f>D624/100000</f>
        <v/>
      </c>
      <c r="G624" s="159">
        <f>(F624/DataSheet!$C$11*100)</f>
        <v/>
      </c>
      <c r="H624" s="159">
        <f>K624/I624</f>
        <v/>
      </c>
      <c r="I624" s="159">
        <f>(J624/L624)*100</f>
        <v/>
      </c>
      <c r="J624" s="159">
        <f>L624/O624</f>
        <v/>
      </c>
      <c r="K624" s="159" t="n">
        <v>6.98</v>
      </c>
      <c r="L624" s="159" t="n">
        <v>24320.55</v>
      </c>
      <c r="M624" s="159" t="n">
        <v>4.19</v>
      </c>
      <c r="N624" s="159">
        <f>K624-I624</f>
        <v/>
      </c>
      <c r="O624" s="159" t="n">
        <v>23.14</v>
      </c>
      <c r="P624" s="159" t="n">
        <v>4.28</v>
      </c>
      <c r="Q624" s="159">
        <f>K624-P624</f>
        <v/>
      </c>
      <c r="R624" s="159" t="n">
        <v>105</v>
      </c>
      <c r="S624" s="159">
        <f>(O624*T624)/100</f>
        <v/>
      </c>
      <c r="T624" s="157" t="n">
        <v>6.78</v>
      </c>
      <c r="U624" s="159" t="n">
        <v>21289.35</v>
      </c>
      <c r="V624" s="159" t="n">
        <v>43.25</v>
      </c>
      <c r="W624" s="159">
        <f>U624/V624</f>
        <v/>
      </c>
      <c r="X624" s="159">
        <f>(W624/U624)*100</f>
        <v/>
      </c>
      <c r="Y624" s="159" t="n">
        <v>17665.75</v>
      </c>
      <c r="Z624" s="159" t="n">
        <v>31.69</v>
      </c>
      <c r="AA624" s="159">
        <f>Y624/Z624</f>
        <v/>
      </c>
      <c r="AB624" s="159">
        <f>(AA624/Y624)*100</f>
        <v/>
      </c>
    </row>
    <row r="625">
      <c r="A625" s="155" t="n">
        <v>624</v>
      </c>
      <c r="B625" s="160" t="n">
        <v>45482</v>
      </c>
      <c r="C625" s="159" t="n">
        <v>45179204.66</v>
      </c>
      <c r="D625" s="174">
        <f>C625/E625</f>
        <v/>
      </c>
      <c r="E625" s="159" t="n">
        <v>83.45999999999999</v>
      </c>
      <c r="F625" s="159">
        <f>D625/100000</f>
        <v/>
      </c>
      <c r="G625" s="159">
        <f>(F625/DataSheet!$C$11*100)</f>
        <v/>
      </c>
      <c r="H625" s="159">
        <f>K625/I625</f>
        <v/>
      </c>
      <c r="I625" s="159">
        <f>(J625/L625)*100</f>
        <v/>
      </c>
      <c r="J625" s="159">
        <f>L625/O625</f>
        <v/>
      </c>
      <c r="K625" s="159" t="n">
        <v>6.98</v>
      </c>
      <c r="L625" s="159" t="n">
        <v>24433.2</v>
      </c>
      <c r="M625" s="159" t="n">
        <v>4.21</v>
      </c>
      <c r="N625" s="159">
        <f>K625-I625</f>
        <v/>
      </c>
      <c r="O625" s="159" t="n">
        <v>23.25</v>
      </c>
      <c r="P625" s="159" t="n">
        <v>4.29</v>
      </c>
      <c r="Q625" s="159">
        <f>K625-P625</f>
        <v/>
      </c>
      <c r="R625" s="159" t="n">
        <v>105.13</v>
      </c>
      <c r="S625" s="159">
        <f>(O625*T625)/100</f>
        <v/>
      </c>
      <c r="T625" s="157" t="n">
        <v>6.78</v>
      </c>
      <c r="U625" s="159" t="n">
        <v>21347.5</v>
      </c>
      <c r="V625" s="159" t="n">
        <v>43.37</v>
      </c>
      <c r="W625" s="159">
        <f>U625/V625</f>
        <v/>
      </c>
      <c r="X625" s="159">
        <f>(W625/U625)*100</f>
        <v/>
      </c>
      <c r="Y625" s="159" t="n">
        <v>17707.65</v>
      </c>
      <c r="Z625" s="159" t="n">
        <v>31.76</v>
      </c>
      <c r="AA625" s="159">
        <f>Y625/Z625</f>
        <v/>
      </c>
      <c r="AB625" s="159">
        <f>(AA625/Y625)*100</f>
        <v/>
      </c>
    </row>
    <row r="626">
      <c r="A626" s="155" t="n">
        <v>625</v>
      </c>
      <c r="B626" s="160" t="n">
        <v>45483</v>
      </c>
      <c r="C626" s="159" t="n">
        <v>45055469.66</v>
      </c>
      <c r="D626" s="174">
        <f>C626/E626</f>
        <v/>
      </c>
      <c r="E626" s="159" t="n">
        <v>83.51000000000001</v>
      </c>
      <c r="F626" s="159">
        <f>D626/100000</f>
        <v/>
      </c>
      <c r="G626" s="159">
        <f>(F626/DataSheet!$C$11*100)</f>
        <v/>
      </c>
      <c r="H626" s="159">
        <f>K626/I626</f>
        <v/>
      </c>
      <c r="I626" s="159">
        <f>(J626/L626)*100</f>
        <v/>
      </c>
      <c r="J626" s="159">
        <f>L626/O626</f>
        <v/>
      </c>
      <c r="K626" s="159" t="n">
        <v>6.97</v>
      </c>
      <c r="L626" s="159" t="n">
        <v>24324.45</v>
      </c>
      <c r="M626" s="159" t="n">
        <v>4.19</v>
      </c>
      <c r="N626" s="159">
        <f>K626-I626</f>
        <v/>
      </c>
      <c r="O626" s="159" t="n">
        <v>23.15</v>
      </c>
      <c r="P626" s="159" t="n">
        <v>4.28</v>
      </c>
      <c r="Q626" s="159">
        <f>K626-P626</f>
        <v/>
      </c>
      <c r="R626" s="159" t="n">
        <v>105.05</v>
      </c>
      <c r="S626" s="159">
        <f>(O626*T626)/100</f>
        <v/>
      </c>
      <c r="T626" s="157" t="n">
        <v>6.78</v>
      </c>
      <c r="U626" s="159" t="n">
        <v>21266.6</v>
      </c>
      <c r="V626" s="159" t="n">
        <v>43.2</v>
      </c>
      <c r="W626" s="159">
        <f>U626/V626</f>
        <v/>
      </c>
      <c r="X626" s="159">
        <f>(W626/U626)*100</f>
        <v/>
      </c>
      <c r="Y626" s="159" t="n">
        <v>17585.7</v>
      </c>
      <c r="Z626" s="159" t="n">
        <v>31.55</v>
      </c>
      <c r="AA626" s="159">
        <f>Y626/Z626</f>
        <v/>
      </c>
      <c r="AB626" s="159">
        <f>(AA626/Y626)*100</f>
        <v/>
      </c>
    </row>
    <row r="627">
      <c r="A627" s="155" t="n">
        <v>626</v>
      </c>
      <c r="B627" s="160" t="n">
        <v>45484</v>
      </c>
      <c r="C627" s="159" t="n">
        <v>45170277.05</v>
      </c>
      <c r="D627" s="174">
        <f>C627/E627</f>
        <v/>
      </c>
      <c r="E627" s="159" t="n">
        <v>83.5</v>
      </c>
      <c r="F627" s="159">
        <f>D627/100000</f>
        <v/>
      </c>
      <c r="G627" s="159">
        <f>(F627/DataSheet!$C$11*100)</f>
        <v/>
      </c>
      <c r="H627" s="159">
        <f>K627/I627</f>
        <v/>
      </c>
      <c r="I627" s="159">
        <f>(J627/L627)*100</f>
        <v/>
      </c>
      <c r="J627" s="159">
        <f>L627/O627</f>
        <v/>
      </c>
      <c r="K627" s="159" t="n">
        <v>6.98</v>
      </c>
      <c r="L627" s="159" t="n">
        <v>24315.95</v>
      </c>
      <c r="M627" s="159" t="n">
        <v>4.19</v>
      </c>
      <c r="N627" s="159">
        <f>K627-I627</f>
        <v/>
      </c>
      <c r="O627" s="159" t="n">
        <v>23.14</v>
      </c>
      <c r="P627" s="159" t="n">
        <v>4.21</v>
      </c>
      <c r="Q627" s="159">
        <f>K627-P627</f>
        <v/>
      </c>
      <c r="R627" s="159" t="n">
        <v>104.44</v>
      </c>
      <c r="S627" s="159">
        <f>(O627*T627)/100</f>
        <v/>
      </c>
      <c r="T627" s="157" t="n">
        <v>6.77</v>
      </c>
      <c r="U627" s="159" t="n">
        <v>21312.15</v>
      </c>
      <c r="V627" s="159" t="n">
        <v>43.29</v>
      </c>
      <c r="W627" s="159">
        <f>U627/V627</f>
        <v/>
      </c>
      <c r="X627" s="159">
        <f>(W627/U627)*100</f>
        <v/>
      </c>
      <c r="Y627" s="159" t="n">
        <v>17692.15</v>
      </c>
      <c r="Z627" s="159" t="n">
        <v>31.74</v>
      </c>
      <c r="AA627" s="159">
        <f>Y627/Z627</f>
        <v/>
      </c>
      <c r="AB627" s="159">
        <f>(AA627/Y627)*100</f>
        <v/>
      </c>
    </row>
    <row r="628">
      <c r="A628" s="155" t="n">
        <v>627</v>
      </c>
      <c r="B628" s="160" t="n">
        <v>45485</v>
      </c>
      <c r="C628" s="159" t="n">
        <v>45290317.48</v>
      </c>
      <c r="D628" s="174">
        <f>C628/E628</f>
        <v/>
      </c>
      <c r="E628" s="159" t="n">
        <v>83.51000000000001</v>
      </c>
      <c r="F628" s="159">
        <f>D628/100000</f>
        <v/>
      </c>
      <c r="G628" s="159">
        <f>(F628/DataSheet!$C$11*100)</f>
        <v/>
      </c>
      <c r="H628" s="159">
        <f>K628/I628</f>
        <v/>
      </c>
      <c r="I628" s="159">
        <f>(J628/L628)*100</f>
        <v/>
      </c>
      <c r="J628" s="159">
        <f>L628/O628</f>
        <v/>
      </c>
      <c r="K628" s="159" t="n">
        <v>6.98</v>
      </c>
      <c r="L628" s="159" t="n">
        <v>24502.15</v>
      </c>
      <c r="M628" s="159" t="n">
        <v>4.22</v>
      </c>
      <c r="N628" s="159">
        <f>K628-I628</f>
        <v/>
      </c>
      <c r="O628" s="159" t="n">
        <v>23.32</v>
      </c>
      <c r="P628" s="159" t="n">
        <v>4.18</v>
      </c>
      <c r="Q628" s="159">
        <f>K628-P628</f>
        <v/>
      </c>
      <c r="R628" s="159" t="n">
        <v>104.09</v>
      </c>
      <c r="S628" s="159">
        <f>(O628*T628)/100</f>
        <v/>
      </c>
      <c r="T628" s="157" t="n">
        <v>6.76</v>
      </c>
      <c r="U628" s="159" t="n">
        <v>21300.25</v>
      </c>
      <c r="V628" s="159" t="n">
        <v>43.27</v>
      </c>
      <c r="W628" s="159">
        <f>U628/V628</f>
        <v/>
      </c>
      <c r="X628" s="159">
        <f>(W628/U628)*100</f>
        <v/>
      </c>
      <c r="Y628" s="159" t="n">
        <v>17679.2</v>
      </c>
      <c r="Z628" s="159" t="n">
        <v>31.71</v>
      </c>
      <c r="AA628" s="159">
        <f>Y628/Z628</f>
        <v/>
      </c>
      <c r="AB628" s="159">
        <f>(AA628/Y628)*100</f>
        <v/>
      </c>
    </row>
    <row r="629">
      <c r="A629" s="155" t="n">
        <v>628</v>
      </c>
      <c r="B629" s="160" t="n">
        <v>45488</v>
      </c>
      <c r="C629" s="159" t="n">
        <v>45550695.16</v>
      </c>
      <c r="D629" s="174">
        <f>C629/E629</f>
        <v/>
      </c>
      <c r="E629" s="159" t="n">
        <v>83.55</v>
      </c>
      <c r="F629" s="159">
        <f>D629/100000</f>
        <v/>
      </c>
      <c r="G629" s="159">
        <f>(F629/DataSheet!$C$11*100)</f>
        <v/>
      </c>
      <c r="H629" s="159">
        <f>K629/I629</f>
        <v/>
      </c>
      <c r="I629" s="159">
        <f>(J629/L629)*100</f>
        <v/>
      </c>
      <c r="J629" s="159">
        <f>L629/O629</f>
        <v/>
      </c>
      <c r="K629" s="159" t="n">
        <v>6.98</v>
      </c>
      <c r="L629" s="159" t="n">
        <v>24586.7</v>
      </c>
      <c r="M629" s="159" t="n">
        <v>4.16</v>
      </c>
      <c r="N629" s="159">
        <f>K629-I629</f>
        <v/>
      </c>
      <c r="O629" s="159" t="n">
        <v>23.38</v>
      </c>
      <c r="P629" s="159" t="n">
        <v>4.23</v>
      </c>
      <c r="Q629" s="159">
        <f>K629-P629</f>
        <v/>
      </c>
      <c r="R629" s="159" t="n">
        <v>104.19</v>
      </c>
      <c r="S629" s="159">
        <f>(O629*T629)/100</f>
        <v/>
      </c>
      <c r="T629" s="157" t="n">
        <v>6.76</v>
      </c>
      <c r="U629" s="159" t="n">
        <v>21448.85</v>
      </c>
      <c r="V629" s="159" t="n">
        <v>43.57</v>
      </c>
      <c r="W629" s="159">
        <f>U629/V629</f>
        <v/>
      </c>
      <c r="X629" s="159">
        <f>(W629/U629)*100</f>
        <v/>
      </c>
      <c r="Y629" s="159" t="n">
        <v>17743.15</v>
      </c>
      <c r="Z629" s="159" t="n">
        <v>31.82</v>
      </c>
      <c r="AA629" s="159">
        <f>Y629/Z629</f>
        <v/>
      </c>
      <c r="AB629" s="159">
        <f>(AA629/Y629)*100</f>
        <v/>
      </c>
    </row>
    <row r="630">
      <c r="A630" s="155" t="n">
        <v>629</v>
      </c>
      <c r="B630" s="160" t="n">
        <v>45489</v>
      </c>
      <c r="C630" s="159" t="n">
        <v>45577615.32</v>
      </c>
      <c r="D630" s="174">
        <f>C630/E630</f>
        <v/>
      </c>
      <c r="E630" s="159" t="n">
        <v>83.52</v>
      </c>
      <c r="F630" s="159">
        <f>D630/100000</f>
        <v/>
      </c>
      <c r="G630" s="159">
        <f>(F630/DataSheet!$C$11*100)</f>
        <v/>
      </c>
      <c r="H630" s="159">
        <f>K630/I630</f>
        <v/>
      </c>
      <c r="I630" s="159">
        <f>(J630/L630)*100</f>
        <v/>
      </c>
      <c r="J630" s="159">
        <f>L630/O630</f>
        <v/>
      </c>
      <c r="K630" s="159" t="n">
        <v>6.96</v>
      </c>
      <c r="L630" s="159" t="n">
        <v>24613</v>
      </c>
      <c r="M630" s="159" t="n">
        <v>4.17</v>
      </c>
      <c r="N630" s="159">
        <f>K630-I630</f>
        <v/>
      </c>
      <c r="O630" s="159" t="n">
        <v>23.39</v>
      </c>
      <c r="P630" s="159" t="n">
        <v>4.16</v>
      </c>
      <c r="Q630" s="159">
        <f>K630-P630</f>
        <v/>
      </c>
      <c r="R630" s="159" t="n">
        <v>104.27</v>
      </c>
      <c r="S630" s="159">
        <f>(O630*T630)/100</f>
        <v/>
      </c>
      <c r="T630" s="157" t="n">
        <v>6.76</v>
      </c>
      <c r="U630" s="159" t="n">
        <v>21456.5</v>
      </c>
      <c r="V630" s="159" t="n">
        <v>43.58</v>
      </c>
      <c r="W630" s="159">
        <f>U630/V630</f>
        <v/>
      </c>
      <c r="X630" s="159">
        <f>(W630/U630)*100</f>
        <v/>
      </c>
      <c r="Y630" s="159" t="n">
        <v>17774.9</v>
      </c>
      <c r="Z630" s="159" t="n">
        <v>31.88</v>
      </c>
      <c r="AA630" s="159">
        <f>Y630/Z630</f>
        <v/>
      </c>
      <c r="AB630" s="159">
        <f>(AA630/Y630)*100</f>
        <v/>
      </c>
    </row>
    <row r="631">
      <c r="A631" s="155" t="n">
        <v>630</v>
      </c>
      <c r="B631" s="160" t="n">
        <v>45491</v>
      </c>
      <c r="C631" s="159" t="n">
        <v>45484159.17</v>
      </c>
      <c r="D631" s="174">
        <f>C631/E631</f>
        <v/>
      </c>
      <c r="E631" s="159" t="n">
        <v>83.58</v>
      </c>
      <c r="F631" s="159">
        <f>D631/100000</f>
        <v/>
      </c>
      <c r="G631" s="159">
        <f>(F631/DataSheet!$C$11*100)</f>
        <v/>
      </c>
      <c r="H631" s="159">
        <f>K631/I631</f>
        <v/>
      </c>
      <c r="I631" s="159">
        <f>(J631/L631)*100</f>
        <v/>
      </c>
      <c r="J631" s="159">
        <f>L631/O631</f>
        <v/>
      </c>
      <c r="K631" s="159" t="n">
        <v>6.96</v>
      </c>
      <c r="L631" s="159" t="n">
        <v>24800.85</v>
      </c>
      <c r="M631" s="159" t="n">
        <v>4.19</v>
      </c>
      <c r="N631" s="159">
        <f>K631-I631</f>
        <v/>
      </c>
      <c r="O631" s="159" t="n">
        <v>23.57</v>
      </c>
      <c r="P631" s="159" t="n">
        <v>4.2</v>
      </c>
      <c r="Q631" s="159">
        <f>K631-P631</f>
        <v/>
      </c>
      <c r="R631" s="159" t="n">
        <v>104.17</v>
      </c>
      <c r="S631" s="159">
        <f>(O631*T631)/100</f>
        <v/>
      </c>
      <c r="T631" s="157" t="n">
        <v>6.75</v>
      </c>
      <c r="U631" s="159" t="n">
        <v>21255.6</v>
      </c>
      <c r="V631" s="159" t="n">
        <v>43.11</v>
      </c>
      <c r="W631" s="159">
        <f>U631/V631</f>
        <v/>
      </c>
      <c r="X631" s="159">
        <f>(W631/U631)*100</f>
        <v/>
      </c>
      <c r="Y631" s="159" t="n">
        <v>17577.65</v>
      </c>
      <c r="Z631" s="159" t="n">
        <v>31.49</v>
      </c>
      <c r="AA631" s="159">
        <f>Y631/Z631</f>
        <v/>
      </c>
      <c r="AB631" s="159">
        <f>(AA631/Y631)*100</f>
        <v/>
      </c>
    </row>
    <row r="632">
      <c r="A632" s="155" t="n">
        <v>631</v>
      </c>
      <c r="B632" s="160" t="n">
        <v>45492</v>
      </c>
      <c r="C632" s="159" t="n">
        <v>44491920.21</v>
      </c>
      <c r="D632" s="174">
        <f>C632/E632</f>
        <v/>
      </c>
      <c r="E632" s="159" t="n">
        <v>83.72</v>
      </c>
      <c r="F632" s="159">
        <f>D632/100000</f>
        <v/>
      </c>
      <c r="G632" s="159">
        <f>(F632/DataSheet!$C$11*100)</f>
        <v/>
      </c>
      <c r="H632" s="159">
        <f>K632/I632</f>
        <v/>
      </c>
      <c r="I632" s="159">
        <f>(J632/L632)*100</f>
        <v/>
      </c>
      <c r="J632" s="159">
        <f>L632/O632</f>
        <v/>
      </c>
      <c r="K632" s="159" t="n">
        <v>6.96</v>
      </c>
      <c r="L632" s="159" t="n">
        <v>24530.9</v>
      </c>
      <c r="M632" s="159" t="n">
        <v>4.16</v>
      </c>
      <c r="N632" s="159">
        <f>K632-I632</f>
        <v/>
      </c>
      <c r="O632" s="159" t="n">
        <v>23.31</v>
      </c>
      <c r="P632" s="159" t="n">
        <v>4.24</v>
      </c>
      <c r="Q632" s="159">
        <f>K632-P632</f>
        <v/>
      </c>
      <c r="R632" s="159" t="n">
        <v>104.4</v>
      </c>
      <c r="S632" s="159">
        <f>(O632*T632)/100</f>
        <v/>
      </c>
      <c r="T632" s="157" t="n">
        <v>6.76</v>
      </c>
      <c r="U632" s="159" t="n">
        <v>20812.25</v>
      </c>
      <c r="V632" s="159" t="n">
        <v>42.17</v>
      </c>
      <c r="W632" s="159">
        <f>U632/V632</f>
        <v/>
      </c>
      <c r="X632" s="159">
        <f>(W632/U632)*100</f>
        <v/>
      </c>
      <c r="Y632" s="159" t="n">
        <v>17163.4</v>
      </c>
      <c r="Z632" s="159" t="n">
        <v>30.8</v>
      </c>
      <c r="AA632" s="159">
        <f>Y632/Z632</f>
        <v/>
      </c>
      <c r="AB632" s="159">
        <f>(AA632/Y632)*100</f>
        <v/>
      </c>
    </row>
    <row r="633">
      <c r="A633" s="155" t="n">
        <v>632</v>
      </c>
      <c r="B633" s="160" t="n">
        <v>45495</v>
      </c>
      <c r="C633" s="159" t="n">
        <v>44868754.27</v>
      </c>
      <c r="D633" s="174">
        <f>C633/E633</f>
        <v/>
      </c>
      <c r="E633" s="159" t="n">
        <v>83.65000000000001</v>
      </c>
      <c r="F633" s="159">
        <f>D633/100000</f>
        <v/>
      </c>
      <c r="G633" s="159">
        <f>(F633/DataSheet!$C$11*100)</f>
        <v/>
      </c>
      <c r="H633" s="159">
        <f>K633/I633</f>
        <v/>
      </c>
      <c r="I633" s="159">
        <f>(J633/L633)*100</f>
        <v/>
      </c>
      <c r="J633" s="159">
        <f>L633/O633</f>
        <v/>
      </c>
      <c r="K633" s="159" t="n">
        <v>6.96</v>
      </c>
      <c r="L633" s="159" t="n">
        <v>24509.25</v>
      </c>
      <c r="M633" s="159" t="n">
        <v>4.15</v>
      </c>
      <c r="N633" s="159">
        <f>K633-I633</f>
        <v/>
      </c>
      <c r="O633" s="159" t="n">
        <v>23.28</v>
      </c>
      <c r="P633" s="159" t="n">
        <v>4.25</v>
      </c>
      <c r="Q633" s="159">
        <f>K633-P633</f>
        <v/>
      </c>
      <c r="R633" s="159" t="n">
        <v>104.31</v>
      </c>
      <c r="S633" s="159">
        <f>(O633*T633)/100</f>
        <v/>
      </c>
      <c r="T633" s="157" t="n">
        <v>6.75</v>
      </c>
      <c r="U633" s="159" t="n">
        <v>21040.35</v>
      </c>
      <c r="V633" s="159" t="n">
        <v>42.61</v>
      </c>
      <c r="W633" s="159">
        <f>U633/V633</f>
        <v/>
      </c>
      <c r="X633" s="159">
        <f>(W633/U633)*100</f>
        <v/>
      </c>
      <c r="Y633" s="159" t="n">
        <v>17317</v>
      </c>
      <c r="Z633" s="159" t="n">
        <v>30.98</v>
      </c>
      <c r="AA633" s="159">
        <f>Y633/Z633</f>
        <v/>
      </c>
      <c r="AB633" s="159">
        <f>(AA633/Y633)*100</f>
        <v/>
      </c>
    </row>
    <row r="634">
      <c r="A634" s="155" t="n">
        <v>633</v>
      </c>
      <c r="B634" s="160" t="n">
        <v>45496</v>
      </c>
      <c r="C634" s="159" t="n">
        <v>44685467.37</v>
      </c>
      <c r="D634" s="174">
        <f>C634/E634</f>
        <v/>
      </c>
      <c r="E634" s="159" t="n">
        <v>83.67</v>
      </c>
      <c r="F634" s="159">
        <f>D634/100000</f>
        <v/>
      </c>
      <c r="G634" s="159">
        <f>(F634/DataSheet!$C$11*100)</f>
        <v/>
      </c>
      <c r="H634" s="159">
        <f>K634/I634</f>
        <v/>
      </c>
      <c r="I634" s="159">
        <f>(J634/L634)*100</f>
        <v/>
      </c>
      <c r="J634" s="159">
        <f>L634/O634</f>
        <v/>
      </c>
      <c r="K634" s="159" t="n">
        <v>6.97</v>
      </c>
      <c r="L634" s="159" t="n">
        <v>24479.05</v>
      </c>
      <c r="M634" s="159" t="n">
        <v>4.12</v>
      </c>
      <c r="N634" s="159">
        <f>K634-I634</f>
        <v/>
      </c>
      <c r="O634" s="159" t="n">
        <v>23.11</v>
      </c>
      <c r="P634" s="159" t="n">
        <v>4.25</v>
      </c>
      <c r="Q634" s="159">
        <f>K634-P634</f>
        <v/>
      </c>
      <c r="R634" s="159" t="n">
        <v>104.45</v>
      </c>
      <c r="S634" s="159">
        <f>(O634*T634)/100</f>
        <v/>
      </c>
      <c r="T634" s="157" t="n">
        <v>6.75</v>
      </c>
      <c r="U634" s="159" t="n">
        <v>20947.8</v>
      </c>
      <c r="V634" s="159" t="n">
        <v>42.28</v>
      </c>
      <c r="W634" s="159">
        <f>U634/V634</f>
        <v/>
      </c>
      <c r="X634" s="159">
        <f>(W634/U634)*100</f>
        <v/>
      </c>
      <c r="Y634" s="159" t="n">
        <v>17212.15</v>
      </c>
      <c r="Z634" s="159" t="n">
        <v>30.64</v>
      </c>
      <c r="AA634" s="159">
        <f>Y634/Z634</f>
        <v/>
      </c>
      <c r="AB634" s="159">
        <f>(AA634/Y634)*100</f>
        <v/>
      </c>
    </row>
    <row r="635">
      <c r="A635" s="155" t="n">
        <v>634</v>
      </c>
      <c r="B635" s="160" t="n">
        <v>45497</v>
      </c>
      <c r="C635" s="159" t="n">
        <v>44997221.17</v>
      </c>
      <c r="D635" s="174">
        <f>C635/E635</f>
        <v/>
      </c>
      <c r="E635" s="159" t="n">
        <v>83.70999999999999</v>
      </c>
      <c r="F635" s="159">
        <f>D635/100000</f>
        <v/>
      </c>
      <c r="G635" s="159">
        <f>(F635/DataSheet!$C$11*100)</f>
        <v/>
      </c>
      <c r="H635" s="159">
        <f>K635/I635</f>
        <v/>
      </c>
      <c r="I635" s="159">
        <f>(J635/L635)*100</f>
        <v/>
      </c>
      <c r="J635" s="159">
        <f>L635/O635</f>
        <v/>
      </c>
      <c r="K635" s="159" t="n">
        <v>6.96</v>
      </c>
      <c r="L635" s="159" t="n">
        <v>24413.5</v>
      </c>
      <c r="M635" s="159" t="n">
        <v>4.11</v>
      </c>
      <c r="N635" s="159">
        <f>K635-I635</f>
        <v/>
      </c>
      <c r="O635" s="159" t="n">
        <v>23.05</v>
      </c>
      <c r="P635" s="159" t="n">
        <v>4.28</v>
      </c>
      <c r="Q635" s="159">
        <f>K635-P635</f>
        <v/>
      </c>
      <c r="R635" s="159" t="n">
        <v>104.39</v>
      </c>
      <c r="S635" s="159">
        <f>(O635*T635)/100</f>
        <v/>
      </c>
      <c r="T635" s="157" t="n">
        <v>6.75</v>
      </c>
      <c r="U635" s="159" t="n">
        <v>21133.35</v>
      </c>
      <c r="V635" s="159" t="n">
        <v>42.54</v>
      </c>
      <c r="W635" s="159">
        <f>U635/V635</f>
        <v/>
      </c>
      <c r="X635" s="159">
        <f>(W635/U635)*100</f>
        <v/>
      </c>
      <c r="Y635" s="159" t="n">
        <v>17532.7</v>
      </c>
      <c r="Z635" s="159" t="n">
        <v>31.25</v>
      </c>
      <c r="AA635" s="159">
        <f>Y635/Z635</f>
        <v/>
      </c>
      <c r="AB635" s="159">
        <f>(AA635/Y635)*100</f>
        <v/>
      </c>
    </row>
    <row r="636">
      <c r="A636" s="155" t="n">
        <v>635</v>
      </c>
      <c r="B636" s="160" t="n">
        <v>45498</v>
      </c>
      <c r="C636" s="159" t="n">
        <v>45031398.62</v>
      </c>
      <c r="D636" s="174">
        <f>C636/E636</f>
        <v/>
      </c>
      <c r="E636" s="159" t="n">
        <v>83.72</v>
      </c>
      <c r="F636" s="159">
        <f>D636/100000</f>
        <v/>
      </c>
      <c r="G636" s="159">
        <f>(F636/DataSheet!$C$11*100)</f>
        <v/>
      </c>
      <c r="H636" s="159">
        <f>K636/I636</f>
        <v/>
      </c>
      <c r="I636" s="159">
        <f>(J636/L636)*100</f>
        <v/>
      </c>
      <c r="J636" s="159">
        <f>L636/O636</f>
        <v/>
      </c>
      <c r="K636" s="159" t="n">
        <v>6.95</v>
      </c>
      <c r="L636" s="159" t="n">
        <v>24406.1</v>
      </c>
      <c r="M636" s="159" t="n">
        <v>4.11</v>
      </c>
      <c r="N636" s="159">
        <f>K636-I636</f>
        <v/>
      </c>
      <c r="O636" s="159" t="n">
        <v>23.03</v>
      </c>
      <c r="P636" s="159" t="n">
        <v>4.24</v>
      </c>
      <c r="Q636" s="159">
        <f>K636-P636</f>
        <v/>
      </c>
      <c r="R636" s="159" t="n">
        <v>104.36</v>
      </c>
      <c r="S636" s="159">
        <f>(O636*T636)/100</f>
        <v/>
      </c>
      <c r="T636" s="157" t="n">
        <v>6.73</v>
      </c>
      <c r="U636" s="159" t="n">
        <v>21080.45</v>
      </c>
      <c r="V636" s="159" t="n">
        <v>42.42</v>
      </c>
      <c r="W636" s="159">
        <f>U636/V636</f>
        <v/>
      </c>
      <c r="X636" s="159">
        <f>(W636/U636)*100</f>
        <v/>
      </c>
      <c r="Y636" s="159" t="n">
        <v>17483.8</v>
      </c>
      <c r="Z636" s="159" t="n">
        <v>31.16</v>
      </c>
      <c r="AA636" s="159">
        <f>Y636/Z636</f>
        <v/>
      </c>
      <c r="AB636" s="159">
        <f>(AA636/Y636)*100</f>
        <v/>
      </c>
    </row>
    <row r="637">
      <c r="A637" s="155" t="n">
        <v>636</v>
      </c>
      <c r="B637" s="160" t="n">
        <v>45499</v>
      </c>
      <c r="C637" s="159" t="n">
        <v>45739890.28</v>
      </c>
      <c r="D637" s="174">
        <f>C637/E637</f>
        <v/>
      </c>
      <c r="E637" s="159" t="n">
        <v>83.72</v>
      </c>
      <c r="F637" s="159">
        <f>D637/100000</f>
        <v/>
      </c>
      <c r="G637" s="159">
        <f>(F637/DataSheet!$C$11*100)</f>
        <v/>
      </c>
      <c r="H637" s="159">
        <f>K637/I637</f>
        <v/>
      </c>
      <c r="I637" s="159">
        <f>(J637/L637)*100</f>
        <v/>
      </c>
      <c r="J637" s="159">
        <f>L637/O637</f>
        <v/>
      </c>
      <c r="K637" s="159" t="n">
        <v>6.94</v>
      </c>
      <c r="L637" s="159" t="n">
        <v>24834.85</v>
      </c>
      <c r="M637" s="159" t="n">
        <v>4.19</v>
      </c>
      <c r="N637" s="159">
        <f>K637-I637</f>
        <v/>
      </c>
      <c r="O637" s="159" t="n">
        <v>23.4</v>
      </c>
      <c r="P637" s="159" t="n">
        <v>4.23</v>
      </c>
      <c r="Q637" s="159">
        <f>K637-P637</f>
        <v/>
      </c>
      <c r="R637" s="159" t="n">
        <v>104.39</v>
      </c>
      <c r="S637" s="159">
        <f>(O637*T637)/100</f>
        <v/>
      </c>
      <c r="T637" s="157" t="n">
        <v>6.73</v>
      </c>
      <c r="U637" s="159" t="n">
        <v>21442.4</v>
      </c>
      <c r="V637" s="159" t="n">
        <v>42.9</v>
      </c>
      <c r="W637" s="159">
        <f>U637/V637</f>
        <v/>
      </c>
      <c r="X637" s="159">
        <f>(W637/U637)*100</f>
        <v/>
      </c>
      <c r="Y637" s="159" t="n">
        <v>17647.4</v>
      </c>
      <c r="Z637" s="159" t="n">
        <v>31.46</v>
      </c>
      <c r="AA637" s="159">
        <f>Y637/Z637</f>
        <v/>
      </c>
      <c r="AB637" s="159">
        <f>(AA637/Y637)*100</f>
        <v/>
      </c>
    </row>
    <row r="638">
      <c r="A638" s="155" t="n">
        <v>637</v>
      </c>
      <c r="B638" s="160" t="n">
        <v>45502</v>
      </c>
      <c r="C638" s="159" t="n">
        <v>46023211.2</v>
      </c>
      <c r="D638" s="174">
        <f>C638/E638</f>
        <v/>
      </c>
      <c r="E638" s="159" t="n">
        <v>83.73999999999999</v>
      </c>
      <c r="F638" s="159">
        <f>D638/100000</f>
        <v/>
      </c>
      <c r="G638" s="159">
        <f>(F638/DataSheet!$C$11*100)</f>
        <v/>
      </c>
      <c r="H638" s="159">
        <f>K638/I638</f>
        <v/>
      </c>
      <c r="I638" s="159">
        <f>(J638/L638)*100</f>
        <v/>
      </c>
      <c r="J638" s="159">
        <f>L638/O638</f>
        <v/>
      </c>
      <c r="K638" s="159" t="n">
        <v>6.91</v>
      </c>
      <c r="L638" s="159" t="n">
        <v>24836.1</v>
      </c>
      <c r="M638" s="159" t="n">
        <v>4.19</v>
      </c>
      <c r="N638" s="159">
        <f>K638-I638</f>
        <v/>
      </c>
      <c r="O638" s="159" t="n">
        <v>23.4</v>
      </c>
      <c r="P638" s="159" t="n">
        <v>4.18</v>
      </c>
      <c r="Q638" s="159">
        <f>K638-P638</f>
        <v/>
      </c>
      <c r="R638" s="159" t="n">
        <v>104.56</v>
      </c>
      <c r="S638" s="159">
        <f>(O638*T638)/100</f>
        <v/>
      </c>
      <c r="T638" s="157" t="n">
        <v>6.63</v>
      </c>
      <c r="U638" s="159" t="n">
        <v>21644.85</v>
      </c>
      <c r="V638" s="159" t="n">
        <v>43.28</v>
      </c>
      <c r="W638" s="159">
        <f>U638/V638</f>
        <v/>
      </c>
      <c r="X638" s="159">
        <f>(W638/U638)*100</f>
        <v/>
      </c>
      <c r="Y638" s="159" t="n">
        <v>17836.55</v>
      </c>
      <c r="Z638" s="159" t="n">
        <v>31.78</v>
      </c>
      <c r="AA638" s="159">
        <f>Y638/Z638</f>
        <v/>
      </c>
      <c r="AB638" s="159">
        <f>(AA638/Y638)*100</f>
        <v/>
      </c>
    </row>
    <row r="639">
      <c r="A639" s="155" t="n">
        <v>638</v>
      </c>
      <c r="B639" s="160" t="n">
        <v>45503</v>
      </c>
      <c r="C639" s="159" t="n">
        <v>46138219.93</v>
      </c>
      <c r="D639" s="174">
        <f>C639/E639</f>
        <v/>
      </c>
      <c r="E639" s="159" t="n">
        <v>83.72</v>
      </c>
      <c r="F639" s="159">
        <f>D639/100000</f>
        <v/>
      </c>
      <c r="G639" s="159">
        <f>(F639/DataSheet!$C$11*100)</f>
        <v/>
      </c>
      <c r="H639" s="159">
        <f>K639/I639</f>
        <v/>
      </c>
      <c r="I639" s="159">
        <f>(J639/L639)*100</f>
        <v/>
      </c>
      <c r="J639" s="159">
        <f>L639/O639</f>
        <v/>
      </c>
      <c r="K639" s="159" t="n">
        <v>6.93</v>
      </c>
      <c r="L639" s="159" t="n">
        <v>24857.3</v>
      </c>
      <c r="M639" s="159" t="n">
        <v>4.19</v>
      </c>
      <c r="N639" s="159">
        <f>K639-I639</f>
        <v/>
      </c>
      <c r="O639" s="159" t="n">
        <v>23.31</v>
      </c>
      <c r="P639" s="159" t="n">
        <v>4.14</v>
      </c>
      <c r="Q639" s="159">
        <f>K639-P639</f>
        <v/>
      </c>
      <c r="R639" s="159" t="n">
        <v>104.55</v>
      </c>
      <c r="S639" s="159">
        <f>(O639*T639)/100</f>
        <v/>
      </c>
      <c r="T639" s="157" t="n">
        <v>6.63</v>
      </c>
      <c r="U639" s="159" t="n">
        <v>21749.5</v>
      </c>
      <c r="V639" s="159" t="n">
        <v>44.97</v>
      </c>
      <c r="W639" s="159">
        <f>U639/V639</f>
        <v/>
      </c>
      <c r="X639" s="159">
        <f>(W639/U639)*100</f>
        <v/>
      </c>
      <c r="Y639" s="159" t="n">
        <v>17983.3</v>
      </c>
      <c r="Z639" s="159" t="n">
        <v>31.91</v>
      </c>
      <c r="AA639" s="159">
        <f>Y639/Z639</f>
        <v/>
      </c>
      <c r="AB639" s="159">
        <f>(AA639/Y639)*100</f>
        <v/>
      </c>
    </row>
    <row r="640">
      <c r="A640" s="155" t="n">
        <v>639</v>
      </c>
      <c r="B640" s="160" t="n">
        <v>45504</v>
      </c>
      <c r="C640" s="159" t="n">
        <v>46287184.13</v>
      </c>
      <c r="D640" s="174">
        <f>C640/E640</f>
        <v/>
      </c>
      <c r="E640" s="159" t="n">
        <v>83.69</v>
      </c>
      <c r="F640" s="159">
        <f>D640/100000</f>
        <v/>
      </c>
      <c r="G640" s="159">
        <f>(F640/DataSheet!$C$11*100)</f>
        <v/>
      </c>
      <c r="H640" s="159">
        <f>K640/I640</f>
        <v/>
      </c>
      <c r="I640" s="159">
        <f>(J640/L640)*100</f>
        <v/>
      </c>
      <c r="J640" s="159">
        <f>L640/O640</f>
        <v/>
      </c>
      <c r="K640" s="159" t="n">
        <v>6.92</v>
      </c>
      <c r="L640" s="159" t="n">
        <v>24951.15</v>
      </c>
      <c r="M640" s="159" t="n">
        <v>4.21</v>
      </c>
      <c r="N640" s="159">
        <f>K640-I640</f>
        <v/>
      </c>
      <c r="O640" s="159" t="n">
        <v>23.4</v>
      </c>
      <c r="P640" s="159" t="n">
        <v>4.03</v>
      </c>
      <c r="Q640" s="159">
        <f>K640-P640</f>
        <v/>
      </c>
      <c r="R640" s="159" t="n">
        <v>104.1</v>
      </c>
      <c r="S640" s="159">
        <f>(O640*T640)/100</f>
        <v/>
      </c>
      <c r="T640" s="157" t="n">
        <v>6.65</v>
      </c>
      <c r="U640" s="159" t="n">
        <v>21860.95</v>
      </c>
      <c r="V640" s="159" t="n">
        <v>45.37</v>
      </c>
      <c r="W640" s="159">
        <f>U640/V640</f>
        <v/>
      </c>
      <c r="X640" s="159">
        <f>(W640/U640)*100</f>
        <v/>
      </c>
      <c r="Y640" s="159" t="n">
        <v>17948</v>
      </c>
      <c r="Z640" s="159" t="n">
        <v>31.81</v>
      </c>
      <c r="AA640" s="159">
        <f>Y640/Z640</f>
        <v/>
      </c>
      <c r="AB640" s="159">
        <f>(AA640/Y640)*100</f>
        <v/>
      </c>
    </row>
    <row r="641">
      <c r="A641" s="155" t="n">
        <v>640</v>
      </c>
      <c r="B641" s="160" t="n">
        <v>45505</v>
      </c>
      <c r="C641" s="159" t="n">
        <v>46206138.76</v>
      </c>
      <c r="D641" s="174">
        <f>C641/E641</f>
        <v/>
      </c>
      <c r="E641" s="159" t="n">
        <v>83.70999999999999</v>
      </c>
      <c r="F641" s="159">
        <f>D641/100000</f>
        <v/>
      </c>
      <c r="G641" s="159">
        <f>(F641/DataSheet!$C$11*100)</f>
        <v/>
      </c>
      <c r="H641" s="159">
        <f>K641/I641</f>
        <v/>
      </c>
      <c r="I641" s="159">
        <f>(J641/L641)*100</f>
        <v/>
      </c>
      <c r="J641" s="159">
        <f>L641/O641</f>
        <v/>
      </c>
      <c r="K641" s="159" t="n">
        <v>6.91</v>
      </c>
      <c r="L641" s="159" t="n">
        <v>25010.9</v>
      </c>
      <c r="M641" s="159" t="n">
        <v>4.22</v>
      </c>
      <c r="N641" s="159">
        <f>K641-I641</f>
        <v/>
      </c>
      <c r="O641" s="159" t="n">
        <v>23.45</v>
      </c>
      <c r="P641" s="159" t="n">
        <v>3.98</v>
      </c>
      <c r="Q641" s="159">
        <f>K641-P641</f>
        <v/>
      </c>
      <c r="R641" s="159" t="n">
        <v>104.42</v>
      </c>
      <c r="S641" s="159">
        <f>(O641*T641)/100</f>
        <v/>
      </c>
      <c r="T641" s="157" t="n">
        <v>6.68</v>
      </c>
      <c r="U641" s="159" t="n">
        <v>21706.45</v>
      </c>
      <c r="V641" s="159" t="n">
        <v>44.87</v>
      </c>
      <c r="W641" s="159">
        <f>U641/V641</f>
        <v/>
      </c>
      <c r="X641" s="159">
        <f>(W641/U641)*100</f>
        <v/>
      </c>
      <c r="Y641" s="159" t="n">
        <v>17825.05</v>
      </c>
      <c r="Z641" s="159" t="n">
        <v>31.54</v>
      </c>
      <c r="AA641" s="159">
        <f>Y641/Z641</f>
        <v/>
      </c>
      <c r="AB641" s="159">
        <f>(AA641/Y641)*100</f>
        <v/>
      </c>
    </row>
    <row r="642">
      <c r="A642" s="155" t="n">
        <v>641</v>
      </c>
      <c r="B642" s="160" t="n">
        <v>45506</v>
      </c>
      <c r="C642" s="159" t="n">
        <v>45764272.12</v>
      </c>
      <c r="D642" s="174">
        <f>C642/E642</f>
        <v/>
      </c>
      <c r="E642" s="159" t="n">
        <v>83.79000000000001</v>
      </c>
      <c r="F642" s="159">
        <f>D642/100000</f>
        <v/>
      </c>
      <c r="G642" s="159">
        <f>(F642/DataSheet!$C$11*100)</f>
        <v/>
      </c>
      <c r="H642" s="159">
        <f>K642/I642</f>
        <v/>
      </c>
      <c r="I642" s="159">
        <f>(J642/L642)*100</f>
        <v/>
      </c>
      <c r="J642" s="159">
        <f>L642/O642</f>
        <v/>
      </c>
      <c r="K642" s="159" t="n">
        <v>6.9</v>
      </c>
      <c r="L642" s="159" t="n">
        <v>24717.7</v>
      </c>
      <c r="M642" s="159" t="n">
        <v>4.17</v>
      </c>
      <c r="N642" s="159">
        <f>K642-I642</f>
        <v/>
      </c>
      <c r="O642" s="159" t="n">
        <v>23.09</v>
      </c>
      <c r="P642" s="159" t="n">
        <v>3.79</v>
      </c>
      <c r="Q642" s="159">
        <f>K642-P642</f>
        <v/>
      </c>
      <c r="R642" s="159" t="n">
        <v>103.21</v>
      </c>
      <c r="S642" s="159">
        <f>(O642*T642)/100</f>
        <v/>
      </c>
      <c r="T642" s="157" t="n">
        <v>6.68</v>
      </c>
      <c r="U642" s="159" t="n">
        <v>21492.25</v>
      </c>
      <c r="V642" s="159" t="n">
        <v>44.12</v>
      </c>
      <c r="W642" s="159">
        <f>U642/V642</f>
        <v/>
      </c>
      <c r="X642" s="159">
        <f>(W642/U642)*100</f>
        <v/>
      </c>
      <c r="Y642" s="159" t="n">
        <v>17677.65</v>
      </c>
      <c r="Z642" s="159" t="n">
        <v>31.25</v>
      </c>
      <c r="AA642" s="159">
        <f>Y642/Z642</f>
        <v/>
      </c>
      <c r="AB642" s="159">
        <f>(AA642/Y642)*100</f>
        <v/>
      </c>
    </row>
    <row r="643">
      <c r="A643" s="155" t="n">
        <v>642</v>
      </c>
      <c r="B643" s="160" t="n">
        <v>45509</v>
      </c>
      <c r="C643" s="159" t="n">
        <v>44223258.27</v>
      </c>
      <c r="D643" s="174">
        <f>C643/E643</f>
        <v/>
      </c>
      <c r="E643" s="159" t="n">
        <v>84.01000000000001</v>
      </c>
      <c r="F643" s="159">
        <f>D643/100000</f>
        <v/>
      </c>
      <c r="G643" s="159">
        <f>(F643/DataSheet!$C$11*100)</f>
        <v/>
      </c>
      <c r="H643" s="159">
        <f>K643/I643</f>
        <v/>
      </c>
      <c r="I643" s="159">
        <f>(J643/L643)*100</f>
        <v/>
      </c>
      <c r="J643" s="159">
        <f>L643/O643</f>
        <v/>
      </c>
      <c r="K643" s="159" t="n">
        <v>6.86</v>
      </c>
      <c r="L643" s="159" t="n">
        <v>24055.6</v>
      </c>
      <c r="M643" s="159" t="n">
        <v>4.05</v>
      </c>
      <c r="N643" s="159">
        <f>K643-I643</f>
        <v/>
      </c>
      <c r="O643" s="159" t="n">
        <v>22.38</v>
      </c>
      <c r="P643" s="159" t="n">
        <v>3.77</v>
      </c>
      <c r="Q643" s="159">
        <f>K643-P643</f>
        <v/>
      </c>
      <c r="R643" s="159" t="n">
        <v>102.48</v>
      </c>
      <c r="S643" s="159">
        <f>(O643*T643)/100</f>
        <v/>
      </c>
      <c r="T643" s="157" t="n">
        <v>6.65</v>
      </c>
      <c r="U643" s="159" t="n">
        <v>20734.85</v>
      </c>
      <c r="V643" s="159" t="n">
        <v>42.52</v>
      </c>
      <c r="W643" s="159">
        <f>U643/V643</f>
        <v/>
      </c>
      <c r="X643" s="159">
        <f>(W643/U643)*100</f>
        <v/>
      </c>
      <c r="Y643" s="159" t="n">
        <v>16937.9</v>
      </c>
      <c r="Z643" s="159" t="n">
        <v>29.86</v>
      </c>
      <c r="AA643" s="159">
        <f>Y643/Z643</f>
        <v/>
      </c>
      <c r="AB643" s="159">
        <f>(AA643/Y643)*100</f>
        <v/>
      </c>
    </row>
    <row r="644">
      <c r="A644" s="155" t="n">
        <v>643</v>
      </c>
      <c r="B644" s="160" t="n">
        <v>45510</v>
      </c>
      <c r="C644" s="159" t="n">
        <v>44011151.82</v>
      </c>
      <c r="D644" s="174">
        <f>C644/E644</f>
        <v/>
      </c>
      <c r="E644" s="159" t="n">
        <v>83.93000000000001</v>
      </c>
      <c r="F644" s="159">
        <f>D644/100000</f>
        <v/>
      </c>
      <c r="G644" s="159">
        <f>(F644/DataSheet!$C$11*100)</f>
        <v/>
      </c>
      <c r="H644" s="159">
        <f>K644/I644</f>
        <v/>
      </c>
      <c r="I644" s="159">
        <f>(J644/L644)*100</f>
        <v/>
      </c>
      <c r="J644" s="159">
        <f>L644/O644</f>
        <v/>
      </c>
      <c r="K644" s="159" t="n">
        <v>6.87</v>
      </c>
      <c r="L644" s="159" t="n">
        <v>23992.55</v>
      </c>
      <c r="M644" s="159" t="n">
        <v>4.04</v>
      </c>
      <c r="N644" s="159">
        <f>K644-I644</f>
        <v/>
      </c>
      <c r="O644" s="159" t="n">
        <v>22.3</v>
      </c>
      <c r="P644" s="159" t="n">
        <v>3.88</v>
      </c>
      <c r="Q644" s="159">
        <f>K644-P644</f>
        <v/>
      </c>
      <c r="R644" s="159" t="n">
        <v>102.75</v>
      </c>
      <c r="S644" s="159">
        <f>(O644*T644)/100</f>
        <v/>
      </c>
      <c r="T644" s="157" t="n">
        <v>6.63</v>
      </c>
      <c r="U644" s="159" t="n">
        <v>20611.15</v>
      </c>
      <c r="V644" s="159" t="n">
        <v>42.39</v>
      </c>
      <c r="W644" s="159">
        <f>U644/V644</f>
        <v/>
      </c>
      <c r="X644" s="159">
        <f>(W644/U644)*100</f>
        <v/>
      </c>
      <c r="Y644" s="159" t="n">
        <v>16871.85</v>
      </c>
      <c r="Z644" s="159" t="n">
        <v>29.68</v>
      </c>
      <c r="AA644" s="159">
        <f>Y644/Z644</f>
        <v/>
      </c>
      <c r="AB644" s="159">
        <f>(AA644/Y644)*100</f>
        <v/>
      </c>
    </row>
    <row r="645">
      <c r="A645" s="155" t="n">
        <v>644</v>
      </c>
      <c r="B645" s="160" t="n">
        <v>45511</v>
      </c>
      <c r="C645" s="159" t="n">
        <v>44905295.76</v>
      </c>
      <c r="D645" s="174">
        <f>C645/E645</f>
        <v/>
      </c>
      <c r="E645" s="159" t="n">
        <v>83.88</v>
      </c>
      <c r="F645" s="159">
        <f>D645/100000</f>
        <v/>
      </c>
      <c r="G645" s="159">
        <f>(F645/DataSheet!$C$11*100)</f>
        <v/>
      </c>
      <c r="H645" s="159">
        <f>K645/I645</f>
        <v/>
      </c>
      <c r="I645" s="159">
        <f>(J645/L645)*100</f>
        <v/>
      </c>
      <c r="J645" s="159">
        <f>L645/O645</f>
        <v/>
      </c>
      <c r="K645" s="159" t="n">
        <v>6.86</v>
      </c>
      <c r="L645" s="159" t="n">
        <v>24297.5</v>
      </c>
      <c r="M645" s="159" t="n">
        <v>4.09</v>
      </c>
      <c r="N645" s="159">
        <f>K645-I645</f>
        <v/>
      </c>
      <c r="O645" s="159" t="n">
        <v>22.61</v>
      </c>
      <c r="P645" s="159" t="n">
        <v>3.92</v>
      </c>
      <c r="Q645" s="159">
        <f>K645-P645</f>
        <v/>
      </c>
      <c r="R645" s="159" t="n">
        <v>102.99</v>
      </c>
      <c r="S645" s="159">
        <f>(O645*T645)/100</f>
        <v/>
      </c>
      <c r="T645" s="157" t="n">
        <v>6.63</v>
      </c>
      <c r="U645" s="159" t="n">
        <v>21063.7</v>
      </c>
      <c r="V645" s="159" t="n">
        <v>43.43</v>
      </c>
      <c r="W645" s="159">
        <f>U645/V645</f>
        <v/>
      </c>
      <c r="X645" s="159">
        <f>(W645/U645)*100</f>
        <v/>
      </c>
      <c r="Y645" s="159" t="n">
        <v>17274.9</v>
      </c>
      <c r="Z645" s="159" t="n">
        <v>30.45</v>
      </c>
      <c r="AA645" s="159">
        <f>Y645/Z645</f>
        <v/>
      </c>
      <c r="AB645" s="159">
        <f>(AA645/Y645)*100</f>
        <v/>
      </c>
    </row>
    <row r="646">
      <c r="A646" s="155" t="n">
        <v>645</v>
      </c>
      <c r="B646" s="160" t="n">
        <v>45512</v>
      </c>
      <c r="C646" s="159" t="n">
        <v>44637476.84</v>
      </c>
      <c r="D646" s="174">
        <f>C646/E646</f>
        <v/>
      </c>
      <c r="E646" s="159" t="n">
        <v>83.98999999999999</v>
      </c>
      <c r="F646" s="159">
        <f>D646/100000</f>
        <v/>
      </c>
      <c r="G646" s="159">
        <f>(F646/DataSheet!$C$11*100)</f>
        <v/>
      </c>
      <c r="H646" s="159">
        <f>K646/I646</f>
        <v/>
      </c>
      <c r="I646" s="159">
        <f>(J646/L646)*100</f>
        <v/>
      </c>
      <c r="J646" s="159">
        <f>L646/O646</f>
        <v/>
      </c>
      <c r="K646" s="159" t="n">
        <v>6.87</v>
      </c>
      <c r="L646" s="159" t="n">
        <v>24117</v>
      </c>
      <c r="M646" s="159" t="n">
        <v>4.06</v>
      </c>
      <c r="N646" s="159">
        <f>K646-I646</f>
        <v/>
      </c>
      <c r="O646" s="159" t="n">
        <v>22.44</v>
      </c>
      <c r="P646" s="159" t="n">
        <v>3.99</v>
      </c>
      <c r="Q646" s="159">
        <f>K646-P646</f>
        <v/>
      </c>
      <c r="R646" s="159" t="n">
        <v>103.02</v>
      </c>
      <c r="S646" s="159">
        <f>(O646*T646)/100</f>
        <v/>
      </c>
      <c r="T646" s="157" t="n">
        <v>6.66</v>
      </c>
      <c r="U646" s="159" t="n">
        <v>20991</v>
      </c>
      <c r="V646" s="159" t="n">
        <v>43.14</v>
      </c>
      <c r="W646" s="159">
        <f>U646/V646</f>
        <v/>
      </c>
      <c r="X646" s="159">
        <f>(W646/U646)*100</f>
        <v/>
      </c>
      <c r="Y646" s="159" t="n">
        <v>17226.15</v>
      </c>
      <c r="Z646" s="159" t="n">
        <v>30.57</v>
      </c>
      <c r="AA646" s="159">
        <f>Y646/Z646</f>
        <v/>
      </c>
      <c r="AB646" s="159">
        <f>(AA646/Y646)*100</f>
        <v/>
      </c>
    </row>
    <row r="647">
      <c r="A647" s="155" t="n">
        <v>646</v>
      </c>
      <c r="B647" s="160" t="n">
        <v>45513</v>
      </c>
      <c r="C647" s="159" t="n">
        <v>45087644.26</v>
      </c>
      <c r="D647" s="174">
        <f>C647/E647</f>
        <v/>
      </c>
      <c r="E647" s="159" t="n">
        <v>83.94</v>
      </c>
      <c r="F647" s="159">
        <f>D647/100000</f>
        <v/>
      </c>
      <c r="G647" s="159">
        <f>(F647/DataSheet!$C$11*100)</f>
        <v/>
      </c>
      <c r="H647" s="159">
        <f>K647/I647</f>
        <v/>
      </c>
      <c r="I647" s="159">
        <f>(J647/L647)*100</f>
        <v/>
      </c>
      <c r="J647" s="159">
        <f>L647/O647</f>
        <v/>
      </c>
      <c r="K647" s="159" t="n">
        <v>6.88</v>
      </c>
      <c r="L647" s="159" t="n">
        <v>24367.5</v>
      </c>
      <c r="M647" s="159" t="n">
        <v>4.11</v>
      </c>
      <c r="N647" s="159">
        <f>K647-I647</f>
        <v/>
      </c>
      <c r="O647" s="159" t="n">
        <v>22.67</v>
      </c>
      <c r="P647" s="159" t="n">
        <v>3.94</v>
      </c>
      <c r="Q647" s="159">
        <f>K647-P647</f>
        <v/>
      </c>
      <c r="R647" s="159" t="n">
        <v>102.95</v>
      </c>
      <c r="S647" s="159">
        <f>(O647*T647)/100</f>
        <v/>
      </c>
      <c r="T647" s="157" t="n">
        <v>6.65</v>
      </c>
      <c r="U647" s="159" t="n">
        <v>21151.35</v>
      </c>
      <c r="V647" s="159" t="n">
        <v>43.51</v>
      </c>
      <c r="W647" s="159">
        <f>U647/V647</f>
        <v/>
      </c>
      <c r="X647" s="159">
        <f>(W647/U647)*100</f>
        <v/>
      </c>
      <c r="Y647" s="159" t="n">
        <v>17335.9</v>
      </c>
      <c r="Z647" s="159" t="n">
        <v>30.68</v>
      </c>
      <c r="AA647" s="159">
        <f>Y647/Z647</f>
        <v/>
      </c>
      <c r="AB647" s="159">
        <f>(AA647/Y647)*100</f>
        <v/>
      </c>
    </row>
    <row r="648">
      <c r="A648" s="155" t="n">
        <v>647</v>
      </c>
      <c r="B648" s="160" t="n">
        <v>45516</v>
      </c>
      <c r="C648" s="159" t="n">
        <v>45030066.12</v>
      </c>
      <c r="D648" s="174">
        <f>C648/E648</f>
        <v/>
      </c>
      <c r="E648" s="159" t="n">
        <v>83.93000000000001</v>
      </c>
      <c r="F648" s="159">
        <f>D648/100000</f>
        <v/>
      </c>
      <c r="G648" s="159">
        <f>(F648/DataSheet!$C$11*100)</f>
        <v/>
      </c>
      <c r="H648" s="159">
        <f>K648/I648</f>
        <v/>
      </c>
      <c r="I648" s="159">
        <f>(J648/L648)*100</f>
        <v/>
      </c>
      <c r="J648" s="159">
        <f>L648/O648</f>
        <v/>
      </c>
      <c r="K648" s="159" t="n">
        <v>6.879</v>
      </c>
      <c r="L648" s="159" t="n">
        <v>24347</v>
      </c>
      <c r="M648" s="159" t="n">
        <v>4.1</v>
      </c>
      <c r="N648" s="159">
        <f>K648-I648</f>
        <v/>
      </c>
      <c r="O648" s="159" t="n">
        <v>22.65</v>
      </c>
      <c r="P648" s="159" t="n">
        <v>3.907</v>
      </c>
      <c r="Q648" s="159">
        <f>K648-P648</f>
        <v/>
      </c>
      <c r="R648" s="159" t="n">
        <v>103.14</v>
      </c>
      <c r="S648" s="159">
        <f>(O648*T648)/100</f>
        <v/>
      </c>
      <c r="T648" s="157" t="n">
        <v>6.64</v>
      </c>
      <c r="U648" s="159" t="n">
        <v>21208.7</v>
      </c>
      <c r="V648" s="159" t="n">
        <v>43.41</v>
      </c>
      <c r="W648" s="159">
        <f>U648/V648</f>
        <v/>
      </c>
      <c r="X648" s="159">
        <f>(W648/U648)*100</f>
        <v/>
      </c>
      <c r="Y648" s="159" t="n">
        <v>22379.75</v>
      </c>
      <c r="Z648" s="159" t="n">
        <v>30.67</v>
      </c>
      <c r="AA648" s="159">
        <f>Y648/Z648</f>
        <v/>
      </c>
      <c r="AB648" s="159">
        <f>(AA648/Y648)*100</f>
        <v/>
      </c>
    </row>
    <row r="649">
      <c r="A649" s="155" t="n">
        <v>648</v>
      </c>
      <c r="B649" s="160" t="n">
        <v>45517</v>
      </c>
      <c r="C649" s="159" t="n">
        <v>44597885.12</v>
      </c>
      <c r="D649" s="174">
        <f>C649/E649</f>
        <v/>
      </c>
      <c r="E649" s="159" t="n">
        <v>83.91</v>
      </c>
      <c r="F649" s="159">
        <f>D649/100000</f>
        <v/>
      </c>
      <c r="G649" s="159">
        <f>(F649/DataSheet!$C$11*100)</f>
        <v/>
      </c>
      <c r="H649" s="159">
        <f>K649/I649</f>
        <v/>
      </c>
      <c r="I649" s="159">
        <f>(J649/L649)*100</f>
        <v/>
      </c>
      <c r="J649" s="159">
        <f>L649/O649</f>
        <v/>
      </c>
      <c r="K649" s="159" t="n">
        <v>6.88</v>
      </c>
      <c r="L649" s="159" t="n">
        <v>24139</v>
      </c>
      <c r="M649" s="159" t="n">
        <v>4.07</v>
      </c>
      <c r="N649" s="159">
        <f>K649-I649</f>
        <v/>
      </c>
      <c r="O649" s="159" t="n">
        <v>22.46</v>
      </c>
      <c r="P649" s="159" t="n">
        <v>3.846</v>
      </c>
      <c r="Q649" s="159">
        <f>K649-P649</f>
        <v/>
      </c>
      <c r="R649" s="159" t="n">
        <v>102.56</v>
      </c>
      <c r="S649" s="159">
        <f>(O649*T649)/100</f>
        <v/>
      </c>
      <c r="T649" s="157" t="n">
        <v>6.64</v>
      </c>
      <c r="U649" s="159" t="n">
        <v>21044.95</v>
      </c>
      <c r="V649" s="159" t="n">
        <v>42.89</v>
      </c>
      <c r="W649" s="159">
        <f>U649/V649</f>
        <v/>
      </c>
      <c r="X649" s="159">
        <f>(W649/U649)*100</f>
        <v/>
      </c>
      <c r="Y649" s="159" t="n">
        <v>22311.95</v>
      </c>
      <c r="Z649" s="159" t="n">
        <v>30.03</v>
      </c>
      <c r="AA649" s="159">
        <f>Y649/Z649</f>
        <v/>
      </c>
      <c r="AB649" s="159">
        <f>(AA649/Y649)*100</f>
        <v/>
      </c>
    </row>
    <row r="650">
      <c r="A650" s="155" t="n">
        <v>649</v>
      </c>
      <c r="B650" s="160" t="n">
        <v>45518</v>
      </c>
      <c r="C650" s="159" t="n">
        <v>44492637.03</v>
      </c>
      <c r="D650" s="174">
        <f>C650/E650</f>
        <v/>
      </c>
      <c r="E650" s="159" t="n">
        <v>83.95999999999999</v>
      </c>
      <c r="F650" s="159">
        <f>D650/100000</f>
        <v/>
      </c>
      <c r="G650" s="159">
        <f>(F650/DataSheet!$C$11*100)</f>
        <v/>
      </c>
      <c r="H650" s="159">
        <f>K650/I650</f>
        <v/>
      </c>
      <c r="I650" s="159">
        <f>(J650/L650)*100</f>
        <v/>
      </c>
      <c r="J650" s="159">
        <f>L650/O650</f>
        <v/>
      </c>
      <c r="K650" s="159" t="n">
        <v>6.858</v>
      </c>
      <c r="L650" s="159" t="n">
        <v>24143.75</v>
      </c>
      <c r="M650" s="159" t="n">
        <v>4.07</v>
      </c>
      <c r="N650" s="159">
        <f>K650-I650</f>
        <v/>
      </c>
      <c r="O650" s="159" t="n">
        <v>22.47</v>
      </c>
      <c r="P650" s="159" t="n">
        <v>3.839</v>
      </c>
      <c r="Q650" s="159">
        <f>K650-P650</f>
        <v/>
      </c>
      <c r="R650" s="159" t="n">
        <v>102.57</v>
      </c>
      <c r="S650" s="159">
        <f>(O650*T650)/100</f>
        <v/>
      </c>
      <c r="T650" s="157" t="n">
        <v>6.62</v>
      </c>
      <c r="U650" s="159" t="n">
        <v>20917.75</v>
      </c>
      <c r="V650" s="159" t="n">
        <v>42.56</v>
      </c>
      <c r="W650" s="159">
        <f>U650/V650</f>
        <v/>
      </c>
      <c r="X650" s="159">
        <f>(W650/U650)*100</f>
        <v/>
      </c>
      <c r="Y650" s="159" t="n">
        <v>22360.85</v>
      </c>
      <c r="Z650" s="159" t="n">
        <v>29.65</v>
      </c>
      <c r="AA650" s="159">
        <f>Y650/Z650</f>
        <v/>
      </c>
      <c r="AB650" s="159">
        <f>(AA650/Y650)*100</f>
        <v/>
      </c>
    </row>
    <row r="651">
      <c r="A651" s="155" t="n">
        <v>650</v>
      </c>
      <c r="B651" s="160" t="n">
        <v>45520</v>
      </c>
      <c r="C651" s="159" t="n">
        <v>45222585.44</v>
      </c>
      <c r="D651" s="174">
        <f>C651/E651</f>
        <v/>
      </c>
      <c r="E651" s="159" t="n">
        <v>83.88</v>
      </c>
      <c r="F651" s="159">
        <f>D651/100000</f>
        <v/>
      </c>
      <c r="G651" s="159">
        <f>(F651/DataSheet!$C$11*100)</f>
        <v/>
      </c>
      <c r="H651" s="159">
        <f>K651/I651</f>
        <v/>
      </c>
      <c r="I651" s="159">
        <f>(J651/L651)*100</f>
        <v/>
      </c>
      <c r="J651" s="159">
        <f>L651/O651</f>
        <v/>
      </c>
      <c r="K651" s="159" t="n">
        <v>6.867</v>
      </c>
      <c r="L651" s="159" t="n">
        <v>24541.15</v>
      </c>
      <c r="M651" s="159" t="n">
        <v>4.14</v>
      </c>
      <c r="N651" s="159">
        <f>K651-I651</f>
        <v/>
      </c>
      <c r="O651" s="159" t="n">
        <v>22.8</v>
      </c>
      <c r="P651" s="159" t="n">
        <v>3.883</v>
      </c>
      <c r="Q651" s="159">
        <f>K651-P651</f>
        <v/>
      </c>
      <c r="R651" s="159" t="n">
        <v>102.46</v>
      </c>
      <c r="S651" s="159">
        <f>(O651*T651)/100</f>
        <v/>
      </c>
      <c r="T651" s="157" t="n">
        <v>6.63</v>
      </c>
      <c r="U651" s="159" t="n">
        <v>21298.35</v>
      </c>
      <c r="V651" s="159" t="n">
        <v>43.09</v>
      </c>
      <c r="W651" s="159">
        <f>U651/V651</f>
        <v/>
      </c>
      <c r="X651" s="159">
        <f>(W651/U651)*100</f>
        <v/>
      </c>
      <c r="Y651" s="159" t="n">
        <v>22367.85</v>
      </c>
      <c r="Z651" s="159" t="n">
        <v>30.21</v>
      </c>
      <c r="AA651" s="159">
        <f>Y651/Z651</f>
        <v/>
      </c>
      <c r="AB651" s="159">
        <f>(AA651/Y651)*100</f>
        <v/>
      </c>
    </row>
    <row r="652">
      <c r="A652" s="155" t="n">
        <v>651</v>
      </c>
      <c r="B652" s="160" t="n">
        <v>45523</v>
      </c>
      <c r="C652" s="159" t="n">
        <v>45495630.17</v>
      </c>
      <c r="D652" s="174">
        <f>C652/E652</f>
        <v/>
      </c>
      <c r="E652" s="159" t="n">
        <v>83.84999999999999</v>
      </c>
      <c r="F652" s="159">
        <f>D652/100000</f>
        <v/>
      </c>
      <c r="G652" s="159">
        <f>(F652/DataSheet!$C$11*100)</f>
        <v/>
      </c>
      <c r="H652" s="159">
        <f>K652/I652</f>
        <v/>
      </c>
      <c r="I652" s="159">
        <f>(J652/L652)*100</f>
        <v/>
      </c>
      <c r="J652" s="159">
        <f>L652/O652</f>
        <v/>
      </c>
      <c r="K652" s="159" t="n">
        <v>6.864</v>
      </c>
      <c r="L652" s="159" t="n">
        <v>24572.65</v>
      </c>
      <c r="M652" s="159" t="n">
        <v>4.14</v>
      </c>
      <c r="N652" s="159">
        <f>K652-I652</f>
        <v/>
      </c>
      <c r="O652" s="159" t="n">
        <v>22.83</v>
      </c>
      <c r="P652" s="159" t="n">
        <v>3.875</v>
      </c>
      <c r="Q652" s="159">
        <f>K652-P652</f>
        <v/>
      </c>
      <c r="R652" s="159" t="n">
        <v>101.89</v>
      </c>
      <c r="S652" s="159">
        <f>(O652*T652)/100</f>
        <v/>
      </c>
      <c r="T652" s="157" t="n">
        <v>6.56</v>
      </c>
      <c r="U652" s="159" t="n">
        <v>21351.4</v>
      </c>
      <c r="V652" s="159" t="n">
        <v>43.16</v>
      </c>
      <c r="W652" s="159">
        <f>U652/V652</f>
        <v/>
      </c>
      <c r="X652" s="159">
        <f>(W652/U652)*100</f>
        <v/>
      </c>
      <c r="Y652" s="159" t="n">
        <v>22357.4</v>
      </c>
      <c r="Z652" s="159" t="n">
        <v>30.65</v>
      </c>
      <c r="AA652" s="159">
        <f>Y652/Z652</f>
        <v/>
      </c>
      <c r="AB652" s="159">
        <f>(AA652/Y652)*100</f>
        <v/>
      </c>
    </row>
    <row r="653">
      <c r="A653" s="155" t="n">
        <v>652</v>
      </c>
      <c r="B653" s="160" t="n">
        <v>45524</v>
      </c>
      <c r="C653" s="159" t="n">
        <v>45757953.43</v>
      </c>
      <c r="D653" s="174">
        <f>C653/E653</f>
        <v/>
      </c>
      <c r="E653" s="159" t="n">
        <v>83.75</v>
      </c>
      <c r="F653" s="159">
        <f>D653/100000</f>
        <v/>
      </c>
      <c r="G653" s="159">
        <f>(F653/DataSheet!$C$11*100)</f>
        <v/>
      </c>
      <c r="H653" s="159">
        <f>K653/I653</f>
        <v/>
      </c>
      <c r="I653" s="159">
        <f>(J653/L653)*100</f>
        <v/>
      </c>
      <c r="J653" s="159">
        <f>L653/O653</f>
        <v/>
      </c>
      <c r="K653" s="159" t="n">
        <v>6.856</v>
      </c>
      <c r="L653" s="159" t="n">
        <v>24698.85</v>
      </c>
      <c r="M653" s="159" t="n">
        <v>4.16</v>
      </c>
      <c r="N653" s="159">
        <f>K653-I653</f>
        <v/>
      </c>
      <c r="O653" s="159" t="n">
        <v>22.95</v>
      </c>
      <c r="P653" s="159" t="n">
        <v>3.81</v>
      </c>
      <c r="Q653" s="159">
        <f>K653-P653</f>
        <v/>
      </c>
      <c r="R653" s="159" t="n">
        <v>101.44</v>
      </c>
      <c r="S653" s="159">
        <f>(O653*T653)/100</f>
        <v/>
      </c>
      <c r="T653" s="157" t="n">
        <v>6.6</v>
      </c>
      <c r="U653" s="159" t="n">
        <v>21529.05</v>
      </c>
      <c r="V653" s="159" t="n">
        <v>43.52</v>
      </c>
      <c r="W653" s="159">
        <f>U653/V653</f>
        <v/>
      </c>
      <c r="X653" s="159">
        <f>(W653/U653)*100</f>
        <v/>
      </c>
      <c r="Y653" s="159" t="n">
        <v>22493.5</v>
      </c>
      <c r="Z653" s="159" t="n">
        <v>30.82</v>
      </c>
      <c r="AA653" s="159">
        <f>Y653/Z653</f>
        <v/>
      </c>
      <c r="AB653" s="159">
        <f>(AA653/Y653)*100</f>
        <v/>
      </c>
    </row>
    <row r="654">
      <c r="A654" s="155" t="n">
        <v>653</v>
      </c>
      <c r="B654" s="160" t="n">
        <v>45525</v>
      </c>
      <c r="C654" s="159" t="n">
        <v>46003536.94</v>
      </c>
      <c r="D654" s="174">
        <f>C654/E654</f>
        <v/>
      </c>
      <c r="E654" s="159" t="n">
        <v>83.87</v>
      </c>
      <c r="F654" s="159">
        <f>D654/100000</f>
        <v/>
      </c>
      <c r="G654" s="159">
        <f>(F654/DataSheet!$C$11*100)</f>
        <v/>
      </c>
      <c r="H654" s="159">
        <f>K654/I654</f>
        <v/>
      </c>
      <c r="I654" s="159">
        <f>(J654/L654)*100</f>
        <v/>
      </c>
      <c r="J654" s="159">
        <f>L654/O654</f>
        <v/>
      </c>
      <c r="K654" s="159" t="n">
        <v>6.853</v>
      </c>
      <c r="L654" s="159" t="n">
        <v>24770.2</v>
      </c>
      <c r="M654" s="159" t="n">
        <v>4.17</v>
      </c>
      <c r="N654" s="159">
        <f>K654-I654</f>
        <v/>
      </c>
      <c r="O654" s="159" t="n">
        <v>23.01</v>
      </c>
      <c r="P654" s="159" t="n">
        <v>3.799</v>
      </c>
      <c r="Q654" s="159">
        <f>K654-P654</f>
        <v/>
      </c>
      <c r="R654" s="159" t="n">
        <v>101.04</v>
      </c>
      <c r="S654" s="159">
        <f>(O654*T654)/100</f>
        <v/>
      </c>
      <c r="T654" s="157" t="n">
        <v>6.61</v>
      </c>
      <c r="U654" s="159" t="n">
        <v>21617.7</v>
      </c>
      <c r="V654" s="159" t="n">
        <v>43.7</v>
      </c>
      <c r="W654" s="159">
        <f>U654/V654</f>
        <v/>
      </c>
      <c r="X654" s="159">
        <f>(W654/U654)*100</f>
        <v/>
      </c>
      <c r="Y654" s="159" t="n">
        <v>22423.7</v>
      </c>
      <c r="Z654" s="159" t="n">
        <v>31.16</v>
      </c>
      <c r="AA654" s="159">
        <f>Y654/Z654</f>
        <v/>
      </c>
      <c r="AB654" s="159">
        <f>(AA654/Y654)*100</f>
        <v/>
      </c>
    </row>
    <row r="655">
      <c r="A655" s="155" t="n">
        <v>654</v>
      </c>
      <c r="B655" s="160" t="n">
        <v>45526</v>
      </c>
      <c r="C655" s="159" t="n">
        <v>46134977.4</v>
      </c>
      <c r="D655" s="174">
        <f>C655/E655</f>
        <v/>
      </c>
      <c r="E655" s="159" t="n">
        <v>83.93000000000001</v>
      </c>
      <c r="F655" s="159">
        <f>D655/100000</f>
        <v/>
      </c>
      <c r="G655" s="159">
        <f>(F655/DataSheet!$C$11*100)</f>
        <v/>
      </c>
      <c r="H655" s="159">
        <f>K655/I655</f>
        <v/>
      </c>
      <c r="I655" s="159">
        <f>(J655/L655)*100</f>
        <v/>
      </c>
      <c r="J655" s="159">
        <f>L655/O655</f>
        <v/>
      </c>
      <c r="K655" s="159" t="n">
        <v>6.852</v>
      </c>
      <c r="L655" s="159" t="n">
        <v>24811.5</v>
      </c>
      <c r="M655" s="159" t="n">
        <v>4.18</v>
      </c>
      <c r="N655" s="159">
        <f>K655-I655</f>
        <v/>
      </c>
      <c r="O655" s="159" t="n">
        <v>23.05</v>
      </c>
      <c r="P655" s="159" t="n">
        <v>3.858</v>
      </c>
      <c r="Q655" s="159">
        <f>K655-P655</f>
        <v/>
      </c>
      <c r="R655" s="159" t="n">
        <v>101.51</v>
      </c>
      <c r="S655" s="159">
        <f>(O655*T655)/100</f>
        <v/>
      </c>
      <c r="T655" s="157" t="n">
        <v>6.66</v>
      </c>
      <c r="U655" s="159" t="n">
        <v>21760.35</v>
      </c>
      <c r="V655" s="159" t="n">
        <v>43.99</v>
      </c>
      <c r="W655" s="159">
        <f>U655/V655</f>
        <v/>
      </c>
      <c r="X655" s="159">
        <f>(W655/U655)*100</f>
        <v/>
      </c>
      <c r="Y655" s="159" t="n">
        <v>22256.1</v>
      </c>
      <c r="Z655" s="159" t="n">
        <v>31.25</v>
      </c>
      <c r="AA655" s="159">
        <f>Y655/Z655</f>
        <v/>
      </c>
      <c r="AB655" s="159">
        <f>(AA655/Y655)*100</f>
        <v/>
      </c>
    </row>
    <row r="656">
      <c r="A656" s="155" t="n">
        <v>655</v>
      </c>
      <c r="B656" s="160" t="n">
        <v>45527</v>
      </c>
      <c r="C656" s="159" t="n">
        <v>46076227.7</v>
      </c>
      <c r="D656" s="174">
        <f>C656/E656</f>
        <v/>
      </c>
      <c r="E656" s="159" t="n">
        <v>83.809</v>
      </c>
      <c r="F656" s="159">
        <f>D656/100000</f>
        <v/>
      </c>
      <c r="G656" s="159">
        <f>(F656/DataSheet!$C$11*100)</f>
        <v/>
      </c>
      <c r="H656" s="159">
        <f>K656/I656</f>
        <v/>
      </c>
      <c r="I656" s="159">
        <f>(J656/L656)*100</f>
        <v/>
      </c>
      <c r="J656" s="159">
        <f>L656/O656</f>
        <v/>
      </c>
      <c r="K656" s="159" t="n">
        <v>6.859</v>
      </c>
      <c r="L656" s="159" t="n">
        <v>24823.15</v>
      </c>
      <c r="M656" s="159" t="n">
        <v>4.18</v>
      </c>
      <c r="N656" s="159">
        <f>K656-I656</f>
        <v/>
      </c>
      <c r="O656" s="159" t="n">
        <v>23.06</v>
      </c>
      <c r="P656" s="159" t="n">
        <v>3.795</v>
      </c>
      <c r="Q656" s="159">
        <f>K656-P656</f>
        <v/>
      </c>
      <c r="R656" s="159" t="n">
        <v>100.72</v>
      </c>
      <c r="S656" s="159">
        <f>(O656*T656)/100</f>
        <v/>
      </c>
      <c r="T656" s="157" t="n">
        <v>6.65</v>
      </c>
      <c r="U656" s="159" t="n">
        <v>21645.65</v>
      </c>
      <c r="V656" s="159" t="n">
        <v>43.76</v>
      </c>
      <c r="W656" s="159">
        <f>U656/V656</f>
        <v/>
      </c>
      <c r="X656" s="159">
        <f>(W656/U656)*100</f>
        <v/>
      </c>
      <c r="Y656" s="159" t="n">
        <v>21965.15</v>
      </c>
      <c r="Z656" s="159" t="n">
        <v>31.29</v>
      </c>
      <c r="AA656" s="159">
        <f>Y656/Z656</f>
        <v/>
      </c>
      <c r="AB656" s="159">
        <f>(AA656/Y656)*100</f>
        <v/>
      </c>
    </row>
    <row r="657">
      <c r="A657" s="155" t="n">
        <v>656</v>
      </c>
      <c r="B657" s="160" t="n">
        <v>45530</v>
      </c>
      <c r="C657" s="159" t="n">
        <v>46295933.68</v>
      </c>
      <c r="D657" s="174">
        <f>C657/E657</f>
        <v/>
      </c>
      <c r="E657" s="159" t="n">
        <v>83.84</v>
      </c>
      <c r="F657" s="159">
        <f>D657/100000</f>
        <v/>
      </c>
      <c r="G657" s="159">
        <f>(F657/DataSheet!$C$11*100)</f>
        <v/>
      </c>
      <c r="H657" s="159">
        <f>K657/I657</f>
        <v/>
      </c>
      <c r="I657" s="159">
        <f>(J657/L657)*100</f>
        <v/>
      </c>
      <c r="J657" s="159">
        <f>L657/O657</f>
        <v/>
      </c>
      <c r="K657" s="159" t="n">
        <v>6.851</v>
      </c>
      <c r="L657" s="159" t="n">
        <v>25010.6</v>
      </c>
      <c r="M657" s="159" t="n">
        <v>4.21</v>
      </c>
      <c r="N657" s="159">
        <f>K657-I657</f>
        <v/>
      </c>
      <c r="O657" s="159" t="n">
        <v>23.24</v>
      </c>
      <c r="P657" s="159" t="n">
        <v>3.82</v>
      </c>
      <c r="Q657" s="159">
        <f>K657-P657</f>
        <v/>
      </c>
      <c r="R657" s="159" t="n">
        <v>100.85</v>
      </c>
      <c r="S657" s="159">
        <f>(O657*T657)/100</f>
        <v/>
      </c>
      <c r="T657" s="157" t="n">
        <v>6.65</v>
      </c>
      <c r="U657" s="159" t="n">
        <v>21758.45</v>
      </c>
      <c r="V657" s="159" t="n">
        <v>43.99</v>
      </c>
      <c r="W657" s="159">
        <f>U657/V657</f>
        <v/>
      </c>
      <c r="X657" s="159">
        <f>(W657/U657)*100</f>
        <v/>
      </c>
      <c r="Y657" s="159" t="n">
        <v>22079.9</v>
      </c>
      <c r="Z657" s="159" t="n">
        <v>31.42</v>
      </c>
      <c r="AA657" s="159">
        <f>Y657/Z657</f>
        <v/>
      </c>
      <c r="AB657" s="159">
        <f>(AA657/Y657)*100</f>
        <v/>
      </c>
    </row>
    <row r="658">
      <c r="A658" s="155" t="n">
        <v>657</v>
      </c>
      <c r="B658" s="160" t="n">
        <v>45531</v>
      </c>
      <c r="C658" s="159" t="n">
        <v>46401936.54</v>
      </c>
      <c r="D658" s="174">
        <f>C658/E658</f>
        <v/>
      </c>
      <c r="E658" s="159" t="n">
        <v>83.91</v>
      </c>
      <c r="F658" s="159">
        <f>D658/100000</f>
        <v/>
      </c>
      <c r="G658" s="159">
        <f>(F658/DataSheet!$C$11*100)</f>
        <v/>
      </c>
      <c r="H658" s="159">
        <f>K658/I658</f>
        <v/>
      </c>
      <c r="I658" s="159">
        <f>(J658/L658)*100</f>
        <v/>
      </c>
      <c r="J658" s="159">
        <f>L658/O658</f>
        <v/>
      </c>
      <c r="K658" s="159" t="n">
        <v>6.861</v>
      </c>
      <c r="L658" s="159" t="n">
        <v>25017.75</v>
      </c>
      <c r="M658" s="159" t="n">
        <v>4.22</v>
      </c>
      <c r="N658" s="159">
        <f>K658-I658</f>
        <v/>
      </c>
      <c r="O658" s="159" t="n">
        <v>23.24</v>
      </c>
      <c r="P658" s="159" t="n">
        <v>3.829</v>
      </c>
      <c r="Q658" s="159">
        <f>K658-P658</f>
        <v/>
      </c>
      <c r="R658" s="159" t="n">
        <v>100.55</v>
      </c>
      <c r="S658" s="159">
        <f>(O658*T658)/100</f>
        <v/>
      </c>
      <c r="T658" s="157" t="n">
        <v>6.64</v>
      </c>
      <c r="U658" s="159" t="n">
        <v>21869.75</v>
      </c>
      <c r="V658" s="159" t="n">
        <v>44.21</v>
      </c>
      <c r="W658" s="159">
        <f>U658/V658</f>
        <v/>
      </c>
      <c r="X658" s="159">
        <f>(W658/U658)*100</f>
        <v/>
      </c>
      <c r="Y658" s="159" t="n">
        <v>22235.35</v>
      </c>
      <c r="Z658" s="159" t="n">
        <v>31.66</v>
      </c>
      <c r="AA658" s="159">
        <f>Y658/Z658</f>
        <v/>
      </c>
      <c r="AB658" s="159">
        <f>(AA658/Y658)*100</f>
        <v/>
      </c>
    </row>
    <row r="659">
      <c r="A659" s="155" t="n">
        <v>658</v>
      </c>
      <c r="B659" s="160" t="n">
        <v>45532</v>
      </c>
      <c r="C659" s="159" t="n">
        <v>46387121.74</v>
      </c>
      <c r="D659" s="174">
        <f>C659/E659</f>
        <v/>
      </c>
      <c r="E659" s="159" t="n">
        <v>83.90000000000001</v>
      </c>
      <c r="F659" s="159">
        <f>D659/100000</f>
        <v/>
      </c>
      <c r="G659" s="159">
        <f>(F659/DataSheet!$C$11*100)</f>
        <v/>
      </c>
      <c r="H659" s="159">
        <f>K659/I659</f>
        <v/>
      </c>
      <c r="I659" s="159">
        <f>(J659/L659)*100</f>
        <v/>
      </c>
      <c r="J659" s="159">
        <f>L659/O659</f>
        <v/>
      </c>
      <c r="K659" s="159" t="n">
        <v>6.861</v>
      </c>
      <c r="L659" s="159" t="n">
        <v>25052.35</v>
      </c>
      <c r="M659" s="159" t="n">
        <v>4.22</v>
      </c>
      <c r="N659" s="159">
        <f>K659-I659</f>
        <v/>
      </c>
      <c r="O659" s="159" t="n">
        <v>23.28</v>
      </c>
      <c r="P659" s="159" t="n">
        <v>3.839</v>
      </c>
      <c r="Q659" s="159">
        <f>K659-P659</f>
        <v/>
      </c>
      <c r="R659" s="159" t="n">
        <v>101.09</v>
      </c>
      <c r="S659" s="159">
        <f>(O659*T659)/100</f>
        <v/>
      </c>
      <c r="T659" s="157" t="n">
        <v>6.64</v>
      </c>
      <c r="U659" s="159" t="n">
        <v>21838.7</v>
      </c>
      <c r="V659" s="159" t="n">
        <v>44.14</v>
      </c>
      <c r="W659" s="159">
        <f>U659/V659</f>
        <v/>
      </c>
      <c r="X659" s="159">
        <f>(W659/U659)*100</f>
        <v/>
      </c>
      <c r="Y659" s="159" t="n">
        <v>22264.7</v>
      </c>
      <c r="Z659" s="159" t="n">
        <v>31.6</v>
      </c>
      <c r="AA659" s="159">
        <f>Y659/Z659</f>
        <v/>
      </c>
      <c r="AB659" s="159">
        <f>(AA659/Y659)*100</f>
        <v/>
      </c>
    </row>
    <row r="660">
      <c r="A660" s="155" t="n">
        <v>659</v>
      </c>
      <c r="B660" s="160" t="n">
        <v>45533</v>
      </c>
      <c r="C660" s="159" t="n">
        <v>46332157.79</v>
      </c>
      <c r="D660" s="174">
        <f>C660/E660</f>
        <v/>
      </c>
      <c r="E660" s="159" t="n">
        <v>83.88</v>
      </c>
      <c r="F660" s="159">
        <f>D660/100000</f>
        <v/>
      </c>
      <c r="G660" s="159">
        <f>(F660/DataSheet!$C$11*100)</f>
        <v/>
      </c>
      <c r="H660" s="159">
        <f>K660/I660</f>
        <v/>
      </c>
      <c r="I660" s="159">
        <f>(J660/L660)*100</f>
        <v/>
      </c>
      <c r="J660" s="159">
        <f>L660/O660</f>
        <v/>
      </c>
      <c r="K660" s="159" t="n">
        <v>6.864</v>
      </c>
      <c r="L660" s="159" t="n">
        <v>25151.95</v>
      </c>
      <c r="M660" s="159" t="n">
        <v>4.24</v>
      </c>
      <c r="N660" s="159">
        <f>K660-I660</f>
        <v/>
      </c>
      <c r="O660" s="159" t="n">
        <v>23.37</v>
      </c>
      <c r="P660" s="159" t="n">
        <v>3.863</v>
      </c>
      <c r="Q660" s="159">
        <f>K660-P660</f>
        <v/>
      </c>
      <c r="R660" s="159" t="n">
        <v>101.34</v>
      </c>
      <c r="S660" s="159">
        <f>(O660*T660)/100</f>
        <v/>
      </c>
      <c r="T660" s="157" t="n">
        <v>6.65</v>
      </c>
      <c r="U660" s="159" t="n">
        <v>21741.35</v>
      </c>
      <c r="V660" s="159" t="n">
        <v>43.95</v>
      </c>
      <c r="W660" s="159">
        <f>U660/V660</f>
        <v/>
      </c>
      <c r="X660" s="159">
        <f>(W660/U660)*100</f>
        <v/>
      </c>
      <c r="Y660" s="159" t="n">
        <v>22190.35</v>
      </c>
      <c r="Z660" s="159" t="n">
        <v>31.42</v>
      </c>
      <c r="AA660" s="159">
        <f>Y660/Z660</f>
        <v/>
      </c>
      <c r="AB660" s="159">
        <f>(AA660/Y660)*100</f>
        <v/>
      </c>
    </row>
    <row r="661">
      <c r="A661" s="155" t="n">
        <v>660</v>
      </c>
      <c r="B661" s="160" t="n">
        <v>45534</v>
      </c>
      <c r="C661" s="159" t="n">
        <v>46557196.97</v>
      </c>
      <c r="D661" s="174">
        <f>C661/E661</f>
        <v/>
      </c>
      <c r="E661" s="159" t="n">
        <v>83.867</v>
      </c>
      <c r="F661" s="159">
        <f>D661/100000</f>
        <v/>
      </c>
      <c r="G661" s="159">
        <f>(F661/DataSheet!$C$11*100)</f>
        <v/>
      </c>
      <c r="H661" s="159">
        <f>K661/I661</f>
        <v/>
      </c>
      <c r="I661" s="159">
        <f>(J661/L661)*100</f>
        <v/>
      </c>
      <c r="J661" s="159">
        <f>L661/O661</f>
        <v/>
      </c>
      <c r="K661" s="159" t="n">
        <v>6.863</v>
      </c>
      <c r="L661" s="159" t="n">
        <v>25235.9</v>
      </c>
      <c r="M661" s="159" t="n">
        <v>4.26</v>
      </c>
      <c r="N661" s="159">
        <f>K661-I661</f>
        <v/>
      </c>
      <c r="O661" s="159" t="n">
        <v>23.47</v>
      </c>
      <c r="P661" s="159" t="n">
        <v>3.909</v>
      </c>
      <c r="Q661" s="159">
        <f>K661-P661</f>
        <v/>
      </c>
      <c r="R661" s="159" t="n">
        <v>101.7</v>
      </c>
      <c r="S661" s="159">
        <f>(O661*T661)/100</f>
        <v/>
      </c>
      <c r="T661" s="157" t="n">
        <v>6.65</v>
      </c>
      <c r="U661" s="159" t="n">
        <v>21925.45</v>
      </c>
      <c r="V661" s="159" t="n">
        <v>44.22</v>
      </c>
      <c r="W661" s="159">
        <f>U661/V661</f>
        <v/>
      </c>
      <c r="X661" s="159">
        <f>(W661/U661)*100</f>
        <v/>
      </c>
      <c r="Y661" s="159" t="n">
        <v>22047.7</v>
      </c>
      <c r="Z661" s="159" t="n">
        <v>31.58</v>
      </c>
      <c r="AA661" s="159">
        <f>Y661/Z661</f>
        <v/>
      </c>
      <c r="AB661" s="159">
        <f>(AA661/Y661)*100</f>
        <v/>
      </c>
    </row>
    <row r="662">
      <c r="A662" s="155" t="n">
        <v>661</v>
      </c>
      <c r="B662" s="160" t="n">
        <v>45537</v>
      </c>
      <c r="C662" s="159" t="n">
        <v>46587149.18</v>
      </c>
      <c r="D662" s="174">
        <f>C662/E662</f>
        <v/>
      </c>
      <c r="E662" s="159" t="n">
        <v>83.88</v>
      </c>
      <c r="F662" s="159">
        <f>D662/100000</f>
        <v/>
      </c>
      <c r="G662" s="159">
        <f>(F662/DataSheet!$C$11*100)</f>
        <v/>
      </c>
      <c r="H662" s="159">
        <f>K662/I662</f>
        <v/>
      </c>
      <c r="I662" s="159">
        <f>(J662/L662)*100</f>
        <v/>
      </c>
      <c r="J662" s="159">
        <f>L662/O662</f>
        <v/>
      </c>
      <c r="K662" s="159" t="n">
        <v>6.876</v>
      </c>
      <c r="L662" s="159" t="n">
        <v>25278.7</v>
      </c>
      <c r="M662" s="159" t="n">
        <v>4.27</v>
      </c>
      <c r="N662" s="159">
        <f>K662-I662</f>
        <v/>
      </c>
      <c r="O662" s="159" t="n">
        <v>23.51</v>
      </c>
      <c r="P662" s="159" t="n">
        <v>3.926</v>
      </c>
      <c r="Q662" s="159">
        <f>K662-P662</f>
        <v/>
      </c>
      <c r="R662" s="159" t="n">
        <v>101.65</v>
      </c>
      <c r="S662" s="159">
        <f>(O662*T662)/100</f>
        <v/>
      </c>
      <c r="T662" s="157" t="n">
        <v>6.63</v>
      </c>
      <c r="U662" s="159" t="n">
        <v>21862.85</v>
      </c>
      <c r="V662" s="159" t="n">
        <v>44.1</v>
      </c>
      <c r="W662" s="159">
        <f>U662/V662</f>
        <v/>
      </c>
      <c r="X662" s="159">
        <f>(W662/U662)*100</f>
        <v/>
      </c>
      <c r="Y662" s="159" t="n">
        <v>21798.95</v>
      </c>
      <c r="Z662" s="159" t="n">
        <v>31.55</v>
      </c>
      <c r="AA662" s="159">
        <f>Y662/Z662</f>
        <v/>
      </c>
      <c r="AB662" s="159">
        <f>(AA662/Y662)*100</f>
        <v/>
      </c>
    </row>
    <row r="663">
      <c r="A663" s="155" t="n">
        <v>662</v>
      </c>
      <c r="B663" s="160" t="n">
        <v>45538</v>
      </c>
      <c r="C663" s="159" t="n">
        <v>46678436.06</v>
      </c>
      <c r="D663" s="174">
        <f>C663/E663</f>
        <v/>
      </c>
      <c r="E663" s="159" t="n">
        <v>83.95</v>
      </c>
      <c r="F663" s="159">
        <f>D663/100000</f>
        <v/>
      </c>
      <c r="G663" s="159">
        <f>(F663/DataSheet!$C$11*100)</f>
        <v/>
      </c>
      <c r="H663" s="159">
        <f>K663/I663</f>
        <v/>
      </c>
      <c r="I663" s="159">
        <f>(J663/L663)*100</f>
        <v/>
      </c>
      <c r="J663" s="159">
        <f>L663/O663</f>
        <v/>
      </c>
      <c r="K663" s="159" t="n">
        <v>6.87</v>
      </c>
      <c r="L663" s="159" t="n">
        <v>25279.85</v>
      </c>
      <c r="M663" s="159" t="n">
        <v>4.27</v>
      </c>
      <c r="N663" s="159">
        <f>K663-I663</f>
        <v/>
      </c>
      <c r="O663" s="159" t="n">
        <v>23.51</v>
      </c>
      <c r="P663" s="159" t="n">
        <v>3.831</v>
      </c>
      <c r="Q663" s="159">
        <f>K663-P663</f>
        <v/>
      </c>
      <c r="R663" s="159" t="n">
        <v>101.82</v>
      </c>
      <c r="S663" s="159">
        <f>(O663*T663)/100</f>
        <v/>
      </c>
      <c r="T663" s="157" t="n">
        <v>6.65</v>
      </c>
      <c r="U663" s="159" t="n">
        <v>21913.8</v>
      </c>
      <c r="V663" s="159" t="n">
        <v>44.23</v>
      </c>
      <c r="W663" s="159">
        <f>U663/V663</f>
        <v/>
      </c>
      <c r="X663" s="159">
        <f>(W663/U663)*100</f>
        <v/>
      </c>
      <c r="Y663" s="159" t="n">
        <v>21853.55</v>
      </c>
      <c r="Z663" s="159" t="n">
        <v>31.74</v>
      </c>
      <c r="AA663" s="159">
        <f>Y663/Z663</f>
        <v/>
      </c>
      <c r="AB663" s="159">
        <f>(AA663/Y663)*100</f>
        <v/>
      </c>
    </row>
    <row r="664">
      <c r="A664" s="155" t="n">
        <v>663</v>
      </c>
      <c r="B664" s="160" t="n">
        <v>45539</v>
      </c>
      <c r="C664" s="159" t="n">
        <v>46636960.47</v>
      </c>
      <c r="D664" s="174">
        <f>C664/E664</f>
        <v/>
      </c>
      <c r="E664" s="159" t="n">
        <v>83.95999999999999</v>
      </c>
      <c r="F664" s="159">
        <f>D664/100000</f>
        <v/>
      </c>
      <c r="G664" s="159">
        <f>(F664/DataSheet!$C$11*100)</f>
        <v/>
      </c>
      <c r="H664" s="159">
        <f>K664/I664</f>
        <v/>
      </c>
      <c r="I664" s="159">
        <f>(J664/L664)*100</f>
        <v/>
      </c>
      <c r="J664" s="159">
        <f>L664/O664</f>
        <v/>
      </c>
      <c r="K664" s="159" t="n">
        <v>6.859</v>
      </c>
      <c r="L664" s="159" t="n">
        <v>25198.7</v>
      </c>
      <c r="M664" s="159" t="n">
        <v>4.26</v>
      </c>
      <c r="N664" s="159">
        <f>K664-I664</f>
        <v/>
      </c>
      <c r="O664" s="159" t="n">
        <v>23.43</v>
      </c>
      <c r="P664" s="159" t="n">
        <v>3.757</v>
      </c>
      <c r="Q664" s="159">
        <f>K664-P664</f>
        <v/>
      </c>
      <c r="R664" s="159" t="n">
        <v>101.36</v>
      </c>
      <c r="S664" s="159">
        <f>(O664*T664)/100</f>
        <v/>
      </c>
      <c r="T664" s="157" t="n">
        <v>6.65</v>
      </c>
      <c r="U664" s="159" t="n">
        <v>21895.35</v>
      </c>
      <c r="V664" s="159" t="n">
        <v>44.2</v>
      </c>
      <c r="W664" s="159">
        <f>U664/V664</f>
        <v/>
      </c>
      <c r="X664" s="159">
        <f>(W664/U664)*100</f>
        <v/>
      </c>
      <c r="Y664" s="159" t="n">
        <v>21621.4</v>
      </c>
      <c r="Z664" s="159" t="n">
        <v>31.84</v>
      </c>
      <c r="AA664" s="159">
        <f>Y664/Z664</f>
        <v/>
      </c>
      <c r="AB664" s="159">
        <f>(AA664/Y664)*100</f>
        <v/>
      </c>
    </row>
    <row r="665">
      <c r="A665" s="155" t="n">
        <v>664</v>
      </c>
      <c r="B665" s="160" t="n">
        <v>45540</v>
      </c>
      <c r="C665" s="159" t="n">
        <v>46693528.88</v>
      </c>
      <c r="D665" s="174">
        <f>C665/E665</f>
        <v/>
      </c>
      <c r="E665" s="159" t="n">
        <v>83.961</v>
      </c>
      <c r="F665" s="159">
        <f>D665/100000</f>
        <v/>
      </c>
      <c r="G665" s="159">
        <f>(F665/DataSheet!$C$11*100)</f>
        <v/>
      </c>
      <c r="H665" s="159">
        <f>K665/I665</f>
        <v/>
      </c>
      <c r="I665" s="159">
        <f>(J665/L665)*100</f>
        <v/>
      </c>
      <c r="J665" s="159">
        <f>L665/O665</f>
        <v/>
      </c>
      <c r="K665" s="159" t="n">
        <v>6.855</v>
      </c>
      <c r="L665" s="159" t="n">
        <v>25145.1</v>
      </c>
      <c r="M665" s="159" t="n">
        <v>4.25</v>
      </c>
      <c r="N665" s="159">
        <f>K665-I665</f>
        <v/>
      </c>
      <c r="O665" s="159" t="n">
        <v>23.38</v>
      </c>
      <c r="P665" s="159" t="n">
        <v>3.725</v>
      </c>
      <c r="Q665" s="159">
        <f>K665-P665</f>
        <v/>
      </c>
      <c r="R665" s="159" t="n">
        <v>101.11</v>
      </c>
      <c r="S665" s="159">
        <f>(O665*T665)/100</f>
        <v/>
      </c>
      <c r="T665" s="157" t="n">
        <v>6.65</v>
      </c>
      <c r="U665" s="159" t="n">
        <v>21976.9</v>
      </c>
      <c r="V665" s="159" t="n">
        <v>44.36</v>
      </c>
      <c r="W665" s="159">
        <f>U665/V665</f>
        <v/>
      </c>
      <c r="X665" s="159">
        <f>(W665/U665)*100</f>
        <v/>
      </c>
      <c r="Y665" s="159" t="n">
        <v>21675.8</v>
      </c>
      <c r="Z665" s="159" t="n">
        <v>32.14</v>
      </c>
      <c r="AA665" s="159">
        <f>Y665/Z665</f>
        <v/>
      </c>
      <c r="AB665" s="159">
        <f>(AA665/Y665)*100</f>
        <v/>
      </c>
    </row>
    <row r="666">
      <c r="A666" s="155" t="n">
        <v>665</v>
      </c>
      <c r="B666" s="160" t="n">
        <v>45541</v>
      </c>
      <c r="C666" s="159" t="n">
        <v>46139779.52</v>
      </c>
      <c r="D666" s="174">
        <f>C666/E666</f>
        <v/>
      </c>
      <c r="E666" s="159" t="n">
        <v>83.985</v>
      </c>
      <c r="F666" s="159">
        <f>D666/100000</f>
        <v/>
      </c>
      <c r="G666" s="159">
        <f>(F666/DataSheet!$C$11*100)</f>
        <v/>
      </c>
      <c r="H666" s="159">
        <f>K666/I666</f>
        <v/>
      </c>
      <c r="I666" s="159">
        <f>(J666/L666)*100</f>
        <v/>
      </c>
      <c r="J666" s="159">
        <f>L666/O666</f>
        <v/>
      </c>
      <c r="K666" s="159" t="n">
        <v>6.854</v>
      </c>
      <c r="L666" s="159" t="n">
        <v>24852.15</v>
      </c>
      <c r="M666" s="159" t="n">
        <v>4.2</v>
      </c>
      <c r="N666" s="159">
        <f>K666-I666</f>
        <v/>
      </c>
      <c r="O666" s="159" t="n">
        <v>23.11</v>
      </c>
      <c r="P666" s="159" t="n">
        <v>3.716</v>
      </c>
      <c r="Q666" s="159">
        <f>K666-P666</f>
        <v/>
      </c>
      <c r="R666" s="159" t="n">
        <v>101.18</v>
      </c>
      <c r="S666" s="159">
        <f>(O666*T666)/100</f>
        <v/>
      </c>
      <c r="T666" s="157" t="n">
        <v>6.64</v>
      </c>
      <c r="U666" s="159" t="n">
        <v>21675.8</v>
      </c>
      <c r="V666" s="159" t="n">
        <v>43.75</v>
      </c>
      <c r="W666" s="159">
        <f>U666/V666</f>
        <v/>
      </c>
      <c r="X666" s="159">
        <f>(W666/U666)*100</f>
        <v/>
      </c>
      <c r="Y666" s="159" t="n">
        <v>21976.9</v>
      </c>
      <c r="Z666" s="159" t="n">
        <v>31.81</v>
      </c>
      <c r="AA666" s="159">
        <f>Y666/Z666</f>
        <v/>
      </c>
      <c r="AB666" s="159">
        <f>(AA666/Y666)*100</f>
        <v/>
      </c>
    </row>
    <row r="667">
      <c r="A667" s="155" t="n">
        <v>666</v>
      </c>
      <c r="B667" s="160" t="n">
        <v>45544</v>
      </c>
      <c r="C667" s="159" t="n">
        <v>46111648.47</v>
      </c>
      <c r="D667" s="174">
        <f>C667/E667</f>
        <v/>
      </c>
      <c r="E667" s="159" t="n">
        <v>83.928</v>
      </c>
      <c r="F667" s="159">
        <f>D667/100000</f>
        <v/>
      </c>
      <c r="G667" s="159">
        <f>(F667/DataSheet!$C$11*100)</f>
        <v/>
      </c>
      <c r="H667" s="159">
        <f>K667/I667</f>
        <v/>
      </c>
      <c r="I667" s="159">
        <f>(J667/L667)*100</f>
        <v/>
      </c>
      <c r="J667" s="159">
        <f>L667/O667</f>
        <v/>
      </c>
      <c r="K667" s="159" t="n">
        <v>6.854</v>
      </c>
      <c r="L667" s="159" t="n">
        <v>24936.4</v>
      </c>
      <c r="M667" s="159" t="n">
        <v>4.21</v>
      </c>
      <c r="N667" s="159">
        <f>K667-I667</f>
        <v/>
      </c>
      <c r="O667" s="159" t="n">
        <v>23.19</v>
      </c>
      <c r="P667" s="159" t="n">
        <v>3.702</v>
      </c>
      <c r="Q667" s="159">
        <f>K667-P667</f>
        <v/>
      </c>
      <c r="R667" s="159" t="n">
        <v>101.55</v>
      </c>
      <c r="S667" s="159">
        <f>(O667*T667)/100</f>
        <v/>
      </c>
      <c r="T667" s="157" t="n">
        <v>6.65</v>
      </c>
      <c r="U667" s="159" t="n">
        <v>21621.4</v>
      </c>
      <c r="V667" s="159" t="n">
        <v>43.64</v>
      </c>
      <c r="W667" s="159">
        <f>U667/V667</f>
        <v/>
      </c>
      <c r="X667" s="159">
        <f>(W667/U667)*100</f>
        <v/>
      </c>
      <c r="Y667" s="159" t="n">
        <v>21895.35</v>
      </c>
      <c r="Z667" s="159" t="n">
        <v>31.55</v>
      </c>
      <c r="AA667" s="159">
        <f>Y667/Z667</f>
        <v/>
      </c>
      <c r="AB667" s="159">
        <f>(AA667/Y667)*100</f>
        <v/>
      </c>
    </row>
    <row r="668">
      <c r="A668" s="155" t="n">
        <v>667</v>
      </c>
      <c r="B668" s="160" t="n">
        <v>45545</v>
      </c>
      <c r="C668" s="159" t="n">
        <v>46464366.6</v>
      </c>
      <c r="D668" s="174">
        <f>C668/E668</f>
        <v/>
      </c>
      <c r="E668" s="159" t="n">
        <v>83.949</v>
      </c>
      <c r="F668" s="159">
        <f>D668/100000</f>
        <v/>
      </c>
      <c r="G668" s="159">
        <f>(F668/DataSheet!$C$11*100)</f>
        <v/>
      </c>
      <c r="H668" s="159">
        <f>K668/I668</f>
        <v/>
      </c>
      <c r="I668" s="159">
        <f>(J668/L668)*100</f>
        <v/>
      </c>
      <c r="J668" s="159">
        <f>L668/O668</f>
        <v/>
      </c>
      <c r="K668" s="159" t="n">
        <v>6.851</v>
      </c>
      <c r="L668" s="159" t="n">
        <v>25041.1</v>
      </c>
      <c r="M668" s="159" t="n">
        <v>4.15</v>
      </c>
      <c r="N668" s="159">
        <f>K668-I668</f>
        <v/>
      </c>
      <c r="O668" s="159" t="n">
        <v>23.29</v>
      </c>
      <c r="P668" s="159" t="n">
        <v>3.64</v>
      </c>
      <c r="Q668" s="159">
        <f>K668-P668</f>
        <v/>
      </c>
      <c r="R668" s="159" t="n">
        <v>101.63</v>
      </c>
      <c r="S668" s="159">
        <f>(O668*T668)/100</f>
        <v/>
      </c>
      <c r="T668" s="157" t="n">
        <v>6.64</v>
      </c>
      <c r="U668" s="159" t="n">
        <v>21853.55</v>
      </c>
      <c r="V668" s="159" t="n">
        <v>44.11</v>
      </c>
      <c r="W668" s="159">
        <f>U668/V668</f>
        <v/>
      </c>
      <c r="X668" s="159">
        <f>(W668/U668)*100</f>
        <v/>
      </c>
      <c r="Y668" s="159" t="n">
        <v>21913.8</v>
      </c>
      <c r="Z668" s="159" t="n">
        <v>31.94</v>
      </c>
      <c r="AA668" s="159">
        <f>Y668/Z668</f>
        <v/>
      </c>
      <c r="AB668" s="159">
        <f>(AA668/Y668)*100</f>
        <v/>
      </c>
    </row>
    <row r="669">
      <c r="A669" s="155" t="n">
        <v>668</v>
      </c>
      <c r="B669" s="160" t="n">
        <v>45546</v>
      </c>
      <c r="C669" s="159" t="n">
        <v>46188514.38</v>
      </c>
      <c r="D669" s="174">
        <f>C669/E669</f>
        <v/>
      </c>
      <c r="E669" s="159" t="n">
        <v>83.95999999999999</v>
      </c>
      <c r="F669" s="159">
        <f>D669/100000</f>
        <v/>
      </c>
      <c r="G669" s="159">
        <f>(F669/DataSheet!$C$11*100)</f>
        <v/>
      </c>
      <c r="H669" s="159">
        <f>K669/I669</f>
        <v/>
      </c>
      <c r="I669" s="159">
        <f>(J669/L669)*100</f>
        <v/>
      </c>
      <c r="J669" s="159">
        <f>L669/O669</f>
        <v/>
      </c>
      <c r="K669" s="159" t="n">
        <v>6.83</v>
      </c>
      <c r="L669" s="159" t="n">
        <v>24918.45</v>
      </c>
      <c r="M669" s="159" t="n">
        <v>4.11</v>
      </c>
      <c r="N669" s="159">
        <f>K669-I669</f>
        <v/>
      </c>
      <c r="O669" s="159" t="n">
        <v>23.17</v>
      </c>
      <c r="P669" s="159" t="n">
        <v>3.661</v>
      </c>
      <c r="Q669" s="159">
        <f>K669-P669</f>
        <v/>
      </c>
      <c r="R669" s="159" t="n">
        <v>101.68</v>
      </c>
      <c r="S669" s="159">
        <f>(O669*T669)/100</f>
        <v/>
      </c>
      <c r="T669" s="157" t="n">
        <v>6.63</v>
      </c>
      <c r="U669" s="159" t="n">
        <v>21798.95</v>
      </c>
      <c r="V669" s="159" t="n">
        <v>44</v>
      </c>
      <c r="W669" s="159">
        <f>U669/V669</f>
        <v/>
      </c>
      <c r="X669" s="159">
        <f>(W669/U669)*100</f>
        <v/>
      </c>
      <c r="Y669" s="159" t="n">
        <v>21862.85</v>
      </c>
      <c r="Z669" s="159" t="n">
        <v>31.69</v>
      </c>
      <c r="AA669" s="159">
        <f>Y669/Z669</f>
        <v/>
      </c>
      <c r="AB669" s="159">
        <f>(AA669/Y669)*100</f>
        <v/>
      </c>
    </row>
    <row r="670">
      <c r="A670" s="155" t="n">
        <v>669</v>
      </c>
      <c r="B670" s="160" t="n">
        <v>45547</v>
      </c>
      <c r="C670" s="159" t="n">
        <v>46855202.83</v>
      </c>
      <c r="D670" s="174">
        <f>C670/E670</f>
        <v/>
      </c>
      <c r="E670" s="159" t="n">
        <v>83.92</v>
      </c>
      <c r="F670" s="159">
        <f>D670/100000</f>
        <v/>
      </c>
      <c r="G670" s="159">
        <f>(F670/DataSheet!$C$11*100)</f>
        <v/>
      </c>
      <c r="H670" s="159">
        <f>K670/I670</f>
        <v/>
      </c>
      <c r="I670" s="159">
        <f>(J670/L670)*100</f>
        <v/>
      </c>
      <c r="J670" s="159">
        <f>L670/O670</f>
        <v/>
      </c>
      <c r="K670" s="159" t="n">
        <v>6.811</v>
      </c>
      <c r="L670" s="159" t="n">
        <v>25388.9</v>
      </c>
      <c r="M670" s="159" t="n">
        <v>4.18</v>
      </c>
      <c r="N670" s="159">
        <f>K670-I670</f>
        <v/>
      </c>
      <c r="O670" s="159" t="n">
        <v>23.61</v>
      </c>
      <c r="P670" s="159" t="n">
        <v>3.68</v>
      </c>
      <c r="Q670" s="159">
        <f>K670-P670</f>
        <v/>
      </c>
      <c r="R670" s="159" t="n">
        <v>101.37</v>
      </c>
      <c r="S670" s="159">
        <f>(O670*T670)/100</f>
        <v/>
      </c>
      <c r="T670" s="157" t="n">
        <v>6.65</v>
      </c>
      <c r="U670" s="159" t="n">
        <v>22047.7</v>
      </c>
      <c r="V670" s="159" t="n">
        <v>44.5</v>
      </c>
      <c r="W670" s="159">
        <f>U670/V670</f>
        <v/>
      </c>
      <c r="X670" s="159">
        <f>(W670/U670)*100</f>
        <v/>
      </c>
      <c r="Y670" s="159" t="n">
        <v>21925.45</v>
      </c>
      <c r="Z670" s="159" t="n">
        <v>31.94</v>
      </c>
      <c r="AA670" s="159">
        <f>Y670/Z670</f>
        <v/>
      </c>
      <c r="AB670" s="159">
        <f>(AA670/Y670)*100</f>
        <v/>
      </c>
    </row>
    <row r="671">
      <c r="A671" s="155" t="n">
        <v>670</v>
      </c>
      <c r="B671" s="160" t="n">
        <v>45548</v>
      </c>
      <c r="C671" s="159" t="n">
        <v>46991524.25</v>
      </c>
      <c r="D671" s="174">
        <f>C671/E671</f>
        <v/>
      </c>
      <c r="E671" s="159" t="n">
        <v>83.88</v>
      </c>
      <c r="F671" s="159">
        <f>D671/100000</f>
        <v/>
      </c>
      <c r="G671" s="159">
        <f>(F671/DataSheet!$C$11*100)</f>
        <v/>
      </c>
      <c r="H671" s="159">
        <f>K671/I671</f>
        <v/>
      </c>
      <c r="I671" s="159">
        <f>(J671/L671)*100</f>
        <v/>
      </c>
      <c r="J671" s="159">
        <f>L671/O671</f>
        <v/>
      </c>
      <c r="K671" s="159" t="n">
        <v>6.792</v>
      </c>
      <c r="L671" s="159" t="n">
        <v>25356.5</v>
      </c>
      <c r="M671" s="159" t="n">
        <v>4.07</v>
      </c>
      <c r="N671" s="159">
        <f>K671-I671</f>
        <v/>
      </c>
      <c r="O671" s="159" t="n">
        <v>23.58</v>
      </c>
      <c r="P671" s="159" t="n">
        <v>3.657</v>
      </c>
      <c r="Q671" s="159">
        <f>K671-P671</f>
        <v/>
      </c>
      <c r="R671" s="159" t="n">
        <v>101.11</v>
      </c>
      <c r="S671" s="159">
        <f>(O671*T671)/100</f>
        <v/>
      </c>
      <c r="T671" s="157" t="n">
        <v>6.57</v>
      </c>
      <c r="U671" s="159" t="n">
        <v>22190.35</v>
      </c>
      <c r="V671" s="159" t="n">
        <v>44.79</v>
      </c>
      <c r="W671" s="159">
        <f>U671/V671</f>
        <v/>
      </c>
      <c r="X671" s="159">
        <f>(W671/U671)*100</f>
        <v/>
      </c>
      <c r="Y671" s="159" t="n">
        <v>21741.35</v>
      </c>
      <c r="Z671" s="159" t="n">
        <v>32.22</v>
      </c>
      <c r="AA671" s="159">
        <f>Y671/Z671</f>
        <v/>
      </c>
      <c r="AB671" s="159">
        <f>(AA671/Y671)*100</f>
        <v/>
      </c>
    </row>
    <row r="672">
      <c r="A672" s="155" t="n">
        <v>671</v>
      </c>
      <c r="B672" s="160" t="n">
        <v>45551</v>
      </c>
      <c r="C672" s="159" t="n">
        <v>47147099.85</v>
      </c>
      <c r="D672" s="174">
        <f>C672/E672</f>
        <v/>
      </c>
      <c r="E672" s="159" t="n">
        <v>83.84</v>
      </c>
      <c r="F672" s="159">
        <f>D672/100000</f>
        <v/>
      </c>
      <c r="G672" s="159">
        <f>(F672/DataSheet!$C$11*100)</f>
        <v/>
      </c>
      <c r="H672" s="159">
        <f>K672/I672</f>
        <v/>
      </c>
      <c r="I672" s="159">
        <f>(J672/L672)*100</f>
        <v/>
      </c>
      <c r="J672" s="159">
        <f>L672/O672</f>
        <v/>
      </c>
      <c r="K672" s="159" t="n">
        <v>6.762</v>
      </c>
      <c r="L672" s="159" t="n">
        <v>25383.75</v>
      </c>
      <c r="M672" s="159" t="n">
        <v>4.07</v>
      </c>
      <c r="N672" s="159">
        <f>K672-I672</f>
        <v/>
      </c>
      <c r="O672" s="159" t="n">
        <v>23.61</v>
      </c>
      <c r="P672" s="159" t="n">
        <v>3.618</v>
      </c>
      <c r="Q672" s="159">
        <f>K672-P672</f>
        <v/>
      </c>
      <c r="R672" s="159" t="n">
        <v>100.76</v>
      </c>
      <c r="S672" s="159">
        <f>(O672*T672)/100</f>
        <v/>
      </c>
      <c r="T672" s="157" t="n">
        <v>6.58</v>
      </c>
      <c r="U672" s="159" t="n">
        <v>22264.7</v>
      </c>
      <c r="V672" s="159" t="n">
        <v>44.94</v>
      </c>
      <c r="W672" s="159">
        <f>U672/V672</f>
        <v/>
      </c>
      <c r="X672" s="159">
        <f>(W672/U672)*100</f>
        <v/>
      </c>
      <c r="Y672" s="159" t="n">
        <v>21838.7</v>
      </c>
      <c r="Z672" s="159" t="n">
        <v>32.27</v>
      </c>
      <c r="AA672" s="159">
        <f>Y672/Z672</f>
        <v/>
      </c>
      <c r="AB672" s="159">
        <f>(AA672/Y672)*100</f>
        <v/>
      </c>
    </row>
    <row r="673">
      <c r="A673" s="155" t="n">
        <v>672</v>
      </c>
      <c r="B673" s="160" t="n">
        <v>45552</v>
      </c>
      <c r="C673" s="159" t="n">
        <v>47145940.77</v>
      </c>
      <c r="D673" s="174">
        <f>C673/E673</f>
        <v/>
      </c>
      <c r="E673" s="159" t="n">
        <v>83.747</v>
      </c>
      <c r="F673" s="159">
        <f>D673/100000</f>
        <v/>
      </c>
      <c r="G673" s="159">
        <f>(F673/DataSheet!$C$11*100)</f>
        <v/>
      </c>
      <c r="H673" s="159">
        <f>K673/I673</f>
        <v/>
      </c>
      <c r="I673" s="159">
        <f>(J673/L673)*100</f>
        <v/>
      </c>
      <c r="J673" s="159">
        <f>L673/O673</f>
        <v/>
      </c>
      <c r="K673" s="159" t="n">
        <v>6.779</v>
      </c>
      <c r="L673" s="159" t="n">
        <v>25418.55</v>
      </c>
      <c r="M673" s="159" t="n">
        <v>4.05</v>
      </c>
      <c r="N673" s="159">
        <f>K673-I673</f>
        <v/>
      </c>
      <c r="O673" s="159" t="n">
        <v>23.64</v>
      </c>
      <c r="P673" s="159" t="n">
        <v>3.648</v>
      </c>
      <c r="Q673" s="159">
        <f>K673-P673</f>
        <v/>
      </c>
      <c r="R673" s="159" t="n">
        <v>100.89</v>
      </c>
      <c r="S673" s="159">
        <f>(O673*T673)/100</f>
        <v/>
      </c>
      <c r="T673" s="157" t="n">
        <v>6.6</v>
      </c>
      <c r="U673" s="159" t="n">
        <v>22235.35</v>
      </c>
      <c r="V673" s="159" t="n">
        <v>44.88</v>
      </c>
      <c r="W673" s="159">
        <f>U673/V673</f>
        <v/>
      </c>
      <c r="X673" s="159">
        <f>(W673/U673)*100</f>
        <v/>
      </c>
      <c r="Y673" s="159" t="n">
        <v>21869.75</v>
      </c>
      <c r="Z673" s="159" t="n">
        <v>32.05</v>
      </c>
      <c r="AA673" s="159">
        <f>Y673/Z673</f>
        <v/>
      </c>
      <c r="AB673" s="159">
        <f>(AA673/Y673)*100</f>
        <v/>
      </c>
    </row>
    <row r="674">
      <c r="A674" s="155" t="n">
        <v>673</v>
      </c>
      <c r="B674" s="160" t="n">
        <v>45553</v>
      </c>
      <c r="C674" s="159" t="n">
        <v>46894452.2</v>
      </c>
      <c r="D674" s="174">
        <f>C674/E674</f>
        <v/>
      </c>
      <c r="E674" s="159" t="n">
        <v>83.65000000000001</v>
      </c>
      <c r="F674" s="159">
        <f>D674/100000</f>
        <v/>
      </c>
      <c r="G674" s="159">
        <f>(F674/DataSheet!$C$11*100)</f>
        <v/>
      </c>
      <c r="H674" s="159">
        <f>K674/I674</f>
        <v/>
      </c>
      <c r="I674" s="159">
        <f>(J674/L674)*100</f>
        <v/>
      </c>
      <c r="J674" s="159">
        <f>L674/O674</f>
        <v/>
      </c>
      <c r="K674" s="159" t="n">
        <v>6.78</v>
      </c>
      <c r="L674" s="159" t="n">
        <v>25377.55</v>
      </c>
      <c r="M674" s="159" t="n">
        <v>4.04</v>
      </c>
      <c r="N674" s="159">
        <f>K674-I674</f>
        <v/>
      </c>
      <c r="O674" s="159" t="n">
        <v>23.6</v>
      </c>
      <c r="P674" s="159" t="n">
        <v>3.713</v>
      </c>
      <c r="Q674" s="159">
        <f>K674-P674</f>
        <v/>
      </c>
      <c r="R674" s="159" t="n">
        <v>100.6</v>
      </c>
      <c r="S674" s="159">
        <f>(O674*T674)/100</f>
        <v/>
      </c>
      <c r="T674" s="157" t="n">
        <v>6.6</v>
      </c>
      <c r="U674" s="159" t="n">
        <v>22079.9</v>
      </c>
      <c r="V674" s="159" t="n">
        <v>44.57</v>
      </c>
      <c r="W674" s="159">
        <f>U674/V674</f>
        <v/>
      </c>
      <c r="X674" s="159">
        <f>(W674/U674)*100</f>
        <v/>
      </c>
      <c r="Y674" s="159" t="n">
        <v>21758.45</v>
      </c>
      <c r="Z674" s="159" t="n">
        <v>31.94</v>
      </c>
      <c r="AA674" s="159">
        <f>Y674/Z674</f>
        <v/>
      </c>
      <c r="AB674" s="159">
        <f>(AA674/Y674)*100</f>
        <v/>
      </c>
    </row>
    <row r="675">
      <c r="A675" s="155" t="n">
        <v>674</v>
      </c>
      <c r="B675" s="160" t="n">
        <v>45554</v>
      </c>
      <c r="C675" s="159" t="n">
        <v>46652803.38</v>
      </c>
      <c r="D675" s="174">
        <f>C675/E675</f>
        <v/>
      </c>
      <c r="E675" s="159" t="n">
        <v>83.62</v>
      </c>
      <c r="F675" s="159">
        <f>D675/100000</f>
        <v/>
      </c>
      <c r="G675" s="159">
        <f>(F675/DataSheet!$C$11*100)</f>
        <v/>
      </c>
      <c r="H675" s="159">
        <f>K675/I675</f>
        <v/>
      </c>
      <c r="I675" s="159">
        <f>(J675/L675)*100</f>
        <v/>
      </c>
      <c r="J675" s="159">
        <f>L675/O675</f>
        <v/>
      </c>
      <c r="K675" s="159" t="n">
        <v>6.758</v>
      </c>
      <c r="L675" s="159" t="n">
        <v>25415.8</v>
      </c>
      <c r="M675" s="159" t="n">
        <v>4.04</v>
      </c>
      <c r="N675" s="159">
        <f>K675-I675</f>
        <v/>
      </c>
      <c r="O675" s="159" t="n">
        <v>23.64</v>
      </c>
      <c r="P675" s="159" t="n">
        <v>3.719</v>
      </c>
      <c r="Q675" s="159">
        <f>K675-P675</f>
        <v/>
      </c>
      <c r="R675" s="159" t="n">
        <v>100.61</v>
      </c>
      <c r="S675" s="159">
        <f>(O675*T675)/100</f>
        <v/>
      </c>
      <c r="T675" s="157" t="n">
        <v>6.55</v>
      </c>
      <c r="U675" s="159" t="n">
        <v>21965.15</v>
      </c>
      <c r="V675" s="159" t="n">
        <v>44.33</v>
      </c>
      <c r="W675" s="159">
        <f>U675/V675</f>
        <v/>
      </c>
      <c r="X675" s="159">
        <f>(W675/U675)*100</f>
        <v/>
      </c>
      <c r="Y675" s="159" t="n">
        <v>21645.65</v>
      </c>
      <c r="Z675" s="159" t="n">
        <v>31.58</v>
      </c>
      <c r="AA675" s="159">
        <f>Y675/Z675</f>
        <v/>
      </c>
      <c r="AB675" s="159">
        <f>(AA675/Y675)*100</f>
        <v/>
      </c>
    </row>
    <row r="676">
      <c r="A676" s="155" t="n">
        <v>675</v>
      </c>
      <c r="B676" s="160" t="n">
        <v>45555</v>
      </c>
      <c r="C676" s="159" t="n">
        <v>47278138.28</v>
      </c>
      <c r="D676" s="174">
        <f>C676/E676</f>
        <v/>
      </c>
      <c r="E676" s="159" t="n">
        <v>83.485</v>
      </c>
      <c r="F676" s="159">
        <f>D676/100000</f>
        <v/>
      </c>
      <c r="G676" s="159">
        <f>(F676/DataSheet!$C$11*100)</f>
        <v/>
      </c>
      <c r="H676" s="159">
        <f>K676/I676</f>
        <v/>
      </c>
      <c r="I676" s="159">
        <f>(J676/L676)*100</f>
        <v/>
      </c>
      <c r="J676" s="159">
        <f>L676/O676</f>
        <v/>
      </c>
      <c r="K676" s="159" t="n">
        <v>6.761</v>
      </c>
      <c r="L676" s="159" t="n">
        <v>25790.95</v>
      </c>
      <c r="M676" s="159" t="n">
        <v>4.08</v>
      </c>
      <c r="N676" s="159">
        <f>K676-I676</f>
        <v/>
      </c>
      <c r="O676" s="159" t="n">
        <v>23.98</v>
      </c>
      <c r="P676" s="159" t="n">
        <v>3.741</v>
      </c>
      <c r="Q676" s="159">
        <f>K676-P676</f>
        <v/>
      </c>
      <c r="R676" s="159" t="n">
        <v>100.72</v>
      </c>
      <c r="S676" s="159">
        <f>(O676*T676)/100</f>
        <v/>
      </c>
      <c r="T676" s="157" t="n">
        <v>6.57</v>
      </c>
      <c r="U676" s="159" t="n">
        <v>22256.1</v>
      </c>
      <c r="V676" s="159" t="n">
        <v>44.92</v>
      </c>
      <c r="W676" s="159">
        <f>U676/V676</f>
        <v/>
      </c>
      <c r="X676" s="159">
        <f>(W676/U676)*100</f>
        <v/>
      </c>
      <c r="Y676" s="159" t="n">
        <v>21760.35</v>
      </c>
      <c r="Z676" s="159" t="n">
        <v>31.91</v>
      </c>
      <c r="AA676" s="159">
        <f>Y676/Z676</f>
        <v/>
      </c>
      <c r="AB676" s="159">
        <f>(AA676/Y676)*100</f>
        <v/>
      </c>
    </row>
    <row r="677">
      <c r="A677" s="155" t="n">
        <v>676</v>
      </c>
      <c r="B677" s="160" t="n">
        <v>45558</v>
      </c>
      <c r="C677" s="159" t="n">
        <v>47701059.95</v>
      </c>
      <c r="D677" s="174">
        <f>C677/E677</f>
        <v/>
      </c>
      <c r="E677" s="159" t="n">
        <v>83.53</v>
      </c>
      <c r="F677" s="159">
        <f>D677/100000</f>
        <v/>
      </c>
      <c r="G677" s="159">
        <f>(F677/DataSheet!$C$11*100)</f>
        <v/>
      </c>
      <c r="H677" s="159">
        <f>K677/I677</f>
        <v/>
      </c>
      <c r="I677" s="159">
        <f>(J677/L677)*100</f>
        <v/>
      </c>
      <c r="J677" s="159">
        <f>L677/O677</f>
        <v/>
      </c>
      <c r="K677" s="159" t="n">
        <v>6.767</v>
      </c>
      <c r="L677" s="159" t="n">
        <v>25939.05</v>
      </c>
      <c r="M677" s="159" t="n">
        <v>3.83</v>
      </c>
      <c r="N677" s="159">
        <f>K677-I677</f>
        <v/>
      </c>
      <c r="O677" s="159" t="n">
        <v>24.12</v>
      </c>
      <c r="P677" s="159" t="n">
        <v>3.751</v>
      </c>
      <c r="Q677" s="159">
        <f>K677-P677</f>
        <v/>
      </c>
      <c r="R677" s="159" t="n">
        <v>100.93</v>
      </c>
      <c r="S677" s="159">
        <f>(O677*T677)/100</f>
        <v/>
      </c>
      <c r="T677" s="157" t="n">
        <v>6.57</v>
      </c>
      <c r="U677" s="159" t="n">
        <v>22423.7</v>
      </c>
      <c r="V677" s="159" t="n">
        <v>45.26</v>
      </c>
      <c r="W677" s="159">
        <f>U677/V677</f>
        <v/>
      </c>
      <c r="X677" s="159">
        <f>(W677/U677)*100</f>
        <v/>
      </c>
      <c r="Y677" s="159" t="n">
        <v>21617.7</v>
      </c>
      <c r="Z677" s="159" t="n">
        <v>32.15</v>
      </c>
      <c r="AA677" s="159">
        <f>Y677/Z677</f>
        <v/>
      </c>
      <c r="AB677" s="159">
        <f>(AA677/Y677)*100</f>
        <v/>
      </c>
    </row>
    <row r="678">
      <c r="A678" s="155" t="n">
        <v>677</v>
      </c>
      <c r="B678" s="160" t="n">
        <v>45559</v>
      </c>
      <c r="C678" s="159" t="n">
        <v>47725000.13</v>
      </c>
      <c r="D678" s="174">
        <f>C678/E678</f>
        <v/>
      </c>
      <c r="E678" s="159" t="n">
        <v>83.59999999999999</v>
      </c>
      <c r="F678" s="159">
        <f>D678/100000</f>
        <v/>
      </c>
      <c r="G678" s="159">
        <f>(F678/DataSheet!$C$11*100)</f>
        <v/>
      </c>
      <c r="H678" s="159">
        <f>K678/I678</f>
        <v/>
      </c>
      <c r="I678" s="159">
        <f>(J678/L678)*100</f>
        <v/>
      </c>
      <c r="J678" s="159">
        <f>L678/O678</f>
        <v/>
      </c>
      <c r="K678" s="159" t="n">
        <v>6.761</v>
      </c>
      <c r="L678" s="159" t="n">
        <v>25940.4</v>
      </c>
      <c r="M678" s="159" t="n">
        <v>3.83</v>
      </c>
      <c r="N678" s="159">
        <f>K678-I678</f>
        <v/>
      </c>
      <c r="O678" s="159" t="n">
        <v>24.12</v>
      </c>
      <c r="P678" s="159" t="n">
        <v>3.732</v>
      </c>
      <c r="Q678" s="159">
        <f>K678-P678</f>
        <v/>
      </c>
      <c r="R678" s="159" t="n">
        <v>100.24</v>
      </c>
      <c r="S678" s="159">
        <f>(O678*T678)/100</f>
        <v/>
      </c>
      <c r="T678" s="157" t="n">
        <v>6.58</v>
      </c>
      <c r="U678" s="159" t="n">
        <v>22493.5</v>
      </c>
      <c r="V678" s="159" t="n">
        <v>45.4</v>
      </c>
      <c r="W678" s="159">
        <f>U678/V678</f>
        <v/>
      </c>
      <c r="X678" s="159">
        <f>(W678/U678)*100</f>
        <v/>
      </c>
      <c r="Y678" s="159" t="n">
        <v>21529.05</v>
      </c>
      <c r="Z678" s="159" t="n">
        <v>32.08</v>
      </c>
      <c r="AA678" s="159">
        <f>Y678/Z678</f>
        <v/>
      </c>
      <c r="AB678" s="159">
        <f>(AA678/Y678)*100</f>
        <v/>
      </c>
    </row>
    <row r="679">
      <c r="A679" s="155" t="n">
        <v>678</v>
      </c>
      <c r="B679" s="160" t="n">
        <v>45560</v>
      </c>
      <c r="C679" s="159" t="n">
        <v>47647270.41</v>
      </c>
      <c r="D679" s="174">
        <f>C679/E679</f>
        <v/>
      </c>
      <c r="E679" s="159" t="n">
        <v>83.59999999999999</v>
      </c>
      <c r="F679" s="159">
        <f>D679/100000</f>
        <v/>
      </c>
      <c r="G679" s="159">
        <f>(F679/DataSheet!$C$11*100)</f>
        <v/>
      </c>
      <c r="H679" s="159">
        <f>K679/I679</f>
        <v/>
      </c>
      <c r="I679" s="159">
        <f>(J679/L679)*100</f>
        <v/>
      </c>
      <c r="J679" s="159">
        <f>L679/O679</f>
        <v/>
      </c>
      <c r="K679" s="159" t="n">
        <v>6.738</v>
      </c>
      <c r="L679" s="159" t="n">
        <v>26004.15</v>
      </c>
      <c r="M679" s="159" t="n">
        <v>3.84</v>
      </c>
      <c r="N679" s="159">
        <f>K679-I679</f>
        <v/>
      </c>
      <c r="O679" s="159" t="n">
        <v>24.18</v>
      </c>
      <c r="P679" s="159" t="n">
        <v>3.791</v>
      </c>
      <c r="Q679" s="159">
        <f>K679-P679</f>
        <v/>
      </c>
      <c r="R679" s="159" t="n">
        <v>100.91</v>
      </c>
      <c r="S679" s="159">
        <f>(O679*T679)/100</f>
        <v/>
      </c>
      <c r="T679" s="157" t="n">
        <v>6.58</v>
      </c>
      <c r="U679" s="159" t="n">
        <v>22357.4</v>
      </c>
      <c r="V679" s="159" t="n">
        <v>45.13</v>
      </c>
      <c r="W679" s="159">
        <f>U679/V679</f>
        <v/>
      </c>
      <c r="X679" s="159">
        <f>(W679/U679)*100</f>
        <v/>
      </c>
      <c r="Y679" s="159" t="n">
        <v>21351.4</v>
      </c>
      <c r="Z679" s="159" t="n">
        <v>31.97</v>
      </c>
      <c r="AA679" s="159">
        <f>Y679/Z679</f>
        <v/>
      </c>
      <c r="AB679" s="159">
        <f>(AA679/Y679)*100</f>
        <v/>
      </c>
    </row>
    <row r="680">
      <c r="A680" s="155" t="n">
        <v>679</v>
      </c>
      <c r="B680" s="160" t="n">
        <v>45561</v>
      </c>
      <c r="C680" s="159" t="n">
        <v>47834255.1</v>
      </c>
      <c r="D680" s="174">
        <f>C680/E680</f>
        <v/>
      </c>
      <c r="E680" s="159" t="n">
        <v>83.601</v>
      </c>
      <c r="F680" s="159">
        <f>D680/100000</f>
        <v/>
      </c>
      <c r="G680" s="159">
        <f>(F680/DataSheet!$C$11*100)</f>
        <v/>
      </c>
      <c r="H680" s="159">
        <f>K680/I680</f>
        <v/>
      </c>
      <c r="I680" s="159">
        <f>(J680/L680)*100</f>
        <v/>
      </c>
      <c r="J680" s="159">
        <f>L680/O680</f>
        <v/>
      </c>
      <c r="K680" s="159" t="n">
        <v>6.718</v>
      </c>
      <c r="L680" s="159" t="n">
        <v>26216.05</v>
      </c>
      <c r="M680" s="159" t="n">
        <v>3.87</v>
      </c>
      <c r="N680" s="159">
        <f>K680-I680</f>
        <v/>
      </c>
      <c r="O680" s="159" t="n">
        <v>24.38</v>
      </c>
      <c r="P680" s="159" t="n">
        <v>3.796</v>
      </c>
      <c r="Q680" s="159">
        <f>K680-P680</f>
        <v/>
      </c>
      <c r="R680" s="159" t="n">
        <v>100.52</v>
      </c>
      <c r="S680" s="159">
        <f>(O680*T680)/100</f>
        <v/>
      </c>
      <c r="T680" s="157" t="n">
        <v>6.57</v>
      </c>
      <c r="U680" s="159" t="n">
        <v>22367.85</v>
      </c>
      <c r="V680" s="159" t="n">
        <v>45.15</v>
      </c>
      <c r="W680" s="159">
        <f>U680/V680</f>
        <v/>
      </c>
      <c r="X680" s="159">
        <f>(W680/U680)*100</f>
        <v/>
      </c>
      <c r="Y680" s="159" t="n">
        <v>21298.35</v>
      </c>
      <c r="Z680" s="159" t="n">
        <v>31.82</v>
      </c>
      <c r="AA680" s="159">
        <f>Y680/Z680</f>
        <v/>
      </c>
      <c r="AB680" s="159">
        <f>(AA680/Y680)*100</f>
        <v/>
      </c>
    </row>
    <row r="681">
      <c r="A681" s="155" t="n">
        <v>680</v>
      </c>
      <c r="B681" s="160" t="n">
        <v>45562</v>
      </c>
      <c r="C681" s="159" t="n">
        <v>47910402.02</v>
      </c>
      <c r="D681" s="174">
        <f>C681/E681</f>
        <v/>
      </c>
      <c r="E681" s="159" t="n">
        <v>83.70999999999999</v>
      </c>
      <c r="F681" s="159">
        <f>D681/100000</f>
        <v/>
      </c>
      <c r="G681" s="159">
        <f>(F681/DataSheet!$C$11*100)</f>
        <v/>
      </c>
      <c r="H681" s="159">
        <f>K681/I681</f>
        <v/>
      </c>
      <c r="I681" s="159">
        <f>(J681/L681)*100</f>
        <v/>
      </c>
      <c r="J681" s="159">
        <f>L681/O681</f>
        <v/>
      </c>
      <c r="K681" s="159" t="n">
        <v>6.759</v>
      </c>
      <c r="L681" s="159" t="n">
        <v>26178.95</v>
      </c>
      <c r="M681" s="159" t="n">
        <v>3.87</v>
      </c>
      <c r="N681" s="159">
        <f>K681-I681</f>
        <v/>
      </c>
      <c r="O681" s="159" t="n">
        <v>24.34</v>
      </c>
      <c r="P681" s="159" t="n">
        <v>3.751</v>
      </c>
      <c r="Q681" s="159">
        <f>K681-P681</f>
        <v/>
      </c>
      <c r="R681" s="159" t="n">
        <v>100.38</v>
      </c>
      <c r="S681" s="159">
        <f>(O681*T681)/100</f>
        <v/>
      </c>
      <c r="T681" s="157" t="n">
        <v>6.54</v>
      </c>
      <c r="U681" s="159" t="n">
        <v>22360.85</v>
      </c>
      <c r="V681" s="159" t="n">
        <v>45.13</v>
      </c>
      <c r="W681" s="159">
        <f>U681/V681</f>
        <v/>
      </c>
      <c r="X681" s="159">
        <f>(W681/U681)*100</f>
        <v/>
      </c>
      <c r="Y681" s="159" t="n">
        <v>20917.75</v>
      </c>
      <c r="Z681" s="159" t="n">
        <v>31.76</v>
      </c>
      <c r="AA681" s="159">
        <f>Y681/Z681</f>
        <v/>
      </c>
      <c r="AB681" s="159">
        <f>(AA681/Y681)*100</f>
        <v/>
      </c>
    </row>
    <row r="682">
      <c r="A682" s="155" t="n">
        <v>681</v>
      </c>
      <c r="B682" s="160" t="n">
        <v>45565</v>
      </c>
      <c r="C682" s="159" t="n">
        <v>47531851.61</v>
      </c>
      <c r="D682" s="174">
        <f>C682/E682</f>
        <v/>
      </c>
      <c r="E682" s="159" t="n">
        <v>83.755</v>
      </c>
      <c r="F682" s="159">
        <f>D682/100000</f>
        <v/>
      </c>
      <c r="G682" s="159">
        <f>(F682/DataSheet!$C$11*100)</f>
        <v/>
      </c>
      <c r="H682" s="159">
        <f>K682/I682</f>
        <v/>
      </c>
      <c r="I682" s="159">
        <f>(J682/L682)*100</f>
        <v/>
      </c>
      <c r="J682" s="159">
        <f>L682/O682</f>
        <v/>
      </c>
      <c r="K682" s="159" t="n">
        <v>6.75</v>
      </c>
      <c r="L682" s="159" t="n">
        <v>25810.85</v>
      </c>
      <c r="M682" s="159" t="n">
        <v>3.87</v>
      </c>
      <c r="N682" s="159">
        <f>K682-I682</f>
        <v/>
      </c>
      <c r="O682" s="159" t="n">
        <v>24.26</v>
      </c>
      <c r="P682" s="159" t="n">
        <v>3.787</v>
      </c>
      <c r="Q682" s="159">
        <f>K682-P682</f>
        <v/>
      </c>
      <c r="R682" s="159" t="n">
        <v>100.78</v>
      </c>
      <c r="S682" s="159">
        <f>(O682*T682)/100</f>
        <v/>
      </c>
      <c r="T682" s="157" t="n">
        <v>6.45</v>
      </c>
      <c r="U682" s="159" t="n">
        <v>22311.95</v>
      </c>
      <c r="V682" s="159" t="n">
        <v>45.66</v>
      </c>
      <c r="W682" s="159">
        <f>U682/V682</f>
        <v/>
      </c>
      <c r="X682" s="159">
        <f>(W682/U682)*100</f>
        <v/>
      </c>
      <c r="Y682" s="159" t="n">
        <v>21044.95</v>
      </c>
      <c r="Z682" s="159" t="n">
        <v>33.49</v>
      </c>
      <c r="AA682" s="159">
        <f>Y682/Z682</f>
        <v/>
      </c>
      <c r="AB682" s="159">
        <f>(AA682/Y682)*100</f>
        <v/>
      </c>
    </row>
    <row r="683">
      <c r="A683" s="155" t="n">
        <v>682</v>
      </c>
      <c r="B683" s="160" t="n">
        <v>45566</v>
      </c>
      <c r="C683" s="159" t="n">
        <v>47596283.68</v>
      </c>
      <c r="D683" s="174">
        <f>C683/E683</f>
        <v/>
      </c>
      <c r="E683" s="159" t="n">
        <v>83.90000000000001</v>
      </c>
      <c r="F683" s="159">
        <f>D683/100000</f>
        <v/>
      </c>
      <c r="G683" s="159">
        <f>(F683/DataSheet!$C$11*100)</f>
        <v/>
      </c>
      <c r="H683" s="159">
        <f>K683/I683</f>
        <v/>
      </c>
      <c r="I683" s="159">
        <f>(J683/L683)*100</f>
        <v/>
      </c>
      <c r="J683" s="159">
        <f>L683/O683</f>
        <v/>
      </c>
      <c r="K683" s="159" t="n">
        <v>6.732</v>
      </c>
      <c r="L683" s="159" t="n">
        <v>25796.9</v>
      </c>
      <c r="M683" s="159" t="n">
        <v>3.86</v>
      </c>
      <c r="N683" s="159">
        <f>K683-I683</f>
        <v/>
      </c>
      <c r="O683" s="159" t="n">
        <v>24.25</v>
      </c>
      <c r="P683" s="159" t="n">
        <v>3.731</v>
      </c>
      <c r="Q683" s="159">
        <f>K683-P683</f>
        <v/>
      </c>
      <c r="R683" s="159" t="n">
        <v>101.19</v>
      </c>
      <c r="S683" s="159">
        <f>(O683*T683)/100</f>
        <v/>
      </c>
      <c r="T683" s="157" t="n">
        <v>6.48</v>
      </c>
      <c r="U683" s="159" t="n">
        <v>22379.75</v>
      </c>
      <c r="V683" s="159" t="n">
        <v>45.8</v>
      </c>
      <c r="W683" s="159">
        <f>U683/V683</f>
        <v/>
      </c>
      <c r="X683" s="159">
        <f>(W683/U683)*100</f>
        <v/>
      </c>
      <c r="Y683" s="159" t="n">
        <v>21208.7</v>
      </c>
      <c r="Z683" s="159" t="n">
        <v>33.71</v>
      </c>
      <c r="AA683" s="159">
        <f>Y683/Z683</f>
        <v/>
      </c>
      <c r="AB683" s="159">
        <f>(AA683/Y683)*100</f>
        <v/>
      </c>
    </row>
    <row r="684">
      <c r="A684" s="155" t="n">
        <v>683</v>
      </c>
      <c r="B684" s="156" t="n">
        <v>45568</v>
      </c>
      <c r="C684" s="157" t="n">
        <v>46608996.76</v>
      </c>
      <c r="D684" s="174">
        <f>C684/E684</f>
        <v/>
      </c>
      <c r="E684" s="157" t="n">
        <v>83.98999999999999</v>
      </c>
      <c r="F684" s="159">
        <f>D684/100000</f>
        <v/>
      </c>
      <c r="G684" s="159">
        <f>(F684/DataSheet!$C$11*100)</f>
        <v/>
      </c>
      <c r="H684" s="159">
        <f>K684/I684</f>
        <v/>
      </c>
      <c r="I684" s="159">
        <f>(J684/L684)*100</f>
        <v/>
      </c>
      <c r="J684" s="159">
        <f>L684/O684</f>
        <v/>
      </c>
      <c r="K684" s="157" t="n">
        <v>6.777</v>
      </c>
      <c r="L684" s="157" t="n">
        <v>25250.1</v>
      </c>
      <c r="M684" s="157" t="n">
        <v>3.78</v>
      </c>
      <c r="N684" s="159">
        <f>K684-I684</f>
        <v/>
      </c>
      <c r="O684" s="157" t="n">
        <v>23.74</v>
      </c>
      <c r="P684" s="157" t="n">
        <v>3.846</v>
      </c>
      <c r="Q684" s="159">
        <f>K684-P684</f>
        <v/>
      </c>
      <c r="R684" s="157" t="n">
        <v>101.75</v>
      </c>
      <c r="S684" s="159">
        <f>(O684*T684)/100</f>
        <v/>
      </c>
      <c r="T684" s="157" t="n">
        <v>6.48</v>
      </c>
      <c r="U684" s="157" t="n">
        <v>21904.7</v>
      </c>
      <c r="V684" s="157" t="n">
        <v>44.83</v>
      </c>
      <c r="W684" s="159">
        <f>U684/V684</f>
        <v/>
      </c>
      <c r="X684" s="159">
        <f>(W684/U684)*100</f>
        <v/>
      </c>
      <c r="Y684" s="157" t="n">
        <v>18179.2</v>
      </c>
      <c r="Z684" s="157" t="n">
        <v>33.07</v>
      </c>
      <c r="AA684" s="159">
        <f>Y684/Z684</f>
        <v/>
      </c>
      <c r="AB684" s="159">
        <f>(AA684/Y684)*100</f>
        <v/>
      </c>
    </row>
    <row r="685">
      <c r="A685" s="155" t="n">
        <v>684</v>
      </c>
      <c r="B685" s="156" t="n">
        <v>45569</v>
      </c>
      <c r="C685" s="157" t="n">
        <v>46192308.53</v>
      </c>
      <c r="D685" s="174">
        <f>C685/E685</f>
        <v/>
      </c>
      <c r="E685" s="157" t="n">
        <v>84.023</v>
      </c>
      <c r="F685" s="159">
        <f>D685/100000</f>
        <v/>
      </c>
      <c r="G685" s="159">
        <f>(F685/DataSheet!$C$11*100)</f>
        <v/>
      </c>
      <c r="H685" s="159">
        <f>K685/I685</f>
        <v/>
      </c>
      <c r="I685" s="159">
        <f>(J685/L685)*100</f>
        <v/>
      </c>
      <c r="J685" s="159">
        <f>L685/O685</f>
        <v/>
      </c>
      <c r="K685" s="157" t="n">
        <v>6.829</v>
      </c>
      <c r="L685" s="157" t="n">
        <v>25014.6</v>
      </c>
      <c r="M685" s="157" t="n">
        <v>3.75</v>
      </c>
      <c r="N685" s="159">
        <f>K685-I685</f>
        <v/>
      </c>
      <c r="O685" s="157" t="n">
        <v>23.52</v>
      </c>
      <c r="P685" s="157" t="n">
        <v>3.981</v>
      </c>
      <c r="Q685" s="159">
        <f>K685-P685</f>
        <v/>
      </c>
      <c r="R685" s="157" t="n">
        <v>102.275</v>
      </c>
      <c r="S685" s="159">
        <f>(O685*T685)/100</f>
        <v/>
      </c>
      <c r="T685" s="157" t="n">
        <v>6.48</v>
      </c>
      <c r="U685" s="157" t="n">
        <v>21710.6</v>
      </c>
      <c r="V685" s="157" t="n">
        <v>44.43</v>
      </c>
      <c r="W685" s="159">
        <f>U685/V685</f>
        <v/>
      </c>
      <c r="X685" s="159">
        <f>(W685/U685)*100</f>
        <v/>
      </c>
      <c r="Y685" s="157" t="n">
        <v>18021.65</v>
      </c>
      <c r="Z685" s="157" t="n">
        <v>32.78</v>
      </c>
      <c r="AA685" s="159">
        <f>Y685/Z685</f>
        <v/>
      </c>
      <c r="AB685" s="159">
        <f>(AA685/Y685)*100</f>
        <v/>
      </c>
    </row>
    <row r="686">
      <c r="A686" s="155" t="n">
        <v>685</v>
      </c>
      <c r="B686" s="156" t="n">
        <v>45572</v>
      </c>
      <c r="C686" s="157" t="n">
        <v>45284402.49</v>
      </c>
      <c r="D686" s="174">
        <f>C686/E686</f>
        <v/>
      </c>
      <c r="E686" s="157" t="n">
        <v>83.98</v>
      </c>
      <c r="F686" s="159">
        <f>D686/100000</f>
        <v/>
      </c>
      <c r="G686" s="159">
        <f>(F686/DataSheet!$C$11*100)</f>
        <v/>
      </c>
      <c r="H686" s="159">
        <f>K686/I686</f>
        <v/>
      </c>
      <c r="I686" s="159">
        <f>(J686/L686)*100</f>
        <v/>
      </c>
      <c r="J686" s="159">
        <f>L686/O686</f>
        <v/>
      </c>
      <c r="K686" s="157" t="n">
        <v>6.846</v>
      </c>
      <c r="L686" s="157" t="n">
        <v>24795.75</v>
      </c>
      <c r="M686" s="157" t="n">
        <v>3.71</v>
      </c>
      <c r="N686" s="159">
        <f>K686-I686</f>
        <v/>
      </c>
      <c r="O686" s="157" t="n">
        <v>23.31</v>
      </c>
      <c r="P686" s="157" t="n">
        <v>4.026</v>
      </c>
      <c r="Q686" s="159">
        <f>K686-P686</f>
        <v/>
      </c>
      <c r="R686" s="157" t="n">
        <v>102.301</v>
      </c>
      <c r="S686" s="159">
        <f>(O686*T686)/100</f>
        <v/>
      </c>
      <c r="T686" s="157" t="n">
        <v>6.48</v>
      </c>
      <c r="U686" s="157" t="n">
        <v>21264.5</v>
      </c>
      <c r="V686" s="157" t="n">
        <v>43.52</v>
      </c>
      <c r="W686" s="159">
        <f>U686/V686</f>
        <v/>
      </c>
      <c r="X686" s="159">
        <f>(W686/U686)*100</f>
        <v/>
      </c>
      <c r="Y686" s="157" t="n">
        <v>17514.5</v>
      </c>
      <c r="Z686" s="157" t="n">
        <v>31.86</v>
      </c>
      <c r="AA686" s="159">
        <f>Y686/Z686</f>
        <v/>
      </c>
      <c r="AB686" s="159">
        <f>(AA686/Y686)*100</f>
        <v/>
      </c>
    </row>
    <row r="687">
      <c r="A687" s="155" t="n">
        <v>686</v>
      </c>
      <c r="B687" s="156" t="n">
        <v>45573</v>
      </c>
      <c r="C687" s="157" t="n">
        <v>46043124.44</v>
      </c>
      <c r="D687" s="174">
        <f>C687/E687</f>
        <v/>
      </c>
      <c r="E687" s="157" t="n">
        <v>83.94499999999999</v>
      </c>
      <c r="F687" s="159">
        <f>D687/100000</f>
        <v/>
      </c>
      <c r="G687" s="159">
        <f>(F687/DataSheet!$C$11*100)</f>
        <v/>
      </c>
      <c r="H687" s="159">
        <f>K687/I687</f>
        <v/>
      </c>
      <c r="I687" s="159">
        <f>(J687/L687)*100</f>
        <v/>
      </c>
      <c r="J687" s="159">
        <f>L687/O687</f>
        <v/>
      </c>
      <c r="K687" s="157" t="n">
        <v>6.806</v>
      </c>
      <c r="L687" s="157" t="n">
        <v>25013.15</v>
      </c>
      <c r="M687" s="157" t="n">
        <v>3.75</v>
      </c>
      <c r="N687" s="159">
        <f>K687-I687</f>
        <v/>
      </c>
      <c r="O687" s="157" t="n">
        <v>23.51</v>
      </c>
      <c r="P687" s="157" t="n">
        <v>4.035</v>
      </c>
      <c r="Q687" s="159">
        <f>K687-P687</f>
        <v/>
      </c>
      <c r="R687" s="157" t="n">
        <v>102.303</v>
      </c>
      <c r="S687" s="159">
        <f>(O687*T687)/100</f>
        <v/>
      </c>
      <c r="T687" s="157" t="n">
        <v>6.48</v>
      </c>
      <c r="U687" s="157" t="n">
        <v>21685.65</v>
      </c>
      <c r="V687" s="157" t="n">
        <v>44.38</v>
      </c>
      <c r="W687" s="159">
        <f>U687/V687</f>
        <v/>
      </c>
      <c r="X687" s="159">
        <f>(W687/U687)*100</f>
        <v/>
      </c>
      <c r="Y687" s="157" t="n">
        <v>17882.85</v>
      </c>
      <c r="Z687" s="157" t="n">
        <v>32.53</v>
      </c>
      <c r="AA687" s="159">
        <f>Y687/Z687</f>
        <v/>
      </c>
      <c r="AB687" s="159">
        <f>(AA687/Y687)*100</f>
        <v/>
      </c>
    </row>
    <row r="688">
      <c r="A688" s="155" t="n">
        <v>687</v>
      </c>
      <c r="B688" s="156" t="n">
        <v>45574</v>
      </c>
      <c r="C688" s="157" t="n">
        <v>46321835.9</v>
      </c>
      <c r="D688" s="174">
        <f>C688/E688</f>
        <v/>
      </c>
      <c r="E688" s="157" t="n">
        <v>83.95</v>
      </c>
      <c r="F688" s="159">
        <f>D688/100000</f>
        <v/>
      </c>
      <c r="G688" s="159">
        <f>(F688/DataSheet!$C$11*100)</f>
        <v/>
      </c>
      <c r="H688" s="159">
        <f>K688/I688</f>
        <v/>
      </c>
      <c r="I688" s="159">
        <f>(J688/L688)*100</f>
        <v/>
      </c>
      <c r="J688" s="159">
        <f>L688/O688</f>
        <v/>
      </c>
      <c r="K688" s="157" t="n">
        <v>6.766</v>
      </c>
      <c r="L688" s="157" t="n">
        <v>24981.95</v>
      </c>
      <c r="M688" s="157" t="n">
        <v>3.74</v>
      </c>
      <c r="N688" s="159">
        <f>K688-I688</f>
        <v/>
      </c>
      <c r="O688" s="157" t="n">
        <v>23.48</v>
      </c>
      <c r="P688" s="157" t="n">
        <v>4.067</v>
      </c>
      <c r="Q688" s="159">
        <f>K688-P688</f>
        <v/>
      </c>
      <c r="R688" s="157" t="n">
        <v>102.695</v>
      </c>
      <c r="S688" s="159">
        <f>(O688*T688)/100</f>
        <v/>
      </c>
      <c r="T688" s="157" t="n">
        <v>6.48</v>
      </c>
      <c r="U688" s="157" t="n">
        <v>21918.3</v>
      </c>
      <c r="V688" s="157" t="n">
        <v>44.85</v>
      </c>
      <c r="W688" s="159">
        <f>U688/V688</f>
        <v/>
      </c>
      <c r="X688" s="159">
        <f>(W688/U688)*100</f>
        <v/>
      </c>
      <c r="Y688" s="157" t="n">
        <v>18103.95</v>
      </c>
      <c r="Z688" s="157" t="n">
        <v>32.93</v>
      </c>
      <c r="AA688" s="159">
        <f>Y688/Z688</f>
        <v/>
      </c>
      <c r="AB688" s="159">
        <f>(AA688/Y688)*100</f>
        <v/>
      </c>
    </row>
    <row r="689">
      <c r="A689" s="155" t="n">
        <v>688</v>
      </c>
      <c r="B689" s="156" t="n">
        <v>45575</v>
      </c>
      <c r="C689" s="157" t="n">
        <v>46325701.41</v>
      </c>
      <c r="D689" s="174">
        <f>C689/E689</f>
        <v/>
      </c>
      <c r="E689" s="157" t="n">
        <v>83.94</v>
      </c>
      <c r="F689" s="159">
        <f>D689/100000</f>
        <v/>
      </c>
      <c r="G689" s="159">
        <f>(F689/DataSheet!$C$11*100)</f>
        <v/>
      </c>
      <c r="H689" s="159">
        <f>K689/I689</f>
        <v/>
      </c>
      <c r="I689" s="159">
        <f>(J689/L689)*100</f>
        <v/>
      </c>
      <c r="J689" s="159">
        <f>L689/O689</f>
        <v/>
      </c>
      <c r="K689" s="157" t="n">
        <v>6.776</v>
      </c>
      <c r="L689" s="157" t="n">
        <v>24998.45</v>
      </c>
      <c r="M689" s="157" t="n">
        <v>3.74</v>
      </c>
      <c r="N689" s="159">
        <f>K689-I689</f>
        <v/>
      </c>
      <c r="O689" s="157" t="n">
        <v>23.5</v>
      </c>
      <c r="P689" s="157" t="n">
        <v>4.094</v>
      </c>
      <c r="Q689" s="159">
        <f>K689-P689</f>
        <v/>
      </c>
      <c r="R689" s="157" t="n">
        <v>102.773</v>
      </c>
      <c r="S689" s="159">
        <f>(O689*T689)/100</f>
        <v/>
      </c>
      <c r="T689" s="157" t="n">
        <v>6.46</v>
      </c>
      <c r="U689" s="157" t="n">
        <v>21885.65</v>
      </c>
      <c r="V689" s="157" t="n">
        <v>44.49</v>
      </c>
      <c r="W689" s="159">
        <f>U689/V689</f>
        <v/>
      </c>
      <c r="X689" s="159">
        <f>(W689/U689)*100</f>
        <v/>
      </c>
      <c r="Y689" s="157" t="n">
        <v>18127.35</v>
      </c>
      <c r="Z689" s="157" t="n">
        <v>33.15</v>
      </c>
      <c r="AA689" s="159">
        <f>Y689/Z689</f>
        <v/>
      </c>
      <c r="AB689" s="159">
        <f>(AA689/Y689)*100</f>
        <v/>
      </c>
    </row>
    <row r="690">
      <c r="A690" s="155" t="n">
        <v>689</v>
      </c>
      <c r="B690" s="156" t="n">
        <v>45576</v>
      </c>
      <c r="C690" s="157" t="n">
        <v>46357374.2</v>
      </c>
      <c r="D690" s="174">
        <f>C690/E690</f>
        <v/>
      </c>
      <c r="E690" s="157" t="n">
        <v>84.101</v>
      </c>
      <c r="F690" s="159">
        <f>D690/100000</f>
        <v/>
      </c>
      <c r="G690" s="159">
        <f>(F690/DataSheet!$C$11*100)</f>
        <v/>
      </c>
      <c r="H690" s="159">
        <f>K690/I690</f>
        <v/>
      </c>
      <c r="I690" s="159">
        <f>(J690/L690)*100</f>
        <v/>
      </c>
      <c r="J690" s="159">
        <f>L690/O690</f>
        <v/>
      </c>
      <c r="K690" s="157" t="n">
        <v>6.788</v>
      </c>
      <c r="L690" s="157" t="n">
        <v>24964.25</v>
      </c>
      <c r="M690" s="157" t="n">
        <v>3.74</v>
      </c>
      <c r="N690" s="159">
        <f>K690-I690</f>
        <v/>
      </c>
      <c r="O690" s="157" t="n">
        <v>23.47</v>
      </c>
      <c r="P690" s="157" t="n">
        <v>4.073</v>
      </c>
      <c r="Q690" s="159">
        <f>K690-P690</f>
        <v/>
      </c>
      <c r="R690" s="157" t="n">
        <v>102.677</v>
      </c>
      <c r="S690" s="159">
        <f>(O690*T690)/100</f>
        <v/>
      </c>
      <c r="T690" s="157" t="n">
        <v>6.46</v>
      </c>
      <c r="U690" s="157" t="n">
        <v>21979.15</v>
      </c>
      <c r="V690" s="157" t="n">
        <v>44.69</v>
      </c>
      <c r="W690" s="159">
        <f>U690/V690</f>
        <v/>
      </c>
      <c r="X690" s="159">
        <f>(W690/U690)*100</f>
        <v/>
      </c>
      <c r="Y690" s="157" t="n">
        <v>18213</v>
      </c>
      <c r="Z690" s="157" t="n">
        <v>33.3</v>
      </c>
      <c r="AA690" s="159">
        <f>Y690/Z690</f>
        <v/>
      </c>
      <c r="AB690" s="159">
        <f>(AA690/Y690)*100</f>
        <v/>
      </c>
    </row>
    <row r="691">
      <c r="A691" s="155" t="n">
        <v>690</v>
      </c>
      <c r="B691" s="156" t="n">
        <v>45579</v>
      </c>
      <c r="C691" s="157" t="n">
        <v>46474654.68</v>
      </c>
      <c r="D691" s="174">
        <f>C691/E691</f>
        <v/>
      </c>
      <c r="E691" s="157" t="n">
        <v>84.045</v>
      </c>
      <c r="F691" s="159">
        <f>D691/100000</f>
        <v/>
      </c>
      <c r="G691" s="159">
        <f>(F691/DataSheet!$C$11*100)</f>
        <v/>
      </c>
      <c r="H691" s="159">
        <f>K691/I691</f>
        <v/>
      </c>
      <c r="I691" s="159">
        <f>(J691/L691)*100</f>
        <v/>
      </c>
      <c r="J691" s="159">
        <f>L691/O691</f>
        <v/>
      </c>
      <c r="K691" s="157" t="n">
        <v>6.782</v>
      </c>
      <c r="L691" s="157" t="n">
        <v>25127.95</v>
      </c>
      <c r="M691" s="157" t="n">
        <v>3.76</v>
      </c>
      <c r="N691" s="159">
        <f>K691-I691</f>
        <v/>
      </c>
      <c r="O691" s="157" t="n">
        <v>23.62</v>
      </c>
      <c r="P691" s="157" t="n">
        <v>4.073</v>
      </c>
      <c r="Q691" s="159">
        <f>K691-P691</f>
        <v/>
      </c>
      <c r="R691" s="157" t="n">
        <v>103.082</v>
      </c>
      <c r="S691" s="159">
        <f>(O691*T691)/100</f>
        <v/>
      </c>
      <c r="T691" s="157" t="n">
        <v>6.46</v>
      </c>
      <c r="U691" s="157" t="n">
        <v>22058.8</v>
      </c>
      <c r="V691" s="157" t="n">
        <v>44.85</v>
      </c>
      <c r="W691" s="159">
        <f>U691/V691</f>
        <v/>
      </c>
      <c r="X691" s="159">
        <f>(W691/U691)*100</f>
        <v/>
      </c>
      <c r="Y691" s="157" t="n">
        <v>18265.1</v>
      </c>
      <c r="Z691" s="157" t="n">
        <v>33.4</v>
      </c>
      <c r="AA691" s="159">
        <f>Y691/Z691</f>
        <v/>
      </c>
      <c r="AB691" s="159">
        <f>(AA691/Y691)*100</f>
        <v/>
      </c>
    </row>
    <row r="692">
      <c r="A692" s="155" t="n">
        <v>691</v>
      </c>
      <c r="B692" s="156" t="n">
        <v>45580</v>
      </c>
      <c r="C692" s="157" t="n">
        <v>46501803.76</v>
      </c>
      <c r="D692" s="174">
        <f>C692/E692</f>
        <v/>
      </c>
      <c r="E692" s="157" t="n">
        <v>84.04000000000001</v>
      </c>
      <c r="F692" s="159">
        <f>D692/100000</f>
        <v/>
      </c>
      <c r="G692" s="159">
        <f>(F692/DataSheet!$C$11*100)</f>
        <v/>
      </c>
      <c r="H692" s="159">
        <f>K692/I692</f>
        <v/>
      </c>
      <c r="I692" s="159">
        <f>(J692/L692)*100</f>
        <v/>
      </c>
      <c r="J692" s="159">
        <f>L692/O692</f>
        <v/>
      </c>
      <c r="K692" s="157" t="n">
        <v>6.769</v>
      </c>
      <c r="L692" s="157" t="n">
        <v>25057.35</v>
      </c>
      <c r="M692" s="157" t="n">
        <v>3.75</v>
      </c>
      <c r="N692" s="159">
        <f>K692-I692</f>
        <v/>
      </c>
      <c r="O692" s="157" t="n">
        <v>23.55</v>
      </c>
      <c r="P692" s="157" t="n">
        <v>4.038</v>
      </c>
      <c r="Q692" s="159">
        <f>K692-P692</f>
        <v/>
      </c>
      <c r="R692" s="157" t="n">
        <v>103.055</v>
      </c>
      <c r="S692" s="159">
        <f>(O692*T692)/100</f>
        <v/>
      </c>
      <c r="T692" s="157" t="n">
        <v>6.44</v>
      </c>
      <c r="U692" s="157" t="n">
        <v>22128.65</v>
      </c>
      <c r="V692" s="157" t="n">
        <v>44.96</v>
      </c>
      <c r="W692" s="159">
        <f>U692/V692</f>
        <v/>
      </c>
      <c r="X692" s="159">
        <f>(W692/U692)*100</f>
        <v/>
      </c>
      <c r="Y692" s="157" t="n">
        <v>18467.65</v>
      </c>
      <c r="Z692" s="157" t="n">
        <v>33.77</v>
      </c>
      <c r="AA692" s="159">
        <f>Y692/Z692</f>
        <v/>
      </c>
      <c r="AB692" s="159">
        <f>(AA692/Y692)*100</f>
        <v/>
      </c>
    </row>
    <row r="693">
      <c r="A693" s="155" t="n">
        <v>692</v>
      </c>
      <c r="B693" s="156" t="n">
        <v>45581</v>
      </c>
      <c r="C693" s="157" t="n">
        <v>46455987.05</v>
      </c>
      <c r="D693" s="174">
        <f>C693/E693</f>
        <v/>
      </c>
      <c r="E693" s="157" t="n">
        <v>84.03</v>
      </c>
      <c r="F693" s="159">
        <f>D693/100000</f>
        <v/>
      </c>
      <c r="G693" s="159">
        <f>(F693/DataSheet!$C$11*100)</f>
        <v/>
      </c>
      <c r="H693" s="159">
        <f>K693/I693</f>
        <v/>
      </c>
      <c r="I693" s="159">
        <f>(J693/L693)*100</f>
        <v/>
      </c>
      <c r="J693" s="159">
        <f>L693/O693</f>
        <v/>
      </c>
      <c r="K693" s="157" t="n">
        <v>6.773</v>
      </c>
      <c r="L693" s="157" t="n">
        <v>24971.3</v>
      </c>
      <c r="M693" s="157" t="n">
        <v>3.74</v>
      </c>
      <c r="N693" s="159">
        <f>K693-I693</f>
        <v/>
      </c>
      <c r="O693" s="157" t="n">
        <v>23.47</v>
      </c>
      <c r="P693" s="157" t="n">
        <v>4.016</v>
      </c>
      <c r="Q693" s="159">
        <f>K693-P693</f>
        <v/>
      </c>
      <c r="R693" s="157" t="n">
        <v>103.4</v>
      </c>
      <c r="S693" s="159">
        <f>(O693*T693)/100</f>
        <v/>
      </c>
      <c r="T693" s="157" t="n">
        <v>6.46</v>
      </c>
      <c r="U693" s="157" t="n">
        <v>22085.1</v>
      </c>
      <c r="V693" s="157" t="n">
        <v>44.88</v>
      </c>
      <c r="W693" s="159">
        <f>U693/V693</f>
        <v/>
      </c>
      <c r="X693" s="159">
        <f>(W693/U693)*100</f>
        <v/>
      </c>
      <c r="Y693" s="157" t="n">
        <v>18505.95</v>
      </c>
      <c r="Z693" s="157" t="n">
        <v>33.85</v>
      </c>
      <c r="AA693" s="159">
        <f>Y693/Z693</f>
        <v/>
      </c>
      <c r="AB693" s="159">
        <f>(AA693/Y693)*100</f>
        <v/>
      </c>
    </row>
    <row r="694">
      <c r="A694" s="155" t="n">
        <v>693</v>
      </c>
      <c r="B694" s="156" t="n">
        <v>45582</v>
      </c>
      <c r="C694" s="157" t="n">
        <v>45847349.3</v>
      </c>
      <c r="D694" s="174">
        <f>C694/E694</f>
        <v/>
      </c>
      <c r="E694" s="157" t="n">
        <v>84.035</v>
      </c>
      <c r="F694" s="159">
        <f>D694/100000</f>
        <v/>
      </c>
      <c r="G694" s="159">
        <f>(F694/DataSheet!$C$11*100)</f>
        <v/>
      </c>
      <c r="H694" s="159">
        <f>K694/I694</f>
        <v/>
      </c>
      <c r="I694" s="159">
        <f>(J694/L694)*100</f>
        <v/>
      </c>
      <c r="J694" s="159">
        <f>L694/O694</f>
        <v/>
      </c>
      <c r="K694" s="157" t="n">
        <v>6.784</v>
      </c>
      <c r="L694" s="157" t="n">
        <v>24749.85</v>
      </c>
      <c r="M694" s="157" t="n">
        <v>3.71</v>
      </c>
      <c r="N694" s="159">
        <f>K694-I694</f>
        <v/>
      </c>
      <c r="O694" s="157" t="n">
        <v>23.26</v>
      </c>
      <c r="P694" s="157" t="n">
        <v>4.096</v>
      </c>
      <c r="Q694" s="159">
        <f>K694-P694</f>
        <v/>
      </c>
      <c r="R694" s="157" t="n">
        <v>103.652</v>
      </c>
      <c r="S694" s="159">
        <f>(O694*T694)/100</f>
        <v/>
      </c>
      <c r="T694" s="157" t="n">
        <v>6.46</v>
      </c>
      <c r="U694" s="157" t="n">
        <v>21718.5</v>
      </c>
      <c r="V694" s="157" t="n">
        <v>44.06</v>
      </c>
      <c r="W694" s="159">
        <f>U694/V694</f>
        <v/>
      </c>
      <c r="X694" s="159">
        <f>(W694/U694)*100</f>
        <v/>
      </c>
      <c r="Y694" s="157" t="n">
        <v>18244.3</v>
      </c>
      <c r="Z694" s="157" t="n">
        <v>33.39</v>
      </c>
      <c r="AA694" s="159">
        <f>Y694/Z694</f>
        <v/>
      </c>
      <c r="AB694" s="159">
        <f>(AA694/Y694)*100</f>
        <v/>
      </c>
    </row>
    <row r="695">
      <c r="A695" s="155" t="n">
        <v>694</v>
      </c>
      <c r="B695" s="156" t="n">
        <v>45583</v>
      </c>
      <c r="C695" s="157" t="n">
        <v>45941908.24</v>
      </c>
      <c r="D695" s="174">
        <f>C695/E695</f>
        <v/>
      </c>
      <c r="E695" s="157" t="n">
        <v>84.065</v>
      </c>
      <c r="F695" s="159">
        <f>D695/100000</f>
        <v/>
      </c>
      <c r="G695" s="159">
        <f>(F695/DataSheet!$C$11*100)</f>
        <v/>
      </c>
      <c r="H695" s="159">
        <f>K695/I695</f>
        <v/>
      </c>
      <c r="I695" s="159">
        <f>(J695/L695)*100</f>
        <v/>
      </c>
      <c r="J695" s="159">
        <f>L695/O695</f>
        <v/>
      </c>
      <c r="K695" s="157" t="n">
        <v>6.809</v>
      </c>
      <c r="L695" s="157" t="n">
        <v>24854.05</v>
      </c>
      <c r="M695" s="157" t="n">
        <v>3.72</v>
      </c>
      <c r="N695" s="159">
        <f>K695-I695</f>
        <v/>
      </c>
      <c r="O695" s="157" t="n">
        <v>23.38</v>
      </c>
      <c r="P695" s="157" t="n">
        <v>4.075</v>
      </c>
      <c r="Q695" s="159">
        <f>K695-P695</f>
        <v/>
      </c>
      <c r="R695" s="157" t="n">
        <v>103.307</v>
      </c>
      <c r="S695" s="159">
        <f>(O695*T695)/100</f>
        <v/>
      </c>
      <c r="T695" s="157" t="n">
        <v>6.46</v>
      </c>
      <c r="U695" s="157" t="n">
        <v>21755.65</v>
      </c>
      <c r="V695" s="157" t="n">
        <v>44.13</v>
      </c>
      <c r="W695" s="159">
        <f>U695/V695</f>
        <v/>
      </c>
      <c r="X695" s="159">
        <f>(W695/U695)*100</f>
        <v/>
      </c>
      <c r="Y695" s="157" t="n">
        <v>18236.8</v>
      </c>
      <c r="Z695" s="157" t="n">
        <v>33.37</v>
      </c>
      <c r="AA695" s="159">
        <f>Y695/Z695</f>
        <v/>
      </c>
      <c r="AB695" s="159">
        <f>(AA695/Y695)*100</f>
        <v/>
      </c>
    </row>
    <row r="696">
      <c r="A696" s="155" t="n">
        <v>695</v>
      </c>
      <c r="B696" s="156" t="n">
        <v>45586</v>
      </c>
      <c r="C696" s="157" t="n">
        <v>45465368.23</v>
      </c>
      <c r="D696" s="174">
        <f>C696/E696</f>
        <v/>
      </c>
      <c r="E696" s="157" t="n">
        <v>84.06999999999999</v>
      </c>
      <c r="F696" s="159">
        <f>D696/100000</f>
        <v/>
      </c>
      <c r="G696" s="159">
        <f>(F696/DataSheet!$C$11*100)</f>
        <v/>
      </c>
      <c r="H696" s="159">
        <f>K696/I696</f>
        <v/>
      </c>
      <c r="I696" s="159">
        <f>(J696/L696)*100</f>
        <v/>
      </c>
      <c r="J696" s="159">
        <f>L696/O696</f>
        <v/>
      </c>
      <c r="K696" s="157" t="n">
        <v>6.837</v>
      </c>
      <c r="L696" s="157" t="n">
        <v>24781.1</v>
      </c>
      <c r="M696" s="157" t="n">
        <v>3.71</v>
      </c>
      <c r="N696" s="159">
        <f>K696-I696</f>
        <v/>
      </c>
      <c r="O696" s="157" t="n">
        <v>23.23</v>
      </c>
      <c r="P696" s="157" t="n">
        <v>4.182</v>
      </c>
      <c r="Q696" s="159">
        <f>K696-P696</f>
        <v/>
      </c>
      <c r="R696" s="157" t="n">
        <v>103.834</v>
      </c>
      <c r="S696" s="159">
        <f>(O696*T696)/100</f>
        <v/>
      </c>
      <c r="T696" s="157" t="n">
        <v>6.47</v>
      </c>
      <c r="U696" s="157" t="n">
        <v>21429.9</v>
      </c>
      <c r="V696" s="157" t="n">
        <v>43.56</v>
      </c>
      <c r="W696" s="159">
        <f>U696/V696</f>
        <v/>
      </c>
      <c r="X696" s="159">
        <f>(W696/U696)*100</f>
        <v/>
      </c>
      <c r="Y696" s="157" t="n">
        <v>17936.3</v>
      </c>
      <c r="Z696" s="157" t="n">
        <v>32.79</v>
      </c>
      <c r="AA696" s="159">
        <f>Y696/Z696</f>
        <v/>
      </c>
      <c r="AB696" s="159">
        <f>(AA696/Y696)*100</f>
        <v/>
      </c>
    </row>
    <row r="697">
      <c r="A697" s="155" t="n">
        <v>696</v>
      </c>
      <c r="B697" s="156" t="n">
        <v>45587</v>
      </c>
      <c r="C697" s="157" t="n">
        <v>44555854.43</v>
      </c>
      <c r="D697" s="174">
        <f>C697/E697</f>
        <v/>
      </c>
      <c r="E697" s="157" t="n">
        <v>84.06999999999999</v>
      </c>
      <c r="F697" s="159">
        <f>D697/100000</f>
        <v/>
      </c>
      <c r="G697" s="159">
        <f>(F697/DataSheet!$C$11*100)</f>
        <v/>
      </c>
      <c r="H697" s="159">
        <f>K697/I697</f>
        <v/>
      </c>
      <c r="I697" s="159">
        <f>(J697/L697)*100</f>
        <v/>
      </c>
      <c r="J697" s="159">
        <f>L697/O697</f>
        <v/>
      </c>
      <c r="K697" s="157" t="n">
        <v>6.832</v>
      </c>
      <c r="L697" s="157" t="n">
        <v>24472.1</v>
      </c>
      <c r="M697" s="157" t="n">
        <v>3.67</v>
      </c>
      <c r="N697" s="159">
        <f>K697-I697</f>
        <v/>
      </c>
      <c r="O697" s="157" t="n">
        <v>22.83</v>
      </c>
      <c r="P697" s="157" t="n">
        <v>4.206</v>
      </c>
      <c r="Q697" s="159">
        <f>K697-P697</f>
        <v/>
      </c>
      <c r="R697" s="157" t="n">
        <v>103.909</v>
      </c>
      <c r="S697" s="159">
        <f>(O697*T697)/100</f>
        <v/>
      </c>
      <c r="T697" s="157" t="n">
        <v>6.48</v>
      </c>
      <c r="U697" s="157" t="n">
        <v>20879.45</v>
      </c>
      <c r="V697" s="157" t="n">
        <v>42.5</v>
      </c>
      <c r="W697" s="159">
        <f>U697/V697</f>
        <v/>
      </c>
      <c r="X697" s="159">
        <f>(W697/U697)*100</f>
        <v/>
      </c>
      <c r="Y697" s="157" t="n">
        <v>17275.7</v>
      </c>
      <c r="Z697" s="157" t="n">
        <v>31.37</v>
      </c>
      <c r="AA697" s="159">
        <f>Y697/Z697</f>
        <v/>
      </c>
      <c r="AB697" s="159">
        <f>(AA697/Y697)*100</f>
        <v/>
      </c>
    </row>
    <row r="698">
      <c r="A698" s="155" t="n">
        <v>697</v>
      </c>
      <c r="B698" s="156" t="n">
        <v>45588</v>
      </c>
      <c r="C698" s="157" t="n">
        <v>44640430.04</v>
      </c>
      <c r="D698" s="174">
        <f>C698/E698</f>
        <v/>
      </c>
      <c r="E698" s="157" t="n">
        <v>84.056</v>
      </c>
      <c r="F698" s="159">
        <f>D698/100000</f>
        <v/>
      </c>
      <c r="G698" s="159">
        <f>(F698/DataSheet!$C$11*100)</f>
        <v/>
      </c>
      <c r="H698" s="159">
        <f>K698/I698</f>
        <v/>
      </c>
      <c r="I698" s="159">
        <f>(J698/L698)*100</f>
        <v/>
      </c>
      <c r="J698" s="159">
        <f>L698/O698</f>
        <v/>
      </c>
      <c r="K698" s="157" t="n">
        <v>6.818</v>
      </c>
      <c r="L698" s="157" t="n">
        <v>24435.5</v>
      </c>
      <c r="M698" s="157" t="n">
        <v>3.66</v>
      </c>
      <c r="N698" s="159">
        <f>K698-I698</f>
        <v/>
      </c>
      <c r="O698" s="157" t="n">
        <v>22.81</v>
      </c>
      <c r="P698" s="157" t="n">
        <v>4.242</v>
      </c>
      <c r="Q698" s="159">
        <f>K698-P698</f>
        <v/>
      </c>
      <c r="R698" s="157" t="n">
        <v>104.277</v>
      </c>
      <c r="S698" s="159">
        <f>(O698*T698)/100</f>
        <v/>
      </c>
      <c r="T698" s="157" t="n">
        <v>6.49</v>
      </c>
      <c r="U698" s="157" t="n">
        <v>20985.25</v>
      </c>
      <c r="V698" s="157" t="n">
        <v>42.72</v>
      </c>
      <c r="W698" s="159">
        <f>U698/V698</f>
        <v/>
      </c>
      <c r="X698" s="159">
        <f>(W698/U698)*100</f>
        <v/>
      </c>
      <c r="Y698" s="157" t="n">
        <v>17456.2</v>
      </c>
      <c r="Z698" s="157" t="n">
        <v>31.65</v>
      </c>
      <c r="AA698" s="159">
        <f>Y698/Z698</f>
        <v/>
      </c>
      <c r="AB698" s="159">
        <f>(AA698/Y698)*100</f>
        <v/>
      </c>
    </row>
    <row r="699">
      <c r="A699" s="155" t="n">
        <v>698</v>
      </c>
      <c r="B699" s="156" t="n">
        <v>45589</v>
      </c>
      <c r="C699" s="157" t="n">
        <v>44487806.63</v>
      </c>
      <c r="D699" s="174">
        <f>C699/E699</f>
        <v/>
      </c>
      <c r="E699" s="157" t="n">
        <v>84.05</v>
      </c>
      <c r="F699" s="159">
        <f>D699/100000</f>
        <v/>
      </c>
      <c r="G699" s="159">
        <f>(F699/DataSheet!$C$11*100)</f>
        <v/>
      </c>
      <c r="H699" s="159">
        <f>K699/I699</f>
        <v/>
      </c>
      <c r="I699" s="159">
        <f>(J699/L699)*100</f>
        <v/>
      </c>
      <c r="J699" s="159">
        <f>L699/O699</f>
        <v/>
      </c>
      <c r="K699" s="157" t="n">
        <v>6.822</v>
      </c>
      <c r="L699" s="157" t="n">
        <v>24399.4</v>
      </c>
      <c r="M699" s="157" t="n">
        <v>3.65</v>
      </c>
      <c r="N699" s="159">
        <f>K699-I699</f>
        <v/>
      </c>
      <c r="O699" s="157" t="n">
        <v>22.76</v>
      </c>
      <c r="P699" s="157" t="n">
        <v>4.202</v>
      </c>
      <c r="Q699" s="159">
        <f>K699-P699</f>
        <v/>
      </c>
      <c r="R699" s="157" t="n">
        <v>103.919</v>
      </c>
      <c r="S699" s="159">
        <f>(O699*T699)/100</f>
        <v/>
      </c>
      <c r="T699" s="157" t="n">
        <v>6.5</v>
      </c>
      <c r="U699" s="157" t="n">
        <v>20932.75</v>
      </c>
      <c r="V699" s="157" t="n">
        <v>42.03</v>
      </c>
      <c r="W699" s="159">
        <f>U699/V699</f>
        <v/>
      </c>
      <c r="X699" s="159">
        <f>(W699/U699)*100</f>
        <v/>
      </c>
      <c r="Y699" s="157" t="n">
        <v>17352.2</v>
      </c>
      <c r="Z699" s="157" t="n">
        <v>31.72</v>
      </c>
      <c r="AA699" s="159">
        <f>Y699/Z699</f>
        <v/>
      </c>
      <c r="AB699" s="159">
        <f>(AA699/Y699)*100</f>
        <v/>
      </c>
    </row>
    <row r="700">
      <c r="A700" s="155" t="n">
        <v>699</v>
      </c>
      <c r="B700" s="156" t="n">
        <v>45590</v>
      </c>
      <c r="C700" s="157" t="n">
        <v>43809112.52</v>
      </c>
      <c r="D700" s="174">
        <f>C700/E700</f>
        <v/>
      </c>
      <c r="E700" s="157" t="n">
        <v>84.095</v>
      </c>
      <c r="F700" s="159">
        <f>D700/100000</f>
        <v/>
      </c>
      <c r="G700" s="159">
        <f>(F700/DataSheet!$C$11*100)</f>
        <v/>
      </c>
      <c r="H700" s="159">
        <f>K700/I700</f>
        <v/>
      </c>
      <c r="I700" s="159">
        <f>(J700/L700)*100</f>
        <v/>
      </c>
      <c r="J700" s="159">
        <f>L700/O700</f>
        <v/>
      </c>
      <c r="K700" s="157" t="n">
        <v>6.845</v>
      </c>
      <c r="L700" s="157" t="n">
        <v>24180.8</v>
      </c>
      <c r="M700" s="157" t="n">
        <v>3.62</v>
      </c>
      <c r="N700" s="159">
        <f>K700-I700</f>
        <v/>
      </c>
      <c r="O700" s="157" t="n">
        <v>22.56</v>
      </c>
      <c r="P700" s="157" t="n">
        <v>4.232</v>
      </c>
      <c r="Q700" s="159">
        <f>K700-P700</f>
        <v/>
      </c>
      <c r="R700" s="157" t="n">
        <v>104.132</v>
      </c>
      <c r="S700" s="159">
        <f>(O700*T700)/100</f>
        <v/>
      </c>
      <c r="T700" s="157" t="n">
        <v>6.51</v>
      </c>
      <c r="U700" s="157" t="n">
        <v>20563.7</v>
      </c>
      <c r="V700" s="157" t="n">
        <v>41.11</v>
      </c>
      <c r="W700" s="159">
        <f>U700/V700</f>
        <v/>
      </c>
      <c r="X700" s="159">
        <f>(W700/U700)*100</f>
        <v/>
      </c>
      <c r="Y700" s="157" t="n">
        <v>16956.05</v>
      </c>
      <c r="Z700" s="157" t="n">
        <v>31.01</v>
      </c>
      <c r="AA700" s="159">
        <f>Y700/Z700</f>
        <v/>
      </c>
      <c r="AB700" s="159">
        <f>(AA700/Y700)*100</f>
        <v/>
      </c>
    </row>
    <row r="701">
      <c r="A701" s="155" t="n">
        <v>700</v>
      </c>
      <c r="B701" s="156" t="n">
        <v>45593</v>
      </c>
      <c r="C701" s="157" t="n">
        <v>44207998.7</v>
      </c>
      <c r="D701" s="174">
        <f>C701/E701</f>
        <v/>
      </c>
      <c r="E701" s="157" t="n">
        <v>84.06</v>
      </c>
      <c r="F701" s="159">
        <f>D701/100000</f>
        <v/>
      </c>
      <c r="G701" s="159">
        <f>(F701/DataSheet!$C$11*100)</f>
        <v/>
      </c>
      <c r="H701" s="159">
        <f>K701/I701</f>
        <v/>
      </c>
      <c r="I701" s="159">
        <f>(J701/L701)*100</f>
        <v/>
      </c>
      <c r="J701" s="159">
        <f>L701/O701</f>
        <v/>
      </c>
      <c r="K701" s="157" t="n">
        <v>6.861</v>
      </c>
      <c r="L701" s="157" t="n">
        <v>24339.15</v>
      </c>
      <c r="M701" s="157" t="n">
        <v>3.65</v>
      </c>
      <c r="N701" s="159">
        <f>K701-I701</f>
        <v/>
      </c>
      <c r="O701" s="157" t="n">
        <v>22.74</v>
      </c>
      <c r="P701" s="157" t="n">
        <v>4.278</v>
      </c>
      <c r="Q701" s="159">
        <f>K701-P701</f>
        <v/>
      </c>
      <c r="R701" s="157" t="n">
        <v>104.183</v>
      </c>
      <c r="S701" s="159">
        <f>(O701*T701)/100</f>
        <v/>
      </c>
      <c r="T701" s="157" t="n">
        <v>6.52</v>
      </c>
      <c r="U701" s="157" t="n">
        <v>20695.55</v>
      </c>
      <c r="V701" s="157" t="n">
        <v>41.23</v>
      </c>
      <c r="W701" s="159">
        <f>U701/V701</f>
        <v/>
      </c>
      <c r="X701" s="159">
        <f>(W701/U701)*100</f>
        <v/>
      </c>
      <c r="Y701" s="157" t="n">
        <v>17151.6</v>
      </c>
      <c r="Z701" s="157" t="n">
        <v>31.58</v>
      </c>
      <c r="AA701" s="159">
        <f>Y701/Z701</f>
        <v/>
      </c>
      <c r="AB701" s="159">
        <f>(AA701/Y701)*100</f>
        <v/>
      </c>
    </row>
    <row r="702">
      <c r="A702" s="155" t="n">
        <v>701</v>
      </c>
      <c r="B702" s="156" t="n">
        <v>45594</v>
      </c>
      <c r="C702" s="157" t="n">
        <v>43593789.77</v>
      </c>
      <c r="D702" s="174">
        <f>C702/E702</f>
        <v/>
      </c>
      <c r="E702" s="157" t="n">
        <v>84.05</v>
      </c>
      <c r="F702" s="159">
        <f>D702/100000</f>
        <v/>
      </c>
      <c r="G702" s="159">
        <f>(F702/DataSheet!$C$11*100)</f>
        <v/>
      </c>
      <c r="H702" s="159">
        <f>K702/I702</f>
        <v/>
      </c>
      <c r="I702" s="159">
        <f>(J702/L702)*100</f>
        <v/>
      </c>
      <c r="J702" s="159">
        <f>L702/O702</f>
        <v/>
      </c>
      <c r="K702" s="157" t="n">
        <v>6.847</v>
      </c>
      <c r="L702" s="157" t="n">
        <v>24466.85</v>
      </c>
      <c r="M702" s="157" t="n">
        <v>3.67</v>
      </c>
      <c r="N702" s="159">
        <f>K702-I702</f>
        <v/>
      </c>
      <c r="O702" s="157" t="n">
        <v>23.02</v>
      </c>
      <c r="P702" s="157" t="n">
        <v>4.274</v>
      </c>
      <c r="Q702" s="159">
        <f>K702-P702</f>
        <v/>
      </c>
      <c r="R702" s="157" t="n">
        <v>104.191</v>
      </c>
      <c r="S702" s="159">
        <f>(O702*T702)/100</f>
        <v/>
      </c>
      <c r="T702" s="157" t="n">
        <v>6.52</v>
      </c>
      <c r="U702" s="157" t="n">
        <v>20867.4</v>
      </c>
      <c r="V702" s="157" t="n">
        <v>43.39</v>
      </c>
      <c r="W702" s="159">
        <f>U702/V702</f>
        <v/>
      </c>
      <c r="X702" s="159">
        <f>(W702/U702)*100</f>
        <v/>
      </c>
      <c r="Y702" s="157" t="n">
        <v>17278.2</v>
      </c>
      <c r="Z702" s="157" t="n">
        <v>31.75</v>
      </c>
      <c r="AA702" s="159">
        <f>Y702/Z702</f>
        <v/>
      </c>
      <c r="AB702" s="159">
        <f>(AA702/Y702)*100</f>
        <v/>
      </c>
    </row>
    <row r="703">
      <c r="A703" s="155" t="n">
        <v>702</v>
      </c>
      <c r="B703" s="156" t="n">
        <v>45595</v>
      </c>
      <c r="C703" s="157" t="n">
        <v>43720643.55</v>
      </c>
      <c r="D703" s="174">
        <f>C703/E703</f>
        <v/>
      </c>
      <c r="E703" s="157" t="n">
        <v>84.08</v>
      </c>
      <c r="F703" s="159">
        <f>D703/100000</f>
        <v/>
      </c>
      <c r="G703" s="159">
        <f>(F703/DataSheet!$C$11*100)</f>
        <v/>
      </c>
      <c r="H703" s="159">
        <f>K703/I703</f>
        <v/>
      </c>
      <c r="I703" s="159">
        <f>(J703/L703)*100</f>
        <v/>
      </c>
      <c r="J703" s="159">
        <f>L703/O703</f>
        <v/>
      </c>
      <c r="K703" s="157" t="n">
        <v>6.827</v>
      </c>
      <c r="L703" s="157" t="n">
        <v>24340.85</v>
      </c>
      <c r="M703" s="157" t="n">
        <v>3.65</v>
      </c>
      <c r="N703" s="159">
        <f>K703-I703</f>
        <v/>
      </c>
      <c r="O703" s="157" t="n">
        <v>22.9</v>
      </c>
      <c r="P703" s="157" t="n">
        <v>4.299</v>
      </c>
      <c r="Q703" s="159">
        <f>K703-P703</f>
        <v/>
      </c>
      <c r="R703" s="157" t="n">
        <v>103.862</v>
      </c>
      <c r="S703" s="159">
        <f>(O703*T703)/100</f>
        <v/>
      </c>
      <c r="T703" s="157" t="n">
        <v>6.52</v>
      </c>
      <c r="U703" s="157" t="n">
        <v>20916.7</v>
      </c>
      <c r="V703" s="157" t="n">
        <v>43.5</v>
      </c>
      <c r="W703" s="159">
        <f>U703/V703</f>
        <v/>
      </c>
      <c r="X703" s="159">
        <f>(W703/U703)*100</f>
        <v/>
      </c>
      <c r="Y703" s="157" t="n">
        <v>17483.4</v>
      </c>
      <c r="Z703" s="157" t="n">
        <v>32.13</v>
      </c>
      <c r="AA703" s="159">
        <f>Y703/Z703</f>
        <v/>
      </c>
      <c r="AB703" s="159">
        <f>(AA703/Y703)*100</f>
        <v/>
      </c>
    </row>
    <row r="704">
      <c r="A704" s="155" t="n">
        <v>703</v>
      </c>
      <c r="B704" s="156" t="n">
        <v>45596</v>
      </c>
      <c r="C704" s="157" t="n">
        <v>44590580.8</v>
      </c>
      <c r="D704" s="174">
        <f>C704/E704</f>
        <v/>
      </c>
      <c r="E704" s="157" t="n">
        <v>84.06100000000001</v>
      </c>
      <c r="F704" s="159">
        <f>D704/100000</f>
        <v/>
      </c>
      <c r="G704" s="159">
        <f>(F704/DataSheet!$C$11*100)</f>
        <v/>
      </c>
      <c r="H704" s="159">
        <f>K704/I704</f>
        <v/>
      </c>
      <c r="I704" s="159">
        <f>(J704/L704)*100</f>
        <v/>
      </c>
      <c r="J704" s="159">
        <f>L704/O704</f>
        <v/>
      </c>
      <c r="K704" s="157" t="n">
        <v>6.841</v>
      </c>
      <c r="L704" s="157" t="n">
        <v>24205.35</v>
      </c>
      <c r="M704" s="157" t="n">
        <v>3.63</v>
      </c>
      <c r="N704" s="159">
        <f>K704-I704</f>
        <v/>
      </c>
      <c r="O704" s="157" t="n">
        <v>22.58</v>
      </c>
      <c r="P704" s="157" t="n">
        <v>4.281</v>
      </c>
      <c r="Q704" s="159">
        <f>K704-P704</f>
        <v/>
      </c>
      <c r="R704" s="157" t="n">
        <v>103.878</v>
      </c>
      <c r="S704" s="159">
        <f>(O704*T704)/100</f>
        <v/>
      </c>
      <c r="T704" s="157" t="n">
        <v>6.53</v>
      </c>
      <c r="U704" s="157" t="n">
        <v>20876.7</v>
      </c>
      <c r="V704" s="157" t="n">
        <v>42.98</v>
      </c>
      <c r="W704" s="159">
        <f>U704/V704</f>
        <v/>
      </c>
      <c r="X704" s="159">
        <f>(W704/U704)*100</f>
        <v/>
      </c>
      <c r="Y704" s="157" t="n">
        <v>17751.2</v>
      </c>
      <c r="Z704" s="157" t="n">
        <v>32.37</v>
      </c>
      <c r="AA704" s="159">
        <f>Y704/Z704</f>
        <v/>
      </c>
      <c r="AB704" s="159">
        <f>(AA704/Y704)*100</f>
        <v/>
      </c>
    </row>
    <row r="705">
      <c r="A705" s="155" t="n">
        <v>704</v>
      </c>
      <c r="B705" s="156" t="n">
        <v>45597</v>
      </c>
      <c r="C705" s="157" t="n">
        <v>44932167.74</v>
      </c>
      <c r="D705" s="174">
        <f>C705/E705</f>
        <v/>
      </c>
      <c r="E705" s="157" t="n">
        <v>84.08</v>
      </c>
      <c r="F705" s="159">
        <f>D705/100000</f>
        <v/>
      </c>
      <c r="G705" s="159">
        <f>(F705/DataSheet!$C$11*100)</f>
        <v/>
      </c>
      <c r="H705" s="159">
        <f>K705/I705</f>
        <v/>
      </c>
      <c r="I705" s="159">
        <f>(J705/L705)*100</f>
        <v/>
      </c>
      <c r="J705" s="159">
        <f>L705/O705</f>
        <v/>
      </c>
      <c r="K705" s="157" t="n">
        <v>6.841</v>
      </c>
      <c r="L705" s="157" t="n">
        <v>24304.35</v>
      </c>
      <c r="M705" s="157" t="n">
        <v>3.64</v>
      </c>
      <c r="N705" s="159">
        <f>K705-I705</f>
        <v/>
      </c>
      <c r="O705" s="157" t="n">
        <v>22.68</v>
      </c>
      <c r="P705" s="157" t="n">
        <v>4.385</v>
      </c>
      <c r="Q705" s="159">
        <f>K705-P705</f>
        <v/>
      </c>
      <c r="R705" s="157" t="n">
        <v>104.203</v>
      </c>
      <c r="S705" s="159">
        <f>(O705*T705)/100</f>
        <v/>
      </c>
      <c r="T705" s="157" t="n">
        <v>6.53</v>
      </c>
      <c r="U705" s="157" t="n">
        <v>21021.1</v>
      </c>
      <c r="V705" s="157" t="n">
        <v>43.28</v>
      </c>
      <c r="W705" s="159">
        <f>U705/V705</f>
        <v/>
      </c>
      <c r="X705" s="159">
        <f>(W705/U705)*100</f>
        <v/>
      </c>
      <c r="Y705" s="157" t="n">
        <v>17938.85</v>
      </c>
      <c r="Z705" s="157" t="n">
        <v>32.71</v>
      </c>
      <c r="AA705" s="159">
        <f>Y705/Z705</f>
        <v/>
      </c>
      <c r="AB705" s="159">
        <f>(AA705/Y705)*100</f>
        <v/>
      </c>
    </row>
    <row r="706">
      <c r="A706" s="155" t="n">
        <v>705</v>
      </c>
      <c r="B706" s="156" t="n">
        <v>45600</v>
      </c>
      <c r="C706" s="157" t="n">
        <v>44314053.36</v>
      </c>
      <c r="D706" s="174">
        <f>C706/E706</f>
        <v/>
      </c>
      <c r="E706" s="157" t="n">
        <v>84.13</v>
      </c>
      <c r="F706" s="159">
        <f>D706/100000</f>
        <v/>
      </c>
      <c r="G706" s="159">
        <f>(F706/DataSheet!$C$11*100)</f>
        <v/>
      </c>
      <c r="H706" s="159">
        <f>K706/I706</f>
        <v/>
      </c>
      <c r="I706" s="159">
        <f>(J706/L706)*100</f>
        <v/>
      </c>
      <c r="J706" s="159">
        <f>L706/O706</f>
        <v/>
      </c>
      <c r="K706" s="157" t="n">
        <v>6.797</v>
      </c>
      <c r="L706" s="157" t="n">
        <v>23995.35</v>
      </c>
      <c r="M706" s="157" t="n">
        <v>3.59</v>
      </c>
      <c r="N706" s="159">
        <f>K706-I706</f>
        <v/>
      </c>
      <c r="O706" s="157" t="n">
        <v>22.36</v>
      </c>
      <c r="P706" s="157" t="n">
        <v>4.286</v>
      </c>
      <c r="Q706" s="159">
        <f>K706-P706</f>
        <v/>
      </c>
      <c r="R706" s="157" t="n">
        <v>103.79</v>
      </c>
      <c r="S706" s="159">
        <f>(O706*T706)/100</f>
        <v/>
      </c>
      <c r="T706" s="157" t="n">
        <v>6.53</v>
      </c>
      <c r="U706" s="157" t="n">
        <v>20767.4</v>
      </c>
      <c r="V706" s="157" t="n">
        <v>42.88</v>
      </c>
      <c r="W706" s="159">
        <f>U706/V706</f>
        <v/>
      </c>
      <c r="X706" s="159">
        <f>(W706/U706)*100</f>
        <v/>
      </c>
      <c r="Y706" s="157" t="n">
        <v>17609.5</v>
      </c>
      <c r="Z706" s="157" t="n">
        <v>32.03</v>
      </c>
      <c r="AA706" s="159">
        <f>Y706/Z706</f>
        <v/>
      </c>
      <c r="AB706" s="159">
        <f>(AA706/Y706)*100</f>
        <v/>
      </c>
    </row>
    <row r="707">
      <c r="A707" s="155" t="n">
        <v>706</v>
      </c>
      <c r="B707" s="156" t="n">
        <v>45601</v>
      </c>
      <c r="C707" s="157" t="n">
        <v>44610179.63</v>
      </c>
      <c r="D707" s="174">
        <f>C707/E707</f>
        <v/>
      </c>
      <c r="E707" s="157" t="n">
        <v>84.10899999999999</v>
      </c>
      <c r="F707" s="159">
        <f>D707/100000</f>
        <v/>
      </c>
      <c r="G707" s="159">
        <f>(F707/DataSheet!$C$11*100)</f>
        <v/>
      </c>
      <c r="H707" s="159">
        <f>K707/I707</f>
        <v/>
      </c>
      <c r="I707" s="159">
        <f>(J707/L707)*100</f>
        <v/>
      </c>
      <c r="J707" s="159">
        <f>L707/O707</f>
        <v/>
      </c>
      <c r="K707" s="157" t="n">
        <v>6.799</v>
      </c>
      <c r="L707" s="157" t="n">
        <v>24213.3</v>
      </c>
      <c r="M707" s="157" t="n">
        <v>3.63</v>
      </c>
      <c r="N707" s="159">
        <f>K707-I707</f>
        <v/>
      </c>
      <c r="O707" s="157" t="n">
        <v>22.55</v>
      </c>
      <c r="P707" s="157" t="n">
        <v>4.28</v>
      </c>
      <c r="Q707" s="159">
        <f>K707-P707</f>
        <v/>
      </c>
      <c r="R707" s="157" t="n">
        <v>103.324</v>
      </c>
      <c r="S707" s="159">
        <f>(O707*T707)/100</f>
        <v/>
      </c>
      <c r="T707" s="157" t="n">
        <v>6.51</v>
      </c>
      <c r="U707" s="157" t="n">
        <v>20862.1</v>
      </c>
      <c r="V707" s="157" t="n">
        <v>43.06</v>
      </c>
      <c r="W707" s="159">
        <f>U707/V707</f>
        <v/>
      </c>
      <c r="X707" s="159">
        <f>(W707/U707)*100</f>
        <v/>
      </c>
      <c r="Y707" s="157" t="n">
        <v>17694.65</v>
      </c>
      <c r="Z707" s="157" t="n">
        <v>32.19</v>
      </c>
      <c r="AA707" s="159">
        <f>Y707/Z707</f>
        <v/>
      </c>
      <c r="AB707" s="159">
        <f>(AA707/Y707)*100</f>
        <v/>
      </c>
    </row>
    <row r="708">
      <c r="A708" s="155" t="n">
        <v>707</v>
      </c>
      <c r="B708" s="156" t="n">
        <v>45602</v>
      </c>
      <c r="C708" s="157" t="n">
        <v>45385699.4</v>
      </c>
      <c r="D708" s="174">
        <f>C708/E708</f>
        <v/>
      </c>
      <c r="E708" s="157" t="n">
        <v>84.31</v>
      </c>
      <c r="F708" s="159">
        <f>D708/100000</f>
        <v/>
      </c>
      <c r="G708" s="159">
        <f>(F708/DataSheet!$C$11*100)</f>
        <v/>
      </c>
      <c r="H708" s="159">
        <f>K708/I708</f>
        <v/>
      </c>
      <c r="I708" s="159">
        <f>(J708/L708)*100</f>
        <v/>
      </c>
      <c r="J708" s="159">
        <f>L708/O708</f>
        <v/>
      </c>
      <c r="K708" s="157" t="n">
        <v>6.798</v>
      </c>
      <c r="L708" s="157" t="n">
        <v>24484.05</v>
      </c>
      <c r="M708" s="157" t="n">
        <v>3.67</v>
      </c>
      <c r="N708" s="159">
        <f>K708-I708</f>
        <v/>
      </c>
      <c r="O708" s="157" t="n">
        <v>22.8</v>
      </c>
      <c r="P708" s="157" t="n">
        <v>4.431</v>
      </c>
      <c r="Q708" s="159">
        <f>K708-P708</f>
        <v/>
      </c>
      <c r="R708" s="157" t="n">
        <v>104.985</v>
      </c>
      <c r="S708" s="159">
        <f>(O708*T708)/100</f>
        <v/>
      </c>
      <c r="T708" s="157" t="n">
        <v>6.48</v>
      </c>
      <c r="U708" s="157" t="n">
        <v>21298.5</v>
      </c>
      <c r="V708" s="157" t="n">
        <v>44</v>
      </c>
      <c r="W708" s="159">
        <f>U708/V708</f>
        <v/>
      </c>
      <c r="X708" s="159">
        <f>(W708/U708)*100</f>
        <v/>
      </c>
      <c r="Y708" s="157" t="n">
        <v>18027.15</v>
      </c>
      <c r="Z708" s="157" t="n">
        <v>32.81</v>
      </c>
      <c r="AA708" s="159">
        <f>Y708/Z708</f>
        <v/>
      </c>
      <c r="AB708" s="159">
        <f>(AA708/Y708)*100</f>
        <v/>
      </c>
    </row>
    <row r="709">
      <c r="A709" s="155" t="n">
        <v>708</v>
      </c>
      <c r="B709" s="156" t="n">
        <v>45603</v>
      </c>
      <c r="C709" s="157" t="n">
        <v>44975873.92</v>
      </c>
      <c r="D709" s="174">
        <f>C709/E709</f>
        <v/>
      </c>
      <c r="E709" s="157" t="n">
        <v>84.29300000000001</v>
      </c>
      <c r="F709" s="159">
        <f>D709/100000</f>
        <v/>
      </c>
      <c r="G709" s="159">
        <f>(F709/DataSheet!$C$11*100)</f>
        <v/>
      </c>
      <c r="H709" s="159">
        <f>K709/I709</f>
        <v/>
      </c>
      <c r="I709" s="159">
        <f>(J709/L709)*100</f>
        <v/>
      </c>
      <c r="J709" s="159">
        <f>L709/O709</f>
        <v/>
      </c>
      <c r="K709" s="157" t="n">
        <v>6.796</v>
      </c>
      <c r="L709" s="157" t="n">
        <v>24199.35</v>
      </c>
      <c r="M709" s="157" t="n">
        <v>3.62</v>
      </c>
      <c r="N709" s="159">
        <f>K709-I709</f>
        <v/>
      </c>
      <c r="O709" s="157" t="n">
        <v>22.55</v>
      </c>
      <c r="P709" s="157" t="n">
        <v>4.325</v>
      </c>
      <c r="Q709" s="159">
        <f>K709-P709</f>
        <v/>
      </c>
      <c r="R709" s="157" t="n">
        <v>104.37</v>
      </c>
      <c r="S709" s="159">
        <f>(O709*T709)/100</f>
        <v/>
      </c>
      <c r="T709" s="157" t="n">
        <v>6.47</v>
      </c>
      <c r="U709" s="157" t="n">
        <v>21194.85</v>
      </c>
      <c r="V709" s="157" t="n">
        <v>43.45</v>
      </c>
      <c r="W709" s="159">
        <f>U709/V709</f>
        <v/>
      </c>
      <c r="X709" s="159">
        <f>(W709/U709)*100</f>
        <v/>
      </c>
      <c r="Y709" s="157" t="n">
        <v>17914.6</v>
      </c>
      <c r="Z709" s="157" t="n">
        <v>32.64</v>
      </c>
      <c r="AA709" s="159">
        <f>Y709/Z709</f>
        <v/>
      </c>
      <c r="AB709" s="159">
        <f>(AA709/Y709)*100</f>
        <v/>
      </c>
    </row>
    <row r="710">
      <c r="A710" s="155" t="n">
        <v>709</v>
      </c>
      <c r="B710" s="156" t="n">
        <v>45604</v>
      </c>
      <c r="C710" s="157" t="n">
        <v>44563232.7</v>
      </c>
      <c r="D710" s="174">
        <f>C710/E710</f>
        <v/>
      </c>
      <c r="E710" s="157" t="n">
        <v>84.395</v>
      </c>
      <c r="F710" s="159">
        <f>D710/100000</f>
        <v/>
      </c>
      <c r="G710" s="159">
        <f>(F710/DataSheet!$C$11*100)</f>
        <v/>
      </c>
      <c r="H710" s="159">
        <f>K710/I710</f>
        <v/>
      </c>
      <c r="I710" s="159">
        <f>(J710/L710)*100</f>
        <v/>
      </c>
      <c r="J710" s="159">
        <f>L710/O710</f>
        <v/>
      </c>
      <c r="K710" s="157" t="n">
        <v>6.774</v>
      </c>
      <c r="L710" s="157" t="n">
        <v>24148.2</v>
      </c>
      <c r="M710" s="157" t="n">
        <v>3.62</v>
      </c>
      <c r="N710" s="159">
        <f>K710-I710</f>
        <v/>
      </c>
      <c r="O710" s="157" t="n">
        <v>22.27</v>
      </c>
      <c r="P710" s="157" t="n">
        <v>4.305</v>
      </c>
      <c r="Q710" s="159">
        <f>K710-P710</f>
        <v/>
      </c>
      <c r="R710" s="157" t="n">
        <v>104.89</v>
      </c>
      <c r="S710" s="159">
        <f>(O710*T710)/100</f>
        <v/>
      </c>
      <c r="T710" s="157" t="n">
        <v>6.46</v>
      </c>
      <c r="U710" s="157" t="n">
        <v>20919.9</v>
      </c>
      <c r="V710" s="157" t="n">
        <v>42.87</v>
      </c>
      <c r="W710" s="159">
        <f>U710/V710</f>
        <v/>
      </c>
      <c r="X710" s="159">
        <f>(W710/U710)*100</f>
        <v/>
      </c>
      <c r="Y710" s="157" t="n">
        <v>17634.25</v>
      </c>
      <c r="Z710" s="157" t="n">
        <v>32.14</v>
      </c>
      <c r="AA710" s="159">
        <f>Y710/Z710</f>
        <v/>
      </c>
      <c r="AB710" s="159">
        <f>(AA710/Y710)*100</f>
        <v/>
      </c>
    </row>
    <row r="711">
      <c r="A711" s="155" t="n">
        <v>710</v>
      </c>
      <c r="B711" s="156" t="n">
        <v>45607</v>
      </c>
      <c r="C711" s="157" t="n">
        <v>44367021.95</v>
      </c>
      <c r="D711" s="174">
        <f>C711/E711</f>
        <v/>
      </c>
      <c r="E711" s="157" t="n">
        <v>84.379</v>
      </c>
      <c r="F711" s="159">
        <f>D711/100000</f>
        <v/>
      </c>
      <c r="G711" s="159">
        <f>(F711/DataSheet!$C$11*100)</f>
        <v/>
      </c>
      <c r="H711" s="159">
        <f>K711/I711</f>
        <v/>
      </c>
      <c r="I711" s="159">
        <f>(J711/L711)*100</f>
        <v/>
      </c>
      <c r="J711" s="159">
        <f>L711/O711</f>
        <v/>
      </c>
      <c r="K711" s="157" t="n">
        <v>6.785</v>
      </c>
      <c r="L711" s="157" t="n">
        <v>24141.3</v>
      </c>
      <c r="M711" s="157" t="n">
        <v>3.62</v>
      </c>
      <c r="N711" s="159">
        <f>K711-I711</f>
        <v/>
      </c>
      <c r="O711" s="157" t="n">
        <v>22.23</v>
      </c>
      <c r="P711" s="157" t="n">
        <v>4.305</v>
      </c>
      <c r="Q711" s="159">
        <f>K711-P711</f>
        <v/>
      </c>
      <c r="R711" s="157" t="n">
        <v>105.457</v>
      </c>
      <c r="S711" s="159">
        <f>(O711*T711)/100</f>
        <v/>
      </c>
      <c r="T711" s="157" t="n">
        <v>6.48</v>
      </c>
      <c r="U711" s="157" t="n">
        <v>20749.95</v>
      </c>
      <c r="V711" s="157" t="n">
        <v>42.31</v>
      </c>
      <c r="W711" s="159">
        <f>U711/V711</f>
        <v/>
      </c>
      <c r="X711" s="159">
        <f>(W711/U711)*100</f>
        <v/>
      </c>
      <c r="Y711" s="157" t="n">
        <v>17423.9</v>
      </c>
      <c r="Z711" s="157" t="n">
        <v>31.82</v>
      </c>
      <c r="AA711" s="159">
        <f>Y711/Z711</f>
        <v/>
      </c>
      <c r="AB711" s="159">
        <f>(AA711/Y711)*100</f>
        <v/>
      </c>
    </row>
    <row r="712">
      <c r="A712" s="155" t="n">
        <v>711</v>
      </c>
      <c r="B712" s="156" t="n">
        <v>45608</v>
      </c>
      <c r="C712" s="157" t="n">
        <v>43853342.86</v>
      </c>
      <c r="D712" s="174">
        <f>C712/E712</f>
        <v/>
      </c>
      <c r="E712" s="157" t="n">
        <v>84.38</v>
      </c>
      <c r="F712" s="159">
        <f>D712/100000</f>
        <v/>
      </c>
      <c r="G712" s="159">
        <f>(F712/DataSheet!$C$11*100)</f>
        <v/>
      </c>
      <c r="H712" s="159">
        <f>K712/I712</f>
        <v/>
      </c>
      <c r="I712" s="159">
        <f>(J712/L712)*100</f>
        <v/>
      </c>
      <c r="J712" s="159">
        <f>L712/O712</f>
        <v/>
      </c>
      <c r="K712" s="157" t="n">
        <v>6.795</v>
      </c>
      <c r="L712" s="157" t="n">
        <v>23883.45</v>
      </c>
      <c r="M712" s="157" t="n">
        <v>3.58</v>
      </c>
      <c r="N712" s="159">
        <f>K712-I712</f>
        <v/>
      </c>
      <c r="O712" s="157" t="n">
        <v>21.93</v>
      </c>
      <c r="P712" s="157" t="n">
        <v>4.429</v>
      </c>
      <c r="Q712" s="159">
        <f>K712-P712</f>
        <v/>
      </c>
      <c r="R712" s="157" t="n">
        <v>105.95</v>
      </c>
      <c r="S712" s="159">
        <f>(O712*T712)/100</f>
        <v/>
      </c>
      <c r="T712" s="157" t="n">
        <v>6.48</v>
      </c>
      <c r="U712" s="157" t="n">
        <v>20560.6</v>
      </c>
      <c r="V712" s="157" t="n">
        <v>41.9</v>
      </c>
      <c r="W712" s="159">
        <f>U712/V712</f>
        <v/>
      </c>
      <c r="X712" s="159">
        <f>(W712/U712)*100</f>
        <v/>
      </c>
      <c r="Y712" s="157" t="n">
        <v>17196.4</v>
      </c>
      <c r="Z712" s="157" t="n">
        <v>31.47</v>
      </c>
      <c r="AA712" s="159">
        <f>Y712/Z712</f>
        <v/>
      </c>
      <c r="AB712" s="159">
        <f>(AA712/Y712)*100</f>
        <v/>
      </c>
    </row>
    <row r="713">
      <c r="A713" s="155" t="n">
        <v>712</v>
      </c>
      <c r="B713" s="156" t="n">
        <v>45609</v>
      </c>
      <c r="C713" s="157" t="n">
        <v>43060255.79</v>
      </c>
      <c r="D713" s="174">
        <f>C713/E713</f>
        <v/>
      </c>
      <c r="E713" s="157" t="n">
        <v>84.416</v>
      </c>
      <c r="F713" s="159">
        <f>D713/100000</f>
        <v/>
      </c>
      <c r="G713" s="159">
        <f>(F713/DataSheet!$C$11*100)</f>
        <v/>
      </c>
      <c r="H713" s="159">
        <f>K713/I713</f>
        <v/>
      </c>
      <c r="I713" s="159">
        <f>(J713/L713)*100</f>
        <v/>
      </c>
      <c r="J713" s="159">
        <f>L713/O713</f>
        <v/>
      </c>
      <c r="K713" s="157" t="n">
        <v>6.804</v>
      </c>
      <c r="L713" s="157" t="n">
        <v>23559.05</v>
      </c>
      <c r="M713" s="157" t="n">
        <v>3.53</v>
      </c>
      <c r="N713" s="159">
        <f>K713-I713</f>
        <v/>
      </c>
      <c r="O713" s="157" t="n">
        <v>21.68</v>
      </c>
      <c r="P713" s="157" t="n">
        <v>4.45</v>
      </c>
      <c r="Q713" s="159">
        <f>K713-P713</f>
        <v/>
      </c>
      <c r="R713" s="157" t="n">
        <v>106.379</v>
      </c>
      <c r="S713" s="159">
        <f>(O713*T713)/100</f>
        <v/>
      </c>
      <c r="T713" s="157" t="n">
        <v>6.48</v>
      </c>
      <c r="U713" s="157" t="n">
        <v>20010.75</v>
      </c>
      <c r="V713" s="157" t="n">
        <v>40.73</v>
      </c>
      <c r="W713" s="159">
        <f>U713/V713</f>
        <v/>
      </c>
      <c r="X713" s="159">
        <f>(W713/U713)*100</f>
        <v/>
      </c>
      <c r="Y713" s="157" t="n">
        <v>16670.35</v>
      </c>
      <c r="Z713" s="157" t="n">
        <v>30.62</v>
      </c>
      <c r="AA713" s="159">
        <f>Y713/Z713</f>
        <v/>
      </c>
      <c r="AB713" s="159">
        <f>(AA713/Y713)*100</f>
        <v/>
      </c>
    </row>
    <row r="714">
      <c r="A714" s="155" t="n">
        <v>713</v>
      </c>
      <c r="B714" s="156" t="n">
        <v>45610</v>
      </c>
      <c r="C714" s="157" t="n">
        <v>43178792.93</v>
      </c>
      <c r="D714" s="174">
        <f>C714/E714</f>
        <v/>
      </c>
      <c r="E714" s="157" t="n">
        <v>84.461</v>
      </c>
      <c r="F714" s="159">
        <f>D714/100000</f>
        <v/>
      </c>
      <c r="G714" s="159">
        <f>(F714/DataSheet!$C$11*100)</f>
        <v/>
      </c>
      <c r="H714" s="159">
        <f>K714/I714</f>
        <v/>
      </c>
      <c r="I714" s="159">
        <f>(J714/L714)*100</f>
        <v/>
      </c>
      <c r="J714" s="159">
        <f>L714/O714</f>
        <v/>
      </c>
      <c r="K714" s="157" t="n">
        <v>6.827</v>
      </c>
      <c r="L714" s="157" t="n">
        <v>23532.7</v>
      </c>
      <c r="M714" s="157" t="n">
        <v>3.52</v>
      </c>
      <c r="N714" s="159">
        <f>K714-I714</f>
        <v/>
      </c>
      <c r="O714" s="157" t="n">
        <v>21.65</v>
      </c>
      <c r="P714" s="157" t="n">
        <v>4.445</v>
      </c>
      <c r="Q714" s="159">
        <f>K714-P714</f>
        <v/>
      </c>
      <c r="R714" s="157" t="n">
        <v>106.598</v>
      </c>
      <c r="S714" s="159">
        <f>(O714*T714)/100</f>
        <v/>
      </c>
      <c r="T714" s="157" t="n">
        <v>6.47</v>
      </c>
      <c r="U714" s="157" t="n">
        <v>20105.25</v>
      </c>
      <c r="V714" s="157" t="n">
        <v>40.9</v>
      </c>
      <c r="W714" s="159">
        <f>U714/V714</f>
        <v/>
      </c>
      <c r="X714" s="159">
        <f>(W714/U714)*100</f>
        <v/>
      </c>
      <c r="Y714" s="157" t="n">
        <v>16801.55</v>
      </c>
      <c r="Z714" s="157" t="n">
        <v>30.85</v>
      </c>
      <c r="AA714" s="159">
        <f>Y714/Z714</f>
        <v/>
      </c>
      <c r="AB714" s="159">
        <f>(AA714/Y714)*100</f>
        <v/>
      </c>
    </row>
    <row r="715">
      <c r="A715" s="155" t="n">
        <v>714</v>
      </c>
      <c r="B715" s="156" t="n">
        <v>45614</v>
      </c>
      <c r="C715" s="157" t="n">
        <v>43011609.03</v>
      </c>
      <c r="D715" s="174">
        <f>C715/E715</f>
        <v/>
      </c>
      <c r="E715" s="157" t="n">
        <v>84.398</v>
      </c>
      <c r="F715" s="159">
        <f>D715/100000</f>
        <v/>
      </c>
      <c r="G715" s="159">
        <f>(F715/DataSheet!$C$11*100)</f>
        <v/>
      </c>
      <c r="H715" s="159">
        <f>K715/I715</f>
        <v/>
      </c>
      <c r="I715" s="159">
        <f>(J715/L715)*100</f>
        <v/>
      </c>
      <c r="J715" s="159">
        <f>L715/O715</f>
        <v/>
      </c>
      <c r="K715" s="157" t="n">
        <v>6.821</v>
      </c>
      <c r="L715" s="157" t="n">
        <v>23453.8</v>
      </c>
      <c r="M715" s="157" t="n">
        <v>3.51</v>
      </c>
      <c r="N715" s="159">
        <f>K715-I715</f>
        <v/>
      </c>
      <c r="O715" s="157" t="n">
        <v>21.57</v>
      </c>
      <c r="P715" s="157" t="n">
        <v>4.413</v>
      </c>
      <c r="Q715" s="159">
        <f>K715-P715</f>
        <v/>
      </c>
      <c r="R715" s="157" t="n">
        <v>106.201</v>
      </c>
      <c r="S715" s="159">
        <f>(O715*T715)/100</f>
        <v/>
      </c>
      <c r="T715" s="157" t="n">
        <v>6.46</v>
      </c>
      <c r="U715" s="157" t="n">
        <v>20068.55</v>
      </c>
      <c r="V715" s="157" t="n">
        <v>40.64</v>
      </c>
      <c r="W715" s="159">
        <f>U715/V715</f>
        <v/>
      </c>
      <c r="X715" s="159">
        <f>(W715/U715)*100</f>
        <v/>
      </c>
      <c r="Y715" s="157" t="n">
        <v>16693.35</v>
      </c>
      <c r="Z715" s="157" t="n">
        <v>30.54</v>
      </c>
      <c r="AA715" s="159">
        <f>Y715/Z715</f>
        <v/>
      </c>
      <c r="AB715" s="159">
        <f>(AA715/Y715)*100</f>
        <v/>
      </c>
    </row>
    <row r="716">
      <c r="A716" s="155" t="n">
        <v>715</v>
      </c>
      <c r="B716" s="156" t="n">
        <v>45615</v>
      </c>
      <c r="C716" s="157" t="n">
        <v>43190386.73</v>
      </c>
      <c r="D716" s="174">
        <f>C716/E716</f>
        <v/>
      </c>
      <c r="E716" s="157" t="n">
        <v>84.39</v>
      </c>
      <c r="F716" s="159">
        <f>D716/100000</f>
        <v/>
      </c>
      <c r="G716" s="159">
        <f>(F716/DataSheet!$C$11*100)</f>
        <v/>
      </c>
      <c r="H716" s="159">
        <f>K716/I716</f>
        <v/>
      </c>
      <c r="I716" s="159">
        <f>(J716/L716)*100</f>
        <v/>
      </c>
      <c r="J716" s="159">
        <f>L716/O716</f>
        <v/>
      </c>
      <c r="K716" s="157" t="n">
        <v>6.811</v>
      </c>
      <c r="L716" s="157" t="n">
        <v>23518.5</v>
      </c>
      <c r="M716" s="157" t="n">
        <v>3.52</v>
      </c>
      <c r="N716" s="159">
        <f>K716-I716</f>
        <v/>
      </c>
      <c r="O716" s="157" t="n">
        <v>21.65</v>
      </c>
      <c r="P716" s="157" t="n">
        <v>4.395</v>
      </c>
      <c r="Q716" s="159">
        <f>K716-P716</f>
        <v/>
      </c>
      <c r="R716" s="157" t="n">
        <v>106.143</v>
      </c>
      <c r="S716" s="159">
        <f>(O716*T716)/100</f>
        <v/>
      </c>
      <c r="T716" s="157" t="n">
        <v>6.48</v>
      </c>
      <c r="U716" s="157" t="n">
        <v>20258.1</v>
      </c>
      <c r="V716" s="157" t="n">
        <v>40.69</v>
      </c>
      <c r="W716" s="159">
        <f>U716/V716</f>
        <v/>
      </c>
      <c r="X716" s="159">
        <f>(W716/U716)*100</f>
        <v/>
      </c>
      <c r="Y716" s="157" t="n">
        <v>16845.25</v>
      </c>
      <c r="Z716" s="157" t="n">
        <v>30.49</v>
      </c>
      <c r="AA716" s="159">
        <f>Y716/Z716</f>
        <v/>
      </c>
      <c r="AB716" s="159">
        <f>(AA716/Y716)*100</f>
        <v/>
      </c>
    </row>
    <row r="717">
      <c r="A717" s="155" t="n">
        <v>716</v>
      </c>
      <c r="B717" s="156" t="n">
        <v>45617</v>
      </c>
      <c r="C717" s="157" t="n">
        <v>42655205.05</v>
      </c>
      <c r="D717" s="174">
        <f>C717/E717</f>
        <v/>
      </c>
      <c r="E717" s="157" t="n">
        <v>84.495</v>
      </c>
      <c r="F717" s="159">
        <f>D717/100000</f>
        <v/>
      </c>
      <c r="G717" s="159">
        <f>(F717/DataSheet!$C$11*100)</f>
        <v/>
      </c>
      <c r="H717" s="159">
        <f>K717/I717</f>
        <v/>
      </c>
      <c r="I717" s="159">
        <f>(J717/L717)*100</f>
        <v/>
      </c>
      <c r="J717" s="159">
        <f>L717/O717</f>
        <v/>
      </c>
      <c r="K717" s="157" t="n">
        <v>6.831</v>
      </c>
      <c r="L717" s="157" t="n">
        <v>23349.9</v>
      </c>
      <c r="M717" s="157" t="n">
        <v>3.5</v>
      </c>
      <c r="N717" s="159">
        <f>K717-I717</f>
        <v/>
      </c>
      <c r="O717" s="157" t="n">
        <v>21.49</v>
      </c>
      <c r="P717" s="157" t="n">
        <v>4.419</v>
      </c>
      <c r="Q717" s="159">
        <f>K717-P717</f>
        <v/>
      </c>
      <c r="R717" s="157" t="n">
        <v>106.93</v>
      </c>
      <c r="S717" s="159">
        <f>(O717*T717)/100</f>
        <v/>
      </c>
      <c r="T717" s="157" t="n">
        <v>6.48</v>
      </c>
      <c r="U717" s="157" t="n">
        <v>20180.9</v>
      </c>
      <c r="V717" s="157" t="n">
        <v>40.54</v>
      </c>
      <c r="W717" s="159">
        <f>U717/V717</f>
        <v/>
      </c>
      <c r="X717" s="159">
        <f>(W717/U717)*100</f>
        <v/>
      </c>
      <c r="Y717" s="157" t="n">
        <v>16747.85</v>
      </c>
      <c r="Z717" s="157" t="n">
        <v>32.15</v>
      </c>
      <c r="AA717" s="159">
        <f>Y717/Z717</f>
        <v/>
      </c>
      <c r="AB717" s="159">
        <f>(AA717/Y717)*100</f>
        <v/>
      </c>
    </row>
    <row r="718">
      <c r="A718" s="155" t="n">
        <v>717</v>
      </c>
      <c r="B718" s="156" t="n">
        <v>45618</v>
      </c>
      <c r="C718" s="157" t="n">
        <v>43382625.69</v>
      </c>
      <c r="D718" s="174">
        <f>C718/E718</f>
        <v/>
      </c>
      <c r="E718" s="157" t="n">
        <v>84.426</v>
      </c>
      <c r="F718" s="159">
        <f>D718/100000</f>
        <v/>
      </c>
      <c r="G718" s="159">
        <f>(F718/DataSheet!$C$11*100)</f>
        <v/>
      </c>
      <c r="H718" s="159">
        <f>K718/I718</f>
        <v/>
      </c>
      <c r="I718" s="159">
        <f>(J718/L718)*100</f>
        <v/>
      </c>
      <c r="J718" s="159">
        <f>L718/O718</f>
        <v/>
      </c>
      <c r="K718" s="157" t="n">
        <v>6.85</v>
      </c>
      <c r="L718" s="157" t="n">
        <v>23907.25</v>
      </c>
      <c r="M718" s="157" t="n">
        <v>3.58</v>
      </c>
      <c r="N718" s="159">
        <f>K718-I718</f>
        <v/>
      </c>
      <c r="O718" s="157" t="n">
        <v>22.01</v>
      </c>
      <c r="P718" s="157" t="n">
        <v>4.411</v>
      </c>
      <c r="Q718" s="159">
        <f>K718-P718</f>
        <v/>
      </c>
      <c r="R718" s="157" t="n">
        <v>107.507</v>
      </c>
      <c r="S718" s="159">
        <f>(O718*T718)/100</f>
        <v/>
      </c>
      <c r="T718" s="157" t="n">
        <v>6.48</v>
      </c>
      <c r="U718" s="157" t="n">
        <v>20412.65</v>
      </c>
      <c r="V718" s="157" t="n">
        <v>41</v>
      </c>
      <c r="W718" s="159">
        <f>U718/V718</f>
        <v/>
      </c>
      <c r="X718" s="159">
        <f>(W718/U718)*100</f>
        <v/>
      </c>
      <c r="Y718" s="157" t="n">
        <v>16912.3</v>
      </c>
      <c r="Z718" s="157" t="n">
        <v>32.52</v>
      </c>
      <c r="AA718" s="159">
        <f>Y718/Z718</f>
        <v/>
      </c>
      <c r="AB718" s="159">
        <f>(AA718/Y718)*100</f>
        <v/>
      </c>
    </row>
    <row r="719">
      <c r="A719" s="155" t="n">
        <v>718</v>
      </c>
      <c r="B719" s="156" t="n">
        <v>45621</v>
      </c>
      <c r="C719" s="157" t="n">
        <v>44049098.94</v>
      </c>
      <c r="D719" s="174">
        <f>C719/E719</f>
        <v/>
      </c>
      <c r="E719" s="157" t="n">
        <v>84.26000000000001</v>
      </c>
      <c r="F719" s="159">
        <f>D719/100000</f>
        <v/>
      </c>
      <c r="G719" s="159">
        <f>(F719/DataSheet!$C$11*100)</f>
        <v/>
      </c>
      <c r="H719" s="159">
        <f>K719/I719</f>
        <v/>
      </c>
      <c r="I719" s="159">
        <f>(J719/L719)*100</f>
        <v/>
      </c>
      <c r="J719" s="159">
        <f>L719/O719</f>
        <v/>
      </c>
      <c r="K719" s="157" t="n">
        <v>6.822</v>
      </c>
      <c r="L719" s="157" t="n">
        <v>24221.9</v>
      </c>
      <c r="M719" s="157" t="n">
        <v>3.63</v>
      </c>
      <c r="N719" s="159">
        <f>K719-I719</f>
        <v/>
      </c>
      <c r="O719" s="157" t="n">
        <v>22.29</v>
      </c>
      <c r="P719" s="157" t="n">
        <v>4.274</v>
      </c>
      <c r="Q719" s="159">
        <f>K719-P719</f>
        <v/>
      </c>
      <c r="R719" s="157" t="n">
        <v>106.77</v>
      </c>
      <c r="S719" s="159">
        <f>(O719*T719)/100</f>
        <v/>
      </c>
      <c r="T719" s="157" t="n">
        <v>6.48</v>
      </c>
      <c r="U719" s="157" t="n">
        <v>20725.7</v>
      </c>
      <c r="V719" s="157" t="n">
        <v>41.63</v>
      </c>
      <c r="W719" s="159">
        <f>U719/V719</f>
        <v/>
      </c>
      <c r="X719" s="159">
        <f>(W719/U719)*100</f>
        <v/>
      </c>
      <c r="Y719" s="157" t="n">
        <v>17269.55</v>
      </c>
      <c r="Z719" s="157" t="n">
        <v>33.2</v>
      </c>
      <c r="AA719" s="159">
        <f>Y719/Z719</f>
        <v/>
      </c>
      <c r="AB719" s="159">
        <f>(AA719/Y719)*100</f>
        <v/>
      </c>
    </row>
    <row r="720">
      <c r="A720" s="155" t="n">
        <v>719</v>
      </c>
      <c r="B720" s="156" t="n">
        <v>45622</v>
      </c>
      <c r="C720" s="157" t="n">
        <v>44164026.56</v>
      </c>
      <c r="D720" s="174">
        <f>C720/E720</f>
        <v/>
      </c>
      <c r="E720" s="157" t="n">
        <v>84.319</v>
      </c>
      <c r="F720" s="159">
        <f>D720/100000</f>
        <v/>
      </c>
      <c r="G720" s="159">
        <f>(F720/DataSheet!$C$11*100)</f>
        <v/>
      </c>
      <c r="H720" s="159">
        <f>K720/I720</f>
        <v/>
      </c>
      <c r="I720" s="159">
        <f>(J720/L720)*100</f>
        <v/>
      </c>
      <c r="J720" s="159">
        <f>L720/O720</f>
        <v/>
      </c>
      <c r="K720" s="157" t="n">
        <v>6.827</v>
      </c>
      <c r="L720" s="157" t="n">
        <v>24194.5</v>
      </c>
      <c r="M720" s="157" t="n">
        <v>3.62</v>
      </c>
      <c r="N720" s="159">
        <f>K720-I720</f>
        <v/>
      </c>
      <c r="O720" s="157" t="n">
        <v>22.27</v>
      </c>
      <c r="P720" s="157" t="n">
        <v>4.294</v>
      </c>
      <c r="Q720" s="159">
        <f>K720-P720</f>
        <v/>
      </c>
      <c r="R720" s="157" t="n">
        <v>106.968</v>
      </c>
      <c r="S720" s="159">
        <f>(O720*T720)/100</f>
        <v/>
      </c>
      <c r="T720" s="157" t="n">
        <v>6.47</v>
      </c>
      <c r="U720" s="157" t="n">
        <v>20735.1</v>
      </c>
      <c r="V720" s="157" t="n">
        <v>41.64</v>
      </c>
      <c r="W720" s="159">
        <f>U720/V720</f>
        <v/>
      </c>
      <c r="X720" s="159">
        <f>(W720/U720)*100</f>
        <v/>
      </c>
      <c r="Y720" s="157" t="n">
        <v>17375.55</v>
      </c>
      <c r="Z720" s="157" t="n">
        <v>33.41</v>
      </c>
      <c r="AA720" s="159">
        <f>Y720/Z720</f>
        <v/>
      </c>
      <c r="AB720" s="159">
        <f>(AA720/Y720)*100</f>
        <v/>
      </c>
    </row>
    <row r="721">
      <c r="A721" s="155" t="n">
        <v>720</v>
      </c>
      <c r="B721" s="156" t="n">
        <v>45623</v>
      </c>
      <c r="C721" s="157" t="n">
        <v>44571592.78</v>
      </c>
      <c r="D721" s="174">
        <f>C721/E721</f>
        <v/>
      </c>
      <c r="E721" s="157" t="n">
        <v>84.41</v>
      </c>
      <c r="F721" s="159">
        <f>D721/100000</f>
        <v/>
      </c>
      <c r="G721" s="159">
        <f>(F721/DataSheet!$C$11*100)</f>
        <v/>
      </c>
      <c r="H721" s="159">
        <f>K721/I721</f>
        <v/>
      </c>
      <c r="I721" s="159">
        <f>(J721/L721)*100</f>
        <v/>
      </c>
      <c r="J721" s="159">
        <f>L721/O721</f>
        <v/>
      </c>
      <c r="K721" s="157" t="n">
        <v>6.812</v>
      </c>
      <c r="L721" s="157" t="n">
        <v>24274.9</v>
      </c>
      <c r="M721" s="157" t="n">
        <v>3.63</v>
      </c>
      <c r="N721" s="159">
        <f>K721-I721</f>
        <v/>
      </c>
      <c r="O721" s="157" t="n">
        <v>22.34</v>
      </c>
      <c r="P721" s="157" t="n">
        <v>4.26</v>
      </c>
      <c r="Q721" s="159">
        <f>K721-P721</f>
        <v/>
      </c>
      <c r="R721" s="157" t="n">
        <v>106.048</v>
      </c>
      <c r="S721" s="159">
        <f>(O721*T721)/100</f>
        <v/>
      </c>
      <c r="T721" s="157" t="n">
        <v>6.5</v>
      </c>
      <c r="U721" s="157" t="n">
        <v>20838.2</v>
      </c>
      <c r="V721" s="157" t="n">
        <v>41.84</v>
      </c>
      <c r="W721" s="159">
        <f>U721/V721</f>
        <v/>
      </c>
      <c r="X721" s="159">
        <f>(W721/U721)*100</f>
        <v/>
      </c>
      <c r="Y721" s="157" t="n">
        <v>17552.65</v>
      </c>
      <c r="Z721" s="157" t="n">
        <v>33.75</v>
      </c>
      <c r="AA721" s="159">
        <f>Y721/Z721</f>
        <v/>
      </c>
      <c r="AB721" s="159">
        <f>(AA721/Y721)*100</f>
        <v/>
      </c>
    </row>
    <row r="722">
      <c r="A722" s="155" t="n">
        <v>721</v>
      </c>
      <c r="B722" s="156" t="n">
        <v>45624</v>
      </c>
      <c r="C722" s="157" t="n">
        <v>44416203.07</v>
      </c>
      <c r="D722" s="174">
        <f>C722/E722</f>
        <v/>
      </c>
      <c r="E722" s="157" t="n">
        <v>84.44499999999999</v>
      </c>
      <c r="F722" s="159">
        <f>D722/100000</f>
        <v/>
      </c>
      <c r="G722" s="159">
        <f>(F722/DataSheet!$C$11*100)</f>
        <v/>
      </c>
      <c r="H722" s="159">
        <f>K722/I722</f>
        <v/>
      </c>
      <c r="I722" s="159">
        <f>(J722/L722)*100</f>
        <v/>
      </c>
      <c r="J722" s="159">
        <f>L722/O722</f>
        <v/>
      </c>
      <c r="K722" s="157" t="n">
        <v>6.805</v>
      </c>
      <c r="L722" s="157" t="n">
        <v>23914.15</v>
      </c>
      <c r="M722" s="157" t="n">
        <v>3.56</v>
      </c>
      <c r="N722" s="159">
        <f>K722-I722</f>
        <v/>
      </c>
      <c r="O722" s="157" t="n">
        <v>22.01</v>
      </c>
      <c r="P722" s="157" t="n">
        <v>4.26</v>
      </c>
      <c r="Q722" s="159">
        <f>K722-P722</f>
        <v/>
      </c>
      <c r="R722" s="157" t="n">
        <v>106.048</v>
      </c>
      <c r="S722" s="159">
        <f>(O722*T722)/100</f>
        <v/>
      </c>
      <c r="T722" s="157" t="n">
        <v>6.5</v>
      </c>
      <c r="U722" s="157" t="n">
        <v>20839.9</v>
      </c>
      <c r="V722" s="157" t="n">
        <v>41.85</v>
      </c>
      <c r="W722" s="159">
        <f>U722/V722</f>
        <v/>
      </c>
      <c r="X722" s="159">
        <f>(W722/U722)*100</f>
        <v/>
      </c>
      <c r="Y722" s="157" t="n">
        <v>17577.85</v>
      </c>
      <c r="Z722" s="157" t="n">
        <v>33.8</v>
      </c>
      <c r="AA722" s="159">
        <f>Y722/Z722</f>
        <v/>
      </c>
      <c r="AB722" s="159">
        <f>(AA722/Y722)*100</f>
        <v/>
      </c>
    </row>
    <row r="723">
      <c r="A723" s="155" t="n">
        <v>722</v>
      </c>
      <c r="B723" s="156" t="n">
        <v>45625</v>
      </c>
      <c r="C723" s="157" t="n">
        <v>44505794.73</v>
      </c>
      <c r="D723" s="174">
        <f>C723/E723</f>
        <v/>
      </c>
      <c r="E723" s="157" t="n">
        <v>84.559</v>
      </c>
      <c r="F723" s="159">
        <f>D723/100000</f>
        <v/>
      </c>
      <c r="G723" s="159">
        <f>(F723/DataSheet!$C$11*100)</f>
        <v/>
      </c>
      <c r="H723" s="159">
        <f>K723/I723</f>
        <v/>
      </c>
      <c r="I723" s="159">
        <f>(J723/L723)*100</f>
        <v/>
      </c>
      <c r="J723" s="159">
        <f>L723/O723</f>
        <v/>
      </c>
      <c r="K723" s="157" t="n">
        <v>6.751</v>
      </c>
      <c r="L723" s="157" t="n">
        <v>24131.1</v>
      </c>
      <c r="M723" s="157" t="n">
        <v>3.6</v>
      </c>
      <c r="N723" s="159">
        <f>K723-I723</f>
        <v/>
      </c>
      <c r="O723" s="157" t="n">
        <v>22.21</v>
      </c>
      <c r="P723" s="157" t="n">
        <v>4.177</v>
      </c>
      <c r="Q723" s="159">
        <f>K723-P723</f>
        <v/>
      </c>
      <c r="R723" s="157" t="n">
        <v>105.828</v>
      </c>
      <c r="S723" s="159">
        <f>(O723*T723)/100</f>
        <v/>
      </c>
      <c r="T723" s="157" t="n">
        <v>6.49</v>
      </c>
      <c r="U723" s="157" t="n">
        <v>20906.65</v>
      </c>
      <c r="V723" s="157" t="n">
        <v>41.98</v>
      </c>
      <c r="W723" s="159">
        <f>U723/V723</f>
        <v/>
      </c>
      <c r="X723" s="159">
        <f>(W723/U723)*100</f>
        <v/>
      </c>
      <c r="Y723" s="157" t="n">
        <v>17716.45</v>
      </c>
      <c r="Z723" s="157" t="n">
        <v>34.11</v>
      </c>
      <c r="AA723" s="159">
        <f>Y723/Z723</f>
        <v/>
      </c>
      <c r="AB723" s="159">
        <f>(AA723/Y723)*100</f>
        <v/>
      </c>
    </row>
    <row r="724">
      <c r="A724" s="155" t="n">
        <v>723</v>
      </c>
      <c r="B724" s="156" t="n">
        <v>45628</v>
      </c>
      <c r="C724" s="157" t="n">
        <v>44790919.27</v>
      </c>
      <c r="D724" s="174">
        <f>C724/E724</f>
        <v/>
      </c>
      <c r="E724" s="157" t="n">
        <v>84.73999999999999</v>
      </c>
      <c r="F724" s="159">
        <f>D724/100000</f>
        <v/>
      </c>
      <c r="G724" s="159">
        <f>(F724/DataSheet!$C$11*100)</f>
        <v/>
      </c>
      <c r="H724" s="159">
        <f>K724/I724</f>
        <v/>
      </c>
      <c r="I724" s="159">
        <f>(J724/L724)*100</f>
        <v/>
      </c>
      <c r="J724" s="159">
        <f>L724/O724</f>
        <v/>
      </c>
      <c r="K724" s="157" t="n">
        <v>6.71</v>
      </c>
      <c r="L724" s="157" t="n">
        <v>24276.05</v>
      </c>
      <c r="M724" s="157" t="n">
        <v>3.62</v>
      </c>
      <c r="N724" s="159">
        <f>K724-I724</f>
        <v/>
      </c>
      <c r="O724" s="157" t="n">
        <v>22.35</v>
      </c>
      <c r="P724" s="157" t="n">
        <v>4.195</v>
      </c>
      <c r="Q724" s="159">
        <f>K724-P724</f>
        <v/>
      </c>
      <c r="R724" s="157" t="n">
        <v>106.423</v>
      </c>
      <c r="S724" s="159">
        <f>(O724*T724)/100</f>
        <v/>
      </c>
      <c r="T724" s="157" t="n">
        <v>6.49</v>
      </c>
      <c r="U724" s="157" t="n">
        <v>21105.95</v>
      </c>
      <c r="V724" s="157" t="n">
        <v>42.38</v>
      </c>
      <c r="W724" s="159">
        <f>U724/V724</f>
        <v/>
      </c>
      <c r="X724" s="159">
        <f>(W724/U724)*100</f>
        <v/>
      </c>
      <c r="Y724" s="157" t="n">
        <v>17840.1</v>
      </c>
      <c r="Z724" s="157" t="n">
        <v>34.34</v>
      </c>
      <c r="AA724" s="159">
        <f>Y724/Z724</f>
        <v/>
      </c>
      <c r="AB724" s="159">
        <f>(AA724/Y724)*100</f>
        <v/>
      </c>
    </row>
    <row r="725">
      <c r="A725" s="155" t="n">
        <v>724</v>
      </c>
      <c r="B725" s="156" t="n">
        <v>45629</v>
      </c>
      <c r="C725" s="157" t="n">
        <v>45189520.89</v>
      </c>
      <c r="D725" s="174">
        <f>C725/E725</f>
        <v/>
      </c>
      <c r="E725" s="157" t="n">
        <v>84.676</v>
      </c>
      <c r="F725" s="159">
        <f>D725/100000</f>
        <v/>
      </c>
      <c r="G725" s="159">
        <f>(F725/DataSheet!$C$11*100)</f>
        <v/>
      </c>
      <c r="H725" s="159">
        <f>K725/I725</f>
        <v/>
      </c>
      <c r="I725" s="159">
        <f>(J725/L725)*100</f>
        <v/>
      </c>
      <c r="J725" s="159">
        <f>L725/O725</f>
        <v/>
      </c>
      <c r="K725" s="157" t="n">
        <v>6.714</v>
      </c>
      <c r="L725" s="157" t="n">
        <v>24457.15</v>
      </c>
      <c r="M725" s="157" t="n">
        <v>3.64</v>
      </c>
      <c r="N725" s="159">
        <f>K725-I725</f>
        <v/>
      </c>
      <c r="O725" s="157" t="n">
        <v>22.51</v>
      </c>
      <c r="P725" s="157" t="n">
        <v>4.226</v>
      </c>
      <c r="Q725" s="159">
        <f>K725-P725</f>
        <v/>
      </c>
      <c r="R725" s="157" t="n">
        <v>106.34</v>
      </c>
      <c r="S725" s="159">
        <f>(O725*T725)/100</f>
        <v/>
      </c>
      <c r="T725" s="157" t="n">
        <v>6.44</v>
      </c>
      <c r="U725" s="157" t="n">
        <v>21291.35</v>
      </c>
      <c r="V725" s="157" t="n">
        <v>42.75</v>
      </c>
      <c r="W725" s="159">
        <f>U725/V725</f>
        <v/>
      </c>
      <c r="X725" s="159">
        <f>(W725/U725)*100</f>
        <v/>
      </c>
      <c r="Y725" s="157" t="n">
        <v>18007.5</v>
      </c>
      <c r="Z725" s="157" t="n">
        <v>34.67</v>
      </c>
      <c r="AA725" s="159">
        <f>Y725/Z725</f>
        <v/>
      </c>
      <c r="AB725" s="159">
        <f>(AA725/Y725)*100</f>
        <v/>
      </c>
    </row>
    <row r="726">
      <c r="A726" s="155" t="n">
        <v>725</v>
      </c>
      <c r="B726" s="156" t="n">
        <v>45630</v>
      </c>
      <c r="C726" s="157" t="n">
        <v>45690716.05</v>
      </c>
      <c r="D726" s="174">
        <f>C726/E726</f>
        <v/>
      </c>
      <c r="E726" s="157" t="n">
        <v>84.693</v>
      </c>
      <c r="F726" s="159">
        <f>D726/100000</f>
        <v/>
      </c>
      <c r="G726" s="159">
        <f>(F726/DataSheet!$C$11*100)</f>
        <v/>
      </c>
      <c r="H726" s="159">
        <f>K726/I726</f>
        <v/>
      </c>
      <c r="I726" s="159">
        <f>(J726/L726)*100</f>
        <v/>
      </c>
      <c r="J726" s="159">
        <f>L726/O726</f>
        <v/>
      </c>
      <c r="K726" s="157" t="n">
        <v>6.686</v>
      </c>
      <c r="L726" s="157" t="n">
        <v>24467.45</v>
      </c>
      <c r="M726" s="157" t="n">
        <v>3.65</v>
      </c>
      <c r="N726" s="159">
        <f>K726-I726</f>
        <v/>
      </c>
      <c r="O726" s="157" t="n">
        <v>22.52</v>
      </c>
      <c r="P726" s="157" t="n">
        <v>4.183</v>
      </c>
      <c r="Q726" s="159">
        <f>K726-P726</f>
        <v/>
      </c>
      <c r="R726" s="157" t="n">
        <v>106.29</v>
      </c>
      <c r="S726" s="159">
        <f>(O726*T726)/100</f>
        <v/>
      </c>
      <c r="T726" s="157" t="n">
        <v>6.43</v>
      </c>
      <c r="U726" s="157" t="n">
        <v>21485.15</v>
      </c>
      <c r="V726" s="157" t="n">
        <v>43.14</v>
      </c>
      <c r="W726" s="159">
        <f>U726/V726</f>
        <v/>
      </c>
      <c r="X726" s="159">
        <f>(W726/U726)*100</f>
        <v/>
      </c>
      <c r="Y726" s="157" t="n">
        <v>18143.55</v>
      </c>
      <c r="Z726" s="157" t="n">
        <v>34.93</v>
      </c>
      <c r="AA726" s="159">
        <f>Y726/Z726</f>
        <v/>
      </c>
      <c r="AB726" s="159">
        <f>(AA726/Y726)*100</f>
        <v/>
      </c>
    </row>
    <row r="727">
      <c r="A727" s="155" t="n">
        <v>726</v>
      </c>
      <c r="B727" s="156" t="n">
        <v>45631</v>
      </c>
      <c r="C727" s="157" t="n">
        <v>45953413.05</v>
      </c>
      <c r="D727" s="174">
        <f>C727/E727</f>
        <v/>
      </c>
      <c r="E727" s="157" t="n">
        <v>84.684</v>
      </c>
      <c r="F727" s="159">
        <f>D727/100000</f>
        <v/>
      </c>
      <c r="G727" s="159">
        <f>(F727/DataSheet!$C$11*100)</f>
        <v/>
      </c>
      <c r="H727" s="159">
        <f>K727/I727</f>
        <v/>
      </c>
      <c r="I727" s="159">
        <f>(J727/L727)*100</f>
        <v/>
      </c>
      <c r="J727" s="159">
        <f>L727/O727</f>
        <v/>
      </c>
      <c r="K727" s="157" t="n">
        <v>6.68</v>
      </c>
      <c r="L727" s="157" t="n">
        <v>24708.4</v>
      </c>
      <c r="M727" s="157" t="n">
        <v>3.68</v>
      </c>
      <c r="N727" s="159">
        <f>K727-I727</f>
        <v/>
      </c>
      <c r="O727" s="157" t="n">
        <v>22.74</v>
      </c>
      <c r="P727" s="157" t="n">
        <v>4.177</v>
      </c>
      <c r="Q727" s="159">
        <f>K727-P727</f>
        <v/>
      </c>
      <c r="R727" s="157" t="n">
        <v>105.701</v>
      </c>
      <c r="S727" s="159">
        <f>(O727*T727)/100</f>
        <v/>
      </c>
      <c r="T727" s="157" t="n">
        <v>6.43</v>
      </c>
      <c r="U727" s="157" t="n">
        <v>21577.65</v>
      </c>
      <c r="V727" s="157" t="n">
        <v>43.33</v>
      </c>
      <c r="W727" s="159">
        <f>U727/V727</f>
        <v/>
      </c>
      <c r="X727" s="159">
        <f>(W727/U727)*100</f>
        <v/>
      </c>
      <c r="Y727" s="157" t="n">
        <v>18230.4</v>
      </c>
      <c r="Z727" s="157" t="n">
        <v>35.1</v>
      </c>
      <c r="AA727" s="159">
        <f>Y727/Z727</f>
        <v/>
      </c>
      <c r="AB727" s="159">
        <f>(AA727/Y727)*100</f>
        <v/>
      </c>
    </row>
    <row r="728">
      <c r="A728" s="155" t="n">
        <v>727</v>
      </c>
      <c r="B728" s="156" t="n">
        <v>45632</v>
      </c>
      <c r="C728" s="157" t="n">
        <v>46059456.42</v>
      </c>
      <c r="D728" s="174">
        <f>C728/E728</f>
        <v/>
      </c>
      <c r="E728" s="157" t="n">
        <v>84.66800000000001</v>
      </c>
      <c r="F728" s="159">
        <f>D728/100000</f>
        <v/>
      </c>
      <c r="G728" s="159">
        <f>(F728/DataSheet!$C$11*100)</f>
        <v/>
      </c>
      <c r="H728" s="159">
        <f>K728/I728</f>
        <v/>
      </c>
      <c r="I728" s="159">
        <f>(J728/L728)*100</f>
        <v/>
      </c>
      <c r="J728" s="159">
        <f>L728/O728</f>
        <v/>
      </c>
      <c r="K728" s="157" t="n">
        <v>6.74</v>
      </c>
      <c r="L728" s="157" t="n">
        <v>24677.8</v>
      </c>
      <c r="M728" s="157" t="n">
        <v>3.68</v>
      </c>
      <c r="N728" s="159">
        <f>K728-I728</f>
        <v/>
      </c>
      <c r="O728" s="157" t="n">
        <v>22.72</v>
      </c>
      <c r="P728" s="157" t="n">
        <v>4.148</v>
      </c>
      <c r="Q728" s="159">
        <f>K728-P728</f>
        <v/>
      </c>
      <c r="R728" s="157" t="n">
        <v>106.039</v>
      </c>
      <c r="S728" s="159">
        <f>(O728*T728)/100</f>
        <v/>
      </c>
      <c r="T728" s="157" t="n">
        <v>6.39</v>
      </c>
      <c r="U728" s="157" t="n">
        <v>21665.4</v>
      </c>
      <c r="V728" s="157" t="n">
        <v>43.51</v>
      </c>
      <c r="W728" s="159">
        <f>U728/V728</f>
        <v/>
      </c>
      <c r="X728" s="159">
        <f>(W728/U728)*100</f>
        <v/>
      </c>
      <c r="Y728" s="157" t="n">
        <v>18328.95</v>
      </c>
      <c r="Z728" s="157" t="n">
        <v>35.29</v>
      </c>
      <c r="AA728" s="159">
        <f>Y728/Z728</f>
        <v/>
      </c>
      <c r="AB728" s="159">
        <f>(AA728/Y728)*100</f>
        <v/>
      </c>
    </row>
    <row r="729">
      <c r="A729" s="155" t="n">
        <v>728</v>
      </c>
      <c r="B729" s="156" t="n">
        <v>45635</v>
      </c>
      <c r="C729" s="157" t="n">
        <v>46057176.98</v>
      </c>
      <c r="D729" s="174">
        <f>C729/E729</f>
        <v/>
      </c>
      <c r="E729" s="157" t="n">
        <v>84.82899999999999</v>
      </c>
      <c r="F729" s="159">
        <f>D729/100000</f>
        <v/>
      </c>
      <c r="G729" s="159">
        <f>(F729/DataSheet!$C$11*100)</f>
        <v/>
      </c>
      <c r="H729" s="159">
        <f>K729/I729</f>
        <v/>
      </c>
      <c r="I729" s="159">
        <f>(J729/L729)*100</f>
        <v/>
      </c>
      <c r="J729" s="159">
        <f>L729/O729</f>
        <v/>
      </c>
      <c r="K729" s="157" t="n">
        <v>6.717</v>
      </c>
      <c r="L729" s="157" t="n">
        <v>24619</v>
      </c>
      <c r="M729" s="157" t="n">
        <v>3.67</v>
      </c>
      <c r="N729" s="159">
        <f>K729-I729</f>
        <v/>
      </c>
      <c r="O729" s="157" t="n">
        <v>22.66</v>
      </c>
      <c r="P729" s="157" t="n">
        <v>4.2</v>
      </c>
      <c r="Q729" s="159">
        <f>K729-P729</f>
        <v/>
      </c>
      <c r="R729" s="157" t="n">
        <v>106.125</v>
      </c>
      <c r="S729" s="159">
        <f>(O729*T729)/100</f>
        <v/>
      </c>
      <c r="T729" s="157" t="n">
        <v>6.41</v>
      </c>
      <c r="U729" s="157" t="n">
        <v>21748.5</v>
      </c>
      <c r="V729" s="157" t="n">
        <v>43.67</v>
      </c>
      <c r="W729" s="159">
        <f>U729/V729</f>
        <v/>
      </c>
      <c r="X729" s="159">
        <f>(W729/U729)*100</f>
        <v/>
      </c>
      <c r="Y729" s="157" t="n">
        <v>18396.45</v>
      </c>
      <c r="Z729" s="157" t="n">
        <v>35.42</v>
      </c>
      <c r="AA729" s="159">
        <f>Y729/Z729</f>
        <v/>
      </c>
      <c r="AB729" s="159">
        <f>(AA729/Y729)*100</f>
        <v/>
      </c>
    </row>
    <row r="730">
      <c r="A730" s="155" t="n">
        <v>729</v>
      </c>
      <c r="B730" s="156" t="n">
        <v>45636</v>
      </c>
      <c r="C730" s="157" t="n">
        <v>46089641.55</v>
      </c>
      <c r="D730" s="174">
        <f>C730/E730</f>
        <v/>
      </c>
      <c r="E730" s="157" t="n">
        <v>84.88</v>
      </c>
      <c r="F730" s="159">
        <f>D730/100000</f>
        <v/>
      </c>
      <c r="G730" s="159">
        <f>(F730/DataSheet!$C$11*100)</f>
        <v/>
      </c>
      <c r="H730" s="159">
        <f>K730/I730</f>
        <v/>
      </c>
      <c r="I730" s="159">
        <f>(J730/L730)*100</f>
        <v/>
      </c>
      <c r="J730" s="159">
        <f>L730/O730</f>
        <v/>
      </c>
      <c r="K730" s="157" t="n">
        <v>6.705</v>
      </c>
      <c r="L730" s="157" t="n">
        <v>24610.05</v>
      </c>
      <c r="M730" s="157" t="n">
        <v>3.67</v>
      </c>
      <c r="N730" s="159">
        <f>K730-I730</f>
        <v/>
      </c>
      <c r="O730" s="157" t="n">
        <v>22.65</v>
      </c>
      <c r="P730" s="157" t="n">
        <v>4.227</v>
      </c>
      <c r="Q730" s="159">
        <f>K730-P730</f>
        <v/>
      </c>
      <c r="R730" s="157" t="n">
        <v>106.382</v>
      </c>
      <c r="S730" s="159">
        <f>(O730*T730)/100</f>
        <v/>
      </c>
      <c r="T730" s="157" t="n">
        <v>6.43</v>
      </c>
      <c r="U730" s="157" t="n">
        <v>21809.1</v>
      </c>
      <c r="V730" s="157" t="n">
        <v>43.79</v>
      </c>
      <c r="W730" s="159">
        <f>U730/V730</f>
        <v/>
      </c>
      <c r="X730" s="159">
        <f>(W730/U730)*100</f>
        <v/>
      </c>
      <c r="Y730" s="157" t="n">
        <v>18450.6</v>
      </c>
      <c r="Z730" s="157" t="n">
        <v>35.52</v>
      </c>
      <c r="AA730" s="159">
        <f>Y730/Z730</f>
        <v/>
      </c>
      <c r="AB730" s="159">
        <f>(AA730/Y730)*100</f>
        <v/>
      </c>
    </row>
    <row r="731">
      <c r="A731" s="155" t="n">
        <v>730</v>
      </c>
      <c r="B731" s="156" t="n">
        <v>45637</v>
      </c>
      <c r="C731" s="157" t="n">
        <v>46188674.55</v>
      </c>
      <c r="D731" s="174">
        <f>C731/E731</f>
        <v/>
      </c>
      <c r="E731" s="157" t="n">
        <v>84.795</v>
      </c>
      <c r="F731" s="159">
        <f>D731/100000</f>
        <v/>
      </c>
      <c r="G731" s="159">
        <f>(F731/DataSheet!$C$11*100)</f>
        <v/>
      </c>
      <c r="H731" s="159">
        <f>K731/I731</f>
        <v/>
      </c>
      <c r="I731" s="159">
        <f>(J731/L731)*100</f>
        <v/>
      </c>
      <c r="J731" s="159">
        <f>L731/O731</f>
        <v/>
      </c>
      <c r="K731" s="157" t="n">
        <v>6.718</v>
      </c>
      <c r="L731" s="157" t="n">
        <v>24641.8</v>
      </c>
      <c r="M731" s="157" t="n">
        <v>3.67</v>
      </c>
      <c r="N731" s="159">
        <f>K731-I731</f>
        <v/>
      </c>
      <c r="O731" s="157" t="n">
        <v>22.68</v>
      </c>
      <c r="P731" s="157" t="n">
        <v>4.274</v>
      </c>
      <c r="Q731" s="159">
        <f>K731-P731</f>
        <v/>
      </c>
      <c r="R731" s="157" t="n">
        <v>106.695</v>
      </c>
      <c r="S731" s="159">
        <f>(O731*T731)/100</f>
        <v/>
      </c>
      <c r="T731" s="157" t="n">
        <v>6.43</v>
      </c>
      <c r="U731" s="157" t="n">
        <v>21879.55</v>
      </c>
      <c r="V731" s="157" t="n">
        <v>43.94</v>
      </c>
      <c r="W731" s="159">
        <f>U731/V731</f>
        <v/>
      </c>
      <c r="X731" s="159">
        <f>(W731/U731)*100</f>
        <v/>
      </c>
      <c r="Y731" s="157" t="n">
        <v>18502.65</v>
      </c>
      <c r="Z731" s="157" t="n">
        <v>35.62</v>
      </c>
      <c r="AA731" s="159">
        <f>Y731/Z731</f>
        <v/>
      </c>
      <c r="AB731" s="159">
        <f>(AA731/Y731)*100</f>
        <v/>
      </c>
    </row>
    <row r="732">
      <c r="A732" s="155" t="n">
        <v>731</v>
      </c>
      <c r="B732" s="156" t="n">
        <v>45638</v>
      </c>
      <c r="C732" s="157" t="n">
        <v>45960464.37</v>
      </c>
      <c r="D732" s="174">
        <f>C732/E732</f>
        <v/>
      </c>
      <c r="E732" s="157" t="n">
        <v>84.825</v>
      </c>
      <c r="F732" s="159">
        <f>D732/100000</f>
        <v/>
      </c>
      <c r="G732" s="159">
        <f>(F732/DataSheet!$C$11*100)</f>
        <v/>
      </c>
      <c r="H732" s="159">
        <f>K732/I732</f>
        <v/>
      </c>
      <c r="I732" s="159">
        <f>(J732/L732)*100</f>
        <v/>
      </c>
      <c r="J732" s="159">
        <f>L732/O732</f>
        <v/>
      </c>
      <c r="K732" s="157" t="n">
        <v>6.736</v>
      </c>
      <c r="L732" s="157" t="n">
        <v>24548.7</v>
      </c>
      <c r="M732" s="157" t="n">
        <v>3.66</v>
      </c>
      <c r="N732" s="159">
        <f>K732-I732</f>
        <v/>
      </c>
      <c r="O732" s="157" t="n">
        <v>22.6</v>
      </c>
      <c r="P732" s="157" t="n">
        <v>4.335</v>
      </c>
      <c r="Q732" s="159">
        <f>K732-P732</f>
        <v/>
      </c>
      <c r="R732" s="157" t="n">
        <v>106.959</v>
      </c>
      <c r="S732" s="159">
        <f>(O732*T732)/100</f>
        <v/>
      </c>
      <c r="T732" s="157" t="n">
        <v>6.47</v>
      </c>
      <c r="U732" s="157" t="n">
        <v>21770.05</v>
      </c>
      <c r="V732" s="157" t="n">
        <v>43.72</v>
      </c>
      <c r="W732" s="159">
        <f>U732/V732</f>
        <v/>
      </c>
      <c r="X732" s="159">
        <f>(W732/U732)*100</f>
        <v/>
      </c>
      <c r="Y732" s="157" t="n">
        <v>18330.3</v>
      </c>
      <c r="Z732" s="157" t="n">
        <v>35.29</v>
      </c>
      <c r="AA732" s="159">
        <f>Y732/Z732</f>
        <v/>
      </c>
      <c r="AB732" s="159">
        <f>(AA732/Y732)*100</f>
        <v/>
      </c>
    </row>
    <row r="733">
      <c r="A733" s="155" t="n">
        <v>732</v>
      </c>
      <c r="B733" s="156" t="n">
        <v>45639</v>
      </c>
      <c r="C733" s="157" t="n">
        <v>46082964.45</v>
      </c>
      <c r="D733" s="174">
        <f>C733/E733</f>
        <v/>
      </c>
      <c r="E733" s="157" t="n">
        <v>84.782</v>
      </c>
      <c r="F733" s="159">
        <f>D733/100000</f>
        <v/>
      </c>
      <c r="G733" s="159">
        <f>(F733/DataSheet!$C$11*100)</f>
        <v/>
      </c>
      <c r="H733" s="159">
        <f>K733/I733</f>
        <v/>
      </c>
      <c r="I733" s="159">
        <f>(J733/L733)*100</f>
        <v/>
      </c>
      <c r="J733" s="159">
        <f>L733/O733</f>
        <v/>
      </c>
      <c r="K733" s="157" t="n">
        <v>6.729</v>
      </c>
      <c r="L733" s="157" t="n">
        <v>24768.3</v>
      </c>
      <c r="M733" s="157" t="n">
        <v>3.69</v>
      </c>
      <c r="N733" s="159">
        <f>K733-I733</f>
        <v/>
      </c>
      <c r="O733" s="157" t="n">
        <v>22.8</v>
      </c>
      <c r="P733" s="157" t="n">
        <v>4.394</v>
      </c>
      <c r="Q733" s="159">
        <f>K733-P733</f>
        <v/>
      </c>
      <c r="R733" s="157" t="n">
        <v>106.993</v>
      </c>
      <c r="S733" s="159">
        <f>(O733*T733)/100</f>
        <v/>
      </c>
      <c r="T733" s="157" t="n">
        <v>6.46</v>
      </c>
      <c r="U733" s="157" t="n">
        <v>21748.1</v>
      </c>
      <c r="V733" s="157" t="n">
        <v>43.67</v>
      </c>
      <c r="W733" s="159">
        <f>U733/V733</f>
        <v/>
      </c>
      <c r="X733" s="159">
        <f>(W733/U733)*100</f>
        <v/>
      </c>
      <c r="Y733" s="157" t="n">
        <v>18263.75</v>
      </c>
      <c r="Z733" s="157" t="n">
        <v>35.16</v>
      </c>
      <c r="AA733" s="159">
        <f>Y733/Z733</f>
        <v/>
      </c>
      <c r="AB733" s="159">
        <f>(AA733/Y733)*100</f>
        <v/>
      </c>
    </row>
    <row r="734">
      <c r="A734" s="155" t="n">
        <v>733</v>
      </c>
      <c r="B734" s="156" t="n">
        <v>45642</v>
      </c>
      <c r="C734" s="157" t="n">
        <v>46133925.81</v>
      </c>
      <c r="D734" s="174">
        <f>C734/E734</f>
        <v/>
      </c>
      <c r="E734" s="157" t="n">
        <v>84.89</v>
      </c>
      <c r="F734" s="159">
        <f>D734/100000</f>
        <v/>
      </c>
      <c r="G734" s="159">
        <f>(F734/DataSheet!$C$11*100)</f>
        <v/>
      </c>
      <c r="H734" s="159">
        <f>K734/I734</f>
        <v/>
      </c>
      <c r="I734" s="159">
        <f>(J734/L734)*100</f>
        <v/>
      </c>
      <c r="J734" s="159">
        <f>L734/O734</f>
        <v/>
      </c>
      <c r="K734" s="157" t="n">
        <v>6.741</v>
      </c>
      <c r="L734" s="157" t="n">
        <v>24668.25</v>
      </c>
      <c r="M734" s="157" t="n">
        <v>3.68</v>
      </c>
      <c r="N734" s="159">
        <f>K734-I734</f>
        <v/>
      </c>
      <c r="O734" s="157" t="n">
        <v>22.71</v>
      </c>
      <c r="P734" s="157" t="n">
        <v>4.402</v>
      </c>
      <c r="Q734" s="159">
        <f>K734-P734</f>
        <v/>
      </c>
      <c r="R734" s="157" t="n">
        <v>107.03</v>
      </c>
      <c r="S734" s="159">
        <f>(O734*T734)/100</f>
        <v/>
      </c>
      <c r="T734" s="157" t="n">
        <v>6.47</v>
      </c>
      <c r="U734" s="157" t="n">
        <v>21898.8</v>
      </c>
      <c r="V734" s="157" t="n">
        <v>43.97</v>
      </c>
      <c r="W734" s="159">
        <f>U734/V734</f>
        <v/>
      </c>
      <c r="X734" s="159">
        <f>(W734/U734)*100</f>
        <v/>
      </c>
      <c r="Y734" s="157" t="n">
        <v>18344</v>
      </c>
      <c r="Z734" s="157" t="n">
        <v>35.31</v>
      </c>
      <c r="AA734" s="159">
        <f>Y734/Z734</f>
        <v/>
      </c>
      <c r="AB734" s="159">
        <f>(AA734/Y734)*100</f>
        <v/>
      </c>
    </row>
    <row r="735">
      <c r="A735" s="155" t="n">
        <v>734</v>
      </c>
      <c r="B735" s="156" t="n">
        <v>45643</v>
      </c>
      <c r="C735" s="157" t="n">
        <v>45659944.38</v>
      </c>
      <c r="D735" s="174">
        <f>C735/E735</f>
        <v/>
      </c>
      <c r="E735" s="157" t="n">
        <v>84.902</v>
      </c>
      <c r="F735" s="159">
        <f>D735/100000</f>
        <v/>
      </c>
      <c r="G735" s="159">
        <f>(F735/DataSheet!$C$11*100)</f>
        <v/>
      </c>
      <c r="H735" s="159">
        <f>K735/I735</f>
        <v/>
      </c>
      <c r="I735" s="159">
        <f>(J735/L735)*100</f>
        <v/>
      </c>
      <c r="J735" s="159">
        <f>L735/O735</f>
        <v/>
      </c>
      <c r="K735" s="157" t="n">
        <v>6.759</v>
      </c>
      <c r="L735" s="157" t="n">
        <v>24336</v>
      </c>
      <c r="M735" s="157" t="n">
        <v>3.63</v>
      </c>
      <c r="N735" s="159">
        <f>K735-I735</f>
        <v/>
      </c>
      <c r="O735" s="157" t="n">
        <v>22.4</v>
      </c>
      <c r="P735" s="157" t="n">
        <v>4.394</v>
      </c>
      <c r="Q735" s="159">
        <f>K735-P735</f>
        <v/>
      </c>
      <c r="R735" s="157" t="n">
        <v>106.663</v>
      </c>
      <c r="S735" s="159">
        <f>(O735*T735)/100</f>
        <v/>
      </c>
      <c r="T735" s="157" t="n">
        <v>6.48</v>
      </c>
      <c r="U735" s="157" t="n">
        <v>21754.1</v>
      </c>
      <c r="V735" s="157" t="n">
        <v>43.68</v>
      </c>
      <c r="W735" s="159">
        <f>U735/V735</f>
        <v/>
      </c>
      <c r="X735" s="159">
        <f>(W735/U735)*100</f>
        <v/>
      </c>
      <c r="Y735" s="157" t="n">
        <v>18242.05</v>
      </c>
      <c r="Z735" s="157" t="n">
        <v>35.12</v>
      </c>
      <c r="AA735" s="159">
        <f>Y735/Z735</f>
        <v/>
      </c>
      <c r="AB735" s="159">
        <f>(AA735/Y735)*100</f>
        <v/>
      </c>
    </row>
    <row r="736">
      <c r="A736" s="155" t="n">
        <v>735</v>
      </c>
      <c r="B736" s="156" t="n">
        <v>45644</v>
      </c>
      <c r="C736" s="157" t="n">
        <v>45399764.79</v>
      </c>
      <c r="D736" s="174">
        <f>C736/E736</f>
        <v/>
      </c>
      <c r="E736" s="157" t="n">
        <v>84.867</v>
      </c>
      <c r="F736" s="159">
        <f>D736/100000</f>
        <v/>
      </c>
      <c r="G736" s="159">
        <f>(F736/DataSheet!$C$11*100)</f>
        <v/>
      </c>
      <c r="H736" s="159">
        <f>K736/I736</f>
        <v/>
      </c>
      <c r="I736" s="159">
        <f>(J736/L736)*100</f>
        <v/>
      </c>
      <c r="J736" s="159">
        <f>L736/O736</f>
        <v/>
      </c>
      <c r="K736" s="157" t="n">
        <v>6.751</v>
      </c>
      <c r="L736" s="157" t="n">
        <v>24198.85</v>
      </c>
      <c r="M736" s="157" t="n">
        <v>3.61</v>
      </c>
      <c r="N736" s="159">
        <f>K736-I736</f>
        <v/>
      </c>
      <c r="O736" s="157" t="n">
        <v>22.27</v>
      </c>
      <c r="P736" s="157" t="n">
        <v>4.518</v>
      </c>
      <c r="Q736" s="159">
        <f>K736-P736</f>
        <v/>
      </c>
      <c r="R736" s="157" t="n">
        <v>107.749</v>
      </c>
      <c r="S736" s="159">
        <f>(O736*T736)/100</f>
        <v/>
      </c>
      <c r="T736" s="157" t="n">
        <v>6.47</v>
      </c>
      <c r="U736" s="157" t="n">
        <v>21623.1</v>
      </c>
      <c r="V736" s="157" t="n">
        <v>43.42</v>
      </c>
      <c r="W736" s="159">
        <f>U736/V736</f>
        <v/>
      </c>
      <c r="X736" s="159">
        <f>(W736/U736)*100</f>
        <v/>
      </c>
      <c r="Y736" s="157" t="n">
        <v>18118.6</v>
      </c>
      <c r="Z736" s="157" t="n">
        <v>34.88</v>
      </c>
      <c r="AA736" s="159">
        <f>Y736/Z736</f>
        <v/>
      </c>
      <c r="AB736" s="159">
        <f>(AA736/Y736)*100</f>
        <v/>
      </c>
    </row>
    <row r="737">
      <c r="A737" s="155" t="n">
        <v>736</v>
      </c>
      <c r="B737" s="156" t="n">
        <v>45645</v>
      </c>
      <c r="C737" s="157" t="n">
        <v>45114609.13</v>
      </c>
      <c r="D737" s="174">
        <f>C737/E737</f>
        <v/>
      </c>
      <c r="E737" s="157" t="n">
        <v>85.08799999999999</v>
      </c>
      <c r="F737" s="159">
        <f>D737/100000</f>
        <v/>
      </c>
      <c r="G737" s="159">
        <f>(F737/DataSheet!$C$11*100)</f>
        <v/>
      </c>
      <c r="H737" s="159">
        <f>K737/I737</f>
        <v/>
      </c>
      <c r="I737" s="159">
        <f>(J737/L737)*100</f>
        <v/>
      </c>
      <c r="J737" s="159">
        <f>L737/O737</f>
        <v/>
      </c>
      <c r="K737" s="157" t="n">
        <v>6.787</v>
      </c>
      <c r="L737" s="157" t="n">
        <v>23951.7</v>
      </c>
      <c r="M737" s="157" t="n">
        <v>3.57</v>
      </c>
      <c r="N737" s="159">
        <f>K737-I737</f>
        <v/>
      </c>
      <c r="O737" s="157" t="n">
        <v>22.05</v>
      </c>
      <c r="P737" s="157" t="n">
        <v>4.565</v>
      </c>
      <c r="Q737" s="159">
        <f>K737-P737</f>
        <v/>
      </c>
      <c r="R737" s="157" t="n">
        <v>108.152</v>
      </c>
      <c r="S737" s="159">
        <f>(O737*T737)/100</f>
        <v/>
      </c>
      <c r="T737" s="157" t="n">
        <v>6.5</v>
      </c>
      <c r="U737" s="157" t="n">
        <v>21571.3</v>
      </c>
      <c r="V737" s="157" t="n">
        <v>43.32</v>
      </c>
      <c r="W737" s="159">
        <f>U737/V737</f>
        <v/>
      </c>
      <c r="X737" s="159">
        <f>(W737/U737)*100</f>
        <v/>
      </c>
      <c r="Y737" s="157" t="n">
        <v>18057.2</v>
      </c>
      <c r="Z737" s="157" t="n">
        <v>34.76</v>
      </c>
      <c r="AA737" s="159">
        <f>Y737/Z737</f>
        <v/>
      </c>
      <c r="AB737" s="159">
        <f>(AA737/Y737)*100</f>
        <v/>
      </c>
    </row>
    <row r="738">
      <c r="A738" s="155" t="n">
        <v>737</v>
      </c>
      <c r="B738" s="156" t="n">
        <v>45646</v>
      </c>
      <c r="C738" s="157" t="n">
        <v>44239094.65</v>
      </c>
      <c r="D738" s="174">
        <f>C738/E738</f>
        <v/>
      </c>
      <c r="E738" s="157" t="n">
        <v>84.947</v>
      </c>
      <c r="F738" s="159">
        <f>D738/100000</f>
        <v/>
      </c>
      <c r="G738" s="159">
        <f>(F738/DataSheet!$C$11*100)</f>
        <v/>
      </c>
      <c r="H738" s="159">
        <f>K738/I738</f>
        <v/>
      </c>
      <c r="I738" s="159">
        <f>(J738/L738)*100</f>
        <v/>
      </c>
      <c r="J738" s="159">
        <f>L738/O738</f>
        <v/>
      </c>
      <c r="K738" s="157" t="n">
        <v>6.791</v>
      </c>
      <c r="L738" s="157" t="n">
        <v>23587.5</v>
      </c>
      <c r="M738" s="157" t="n">
        <v>3.52</v>
      </c>
      <c r="N738" s="159">
        <f>K738-I738</f>
        <v/>
      </c>
      <c r="O738" s="157" t="n">
        <v>21.71</v>
      </c>
      <c r="P738" s="157" t="n">
        <v>4.529</v>
      </c>
      <c r="Q738" s="159">
        <f>K738-P738</f>
        <v/>
      </c>
      <c r="R738" s="157" t="n">
        <v>107.351</v>
      </c>
      <c r="S738" s="159">
        <f>(O738*T738)/100</f>
        <v/>
      </c>
      <c r="T738" s="157" t="n">
        <v>6.49</v>
      </c>
      <c r="U738" s="157" t="n">
        <v>21050.6</v>
      </c>
      <c r="V738" s="157" t="n">
        <v>42.27</v>
      </c>
      <c r="W738" s="159">
        <f>U738/V738</f>
        <v/>
      </c>
      <c r="X738" s="159">
        <f>(W738/U738)*100</f>
        <v/>
      </c>
      <c r="Y738" s="157" t="n">
        <v>17693.65</v>
      </c>
      <c r="Z738" s="157" t="n">
        <v>34.06</v>
      </c>
      <c r="AA738" s="159">
        <f>Y738/Z738</f>
        <v/>
      </c>
      <c r="AB738" s="159">
        <f>(AA738/Y738)*100</f>
        <v/>
      </c>
    </row>
    <row r="739">
      <c r="A739" s="155" t="n">
        <v>738</v>
      </c>
      <c r="B739" s="156" t="n">
        <v>45649</v>
      </c>
      <c r="C739" s="157" t="n">
        <v>44317850.72</v>
      </c>
      <c r="D739" s="174">
        <f>C739/E739</f>
        <v/>
      </c>
      <c r="E739" s="157" t="n">
        <v>85.095</v>
      </c>
      <c r="F739" s="159">
        <f>D739/100000</f>
        <v/>
      </c>
      <c r="G739" s="159">
        <f>(F739/DataSheet!$C$11*100)</f>
        <v/>
      </c>
      <c r="H739" s="159">
        <f>K739/I739</f>
        <v/>
      </c>
      <c r="I739" s="159">
        <f>(J739/L739)*100</f>
        <v/>
      </c>
      <c r="J739" s="159">
        <f>L739/O739</f>
        <v/>
      </c>
      <c r="K739" s="157" t="n">
        <v>6.776</v>
      </c>
      <c r="L739" s="157" t="n">
        <v>23753.45</v>
      </c>
      <c r="M739" s="157" t="n">
        <v>3.54</v>
      </c>
      <c r="N739" s="159">
        <f>K739-I739</f>
        <v/>
      </c>
      <c r="O739" s="157" t="n">
        <v>21.86</v>
      </c>
      <c r="P739" s="157" t="n">
        <v>4.588</v>
      </c>
      <c r="Q739" s="159">
        <f>K739-P739</f>
        <v/>
      </c>
      <c r="R739" s="157" t="n">
        <v>107.807</v>
      </c>
      <c r="S739" s="159">
        <f>(O739*T739)/100</f>
        <v/>
      </c>
      <c r="T739" s="157" t="n">
        <v>6.49</v>
      </c>
      <c r="U739" s="157" t="n">
        <v>21076.15</v>
      </c>
      <c r="V739" s="157" t="n">
        <v>42.32</v>
      </c>
      <c r="W739" s="159">
        <f>U739/V739</f>
        <v/>
      </c>
      <c r="X739" s="159">
        <f>(W739/U739)*100</f>
        <v/>
      </c>
      <c r="Y739" s="157" t="n">
        <v>17618.1</v>
      </c>
      <c r="Z739" s="157" t="n">
        <v>33.92</v>
      </c>
      <c r="AA739" s="159">
        <f>Y739/Z739</f>
        <v/>
      </c>
      <c r="AB739" s="159">
        <f>(AA739/Y739)*100</f>
        <v/>
      </c>
    </row>
    <row r="740">
      <c r="A740" s="155" t="n">
        <v>739</v>
      </c>
      <c r="B740" s="156" t="n">
        <v>45650</v>
      </c>
      <c r="C740" s="157" t="n">
        <v>44316666.4</v>
      </c>
      <c r="D740" s="174">
        <f>C740/E740</f>
        <v/>
      </c>
      <c r="E740" s="157" t="n">
        <v>85.176</v>
      </c>
      <c r="F740" s="159">
        <f>D740/100000</f>
        <v/>
      </c>
      <c r="G740" s="159">
        <f>(F740/DataSheet!$C$11*100)</f>
        <v/>
      </c>
      <c r="H740" s="159">
        <f>K740/I740</f>
        <v/>
      </c>
      <c r="I740" s="159">
        <f>(J740/L740)*100</f>
        <v/>
      </c>
      <c r="J740" s="159">
        <f>L740/O740</f>
        <v/>
      </c>
      <c r="K740" s="157" t="n">
        <v>6.776</v>
      </c>
      <c r="L740" s="157" t="n">
        <v>23727.65</v>
      </c>
      <c r="M740" s="157" t="n">
        <v>3.54</v>
      </c>
      <c r="N740" s="159">
        <f>K740-I740</f>
        <v/>
      </c>
      <c r="O740" s="157" t="n">
        <v>21.84</v>
      </c>
      <c r="P740" s="157" t="n">
        <v>4.59</v>
      </c>
      <c r="Q740" s="159">
        <f>K740-P740</f>
        <v/>
      </c>
      <c r="R740" s="157" t="n">
        <v>108.023</v>
      </c>
      <c r="S740" s="159">
        <f>(O740*T740)/100</f>
        <v/>
      </c>
      <c r="T740" s="157" t="n">
        <v>6.48</v>
      </c>
      <c r="U740" s="157" t="n">
        <v>21080.7</v>
      </c>
      <c r="V740" s="157" t="n">
        <v>42.33</v>
      </c>
      <c r="W740" s="159">
        <f>U740/V740</f>
        <v/>
      </c>
      <c r="X740" s="159">
        <f>(W740/U740)*100</f>
        <v/>
      </c>
      <c r="Y740" s="157" t="n">
        <v>17672.45</v>
      </c>
      <c r="Z740" s="157" t="n">
        <v>34.02</v>
      </c>
      <c r="AA740" s="159">
        <f>Y740/Z740</f>
        <v/>
      </c>
      <c r="AB740" s="159">
        <f>(AA740/Y740)*100</f>
        <v/>
      </c>
    </row>
    <row r="741">
      <c r="A741" s="155" t="n">
        <v>740</v>
      </c>
      <c r="B741" s="156" t="n">
        <v>45652</v>
      </c>
      <c r="C741" s="157" t="n">
        <v>44327429.96</v>
      </c>
      <c r="D741" s="174">
        <f>C741/E741</f>
        <v/>
      </c>
      <c r="E741" s="157" t="n">
        <v>85.254</v>
      </c>
      <c r="F741" s="159">
        <f>D741/100000</f>
        <v/>
      </c>
      <c r="G741" s="159">
        <f>(F741/DataSheet!$C$11*100)</f>
        <v/>
      </c>
      <c r="H741" s="159">
        <f>K741/I741</f>
        <v/>
      </c>
      <c r="I741" s="159">
        <f>(J741/L741)*100</f>
        <v/>
      </c>
      <c r="J741" s="159">
        <f>L741/O741</f>
        <v/>
      </c>
      <c r="K741" s="157" t="n">
        <v>6.784</v>
      </c>
      <c r="L741" s="157" t="n">
        <v>23750.2</v>
      </c>
      <c r="M741" s="157" t="n">
        <v>3.54</v>
      </c>
      <c r="N741" s="159">
        <f>K741-I741</f>
        <v/>
      </c>
      <c r="O741" s="157" t="n">
        <v>21.86</v>
      </c>
      <c r="P741" s="157" t="n">
        <v>4.584</v>
      </c>
      <c r="Q741" s="159">
        <f>K741-P741</f>
        <v/>
      </c>
      <c r="R741" s="157" t="n">
        <v>107.893</v>
      </c>
      <c r="S741" s="159">
        <f>(O741*T741)/100</f>
        <v/>
      </c>
      <c r="T741" s="157" t="n">
        <v>6.58</v>
      </c>
      <c r="U741" s="157" t="n">
        <v>21096.85</v>
      </c>
      <c r="V741" s="157" t="n">
        <v>42.36</v>
      </c>
      <c r="W741" s="159">
        <f>U741/V741</f>
        <v/>
      </c>
      <c r="X741" s="159">
        <f>(W741/U741)*100</f>
        <v/>
      </c>
      <c r="Y741" s="157" t="n">
        <v>17667.45</v>
      </c>
      <c r="Z741" s="157" t="n">
        <v>34.01</v>
      </c>
      <c r="AA741" s="159">
        <f>Y741/Z741</f>
        <v/>
      </c>
      <c r="AB741" s="159">
        <f>(AA741/Y741)*100</f>
        <v/>
      </c>
    </row>
    <row r="742">
      <c r="A742" s="155" t="n">
        <v>741</v>
      </c>
      <c r="B742" s="156" t="n">
        <v>45653</v>
      </c>
      <c r="C742" s="157" t="n">
        <v>44377986.94</v>
      </c>
      <c r="D742" s="174">
        <f>C742/E742</f>
        <v/>
      </c>
      <c r="E742" s="157" t="n">
        <v>85.38800000000001</v>
      </c>
      <c r="F742" s="159">
        <f>D742/100000</f>
        <v/>
      </c>
      <c r="G742" s="159">
        <f>(F742/DataSheet!$C$11*100)</f>
        <v/>
      </c>
      <c r="H742" s="159">
        <f>K742/I742</f>
        <v/>
      </c>
      <c r="I742" s="159">
        <f>(J742/L742)*100</f>
        <v/>
      </c>
      <c r="J742" s="159">
        <f>L742/O742</f>
        <v/>
      </c>
      <c r="K742" s="157" t="n">
        <v>6.787</v>
      </c>
      <c r="L742" s="157" t="n">
        <v>23813.4</v>
      </c>
      <c r="M742" s="157" t="n">
        <v>3.55</v>
      </c>
      <c r="N742" s="159">
        <f>K742-I742</f>
        <v/>
      </c>
      <c r="O742" s="157" t="n">
        <v>21.92</v>
      </c>
      <c r="P742" s="157" t="n">
        <v>4.629</v>
      </c>
      <c r="Q742" s="159">
        <f>K742-P742</f>
        <v/>
      </c>
      <c r="R742" s="157" t="n">
        <v>107.792</v>
      </c>
      <c r="S742" s="159">
        <f>(O742*T742)/100</f>
        <v/>
      </c>
      <c r="T742" s="157" t="n">
        <v>6.6</v>
      </c>
      <c r="U742" s="157" t="n">
        <v>21071.85</v>
      </c>
      <c r="V742" s="157" t="n">
        <v>42.31</v>
      </c>
      <c r="W742" s="159">
        <f>U742/V742</f>
        <v/>
      </c>
      <c r="X742" s="159">
        <f>(W742/U742)*100</f>
        <v/>
      </c>
      <c r="Y742" s="157" t="n">
        <v>17715.2</v>
      </c>
      <c r="Z742" s="157" t="n">
        <v>34.1</v>
      </c>
      <c r="AA742" s="159">
        <f>Y742/Z742</f>
        <v/>
      </c>
      <c r="AB742" s="159">
        <f>(AA742/Y742)*100</f>
        <v/>
      </c>
    </row>
    <row r="743">
      <c r="A743" s="155" t="n">
        <v>742</v>
      </c>
      <c r="B743" s="156" t="n">
        <v>45656</v>
      </c>
      <c r="C743" s="157" t="n">
        <v>44247478.81</v>
      </c>
      <c r="D743" s="174">
        <f>C743/E743</f>
        <v/>
      </c>
      <c r="E743" s="157" t="n">
        <v>85.474</v>
      </c>
      <c r="F743" s="159">
        <f>D743/100000</f>
        <v/>
      </c>
      <c r="G743" s="159">
        <f>(F743/DataSheet!$C$11*100)</f>
        <v/>
      </c>
      <c r="H743" s="159">
        <f>K743/I743</f>
        <v/>
      </c>
      <c r="I743" s="159">
        <f>(J743/L743)*100</f>
        <v/>
      </c>
      <c r="J743" s="159">
        <f>L743/O743</f>
        <v/>
      </c>
      <c r="K743" s="157" t="n">
        <v>6.775</v>
      </c>
      <c r="L743" s="157" t="n">
        <v>23644.9</v>
      </c>
      <c r="M743" s="157" t="n">
        <v>3.52</v>
      </c>
      <c r="N743" s="159">
        <f>K743-I743</f>
        <v/>
      </c>
      <c r="O743" s="157" t="n">
        <v>21.76</v>
      </c>
      <c r="P743" s="157" t="n">
        <v>4.532</v>
      </c>
      <c r="Q743" s="159">
        <f>K743-P743</f>
        <v/>
      </c>
      <c r="R743" s="157" t="n">
        <v>107.933</v>
      </c>
      <c r="S743" s="159">
        <f>(O743*T743)/100</f>
        <v/>
      </c>
      <c r="T743" s="157" t="n">
        <v>6.61</v>
      </c>
      <c r="U743" s="157" t="n">
        <v>21109.25</v>
      </c>
      <c r="V743" s="157" t="n">
        <v>42.39</v>
      </c>
      <c r="W743" s="159">
        <f>U743/V743</f>
        <v/>
      </c>
      <c r="X743" s="159">
        <f>(W743/U743)*100</f>
        <v/>
      </c>
      <c r="Y743" s="157" t="n">
        <v>17638.15</v>
      </c>
      <c r="Z743" s="157" t="n">
        <v>33.96</v>
      </c>
      <c r="AA743" s="159">
        <f>Y743/Z743</f>
        <v/>
      </c>
      <c r="AB743" s="159">
        <f>(AA743/Y743)*100</f>
        <v/>
      </c>
    </row>
    <row r="744">
      <c r="A744" s="155" t="n">
        <v>743</v>
      </c>
      <c r="B744" s="156" t="n">
        <v>45657</v>
      </c>
      <c r="C744" s="157" t="n">
        <v>44347670.86</v>
      </c>
      <c r="D744" s="174">
        <f>C744/E744</f>
        <v/>
      </c>
      <c r="E744" s="157" t="n">
        <v>85.554</v>
      </c>
      <c r="F744" s="159">
        <f>D744/100000</f>
        <v/>
      </c>
      <c r="G744" s="159">
        <f>(F744/DataSheet!$C$11*100)</f>
        <v/>
      </c>
      <c r="H744" s="159">
        <f>K744/I744</f>
        <v/>
      </c>
      <c r="I744" s="159">
        <f>(J744/L744)*100</f>
        <v/>
      </c>
      <c r="J744" s="159">
        <f>L744/O744</f>
        <v/>
      </c>
      <c r="K744" s="157" t="n">
        <v>6.759</v>
      </c>
      <c r="L744" s="157" t="n">
        <v>23644.8</v>
      </c>
      <c r="M744" s="157" t="n">
        <v>3.53</v>
      </c>
      <c r="N744" s="159">
        <f>K744-I744</f>
        <v/>
      </c>
      <c r="O744" s="157" t="n">
        <v>21.79</v>
      </c>
      <c r="P744" s="157" t="n">
        <v>4.572</v>
      </c>
      <c r="Q744" s="159">
        <f>K744-P744</f>
        <v/>
      </c>
      <c r="R744" s="157" t="n">
        <v>108.296</v>
      </c>
      <c r="S744" s="159">
        <f>(O744*T744)/100</f>
        <v/>
      </c>
      <c r="T744" s="157" t="n">
        <v>6.58</v>
      </c>
      <c r="U744" s="157" t="n">
        <v>21141.2</v>
      </c>
      <c r="V744" s="157" t="n">
        <v>43.3</v>
      </c>
      <c r="W744" s="159">
        <f>U744/V744</f>
        <v/>
      </c>
      <c r="X744" s="159">
        <f>(W744/U744)*100</f>
        <v/>
      </c>
      <c r="Y744" s="157" t="n">
        <v>17752.25</v>
      </c>
      <c r="Z744" s="157" t="n">
        <v>34.39</v>
      </c>
      <c r="AA744" s="159">
        <f>Y744/Z744</f>
        <v/>
      </c>
      <c r="AB744" s="159">
        <f>(AA744/Y744)*100</f>
        <v/>
      </c>
    </row>
    <row r="745" customFormat="1" s="167">
      <c r="A745" s="152" t="n">
        <v>744</v>
      </c>
      <c r="B745" s="153" t="n">
        <v>45658</v>
      </c>
      <c r="C745" s="154" t="n">
        <v>44594474</v>
      </c>
      <c r="D745" s="172">
        <f>C745/E745</f>
        <v/>
      </c>
      <c r="E745" s="154" t="n">
        <v>85.645</v>
      </c>
      <c r="F745" s="154">
        <f>D745/100000</f>
        <v/>
      </c>
      <c r="G745" s="154">
        <f>(F745/DataSheet!$C$12*100)</f>
        <v/>
      </c>
      <c r="H745" s="154">
        <f>K745/I745</f>
        <v/>
      </c>
      <c r="I745" s="154">
        <f>(J745/L745)*100</f>
        <v/>
      </c>
      <c r="J745" s="154">
        <f>L745/O745</f>
        <v/>
      </c>
      <c r="K745" s="154" t="n">
        <v>6.779</v>
      </c>
      <c r="L745" s="154" t="n">
        <v>23742.9</v>
      </c>
      <c r="M745" s="154" t="n">
        <v>3.54</v>
      </c>
      <c r="N745" s="154">
        <f>K745-I745</f>
        <v/>
      </c>
      <c r="O745" s="154" t="n">
        <v>21.88</v>
      </c>
      <c r="P745" s="154" t="n">
        <v>4.572</v>
      </c>
      <c r="Q745" s="154">
        <f>K745-P745</f>
        <v/>
      </c>
      <c r="R745" s="154" t="n">
        <v>108.296</v>
      </c>
      <c r="S745" s="162">
        <f>(O745*T745)/100</f>
        <v/>
      </c>
      <c r="T745" s="154" t="n">
        <v>6.58</v>
      </c>
      <c r="U745" s="154" t="n">
        <v>21246.5</v>
      </c>
      <c r="V745" s="154" t="n">
        <v>43.52</v>
      </c>
      <c r="W745" s="154">
        <f>U745/V745</f>
        <v/>
      </c>
      <c r="X745" s="154">
        <f>(W745/U745)*100</f>
        <v/>
      </c>
      <c r="Y745" s="154" t="n">
        <v>17908.8</v>
      </c>
      <c r="Z745" s="154" t="n">
        <v>34.7</v>
      </c>
      <c r="AA745" s="154">
        <f>Y745/Z745</f>
        <v/>
      </c>
      <c r="AB745" s="154">
        <f>(AA745/Y745)*100</f>
        <v/>
      </c>
    </row>
    <row r="746">
      <c r="A746" s="155" t="n">
        <v>745</v>
      </c>
      <c r="B746" s="156" t="n">
        <v>45659</v>
      </c>
      <c r="C746" s="157" t="n">
        <v>45200321.27</v>
      </c>
      <c r="D746" s="174">
        <f>C746/E746</f>
        <v/>
      </c>
      <c r="E746" s="157" t="n">
        <v>85.76000000000001</v>
      </c>
      <c r="F746" s="159">
        <f>D746/100000</f>
        <v/>
      </c>
      <c r="G746" s="159">
        <f>(F746/DataSheet!$C$12*100)</f>
        <v/>
      </c>
      <c r="H746" s="159">
        <f>K746/I746</f>
        <v/>
      </c>
      <c r="I746" s="159">
        <f>(J746/L746)*100</f>
        <v/>
      </c>
      <c r="J746" s="159">
        <f>L746/O746</f>
        <v/>
      </c>
      <c r="K746" s="157" t="n">
        <v>6.787</v>
      </c>
      <c r="L746" s="157" t="n">
        <v>24188.65</v>
      </c>
      <c r="M746" s="157" t="n">
        <v>3.61</v>
      </c>
      <c r="N746" s="159">
        <f>K746-I746</f>
        <v/>
      </c>
      <c r="O746" s="157" t="n">
        <v>22.29</v>
      </c>
      <c r="P746" s="157" t="n">
        <v>4.561</v>
      </c>
      <c r="Q746" s="159">
        <f>K746-P746</f>
        <v/>
      </c>
      <c r="R746" s="157" t="n">
        <v>109.209</v>
      </c>
      <c r="S746" s="159">
        <f>(O746*T746)/100</f>
        <v/>
      </c>
      <c r="T746" s="157" t="n">
        <v>6.6</v>
      </c>
      <c r="U746" s="157" t="n">
        <v>21473.15</v>
      </c>
      <c r="V746" s="157" t="n">
        <v>43.98</v>
      </c>
      <c r="W746" s="159">
        <f>U746/V746</f>
        <v/>
      </c>
      <c r="X746" s="159">
        <f>(W746/U746)*100</f>
        <v/>
      </c>
      <c r="Y746" s="157" t="n">
        <v>18007.95</v>
      </c>
      <c r="Z746" s="157" t="n">
        <v>34.89</v>
      </c>
      <c r="AA746" s="159">
        <f>Y746/Z746</f>
        <v/>
      </c>
      <c r="AB746" s="159">
        <f>(AA746/Y746)*100</f>
        <v/>
      </c>
    </row>
    <row r="747">
      <c r="A747" s="155" t="n">
        <v>746</v>
      </c>
      <c r="B747" s="156" t="n">
        <v>45660</v>
      </c>
      <c r="C747" s="157" t="n">
        <v>45133848.87</v>
      </c>
      <c r="D747" s="174">
        <f>C747/E747</f>
        <v/>
      </c>
      <c r="E747" s="157" t="n">
        <v>85.761</v>
      </c>
      <c r="F747" s="159">
        <f>D747/100000</f>
        <v/>
      </c>
      <c r="G747" s="159">
        <f>(F747/DataSheet!$C$12*100)</f>
        <v/>
      </c>
      <c r="H747" s="159">
        <f>K747/I747</f>
        <v/>
      </c>
      <c r="I747" s="159">
        <f>(J747/L747)*100</f>
        <v/>
      </c>
      <c r="J747" s="159">
        <f>L747/O747</f>
        <v/>
      </c>
      <c r="K747" s="157" t="n">
        <v>6.779</v>
      </c>
      <c r="L747" s="157" t="n">
        <v>24004.75</v>
      </c>
      <c r="M747" s="157" t="n">
        <v>3.58</v>
      </c>
      <c r="N747" s="159">
        <f>K747-I747</f>
        <v/>
      </c>
      <c r="O747" s="157" t="n">
        <v>22.12</v>
      </c>
      <c r="P747" s="157" t="n">
        <v>4.601</v>
      </c>
      <c r="Q747" s="159">
        <f>K747-P747</f>
        <v/>
      </c>
      <c r="R747" s="157" t="n">
        <v>108.798</v>
      </c>
      <c r="S747" s="159">
        <f>(O747*T747)/100</f>
        <v/>
      </c>
      <c r="T747" s="157" t="n">
        <v>6.61</v>
      </c>
      <c r="U747" s="157" t="n">
        <v>21419.3</v>
      </c>
      <c r="V747" s="157" t="n">
        <v>43.87</v>
      </c>
      <c r="W747" s="159">
        <f>U747/V747</f>
        <v/>
      </c>
      <c r="X747" s="159">
        <f>(W747/U747)*100</f>
        <v/>
      </c>
      <c r="Y747" s="157" t="n">
        <v>17973.05</v>
      </c>
      <c r="Z747" s="157" t="n">
        <v>34.82</v>
      </c>
      <c r="AA747" s="159">
        <f>Y747/Z747</f>
        <v/>
      </c>
      <c r="AB747" s="159">
        <f>(AA747/Y747)*100</f>
        <v/>
      </c>
    </row>
    <row r="748">
      <c r="A748" s="155" t="n">
        <v>747</v>
      </c>
      <c r="B748" s="156" t="n">
        <v>45663</v>
      </c>
      <c r="C748" s="157" t="n">
        <v>44019774.64</v>
      </c>
      <c r="D748" s="174">
        <f>C748/E748</f>
        <v/>
      </c>
      <c r="E748" s="157" t="n">
        <v>85.7</v>
      </c>
      <c r="F748" s="159">
        <f>D748/100000</f>
        <v/>
      </c>
      <c r="G748" s="159">
        <f>(F748/DataSheet!$C$12*100)</f>
        <v/>
      </c>
      <c r="H748" s="159">
        <f>K748/I748</f>
        <v/>
      </c>
      <c r="I748" s="159">
        <f>(J748/L748)*100</f>
        <v/>
      </c>
      <c r="J748" s="159">
        <f>L748/O748</f>
        <v/>
      </c>
      <c r="K748" s="157" t="n">
        <v>6.763</v>
      </c>
      <c r="L748" s="157" t="n">
        <v>23616.05</v>
      </c>
      <c r="M748" s="157" t="n">
        <v>3.52</v>
      </c>
      <c r="N748" s="159">
        <f>K748-I748</f>
        <v/>
      </c>
      <c r="O748" s="157" t="n">
        <v>21.76</v>
      </c>
      <c r="P748" s="157" t="n">
        <v>4.623</v>
      </c>
      <c r="Q748" s="159">
        <f>K748-P748</f>
        <v/>
      </c>
      <c r="R748" s="157" t="n">
        <v>108.101</v>
      </c>
      <c r="S748" s="159">
        <f>(O748*T748)/100</f>
        <v/>
      </c>
      <c r="T748" s="157" t="n">
        <v>6.58</v>
      </c>
      <c r="U748" s="157" t="n">
        <v>20879.65</v>
      </c>
      <c r="V748" s="157" t="n">
        <v>42.77</v>
      </c>
      <c r="W748" s="159">
        <f>U748/V748</f>
        <v/>
      </c>
      <c r="X748" s="159">
        <f>(W748/U748)*100</f>
        <v/>
      </c>
      <c r="Y748" s="157" t="n">
        <v>17455.7</v>
      </c>
      <c r="Z748" s="157" t="n">
        <v>33.82</v>
      </c>
      <c r="AA748" s="159">
        <f>Y748/Z748</f>
        <v/>
      </c>
      <c r="AB748" s="159">
        <f>(AA748/Y748)*100</f>
        <v/>
      </c>
    </row>
    <row r="749">
      <c r="A749" s="155" t="n">
        <v>748</v>
      </c>
      <c r="B749" s="156" t="n">
        <v>45664</v>
      </c>
      <c r="C749" s="157" t="n">
        <v>44326609.07</v>
      </c>
      <c r="D749" s="174">
        <f>C749/E749</f>
        <v/>
      </c>
      <c r="E749" s="157" t="n">
        <v>85.803</v>
      </c>
      <c r="F749" s="159">
        <f>D749/100000</f>
        <v/>
      </c>
      <c r="G749" s="159">
        <f>(F749/DataSheet!$C$12*100)</f>
        <v/>
      </c>
      <c r="H749" s="159">
        <f>K749/I749</f>
        <v/>
      </c>
      <c r="I749" s="159">
        <f>(J749/L749)*100</f>
        <v/>
      </c>
      <c r="J749" s="159">
        <f>L749/O749</f>
        <v/>
      </c>
      <c r="K749" s="157" t="n">
        <v>6.746</v>
      </c>
      <c r="L749" s="157" t="n">
        <v>23707.9</v>
      </c>
      <c r="M749" s="157" t="n">
        <v>3.54</v>
      </c>
      <c r="N749" s="159">
        <f>K749-I749</f>
        <v/>
      </c>
      <c r="O749" s="157" t="n">
        <v>21.84</v>
      </c>
      <c r="P749" s="157" t="n">
        <v>4.684</v>
      </c>
      <c r="Q749" s="159">
        <f>K749-P749</f>
        <v/>
      </c>
      <c r="R749" s="157" t="n">
        <v>108.378</v>
      </c>
      <c r="S749" s="159">
        <f>(O749*T749)/100</f>
        <v/>
      </c>
      <c r="T749" s="157" t="n">
        <v>6.6</v>
      </c>
      <c r="U749" s="157" t="n">
        <v>21060.8</v>
      </c>
      <c r="V749" s="157" t="n">
        <v>43.14</v>
      </c>
      <c r="W749" s="159">
        <f>U749/V749</f>
        <v/>
      </c>
      <c r="X749" s="159">
        <f>(W749/U749)*100</f>
        <v/>
      </c>
      <c r="Y749" s="157" t="n">
        <v>17702.55</v>
      </c>
      <c r="Z749" s="157" t="n">
        <v>34.3</v>
      </c>
      <c r="AA749" s="159">
        <f>Y749/Z749</f>
        <v/>
      </c>
      <c r="AB749" s="159">
        <f>(AA749/Y749)*100</f>
        <v/>
      </c>
    </row>
    <row r="750">
      <c r="A750" s="155" t="n">
        <v>749</v>
      </c>
      <c r="B750" s="156" t="n">
        <v>45665</v>
      </c>
      <c r="C750" s="157" t="n">
        <v>44115075.89</v>
      </c>
      <c r="D750" s="174">
        <f>C750/E750</f>
        <v/>
      </c>
      <c r="E750" s="157" t="n">
        <v>85.917</v>
      </c>
      <c r="F750" s="159">
        <f>D750/100000</f>
        <v/>
      </c>
      <c r="G750" s="159">
        <f>(F750/DataSheet!$C$12*100)</f>
        <v/>
      </c>
      <c r="H750" s="159">
        <f>K750/I750</f>
        <v/>
      </c>
      <c r="I750" s="159">
        <f>(J750/L750)*100</f>
        <v/>
      </c>
      <c r="J750" s="159">
        <f>L750/O750</f>
        <v/>
      </c>
      <c r="K750" s="157" t="n">
        <v>6.767</v>
      </c>
      <c r="L750" s="157" t="n">
        <v>23688.95</v>
      </c>
      <c r="M750" s="157" t="n">
        <v>3.53</v>
      </c>
      <c r="N750" s="159">
        <f>K750-I750</f>
        <v/>
      </c>
      <c r="O750" s="157" t="n">
        <v>21.83</v>
      </c>
      <c r="P750" s="157" t="n">
        <v>4.692</v>
      </c>
      <c r="Q750" s="159">
        <f>K750-P750</f>
        <v/>
      </c>
      <c r="R750" s="157" t="n">
        <v>108.926</v>
      </c>
      <c r="S750" s="159">
        <f>(O750*T750)/100</f>
        <v/>
      </c>
      <c r="T750" s="157" t="n">
        <v>6.58</v>
      </c>
      <c r="U750" s="157" t="n">
        <v>20840.3</v>
      </c>
      <c r="V750" s="157" t="n">
        <v>42.69</v>
      </c>
      <c r="W750" s="159">
        <f>U750/V750</f>
        <v/>
      </c>
      <c r="X750" s="159">
        <f>(W750/U750)*100</f>
        <v/>
      </c>
      <c r="Y750" s="157" t="n">
        <v>17457.9</v>
      </c>
      <c r="Z750" s="157" t="n">
        <v>33.82</v>
      </c>
      <c r="AA750" s="159">
        <f>Y750/Z750</f>
        <v/>
      </c>
      <c r="AB750" s="159">
        <f>(AA750/Y750)*100</f>
        <v/>
      </c>
    </row>
    <row r="751">
      <c r="A751" s="155" t="n">
        <v>750</v>
      </c>
      <c r="B751" s="156" t="n">
        <v>45666</v>
      </c>
      <c r="C751" s="157" t="n">
        <v>43700335.27</v>
      </c>
      <c r="D751" s="174">
        <f>C751/E751</f>
        <v/>
      </c>
      <c r="E751" s="157" t="n">
        <v>85.89</v>
      </c>
      <c r="F751" s="159">
        <f>D751/100000</f>
        <v/>
      </c>
      <c r="G751" s="159">
        <f>(F751/DataSheet!$C$12*100)</f>
        <v/>
      </c>
      <c r="H751" s="159">
        <f>K751/I751</f>
        <v/>
      </c>
      <c r="I751" s="159">
        <f>(J751/L751)*100</f>
        <v/>
      </c>
      <c r="J751" s="159">
        <f>L751/O751</f>
        <v/>
      </c>
      <c r="K751" s="157" t="n">
        <v>6.764</v>
      </c>
      <c r="L751" s="157" t="n">
        <v>23526.5</v>
      </c>
      <c r="M751" s="157" t="n">
        <v>3.51</v>
      </c>
      <c r="N751" s="159">
        <f>K751-I751</f>
        <v/>
      </c>
      <c r="O751" s="157" t="n">
        <v>21.68</v>
      </c>
      <c r="P751" s="157" t="n">
        <v>4.688</v>
      </c>
      <c r="Q751" s="159">
        <f>K751-P751</f>
        <v/>
      </c>
      <c r="R751" s="157" t="n">
        <v>109.004</v>
      </c>
      <c r="S751" s="159">
        <f>(O751*T751)/100</f>
        <v/>
      </c>
      <c r="T751" s="157" t="n">
        <v>6.61</v>
      </c>
      <c r="U751" s="157" t="n">
        <v>20674.25</v>
      </c>
      <c r="V751" s="157" t="n">
        <v>42.35</v>
      </c>
      <c r="W751" s="159">
        <f>U751/V751</f>
        <v/>
      </c>
      <c r="X751" s="159">
        <f>(W751/U751)*100</f>
        <v/>
      </c>
      <c r="Y751" s="157" t="n">
        <v>17254.35</v>
      </c>
      <c r="Z751" s="157" t="n">
        <v>33.43</v>
      </c>
      <c r="AA751" s="159">
        <f>Y751/Z751</f>
        <v/>
      </c>
      <c r="AB751" s="159">
        <f>(AA751/Y751)*100</f>
        <v/>
      </c>
    </row>
    <row r="752">
      <c r="A752" s="155" t="n">
        <v>751</v>
      </c>
      <c r="B752" s="156" t="n">
        <v>45667</v>
      </c>
      <c r="C752" s="157" t="n">
        <v>43116659.15</v>
      </c>
      <c r="D752" s="174">
        <f>C752/E752</f>
        <v/>
      </c>
      <c r="E752" s="157" t="n">
        <v>86.16500000000001</v>
      </c>
      <c r="F752" s="159">
        <f>D752/100000</f>
        <v/>
      </c>
      <c r="G752" s="159">
        <f>(F752/DataSheet!$C$12*100)</f>
        <v/>
      </c>
      <c r="H752" s="159">
        <f>K752/I752</f>
        <v/>
      </c>
      <c r="I752" s="159">
        <f>(J752/L752)*100</f>
        <v/>
      </c>
      <c r="J752" s="159">
        <f>L752/O752</f>
        <v/>
      </c>
      <c r="K752" s="157" t="n">
        <v>6.769</v>
      </c>
      <c r="L752" s="157" t="n">
        <v>23431.5</v>
      </c>
      <c r="M752" s="157" t="n">
        <v>3.49</v>
      </c>
      <c r="N752" s="159">
        <f>K752-I752</f>
        <v/>
      </c>
      <c r="O752" s="157" t="n">
        <v>21.59</v>
      </c>
      <c r="P752" s="157" t="n">
        <v>4.762</v>
      </c>
      <c r="Q752" s="159">
        <f>K752-P752</f>
        <v/>
      </c>
      <c r="R752" s="157" t="n">
        <v>109.487</v>
      </c>
      <c r="S752" s="159">
        <f>(O752*T752)/100</f>
        <v/>
      </c>
      <c r="T752" s="157" t="n">
        <v>6.61</v>
      </c>
      <c r="U752" s="157" t="n">
        <v>20252.95</v>
      </c>
      <c r="V752" s="157" t="n">
        <v>41.48</v>
      </c>
      <c r="W752" s="159">
        <f>U752/V752</f>
        <v/>
      </c>
      <c r="X752" s="159">
        <f>(W752/U752)*100</f>
        <v/>
      </c>
      <c r="Y752" s="157" t="n">
        <v>16833.4</v>
      </c>
      <c r="Z752" s="157" t="n">
        <v>32.61</v>
      </c>
      <c r="AA752" s="159">
        <f>Y752/Z752</f>
        <v/>
      </c>
      <c r="AB752" s="159">
        <f>(AA752/Y752)*100</f>
        <v/>
      </c>
    </row>
    <row r="753">
      <c r="A753" s="155" t="n">
        <v>752</v>
      </c>
      <c r="B753" s="156" t="n">
        <v>45670</v>
      </c>
      <c r="C753" s="157" t="n">
        <v>41829587.58</v>
      </c>
      <c r="D753" s="174">
        <f>C753/E753</f>
        <v/>
      </c>
      <c r="E753" s="157" t="n">
        <v>86.646</v>
      </c>
      <c r="F753" s="159">
        <f>D753/100000</f>
        <v/>
      </c>
      <c r="G753" s="159">
        <f>(F753/DataSheet!$C$12*100)</f>
        <v/>
      </c>
      <c r="H753" s="159">
        <f>K753/I753</f>
        <v/>
      </c>
      <c r="I753" s="159">
        <f>(J753/L753)*100</f>
        <v/>
      </c>
      <c r="J753" s="159">
        <f>L753/O753</f>
        <v/>
      </c>
      <c r="K753" s="157" t="n">
        <v>6.843</v>
      </c>
      <c r="L753" s="157" t="n">
        <v>23085.95</v>
      </c>
      <c r="M753" s="157" t="n">
        <v>3.44</v>
      </c>
      <c r="N753" s="159">
        <f>K753-I753</f>
        <v/>
      </c>
      <c r="O753" s="157" t="n">
        <v>21.25</v>
      </c>
      <c r="P753" s="157" t="n">
        <v>4.789</v>
      </c>
      <c r="Q753" s="159">
        <f>K753-P753</f>
        <v/>
      </c>
      <c r="R753" s="157" t="n">
        <v>109.812</v>
      </c>
      <c r="S753" s="159">
        <f>(O753*T753)/100</f>
        <v/>
      </c>
      <c r="T753" s="157" t="n">
        <v>6.61</v>
      </c>
      <c r="U753" s="157" t="n">
        <v>19458.3</v>
      </c>
      <c r="V753" s="157" t="n">
        <v>39.86</v>
      </c>
      <c r="W753" s="159">
        <f>U753/V753</f>
        <v/>
      </c>
      <c r="X753" s="159">
        <f>(W753/U753)*100</f>
        <v/>
      </c>
      <c r="Y753" s="157" t="n">
        <v>16159.9</v>
      </c>
      <c r="Z753" s="157" t="n">
        <v>31.31</v>
      </c>
      <c r="AA753" s="159">
        <f>Y753/Z753</f>
        <v/>
      </c>
      <c r="AB753" s="159">
        <f>(AA753/Y753)*100</f>
        <v/>
      </c>
    </row>
    <row r="754">
      <c r="A754" s="155" t="n">
        <v>753</v>
      </c>
      <c r="B754" s="156" t="n">
        <v>45671</v>
      </c>
      <c r="C754" s="157" t="n">
        <v>42461600.23</v>
      </c>
      <c r="D754" s="174">
        <f>C754/E754</f>
        <v/>
      </c>
      <c r="E754" s="157" t="n">
        <v>86.52500000000001</v>
      </c>
      <c r="F754" s="159">
        <f>D754/100000</f>
        <v/>
      </c>
      <c r="G754" s="159">
        <f>(F754/DataSheet!$C$12*100)</f>
        <v/>
      </c>
      <c r="H754" s="159">
        <f>K754/I754</f>
        <v/>
      </c>
      <c r="I754" s="159">
        <f>(J754/L754)*100</f>
        <v/>
      </c>
      <c r="J754" s="159">
        <f>L754/O754</f>
        <v/>
      </c>
      <c r="K754" s="157" t="n">
        <v>6.829</v>
      </c>
      <c r="L754" s="157" t="n">
        <v>23176.05</v>
      </c>
      <c r="M754" s="157" t="n">
        <v>3.46</v>
      </c>
      <c r="N754" s="159">
        <f>K754-I754</f>
        <v/>
      </c>
      <c r="O754" s="157" t="n">
        <v>21.34</v>
      </c>
      <c r="P754" s="157" t="n">
        <v>4.792</v>
      </c>
      <c r="Q754" s="159">
        <f>K754-P754</f>
        <v/>
      </c>
      <c r="R754" s="157" t="n">
        <v>109.11</v>
      </c>
      <c r="S754" s="159">
        <f>(O754*T754)/100</f>
        <v/>
      </c>
      <c r="T754" s="157" t="n">
        <v>6.62</v>
      </c>
      <c r="U754" s="157" t="n">
        <v>19883.35</v>
      </c>
      <c r="V754" s="157" t="n">
        <v>40.72</v>
      </c>
      <c r="W754" s="159">
        <f>U754/V754</f>
        <v/>
      </c>
      <c r="X754" s="159">
        <f>(W754/U754)*100</f>
        <v/>
      </c>
      <c r="Y754" s="157" t="n">
        <v>16422.75</v>
      </c>
      <c r="Z754" s="157" t="n">
        <v>31.84</v>
      </c>
      <c r="AA754" s="159">
        <f>Y754/Z754</f>
        <v/>
      </c>
      <c r="AB754" s="159">
        <f>(AA754/Y754)*100</f>
        <v/>
      </c>
    </row>
    <row r="755">
      <c r="A755" s="155" t="n">
        <v>754</v>
      </c>
      <c r="B755" s="156" t="n">
        <v>45672</v>
      </c>
      <c r="C755" s="157" t="n">
        <v>42573736.84</v>
      </c>
      <c r="D755" s="174">
        <f>C755/E755</f>
        <v/>
      </c>
      <c r="E755" s="157" t="n">
        <v>86.38</v>
      </c>
      <c r="F755" s="159">
        <f>D755/100000</f>
        <v/>
      </c>
      <c r="G755" s="159">
        <f>(F755/DataSheet!$C$12*100)</f>
        <v/>
      </c>
      <c r="H755" s="159">
        <f>K755/I755</f>
        <v/>
      </c>
      <c r="I755" s="159">
        <f>(J755/L755)*100</f>
        <v/>
      </c>
      <c r="J755" s="159">
        <f>L755/O755</f>
        <v/>
      </c>
      <c r="K755" s="157" t="n">
        <v>6.813</v>
      </c>
      <c r="L755" s="157" t="n">
        <v>23213.2</v>
      </c>
      <c r="M755" s="157" t="n">
        <v>3.46</v>
      </c>
      <c r="N755" s="159">
        <f>K755-I755</f>
        <v/>
      </c>
      <c r="O755" s="157" t="n">
        <v>21.37</v>
      </c>
      <c r="P755" s="157" t="n">
        <v>4.654</v>
      </c>
      <c r="Q755" s="159">
        <f>K755-P755</f>
        <v/>
      </c>
      <c r="R755" s="157" t="n">
        <v>108.916</v>
      </c>
      <c r="S755" s="159">
        <f>(O755*T755)/100</f>
        <v/>
      </c>
      <c r="T755" s="157" t="n">
        <v>6.6</v>
      </c>
      <c r="U755" s="157" t="n">
        <v>19955.4</v>
      </c>
      <c r="V755" s="157" t="n">
        <v>40.86</v>
      </c>
      <c r="W755" s="159">
        <f>U755/V755</f>
        <v/>
      </c>
      <c r="X755" s="159">
        <f>(W755/U755)*100</f>
        <v/>
      </c>
      <c r="Y755" s="157" t="n">
        <v>16508.9</v>
      </c>
      <c r="Z755" s="157" t="n">
        <v>31.98</v>
      </c>
      <c r="AA755" s="159">
        <f>Y755/Z755</f>
        <v/>
      </c>
      <c r="AB755" s="159">
        <f>(AA755/Y755)*100</f>
        <v/>
      </c>
    </row>
    <row r="756">
      <c r="A756" s="155" t="n">
        <v>755</v>
      </c>
      <c r="B756" s="156" t="n">
        <v>45673</v>
      </c>
      <c r="C756" s="157" t="n">
        <v>42980829.6</v>
      </c>
      <c r="D756" s="174">
        <f>C756/E756</f>
        <v/>
      </c>
      <c r="E756" s="157" t="n">
        <v>86.56999999999999</v>
      </c>
      <c r="F756" s="159">
        <f>D756/100000</f>
        <v/>
      </c>
      <c r="G756" s="159">
        <f>(F756/DataSheet!$C$12*100)</f>
        <v/>
      </c>
      <c r="H756" s="159">
        <f>K756/I756</f>
        <v/>
      </c>
      <c r="I756" s="159">
        <f>(J756/L756)*100</f>
        <v/>
      </c>
      <c r="J756" s="159">
        <f>L756/O756</f>
        <v/>
      </c>
      <c r="K756" s="157" t="n">
        <v>6.754</v>
      </c>
      <c r="L756" s="157" t="n">
        <v>23311.8</v>
      </c>
      <c r="M756" s="157" t="n">
        <v>3.48</v>
      </c>
      <c r="N756" s="159">
        <f>K756-I756</f>
        <v/>
      </c>
      <c r="O756" s="157" t="n">
        <v>21.46</v>
      </c>
      <c r="P756" s="157" t="n">
        <v>4.611</v>
      </c>
      <c r="Q756" s="159">
        <f>K756-P756</f>
        <v/>
      </c>
      <c r="R756" s="157" t="n">
        <v>108.817</v>
      </c>
      <c r="S756" s="159">
        <f>(O756*T756)/100</f>
        <v/>
      </c>
      <c r="T756" s="157" t="n">
        <v>6.59</v>
      </c>
      <c r="U756" s="157" t="n">
        <v>20172.65</v>
      </c>
      <c r="V756" s="157" t="n">
        <v>41.27</v>
      </c>
      <c r="W756" s="159">
        <f>U756/V756</f>
        <v/>
      </c>
      <c r="X756" s="159">
        <f>(W756/U756)*100</f>
        <v/>
      </c>
      <c r="Y756" s="157" t="n">
        <v>16707.9</v>
      </c>
      <c r="Z756" s="157" t="n">
        <v>32.68</v>
      </c>
      <c r="AA756" s="159">
        <f>Y756/Z756</f>
        <v/>
      </c>
      <c r="AB756" s="159">
        <f>(AA756/Y756)*100</f>
        <v/>
      </c>
    </row>
    <row r="757">
      <c r="A757" s="155" t="n">
        <v>756</v>
      </c>
      <c r="B757" s="156" t="n">
        <v>45674</v>
      </c>
      <c r="C757" s="157" t="n">
        <v>43014635.25</v>
      </c>
      <c r="D757" s="174">
        <f>C757/E757</f>
        <v/>
      </c>
      <c r="E757" s="157" t="n">
        <v>86.571</v>
      </c>
      <c r="F757" s="159">
        <f>D757/100000</f>
        <v/>
      </c>
      <c r="G757" s="159">
        <f>(F757/DataSheet!$C$12*100)</f>
        <v/>
      </c>
      <c r="H757" s="159">
        <f>K757/I757</f>
        <v/>
      </c>
      <c r="I757" s="159">
        <f>(J757/L757)*100</f>
        <v/>
      </c>
      <c r="J757" s="159">
        <f>L757/O757</f>
        <v/>
      </c>
      <c r="K757" s="157" t="n">
        <v>6.774</v>
      </c>
      <c r="L757" s="157" t="n">
        <v>23203.2</v>
      </c>
      <c r="M757" s="157" t="n">
        <v>3.46</v>
      </c>
      <c r="N757" s="159">
        <f>K757-I757</f>
        <v/>
      </c>
      <c r="O757" s="157" t="n">
        <v>21.36</v>
      </c>
      <c r="P757" s="157" t="n">
        <v>4.622</v>
      </c>
      <c r="Q757" s="159">
        <f>K757-P757</f>
        <v/>
      </c>
      <c r="R757" s="157" t="n">
        <v>109.203</v>
      </c>
      <c r="S757" s="159">
        <f>(O757*T757)/100</f>
        <v/>
      </c>
      <c r="T757" s="157" t="n">
        <v>6.61</v>
      </c>
      <c r="U757" s="157" t="n">
        <v>20195.9</v>
      </c>
      <c r="V757" s="157" t="n">
        <v>41.28</v>
      </c>
      <c r="W757" s="159">
        <f>U757/V757</f>
        <v/>
      </c>
      <c r="X757" s="159">
        <f>(W757/U757)*100</f>
        <v/>
      </c>
      <c r="Y757" s="157" t="n">
        <v>16700.5</v>
      </c>
      <c r="Z757" s="157" t="n">
        <v>32.69</v>
      </c>
      <c r="AA757" s="159">
        <f>Y757/Z757</f>
        <v/>
      </c>
      <c r="AB757" s="159">
        <f>(AA757/Y757)*100</f>
        <v/>
      </c>
    </row>
    <row r="758">
      <c r="A758" s="155" t="n">
        <v>757</v>
      </c>
      <c r="B758" s="156" t="n">
        <v>45677</v>
      </c>
      <c r="C758" s="157" t="n">
        <v>43290177.42</v>
      </c>
      <c r="D758" s="174">
        <f>C758/E758</f>
        <v/>
      </c>
      <c r="E758" s="157" t="n">
        <v>86.209</v>
      </c>
      <c r="F758" s="159">
        <f>D758/100000</f>
        <v/>
      </c>
      <c r="G758" s="159">
        <f>(F758/DataSheet!$C$12*100)</f>
        <v/>
      </c>
      <c r="H758" s="159">
        <f>K758/I758</f>
        <v/>
      </c>
      <c r="I758" s="159">
        <f>(J758/L758)*100</f>
        <v/>
      </c>
      <c r="J758" s="159">
        <f>L758/O758</f>
        <v/>
      </c>
      <c r="K758" s="157" t="n">
        <v>6.763</v>
      </c>
      <c r="L758" s="157" t="n">
        <v>23344.75</v>
      </c>
      <c r="M758" s="157" t="n">
        <v>3.48</v>
      </c>
      <c r="N758" s="159">
        <f>K758-I758</f>
        <v/>
      </c>
      <c r="O758" s="157" t="n">
        <v>21.4</v>
      </c>
      <c r="P758" s="157" t="n">
        <v>4.622</v>
      </c>
      <c r="Q758" s="159">
        <f>K758-P758</f>
        <v/>
      </c>
      <c r="R758" s="157" t="n">
        <v>109.203</v>
      </c>
      <c r="S758" s="159">
        <f>(O758*T758)/100</f>
        <v/>
      </c>
      <c r="T758" s="157" t="n">
        <v>6.6</v>
      </c>
      <c r="U758" s="157" t="n">
        <v>20350.9</v>
      </c>
      <c r="V758" s="157" t="n">
        <v>41.63</v>
      </c>
      <c r="W758" s="159">
        <f>U758/V758</f>
        <v/>
      </c>
      <c r="X758" s="159">
        <f>(W758/U758)*100</f>
        <v/>
      </c>
      <c r="Y758" s="157" t="n">
        <v>16841.4</v>
      </c>
      <c r="Z758" s="157" t="n">
        <v>32.94</v>
      </c>
      <c r="AA758" s="159">
        <f>Y758/Z758</f>
        <v/>
      </c>
      <c r="AB758" s="159">
        <f>(AA758/Y758)*100</f>
        <v/>
      </c>
    </row>
    <row r="759">
      <c r="A759" s="155" t="n">
        <v>758</v>
      </c>
      <c r="B759" s="156" t="n">
        <v>45678</v>
      </c>
      <c r="C759" s="157" t="n">
        <v>42550839.77</v>
      </c>
      <c r="D759" s="174">
        <f>C759/E759</f>
        <v/>
      </c>
      <c r="E759" s="157" t="n">
        <v>86.452</v>
      </c>
      <c r="F759" s="159">
        <f>D759/100000</f>
        <v/>
      </c>
      <c r="G759" s="159">
        <f>(F759/DataSheet!$C$12*100)</f>
        <v/>
      </c>
      <c r="H759" s="159">
        <f>K759/I759</f>
        <v/>
      </c>
      <c r="I759" s="159">
        <f>(J759/L759)*100</f>
        <v/>
      </c>
      <c r="J759" s="159">
        <f>L759/O759</f>
        <v/>
      </c>
      <c r="K759" s="157" t="n">
        <v>6.734</v>
      </c>
      <c r="L759" s="157" t="n">
        <v>23024.65</v>
      </c>
      <c r="M759" s="157" t="n">
        <v>3.43</v>
      </c>
      <c r="N759" s="159">
        <f>K759-I759</f>
        <v/>
      </c>
      <c r="O759" s="157" t="n">
        <v>21.07</v>
      </c>
      <c r="P759" s="157" t="n">
        <v>4.572</v>
      </c>
      <c r="Q759" s="159">
        <f>K759-P759</f>
        <v/>
      </c>
      <c r="R759" s="157" t="n">
        <v>107.861</v>
      </c>
      <c r="S759" s="159">
        <f>(O759*T759)/100</f>
        <v/>
      </c>
      <c r="T759" s="157" t="n">
        <v>6.6</v>
      </c>
      <c r="U759" s="157" t="n">
        <v>19946.3</v>
      </c>
      <c r="V759" s="157" t="n">
        <v>40.75</v>
      </c>
      <c r="W759" s="159">
        <f>U759/V759</f>
        <v/>
      </c>
      <c r="X759" s="159">
        <f>(W759/U759)*100</f>
        <v/>
      </c>
      <c r="Y759" s="157" t="n">
        <v>16484.1</v>
      </c>
      <c r="Z759" s="157" t="n">
        <v>32.41</v>
      </c>
      <c r="AA759" s="159">
        <f>Y759/Z759</f>
        <v/>
      </c>
      <c r="AB759" s="159">
        <f>(AA759/Y759)*100</f>
        <v/>
      </c>
    </row>
    <row r="760">
      <c r="A760" s="155" t="n">
        <v>759</v>
      </c>
      <c r="B760" s="156" t="n">
        <v>45679</v>
      </c>
      <c r="C760" s="157" t="n">
        <v>42326048.54</v>
      </c>
      <c r="D760" s="174">
        <f>C760/E760</f>
        <v/>
      </c>
      <c r="E760" s="157" t="n">
        <v>86.45</v>
      </c>
      <c r="F760" s="159">
        <f>D760/100000</f>
        <v/>
      </c>
      <c r="G760" s="159">
        <f>(F760/DataSheet!$C$12*100)</f>
        <v/>
      </c>
      <c r="H760" s="159">
        <f>K760/I760</f>
        <v/>
      </c>
      <c r="I760" s="159">
        <f>(J760/L760)*100</f>
        <v/>
      </c>
      <c r="J760" s="159">
        <f>L760/O760</f>
        <v/>
      </c>
      <c r="K760" s="157" t="n">
        <v>6.719</v>
      </c>
      <c r="L760" s="157" t="n">
        <v>23155.35</v>
      </c>
      <c r="M760" s="157" t="n">
        <v>3.45</v>
      </c>
      <c r="N760" s="159">
        <f>K760-I760</f>
        <v/>
      </c>
      <c r="O760" s="157" t="n">
        <v>21.19</v>
      </c>
      <c r="P760" s="157" t="n">
        <v>4.612</v>
      </c>
      <c r="Q760" s="159">
        <f>K760-P760</f>
        <v/>
      </c>
      <c r="R760" s="157" t="n">
        <v>107.962</v>
      </c>
      <c r="S760" s="159">
        <f>(O760*T760)/100</f>
        <v/>
      </c>
      <c r="T760" s="157" t="n">
        <v>6.6</v>
      </c>
      <c r="U760" s="157" t="n">
        <v>19696.9</v>
      </c>
      <c r="V760" s="157" t="n">
        <v>40.15</v>
      </c>
      <c r="W760" s="159">
        <f>U760/V760</f>
        <v/>
      </c>
      <c r="X760" s="159">
        <f>(W760/U760)*100</f>
        <v/>
      </c>
      <c r="Y760" s="157" t="n">
        <v>16220.85</v>
      </c>
      <c r="Z760" s="157" t="n">
        <v>31.8</v>
      </c>
      <c r="AA760" s="159">
        <f>Y760/Z760</f>
        <v/>
      </c>
      <c r="AB760" s="159">
        <f>(AA760/Y760)*100</f>
        <v/>
      </c>
    </row>
    <row r="761">
      <c r="A761" s="155" t="n">
        <v>760</v>
      </c>
      <c r="B761" s="156" t="n">
        <v>45680</v>
      </c>
      <c r="C761" s="157" t="n">
        <v>42599475.15</v>
      </c>
      <c r="D761" s="174">
        <f>C761/E761</f>
        <v/>
      </c>
      <c r="E761" s="157" t="n">
        <v>86.43000000000001</v>
      </c>
      <c r="F761" s="159">
        <f>D761/100000</f>
        <v/>
      </c>
      <c r="G761" s="159">
        <f>(F761/DataSheet!$C$12*100)</f>
        <v/>
      </c>
      <c r="H761" s="159">
        <f>K761/I761</f>
        <v/>
      </c>
      <c r="I761" s="159">
        <f>(J761/L761)*100</f>
        <v/>
      </c>
      <c r="J761" s="159">
        <f>L761/O761</f>
        <v/>
      </c>
      <c r="K761" s="157" t="n">
        <v>6.736</v>
      </c>
      <c r="L761" s="157" t="n">
        <v>23205.35</v>
      </c>
      <c r="M761" s="157" t="n">
        <v>3.46</v>
      </c>
      <c r="N761" s="159">
        <f>K761-I761</f>
        <v/>
      </c>
      <c r="O761" s="157" t="n">
        <v>21.24</v>
      </c>
      <c r="P761" s="157" t="n">
        <v>4.645</v>
      </c>
      <c r="Q761" s="159">
        <f>K761-P761</f>
        <v/>
      </c>
      <c r="R761" s="157" t="n">
        <v>107.863</v>
      </c>
      <c r="S761" s="159">
        <f>(O761*T761)/100</f>
        <v/>
      </c>
      <c r="T761" s="157" t="n">
        <v>6.62</v>
      </c>
      <c r="U761" s="157" t="n">
        <v>20047.95</v>
      </c>
      <c r="V761" s="157" t="n">
        <v>40.9</v>
      </c>
      <c r="W761" s="159">
        <f>U761/V761</f>
        <v/>
      </c>
      <c r="X761" s="159">
        <f>(W761/U761)*100</f>
        <v/>
      </c>
      <c r="Y761" s="157" t="n">
        <v>16352.8</v>
      </c>
      <c r="Z761" s="157" t="n">
        <v>31.91</v>
      </c>
      <c r="AA761" s="159">
        <f>Y761/Z761</f>
        <v/>
      </c>
      <c r="AB761" s="159">
        <f>(AA761/Y761)*100</f>
        <v/>
      </c>
    </row>
    <row r="762">
      <c r="A762" s="155" t="n">
        <v>761</v>
      </c>
      <c r="B762" s="156" t="n">
        <v>45681</v>
      </c>
      <c r="C762" s="157" t="n">
        <v>42086673.46</v>
      </c>
      <c r="D762" s="174">
        <f>C762/E762</f>
        <v/>
      </c>
      <c r="E762" s="157" t="n">
        <v>86.2</v>
      </c>
      <c r="F762" s="159">
        <f>D762/100000</f>
        <v/>
      </c>
      <c r="G762" s="159">
        <f>(F762/DataSheet!$C$12*100)</f>
        <v/>
      </c>
      <c r="H762" s="159">
        <f>K762/I762</f>
        <v/>
      </c>
      <c r="I762" s="159">
        <f>(J762/L762)*100</f>
        <v/>
      </c>
      <c r="J762" s="159">
        <f>L762/O762</f>
        <v/>
      </c>
      <c r="K762" s="157" t="n">
        <v>6.72</v>
      </c>
      <c r="L762" s="157" t="n">
        <v>23092.2</v>
      </c>
      <c r="M762" s="157" t="n">
        <v>3.44</v>
      </c>
      <c r="N762" s="159">
        <f>K762-I762</f>
        <v/>
      </c>
      <c r="O762" s="157" t="n">
        <v>21.09</v>
      </c>
      <c r="P762" s="157" t="n">
        <v>4.616</v>
      </c>
      <c r="Q762" s="159">
        <f>K762-P762</f>
        <v/>
      </c>
      <c r="R762" s="157" t="n">
        <v>107.245</v>
      </c>
      <c r="S762" s="159">
        <f>(O762*T762)/100</f>
        <v/>
      </c>
      <c r="T762" s="157" t="n">
        <v>6.61</v>
      </c>
      <c r="U762" s="157" t="n">
        <v>19708.95</v>
      </c>
      <c r="V762" s="157" t="n">
        <v>40.1</v>
      </c>
      <c r="W762" s="159">
        <f>U762/V762</f>
        <v/>
      </c>
      <c r="X762" s="159">
        <f>(W762/U762)*100</f>
        <v/>
      </c>
      <c r="Y762" s="157" t="n">
        <v>16001.7</v>
      </c>
      <c r="Z762" s="157" t="n">
        <v>31.23</v>
      </c>
      <c r="AA762" s="159">
        <f>Y762/Z762</f>
        <v/>
      </c>
      <c r="AB762" s="159">
        <f>(AA762/Y762)*100</f>
        <v/>
      </c>
    </row>
    <row r="763">
      <c r="A763" s="155" t="n">
        <v>762</v>
      </c>
      <c r="B763" s="156" t="n">
        <v>45684</v>
      </c>
      <c r="C763" s="157" t="n">
        <v>41137032.54</v>
      </c>
      <c r="D763" s="174">
        <f>C763/E763</f>
        <v/>
      </c>
      <c r="E763" s="157" t="n">
        <v>86.34999999999999</v>
      </c>
      <c r="F763" s="159">
        <f>D763/100000</f>
        <v/>
      </c>
      <c r="G763" s="159">
        <f>(F763/DataSheet!$C$12*100)</f>
        <v/>
      </c>
      <c r="H763" s="159">
        <f>K763/I763</f>
        <v/>
      </c>
      <c r="I763" s="159">
        <f>(J763/L763)*100</f>
        <v/>
      </c>
      <c r="J763" s="159">
        <f>L763/O763</f>
        <v/>
      </c>
      <c r="K763" s="157" t="n">
        <v>6.675</v>
      </c>
      <c r="L763" s="157" t="n">
        <v>22829.15</v>
      </c>
      <c r="M763" s="157" t="n">
        <v>3.4</v>
      </c>
      <c r="N763" s="159">
        <f>K763-I763</f>
        <v/>
      </c>
      <c r="O763" s="157" t="n">
        <v>20.85</v>
      </c>
      <c r="P763" s="157" t="n">
        <v>4.533</v>
      </c>
      <c r="Q763" s="159">
        <f>K763-P763</f>
        <v/>
      </c>
      <c r="R763" s="157" t="n">
        <v>107.16</v>
      </c>
      <c r="S763" s="159">
        <f>(O763*T763)/100</f>
        <v/>
      </c>
      <c r="T763" s="157" t="n">
        <v>6.61</v>
      </c>
      <c r="U763" s="157" t="n">
        <v>19152.1</v>
      </c>
      <c r="V763" s="157" t="n">
        <v>38</v>
      </c>
      <c r="W763" s="159">
        <f>U763/V763</f>
        <v/>
      </c>
      <c r="X763" s="159">
        <f>(W763/U763)*100</f>
        <v/>
      </c>
      <c r="Y763" s="157" t="n">
        <v>15416.3</v>
      </c>
      <c r="Z763" s="157" t="n">
        <v>30.05</v>
      </c>
      <c r="AA763" s="159">
        <f>Y763/Z763</f>
        <v/>
      </c>
      <c r="AB763" s="159">
        <f>(AA763/Y763)*100</f>
        <v/>
      </c>
    </row>
    <row r="764">
      <c r="A764" s="155" t="n">
        <v>763</v>
      </c>
      <c r="B764" s="156" t="n">
        <v>45685</v>
      </c>
      <c r="C764" s="157" t="n">
        <v>40991703.99</v>
      </c>
      <c r="D764" s="174">
        <f>C764/E764</f>
        <v/>
      </c>
      <c r="E764" s="157" t="n">
        <v>86.584</v>
      </c>
      <c r="F764" s="159">
        <f>D764/100000</f>
        <v/>
      </c>
      <c r="G764" s="159">
        <f>(F764/DataSheet!$C$12*100)</f>
        <v/>
      </c>
      <c r="H764" s="159">
        <f>K764/I764</f>
        <v/>
      </c>
      <c r="I764" s="159">
        <f>(J764/L764)*100</f>
        <v/>
      </c>
      <c r="J764" s="159">
        <f>L764/O764</f>
        <v/>
      </c>
      <c r="K764" s="157" t="n">
        <v>6.681</v>
      </c>
      <c r="L764" s="157" t="n">
        <v>22957.25</v>
      </c>
      <c r="M764" s="157" t="n">
        <v>3.42</v>
      </c>
      <c r="N764" s="159">
        <f>K764-I764</f>
        <v/>
      </c>
      <c r="O764" s="157" t="n">
        <v>20.85</v>
      </c>
      <c r="P764" s="157" t="n">
        <v>4.533</v>
      </c>
      <c r="Q764" s="159">
        <f>K764-P764</f>
        <v/>
      </c>
      <c r="R764" s="157" t="n">
        <v>107.683</v>
      </c>
      <c r="S764" s="159">
        <f>(O764*T764)/100</f>
        <v/>
      </c>
      <c r="T764" s="157" t="n">
        <v>6.58</v>
      </c>
      <c r="U764" s="157" t="n">
        <v>19019.1</v>
      </c>
      <c r="V764" s="157" t="n">
        <v>37.49</v>
      </c>
      <c r="W764" s="159">
        <f>U764/V764</f>
        <v/>
      </c>
      <c r="X764" s="159">
        <f>(W764/U764)*100</f>
        <v/>
      </c>
      <c r="Y764" s="157" t="n">
        <v>15135.1</v>
      </c>
      <c r="Z764" s="157" t="n">
        <v>29.55</v>
      </c>
      <c r="AA764" s="159">
        <f>Y764/Z764</f>
        <v/>
      </c>
      <c r="AB764" s="159">
        <f>(AA764/Y764)*100</f>
        <v/>
      </c>
    </row>
    <row r="765">
      <c r="A765" s="155" t="n">
        <v>764</v>
      </c>
      <c r="B765" s="156" t="n">
        <v>45686</v>
      </c>
      <c r="C765" s="157" t="n">
        <v>41765954</v>
      </c>
      <c r="D765" s="174">
        <f>C765/E765</f>
        <v/>
      </c>
      <c r="E765" s="157" t="n">
        <v>86.63</v>
      </c>
      <c r="F765" s="159">
        <f>D765/100000</f>
        <v/>
      </c>
      <c r="G765" s="159">
        <f>(F765/DataSheet!$C$12*100)</f>
        <v/>
      </c>
      <c r="H765" s="159">
        <f>K765/I765</f>
        <v/>
      </c>
      <c r="I765" s="159">
        <f>(J765/L765)*100</f>
        <v/>
      </c>
      <c r="J765" s="159">
        <f>L765/O765</f>
        <v/>
      </c>
      <c r="K765" s="157" t="n">
        <v>6.683</v>
      </c>
      <c r="L765" s="157" t="n">
        <v>23163.1</v>
      </c>
      <c r="M765" s="157" t="n">
        <v>3.45</v>
      </c>
      <c r="N765" s="159">
        <f>K765-I765</f>
        <v/>
      </c>
      <c r="O765" s="157" t="n">
        <v>21.06</v>
      </c>
      <c r="P765" s="157" t="n">
        <v>4.533</v>
      </c>
      <c r="Q765" s="159">
        <f>K765-P765</f>
        <v/>
      </c>
      <c r="R765" s="157" t="n">
        <v>107.809</v>
      </c>
      <c r="S765" s="159">
        <f>(O765*T765)/100</f>
        <v/>
      </c>
      <c r="T765" s="157" t="n">
        <v>6.59</v>
      </c>
      <c r="U765" s="157" t="n">
        <v>19481.75</v>
      </c>
      <c r="V765" s="157" t="n">
        <v>38.45</v>
      </c>
      <c r="W765" s="159">
        <f>U765/V765</f>
        <v/>
      </c>
      <c r="X765" s="159">
        <f>(W765/U765)*100</f>
        <v/>
      </c>
      <c r="Y765" s="157" t="n">
        <v>15613.35</v>
      </c>
      <c r="Z765" s="157" t="n">
        <v>29.79</v>
      </c>
      <c r="AA765" s="159">
        <f>Y765/Z765</f>
        <v/>
      </c>
      <c r="AB765" s="159">
        <f>(AA765/Y765)*100</f>
        <v/>
      </c>
    </row>
    <row r="766">
      <c r="A766" s="155" t="n">
        <v>765</v>
      </c>
      <c r="B766" s="156" t="n">
        <v>45687</v>
      </c>
      <c r="C766" s="157" t="n">
        <v>41874921.63</v>
      </c>
      <c r="D766" s="174">
        <f>C766/E766</f>
        <v/>
      </c>
      <c r="E766" s="157" t="n">
        <v>86.545</v>
      </c>
      <c r="F766" s="159">
        <f>D766/100000</f>
        <v/>
      </c>
      <c r="G766" s="159">
        <f>(F766/DataSheet!$C$12*100)</f>
        <v/>
      </c>
      <c r="H766" s="159">
        <f>K766/I766</f>
        <v/>
      </c>
      <c r="I766" s="159">
        <f>(J766/L766)*100</f>
        <v/>
      </c>
      <c r="J766" s="159">
        <f>L766/O766</f>
        <v/>
      </c>
      <c r="K766" s="157" t="n">
        <v>6.678</v>
      </c>
      <c r="L766" s="157" t="n">
        <v>23249.5</v>
      </c>
      <c r="M766" s="157" t="n">
        <v>3.47</v>
      </c>
      <c r="N766" s="159">
        <f>K766-I766</f>
        <v/>
      </c>
      <c r="O766" s="157" t="n">
        <v>21.12</v>
      </c>
      <c r="P766" s="157" t="n">
        <v>4.519</v>
      </c>
      <c r="Q766" s="159">
        <f>K766-P766</f>
        <v/>
      </c>
      <c r="R766" s="157" t="n">
        <v>107.631</v>
      </c>
      <c r="S766" s="159">
        <f>(O766*T766)/100</f>
        <v/>
      </c>
      <c r="T766" s="157" t="n">
        <v>6.58</v>
      </c>
      <c r="U766" s="157" t="n">
        <v>19514.25</v>
      </c>
      <c r="V766" s="157" t="n">
        <v>38.26</v>
      </c>
      <c r="W766" s="159">
        <f>U766/V766</f>
        <v/>
      </c>
      <c r="X766" s="159">
        <f>(W766/U766)*100</f>
        <v/>
      </c>
      <c r="Y766" s="157" t="n">
        <v>15585.95</v>
      </c>
      <c r="Z766" s="157" t="n">
        <v>29.79</v>
      </c>
      <c r="AA766" s="159">
        <f>Y766/Z766</f>
        <v/>
      </c>
      <c r="AB766" s="159">
        <f>(AA766/Y766)*100</f>
        <v/>
      </c>
    </row>
    <row r="767">
      <c r="A767" s="155" t="n">
        <v>766</v>
      </c>
      <c r="B767" s="156" t="n">
        <v>45688</v>
      </c>
      <c r="C767" s="157" t="n">
        <v>42499887.21</v>
      </c>
      <c r="D767" s="174">
        <f>C767/E767</f>
        <v/>
      </c>
      <c r="E767" s="157" t="n">
        <v>86.536</v>
      </c>
      <c r="F767" s="159">
        <f>D767/100000</f>
        <v/>
      </c>
      <c r="G767" s="159">
        <f>(F767/DataSheet!$C$12*100)</f>
        <v/>
      </c>
      <c r="H767" s="159">
        <f>K767/I767</f>
        <v/>
      </c>
      <c r="I767" s="159">
        <f>(J767/L767)*100</f>
        <v/>
      </c>
      <c r="J767" s="159">
        <f>L767/O767</f>
        <v/>
      </c>
      <c r="K767" s="157" t="n">
        <v>6.694</v>
      </c>
      <c r="L767" s="157" t="n">
        <v>23508.4</v>
      </c>
      <c r="M767" s="157" t="n">
        <v>3.51</v>
      </c>
      <c r="N767" s="159">
        <f>K767-I767</f>
        <v/>
      </c>
      <c r="O767" s="157" t="n">
        <v>21.33</v>
      </c>
      <c r="P767" s="157" t="n">
        <v>4.542</v>
      </c>
      <c r="Q767" s="159">
        <f>K767-P767</f>
        <v/>
      </c>
      <c r="R767" s="157" t="n">
        <v>108.217</v>
      </c>
      <c r="S767" s="159">
        <f>(O767*T767)/100</f>
        <v/>
      </c>
      <c r="T767" s="157" t="n">
        <v>6.57</v>
      </c>
      <c r="U767" s="157" t="n">
        <v>19850.95</v>
      </c>
      <c r="V767" s="157" t="n">
        <v>38.76</v>
      </c>
      <c r="W767" s="159">
        <f>U767/V767</f>
        <v/>
      </c>
      <c r="X767" s="159">
        <f>(W767/U767)*100</f>
        <v/>
      </c>
      <c r="Y767" s="157" t="n">
        <v>15851.05</v>
      </c>
      <c r="Z767" s="157" t="n">
        <v>30.18</v>
      </c>
      <c r="AA767" s="159">
        <f>Y767/Z767</f>
        <v/>
      </c>
      <c r="AB767" s="159">
        <f>(AA767/Y767)*100</f>
        <v/>
      </c>
    </row>
    <row r="768">
      <c r="A768" s="155" t="n">
        <v>767</v>
      </c>
      <c r="B768" s="156" t="n">
        <v>45689</v>
      </c>
      <c r="C768" s="157" t="n">
        <v>42480380.82</v>
      </c>
      <c r="D768" s="174">
        <f>C768/E768</f>
        <v/>
      </c>
      <c r="E768" s="157" t="n">
        <v>86.536</v>
      </c>
      <c r="F768" s="159">
        <f>D768/100000</f>
        <v/>
      </c>
      <c r="G768" s="159">
        <f>(F768/DataSheet!$C$12*100)</f>
        <v/>
      </c>
      <c r="H768" s="159">
        <f>K768/I768</f>
        <v/>
      </c>
      <c r="I768" s="159">
        <f>(J768/L768)*100</f>
        <v/>
      </c>
      <c r="J768" s="159">
        <f>L768/O768</f>
        <v/>
      </c>
      <c r="K768" s="157" t="n">
        <v>6.694</v>
      </c>
      <c r="L768" s="157" t="n">
        <v>23482.15</v>
      </c>
      <c r="M768" s="157" t="n">
        <v>3.5</v>
      </c>
      <c r="N768" s="159">
        <f>K768-I768</f>
        <v/>
      </c>
      <c r="O768" s="157" t="n">
        <v>21.29</v>
      </c>
      <c r="P768" s="157" t="n">
        <v>4.542</v>
      </c>
      <c r="Q768" s="159">
        <f>K768-P768</f>
        <v/>
      </c>
      <c r="R768" s="157" t="n">
        <v>108.217</v>
      </c>
      <c r="S768" s="159">
        <f>(O768*T768)/100</f>
        <v/>
      </c>
      <c r="T768" s="157" t="n">
        <v>6.57</v>
      </c>
      <c r="U768" s="157" t="n">
        <v>19773.4</v>
      </c>
      <c r="V768" s="157" t="n">
        <v>38.69</v>
      </c>
      <c r="W768" s="159">
        <f>U768/V768</f>
        <v/>
      </c>
      <c r="X768" s="159">
        <f>(W768/U768)*100</f>
        <v/>
      </c>
      <c r="Y768" s="157" t="n">
        <v>15955.45</v>
      </c>
      <c r="Z768" s="157" t="n">
        <v>30.39</v>
      </c>
      <c r="AA768" s="159">
        <f>Y768/Z768</f>
        <v/>
      </c>
      <c r="AB768" s="159">
        <f>(AA768/Y768)*100</f>
        <v/>
      </c>
    </row>
    <row r="769">
      <c r="A769" s="155" t="n">
        <v>768</v>
      </c>
      <c r="B769" s="156" t="n">
        <v>45691</v>
      </c>
      <c r="C769" s="157" t="n">
        <v>42031299.6</v>
      </c>
      <c r="D769" s="174">
        <f>C769/E769</f>
        <v/>
      </c>
      <c r="E769" s="157" t="n">
        <v>86.95999999999999</v>
      </c>
      <c r="F769" s="159">
        <f>D769/100000</f>
        <v/>
      </c>
      <c r="G769" s="159">
        <f>(F769/DataSheet!$C$12*100)</f>
        <v/>
      </c>
      <c r="H769" s="159">
        <f>K769/I769</f>
        <v/>
      </c>
      <c r="I769" s="159">
        <f>(J769/L769)*100</f>
        <v/>
      </c>
      <c r="J769" s="159">
        <f>L769/O769</f>
        <v/>
      </c>
      <c r="K769" s="157" t="n">
        <v>6.67</v>
      </c>
      <c r="L769" s="157" t="n">
        <v>23361.05</v>
      </c>
      <c r="M769" s="157" t="n">
        <v>3.48</v>
      </c>
      <c r="N769" s="159">
        <f>K769-I769</f>
        <v/>
      </c>
      <c r="O769" s="157" t="n">
        <v>21.22</v>
      </c>
      <c r="P769" s="157" t="n">
        <v>4.551</v>
      </c>
      <c r="Q769" s="159">
        <f>K769-P769</f>
        <v/>
      </c>
      <c r="R769" s="157" t="n">
        <v>108.877</v>
      </c>
      <c r="S769" s="159">
        <f>(O769*T769)/100</f>
        <v/>
      </c>
      <c r="T769" s="157" t="n">
        <v>6.57</v>
      </c>
      <c r="U769" s="157" t="n">
        <v>19579.2</v>
      </c>
      <c r="V769" s="157" t="n">
        <v>36.77</v>
      </c>
      <c r="W769" s="159">
        <f>U769/V769</f>
        <v/>
      </c>
      <c r="X769" s="159">
        <f>(W769/U769)*100</f>
        <v/>
      </c>
      <c r="Y769" s="157" t="n">
        <v>15677.65</v>
      </c>
      <c r="Z769" s="157" t="n">
        <v>29.88</v>
      </c>
      <c r="AA769" s="159">
        <f>Y769/Z769</f>
        <v/>
      </c>
      <c r="AB769" s="159">
        <f>(AA769/Y769)*100</f>
        <v/>
      </c>
    </row>
    <row r="770">
      <c r="A770" s="155" t="n">
        <v>769</v>
      </c>
      <c r="B770" s="156" t="n">
        <v>45692</v>
      </c>
      <c r="C770" s="157" t="n">
        <v>42623721.47</v>
      </c>
      <c r="D770" s="174">
        <f>C770/E770</f>
        <v/>
      </c>
      <c r="E770" s="157" t="n">
        <v>87.06999999999999</v>
      </c>
      <c r="F770" s="159">
        <f>D770/100000</f>
        <v/>
      </c>
      <c r="G770" s="159">
        <f>(F770/DataSheet!$C$12*100)</f>
        <v/>
      </c>
      <c r="H770" s="159">
        <f>K770/I770</f>
        <v/>
      </c>
      <c r="I770" s="159">
        <f>(J770/L770)*100</f>
        <v/>
      </c>
      <c r="J770" s="159">
        <f>L770/O770</f>
        <v/>
      </c>
      <c r="K770" s="157" t="n">
        <v>6.672</v>
      </c>
      <c r="L770" s="157" t="n">
        <v>23739.25</v>
      </c>
      <c r="M770" s="157" t="n">
        <v>3.54</v>
      </c>
      <c r="N770" s="159">
        <f>K770-I770</f>
        <v/>
      </c>
      <c r="O770" s="157" t="n">
        <v>21.56</v>
      </c>
      <c r="P770" s="157" t="n">
        <v>4.512</v>
      </c>
      <c r="Q770" s="159">
        <f>K770-P770</f>
        <v/>
      </c>
      <c r="R770" s="157" t="n">
        <v>107.823</v>
      </c>
      <c r="S770" s="159">
        <f>(O770*T770)/100</f>
        <v/>
      </c>
      <c r="T770" s="157" t="n">
        <v>6.54</v>
      </c>
      <c r="U770" s="157" t="n">
        <v>19849.15</v>
      </c>
      <c r="V770" s="157" t="n">
        <v>37.29</v>
      </c>
      <c r="W770" s="159">
        <f>U770/V770</f>
        <v/>
      </c>
      <c r="X770" s="159">
        <f>(W770/U770)*100</f>
        <v/>
      </c>
      <c r="Y770" s="157" t="n">
        <v>15855.95</v>
      </c>
      <c r="Z770" s="157" t="n">
        <v>30.24</v>
      </c>
      <c r="AA770" s="159">
        <f>Y770/Z770</f>
        <v/>
      </c>
      <c r="AB770" s="159">
        <f>(AA770/Y770)*100</f>
        <v/>
      </c>
    </row>
    <row r="771">
      <c r="A771" s="155" t="n">
        <v>770</v>
      </c>
      <c r="B771" s="156" t="n">
        <v>45693</v>
      </c>
      <c r="C771" s="157" t="n">
        <v>42803611.66</v>
      </c>
      <c r="D771" s="174">
        <f>C771/E771</f>
        <v/>
      </c>
      <c r="E771" s="157" t="n">
        <v>87.336</v>
      </c>
      <c r="F771" s="159">
        <f>D771/100000</f>
        <v/>
      </c>
      <c r="G771" s="159">
        <f>(F771/DataSheet!$C$12*100)</f>
        <v/>
      </c>
      <c r="H771" s="159">
        <f>K771/I771</f>
        <v/>
      </c>
      <c r="I771" s="159">
        <f>(J771/L771)*100</f>
        <v/>
      </c>
      <c r="J771" s="159">
        <f>L771/O771</f>
        <v/>
      </c>
      <c r="K771" s="157" t="n">
        <v>6.664</v>
      </c>
      <c r="L771" s="157" t="n">
        <v>23696.3</v>
      </c>
      <c r="M771" s="157" t="n">
        <v>3.53</v>
      </c>
      <c r="N771" s="159">
        <f>K771-I771</f>
        <v/>
      </c>
      <c r="O771" s="157" t="n">
        <v>21.52</v>
      </c>
      <c r="P771" s="157" t="n">
        <v>4.423</v>
      </c>
      <c r="Q771" s="159">
        <f>K771-P771</f>
        <v/>
      </c>
      <c r="R771" s="157" t="n">
        <v>107.442</v>
      </c>
      <c r="S771" s="159">
        <f>(O771*T771)/100</f>
        <v/>
      </c>
      <c r="T771" s="157" t="n">
        <v>6.48</v>
      </c>
      <c r="U771" s="157" t="n">
        <v>19995.7</v>
      </c>
      <c r="V771" s="157" t="n">
        <v>37.58</v>
      </c>
      <c r="W771" s="159">
        <f>U771/V771</f>
        <v/>
      </c>
      <c r="X771" s="159">
        <f>(W771/U771)*100</f>
        <v/>
      </c>
      <c r="Y771" s="157" t="n">
        <v>16104.4</v>
      </c>
      <c r="Z771" s="157" t="n">
        <v>30.7</v>
      </c>
      <c r="AA771" s="159">
        <f>Y771/Z771</f>
        <v/>
      </c>
      <c r="AB771" s="159">
        <f>(AA771/Y771)*100</f>
        <v/>
      </c>
    </row>
    <row r="772">
      <c r="A772" s="155" t="n">
        <v>771</v>
      </c>
      <c r="B772" s="156" t="n">
        <v>45694</v>
      </c>
      <c r="C772" s="157" t="n">
        <v>42580986.85</v>
      </c>
      <c r="D772" s="174">
        <f>C772/E772</f>
        <v/>
      </c>
      <c r="E772" s="157" t="n">
        <v>87.58</v>
      </c>
      <c r="F772" s="159">
        <f>D772/100000</f>
        <v/>
      </c>
      <c r="G772" s="159">
        <f>(F772/DataSheet!$C$12*100)</f>
        <v/>
      </c>
      <c r="H772" s="159">
        <f>K772/I772</f>
        <v/>
      </c>
      <c r="I772" s="159">
        <f>(J772/L772)*100</f>
        <v/>
      </c>
      <c r="J772" s="159">
        <f>L772/O772</f>
        <v/>
      </c>
      <c r="K772" s="157" t="n">
        <v>6.657</v>
      </c>
      <c r="L772" s="157" t="n">
        <v>23603.35</v>
      </c>
      <c r="M772" s="157" t="n">
        <v>3.52</v>
      </c>
      <c r="N772" s="159">
        <f>K772-I772</f>
        <v/>
      </c>
      <c r="O772" s="157" t="n">
        <v>21.45</v>
      </c>
      <c r="P772" s="157" t="n">
        <v>4.435</v>
      </c>
      <c r="Q772" s="159">
        <f>K772-P772</f>
        <v/>
      </c>
      <c r="R772" s="157" t="n">
        <v>107.547</v>
      </c>
      <c r="S772" s="159">
        <f>(O772*T772)/100</f>
        <v/>
      </c>
      <c r="T772" s="157" t="n">
        <v>6.45</v>
      </c>
      <c r="U772" s="157" t="n">
        <v>19793.75</v>
      </c>
      <c r="V772" s="157" t="n">
        <v>37.21</v>
      </c>
      <c r="W772" s="159">
        <f>U772/V772</f>
        <v/>
      </c>
      <c r="X772" s="159">
        <f>(W772/U772)*100</f>
        <v/>
      </c>
      <c r="Y772" s="157" t="n">
        <v>16098.65</v>
      </c>
      <c r="Z772" s="157" t="n">
        <v>30.81</v>
      </c>
      <c r="AA772" s="159">
        <f>Y772/Z772</f>
        <v/>
      </c>
      <c r="AB772" s="159">
        <f>(AA772/Y772)*100</f>
        <v/>
      </c>
    </row>
    <row r="773">
      <c r="A773" s="155" t="n">
        <v>772</v>
      </c>
      <c r="B773" s="156" t="n">
        <v>45695</v>
      </c>
      <c r="C773" s="157" t="n">
        <v>42478048.55</v>
      </c>
      <c r="D773" s="174">
        <f>C773/E773</f>
        <v/>
      </c>
      <c r="E773" s="157" t="n">
        <v>87.627</v>
      </c>
      <c r="F773" s="159">
        <f>D773/100000</f>
        <v/>
      </c>
      <c r="G773" s="159">
        <f>(F773/DataSheet!$C$12*100)</f>
        <v/>
      </c>
      <c r="H773" s="159">
        <f>K773/I773</f>
        <v/>
      </c>
      <c r="I773" s="159">
        <f>(J773/L773)*100</f>
        <v/>
      </c>
      <c r="J773" s="159">
        <f>L773/O773</f>
        <v/>
      </c>
      <c r="K773" s="157" t="n">
        <v>6.699</v>
      </c>
      <c r="L773" s="157" t="n">
        <v>23559.95</v>
      </c>
      <c r="M773" s="157" t="n">
        <v>3.51</v>
      </c>
      <c r="N773" s="159">
        <f>K773-I773</f>
        <v/>
      </c>
      <c r="O773" s="157" t="n">
        <v>21.41</v>
      </c>
      <c r="P773" s="157" t="n">
        <v>4.494</v>
      </c>
      <c r="Q773" s="159">
        <f>K773-P773</f>
        <v/>
      </c>
      <c r="R773" s="157" t="n">
        <v>107.928</v>
      </c>
      <c r="S773" s="159">
        <f>(O773*T773)/100</f>
        <v/>
      </c>
      <c r="T773" s="157" t="n">
        <v>6.42</v>
      </c>
      <c r="U773" s="157" t="n">
        <v>19819.6</v>
      </c>
      <c r="V773" s="157" t="n">
        <v>37.22</v>
      </c>
      <c r="W773" s="159">
        <f>U773/V773</f>
        <v/>
      </c>
      <c r="X773" s="159">
        <f>(W773/U773)*100</f>
        <v/>
      </c>
      <c r="Y773" s="157" t="n">
        <v>16035.75</v>
      </c>
      <c r="Z773" s="157" t="n">
        <v>30.51</v>
      </c>
      <c r="AA773" s="159">
        <f>Y773/Z773</f>
        <v/>
      </c>
      <c r="AB773" s="159">
        <f>(AA773/Y773)*100</f>
        <v/>
      </c>
    </row>
    <row r="774">
      <c r="A774" s="155" t="n">
        <v>773</v>
      </c>
      <c r="B774" s="156" t="n">
        <v>45698</v>
      </c>
      <c r="C774" s="157" t="n">
        <v>41856905.69</v>
      </c>
      <c r="D774" s="174">
        <f>C774/E774</f>
        <v/>
      </c>
      <c r="E774" s="157" t="n">
        <v>87.46899999999999</v>
      </c>
      <c r="F774" s="159">
        <f>D774/100000</f>
        <v/>
      </c>
      <c r="G774" s="159">
        <f>(F774/DataSheet!$C$12*100)</f>
        <v/>
      </c>
      <c r="H774" s="159">
        <f>K774/I774</f>
        <v/>
      </c>
      <c r="I774" s="159">
        <f>(J774/L774)*100</f>
        <v/>
      </c>
      <c r="J774" s="159">
        <f>L774/O774</f>
        <v/>
      </c>
      <c r="K774" s="157" t="n">
        <v>6.713</v>
      </c>
      <c r="L774" s="157" t="n">
        <v>23381.6</v>
      </c>
      <c r="M774" s="157" t="n">
        <v>3.48</v>
      </c>
      <c r="N774" s="159">
        <f>K774-I774</f>
        <v/>
      </c>
      <c r="O774" s="157" t="n">
        <v>20.82</v>
      </c>
      <c r="P774" s="157" t="n">
        <v>4.5</v>
      </c>
      <c r="Q774" s="159">
        <f>K774-P774</f>
        <v/>
      </c>
      <c r="R774" s="157" t="n">
        <v>108.193</v>
      </c>
      <c r="S774" s="159">
        <f>(O774*T774)/100</f>
        <v/>
      </c>
      <c r="T774" s="157" t="n">
        <v>6.45</v>
      </c>
      <c r="U774" s="157" t="n">
        <v>19406.95</v>
      </c>
      <c r="V774" s="157" t="n">
        <v>36.44</v>
      </c>
      <c r="W774" s="159">
        <f>U774/V774</f>
        <v/>
      </c>
      <c r="X774" s="159">
        <f>(W774/U774)*100</f>
        <v/>
      </c>
      <c r="Y774" s="157" t="n">
        <v>15693.6</v>
      </c>
      <c r="Z774" s="157" t="n">
        <v>29.8</v>
      </c>
      <c r="AA774" s="159">
        <f>Y774/Z774</f>
        <v/>
      </c>
      <c r="AB774" s="159">
        <f>(AA774/Y774)*100</f>
        <v/>
      </c>
    </row>
    <row r="775">
      <c r="A775" s="155" t="n">
        <v>774</v>
      </c>
      <c r="B775" s="156" t="n">
        <v>45699</v>
      </c>
      <c r="C775" s="157" t="n">
        <v>40926436.14</v>
      </c>
      <c r="D775" s="174">
        <f>C775/E775</f>
        <v/>
      </c>
      <c r="E775" s="157" t="n">
        <v>86.789</v>
      </c>
      <c r="F775" s="159">
        <f>D775/100000</f>
        <v/>
      </c>
      <c r="G775" s="159">
        <f>(F775/DataSheet!$C$12*100)</f>
        <v/>
      </c>
      <c r="H775" s="159">
        <f>K775/I775</f>
        <v/>
      </c>
      <c r="I775" s="159">
        <f>(J775/L775)*100</f>
        <v/>
      </c>
      <c r="J775" s="159">
        <f>L775/O775</f>
        <v/>
      </c>
      <c r="K775" s="157" t="n">
        <v>6.697</v>
      </c>
      <c r="L775" s="157" t="n">
        <v>23071.8</v>
      </c>
      <c r="M775" s="157" t="n">
        <v>3.43</v>
      </c>
      <c r="N775" s="159">
        <f>K775-I775</f>
        <v/>
      </c>
      <c r="O775" s="157" t="n">
        <v>20.53</v>
      </c>
      <c r="P775" s="157" t="n">
        <v>4.536</v>
      </c>
      <c r="Q775" s="159">
        <f>K775-P775</f>
        <v/>
      </c>
      <c r="R775" s="157" t="n">
        <v>107.833</v>
      </c>
      <c r="S775" s="159">
        <f>(O775*T775)/100</f>
        <v/>
      </c>
      <c r="T775" s="157" t="n">
        <v>6.45</v>
      </c>
      <c r="U775" s="157" t="n">
        <v>18837</v>
      </c>
      <c r="V775" s="157" t="n">
        <v>35.48</v>
      </c>
      <c r="W775" s="159">
        <f>U775/V775</f>
        <v/>
      </c>
      <c r="X775" s="159">
        <f>(W775/U775)*100</f>
        <v/>
      </c>
      <c r="Y775" s="157" t="n">
        <v>15156.95</v>
      </c>
      <c r="Z775" s="157" t="n">
        <v>28.78</v>
      </c>
      <c r="AA775" s="159">
        <f>Y775/Z775</f>
        <v/>
      </c>
      <c r="AB775" s="159">
        <f>(AA775/Y775)*100</f>
        <v/>
      </c>
    </row>
    <row r="776">
      <c r="A776" s="155" t="n">
        <v>775</v>
      </c>
      <c r="B776" s="156" t="n">
        <v>45700</v>
      </c>
      <c r="C776" s="157" t="n">
        <v>40823480.15</v>
      </c>
      <c r="D776" s="174">
        <f>C776/E776</f>
        <v/>
      </c>
      <c r="E776" s="157" t="n">
        <v>86.90000000000001</v>
      </c>
      <c r="F776" s="159">
        <f>D776/100000</f>
        <v/>
      </c>
      <c r="G776" s="159">
        <f>(F776/DataSheet!$C$12*100)</f>
        <v/>
      </c>
      <c r="H776" s="159">
        <f>K776/I776</f>
        <v/>
      </c>
      <c r="I776" s="159">
        <f>(J776/L776)*100</f>
        <v/>
      </c>
      <c r="J776" s="159">
        <f>L776/O776</f>
        <v/>
      </c>
      <c r="K776" s="157" t="n">
        <v>6.697</v>
      </c>
      <c r="L776" s="157" t="n">
        <v>23045.25</v>
      </c>
      <c r="M776" s="157" t="n">
        <v>3.43</v>
      </c>
      <c r="N776" s="159">
        <f>K776-I776</f>
        <v/>
      </c>
      <c r="O776" s="157" t="n">
        <v>20.52</v>
      </c>
      <c r="P776" s="157" t="n">
        <v>4.625</v>
      </c>
      <c r="Q776" s="159">
        <f>K776-P776</f>
        <v/>
      </c>
      <c r="R776" s="157" t="n">
        <v>107.823</v>
      </c>
      <c r="S776" s="159">
        <f>(O776*T776)/100</f>
        <v/>
      </c>
      <c r="T776" s="157" t="n">
        <v>6.45</v>
      </c>
      <c r="U776" s="157" t="n">
        <v>18766.85</v>
      </c>
      <c r="V776" s="157" t="n">
        <v>35.33</v>
      </c>
      <c r="W776" s="159">
        <f>U776/V776</f>
        <v/>
      </c>
      <c r="X776" s="159">
        <f>(W776/U776)*100</f>
        <v/>
      </c>
      <c r="Y776" s="157" t="n">
        <v>15050.6</v>
      </c>
      <c r="Z776" s="157" t="n">
        <v>28.37</v>
      </c>
      <c r="AA776" s="159">
        <f>Y776/Z776</f>
        <v/>
      </c>
      <c r="AB776" s="159">
        <f>(AA776/Y776)*100</f>
        <v/>
      </c>
    </row>
    <row r="777">
      <c r="A777" s="155" t="n">
        <v>776</v>
      </c>
      <c r="B777" s="156" t="n">
        <v>45701</v>
      </c>
      <c r="C777" s="157" t="n">
        <v>40804909.25</v>
      </c>
      <c r="D777" s="174">
        <f>C777/E777</f>
        <v/>
      </c>
      <c r="E777" s="157" t="n">
        <v>86.69</v>
      </c>
      <c r="F777" s="159">
        <f>D777/100000</f>
        <v/>
      </c>
      <c r="G777" s="159">
        <f>(F777/DataSheet!$C$12*100)</f>
        <v/>
      </c>
      <c r="H777" s="159">
        <f>K777/I777</f>
        <v/>
      </c>
      <c r="I777" s="159">
        <f>(J777/L777)*100</f>
        <v/>
      </c>
      <c r="J777" s="159">
        <f>L777/O777</f>
        <v/>
      </c>
      <c r="K777" s="157" t="n">
        <v>6.712</v>
      </c>
      <c r="L777" s="157" t="n">
        <v>23031.4</v>
      </c>
      <c r="M777" s="157" t="n">
        <v>3.43</v>
      </c>
      <c r="N777" s="159">
        <f>K777-I777</f>
        <v/>
      </c>
      <c r="O777" s="157" t="n">
        <v>20.51</v>
      </c>
      <c r="P777" s="157" t="n">
        <v>4.532</v>
      </c>
      <c r="Q777" s="159">
        <f>K777-P777</f>
        <v/>
      </c>
      <c r="R777" s="157" t="n">
        <v>107.216</v>
      </c>
      <c r="S777" s="159">
        <f>(O777*T777)/100</f>
        <v/>
      </c>
      <c r="T777" s="157" t="n">
        <v>6.46</v>
      </c>
      <c r="U777" s="157" t="n">
        <v>18796.8</v>
      </c>
      <c r="V777" s="157" t="n">
        <v>35.37</v>
      </c>
      <c r="W777" s="159">
        <f>U777/V777</f>
        <v/>
      </c>
      <c r="X777" s="159">
        <f>(W777/U777)*100</f>
        <v/>
      </c>
      <c r="Y777" s="157" t="n">
        <v>14997.5</v>
      </c>
      <c r="Z777" s="157" t="n">
        <v>28.23</v>
      </c>
      <c r="AA777" s="159">
        <f>Y777/Z777</f>
        <v/>
      </c>
      <c r="AB777" s="159">
        <f>(AA777/Y777)*100</f>
        <v/>
      </c>
    </row>
    <row r="778">
      <c r="A778" s="155" t="n">
        <v>777</v>
      </c>
      <c r="B778" s="156" t="n">
        <v>45702</v>
      </c>
      <c r="C778" s="157" t="n">
        <v>40099281.11</v>
      </c>
      <c r="D778" s="174">
        <f>C778/E778</f>
        <v/>
      </c>
      <c r="E778" s="157" t="n">
        <v>86.62</v>
      </c>
      <c r="F778" s="159">
        <f>D778/100000</f>
        <v/>
      </c>
      <c r="G778" s="159">
        <f>(F778/DataSheet!$C$12*100)</f>
        <v/>
      </c>
      <c r="H778" s="159">
        <f>K778/I778</f>
        <v/>
      </c>
      <c r="I778" s="159">
        <f>(J778/L778)*100</f>
        <v/>
      </c>
      <c r="J778" s="159">
        <f>L778/O778</f>
        <v/>
      </c>
      <c r="K778" s="157" t="n">
        <v>6.705</v>
      </c>
      <c r="L778" s="157" t="n">
        <v>22929.25</v>
      </c>
      <c r="M778" s="157" t="n">
        <v>3.41</v>
      </c>
      <c r="N778" s="159">
        <f>K778-I778</f>
        <v/>
      </c>
      <c r="O778" s="157" t="n">
        <v>20.42</v>
      </c>
      <c r="P778" s="157" t="n">
        <v>4.477</v>
      </c>
      <c r="Q778" s="159">
        <f>K778-P778</f>
        <v/>
      </c>
      <c r="R778" s="157" t="n">
        <v>106.575</v>
      </c>
      <c r="S778" s="159">
        <f>(O778*T778)/100</f>
        <v/>
      </c>
      <c r="T778" s="157" t="n">
        <v>6.45</v>
      </c>
      <c r="U778" s="157" t="n">
        <v>18346.8</v>
      </c>
      <c r="V778" s="157" t="n">
        <v>34.41</v>
      </c>
      <c r="W778" s="159">
        <f>U778/V778</f>
        <v/>
      </c>
      <c r="X778" s="159">
        <f>(W778/U778)*100</f>
        <v/>
      </c>
      <c r="Y778" s="157" t="n">
        <v>14501.65</v>
      </c>
      <c r="Z778" s="157" t="n">
        <v>27.52</v>
      </c>
      <c r="AA778" s="159">
        <f>Y778/Z778</f>
        <v/>
      </c>
      <c r="AB778" s="159">
        <f>(AA778/Y778)*100</f>
        <v/>
      </c>
    </row>
    <row r="779">
      <c r="A779" s="155" t="n">
        <v>778</v>
      </c>
      <c r="B779" s="156" t="n">
        <v>45705</v>
      </c>
      <c r="C779" s="157" t="n">
        <v>40084756.53</v>
      </c>
      <c r="D779" s="174">
        <f>C779/E779</f>
        <v/>
      </c>
      <c r="E779" s="157" t="n">
        <v>86.809</v>
      </c>
      <c r="F779" s="159">
        <f>D779/100000</f>
        <v/>
      </c>
      <c r="G779" s="159">
        <f>(F779/DataSheet!$C$12*100)</f>
        <v/>
      </c>
      <c r="H779" s="159">
        <f>K779/I779</f>
        <v/>
      </c>
      <c r="I779" s="159">
        <f>(J779/L779)*100</f>
        <v/>
      </c>
      <c r="J779" s="159">
        <f>L779/O779</f>
        <v/>
      </c>
      <c r="K779" s="157" t="n">
        <v>6.692</v>
      </c>
      <c r="L779" s="157" t="n">
        <v>22959.5</v>
      </c>
      <c r="M779" s="157" t="n">
        <v>3.42</v>
      </c>
      <c r="N779" s="159">
        <f>K779-I779</f>
        <v/>
      </c>
      <c r="O779" s="157" t="n">
        <v>20.44</v>
      </c>
      <c r="P779" s="157" t="n">
        <v>4.477</v>
      </c>
      <c r="Q779" s="159">
        <f>K779-P779</f>
        <v/>
      </c>
      <c r="R779" s="157" t="n">
        <v>106.575</v>
      </c>
      <c r="S779" s="159">
        <f>(O779*T779)/100</f>
        <v/>
      </c>
      <c r="T779" s="157" t="n">
        <v>6.48</v>
      </c>
      <c r="U779" s="157" t="n">
        <v>18408.45</v>
      </c>
      <c r="V779" s="157" t="n">
        <v>34.52</v>
      </c>
      <c r="W779" s="159">
        <f>U779/V779</f>
        <v/>
      </c>
      <c r="X779" s="159">
        <f>(W779/U779)*100</f>
        <v/>
      </c>
      <c r="Y779" s="157" t="n">
        <v>14468.25</v>
      </c>
      <c r="Z779" s="157" t="n">
        <v>27.52</v>
      </c>
      <c r="AA779" s="159">
        <f>Y779/Z779</f>
        <v/>
      </c>
      <c r="AB779" s="159">
        <f>(AA779/Y779)*100</f>
        <v/>
      </c>
    </row>
    <row r="780">
      <c r="A780" s="155" t="n">
        <v>779</v>
      </c>
      <c r="B780" s="156" t="n">
        <v>45706</v>
      </c>
      <c r="C780" s="157" t="n">
        <v>39900574.92</v>
      </c>
      <c r="D780" s="174">
        <f>C780/E780</f>
        <v/>
      </c>
      <c r="E780" s="157" t="n">
        <v>86.867</v>
      </c>
      <c r="F780" s="159">
        <f>D780/100000</f>
        <v/>
      </c>
      <c r="G780" s="159">
        <f>(F780/DataSheet!$C$12*100)</f>
        <v/>
      </c>
      <c r="H780" s="159">
        <f>K780/I780</f>
        <v/>
      </c>
      <c r="I780" s="159">
        <f>(J780/L780)*100</f>
        <v/>
      </c>
      <c r="J780" s="159">
        <f>L780/O780</f>
        <v/>
      </c>
      <c r="K780" s="157" t="n">
        <v>6.682</v>
      </c>
      <c r="L780" s="157" t="n">
        <v>22945.3</v>
      </c>
      <c r="M780" s="157" t="n">
        <v>3.42</v>
      </c>
      <c r="N780" s="159">
        <f>K780-I780</f>
        <v/>
      </c>
      <c r="O780" s="157" t="n">
        <v>20.4</v>
      </c>
      <c r="P780" s="157" t="n">
        <v>4.551</v>
      </c>
      <c r="Q780" s="159">
        <f>K780-P780</f>
        <v/>
      </c>
      <c r="R780" s="157" t="n">
        <v>106.955</v>
      </c>
      <c r="S780" s="159">
        <f>(O780*T780)/100</f>
        <v/>
      </c>
      <c r="T780" s="157" t="n">
        <v>6.48</v>
      </c>
      <c r="U780" s="157" t="n">
        <v>18375.85</v>
      </c>
      <c r="V780" s="157" t="n">
        <v>34.48</v>
      </c>
      <c r="W780" s="159">
        <f>U780/V780</f>
        <v/>
      </c>
      <c r="X780" s="159">
        <f>(W780/U780)*100</f>
        <v/>
      </c>
      <c r="Y780" s="157" t="n">
        <v>14267.95</v>
      </c>
      <c r="Z780" s="157" t="n">
        <v>26.86</v>
      </c>
      <c r="AA780" s="159">
        <f>Y780/Z780</f>
        <v/>
      </c>
      <c r="AB780" s="159">
        <f>(AA780/Y780)*100</f>
        <v/>
      </c>
    </row>
    <row r="781">
      <c r="A781" s="155" t="n">
        <v>780</v>
      </c>
      <c r="B781" s="156" t="n">
        <v>45707</v>
      </c>
      <c r="C781" s="157" t="n">
        <v>40251018.95</v>
      </c>
      <c r="D781" s="174">
        <f>C781/E781</f>
        <v/>
      </c>
      <c r="E781" s="157" t="n">
        <v>86.89</v>
      </c>
      <c r="F781" s="159">
        <f>D781/100000</f>
        <v/>
      </c>
      <c r="G781" s="159">
        <f>(F781/DataSheet!$C$12*100)</f>
        <v/>
      </c>
      <c r="H781" s="159">
        <f>K781/I781</f>
        <v/>
      </c>
      <c r="I781" s="159">
        <f>(J781/L781)*100</f>
        <v/>
      </c>
      <c r="J781" s="159">
        <f>L781/O781</f>
        <v/>
      </c>
      <c r="K781" s="157" t="n">
        <v>6.682</v>
      </c>
      <c r="L781" s="157" t="n">
        <v>22932.9</v>
      </c>
      <c r="M781" s="157" t="n">
        <v>3.41</v>
      </c>
      <c r="N781" s="159">
        <f>K781-I781</f>
        <v/>
      </c>
      <c r="O781" s="157" t="n">
        <v>20.38</v>
      </c>
      <c r="P781" s="157" t="n">
        <v>4.534</v>
      </c>
      <c r="Q781" s="159">
        <f>K781-P781</f>
        <v/>
      </c>
      <c r="R781" s="157" t="n">
        <v>107.063</v>
      </c>
      <c r="S781" s="159">
        <f>(O781*T781)/100</f>
        <v/>
      </c>
      <c r="T781" s="157" t="n">
        <v>6.48</v>
      </c>
      <c r="U781" s="157" t="n">
        <v>18644.9</v>
      </c>
      <c r="V781" s="157" t="n">
        <v>35.12</v>
      </c>
      <c r="W781" s="159">
        <f>U781/V781</f>
        <v/>
      </c>
      <c r="X781" s="159">
        <f>(W781/U781)*100</f>
        <v/>
      </c>
      <c r="Y781" s="157" t="n">
        <v>14588.65</v>
      </c>
      <c r="Z781" s="157" t="n">
        <v>27.46</v>
      </c>
      <c r="AA781" s="159">
        <f>Y781/Z781</f>
        <v/>
      </c>
      <c r="AB781" s="159">
        <f>(AA781/Y781)*100</f>
        <v/>
      </c>
    </row>
    <row r="782">
      <c r="A782" s="155" t="n">
        <v>781</v>
      </c>
      <c r="B782" s="156" t="n">
        <v>45708</v>
      </c>
      <c r="C782" s="157" t="n">
        <v>40556203.22</v>
      </c>
      <c r="D782" s="174">
        <f>C782/E782</f>
        <v/>
      </c>
      <c r="E782" s="157" t="n">
        <v>86.56100000000001</v>
      </c>
      <c r="F782" s="159">
        <f>D782/100000</f>
        <v/>
      </c>
      <c r="G782" s="159">
        <f>(F782/DataSheet!$C$12*100)</f>
        <v/>
      </c>
      <c r="H782" s="159">
        <f>K782/I782</f>
        <v/>
      </c>
      <c r="I782" s="159">
        <f>(J782/L782)*100</f>
        <v/>
      </c>
      <c r="J782" s="159">
        <f>L782/O782</f>
        <v/>
      </c>
      <c r="K782" s="157" t="n">
        <v>6.703</v>
      </c>
      <c r="L782" s="157" t="n">
        <v>22913.15</v>
      </c>
      <c r="M782" s="157" t="n">
        <v>3.41</v>
      </c>
      <c r="N782" s="159">
        <f>K782-I782</f>
        <v/>
      </c>
      <c r="O782" s="157" t="n">
        <v>20.37</v>
      </c>
      <c r="P782" s="157" t="n">
        <v>4.506</v>
      </c>
      <c r="Q782" s="159">
        <f>K782-P782</f>
        <v/>
      </c>
      <c r="R782" s="157" t="n">
        <v>106.269</v>
      </c>
      <c r="S782" s="159">
        <f>(O782*T782)/100</f>
        <v/>
      </c>
      <c r="T782" s="157" t="n">
        <v>6.44</v>
      </c>
      <c r="U782" s="157" t="n">
        <v>18888.8</v>
      </c>
      <c r="V782" s="157" t="n">
        <v>35.58</v>
      </c>
      <c r="W782" s="159">
        <f>U782/V782</f>
        <v/>
      </c>
      <c r="X782" s="159">
        <f>(W782/U782)*100</f>
        <v/>
      </c>
      <c r="Y782" s="157" t="n">
        <v>14767.3</v>
      </c>
      <c r="Z782" s="157" t="n">
        <v>27.8</v>
      </c>
      <c r="AA782" s="159">
        <f>Y782/Z782</f>
        <v/>
      </c>
      <c r="AB782" s="159">
        <f>(AA782/Y782)*100</f>
        <v/>
      </c>
    </row>
    <row r="783">
      <c r="A783" s="155" t="n">
        <v>782</v>
      </c>
      <c r="B783" s="156" t="n">
        <v>45709</v>
      </c>
      <c r="C783" s="157" t="n">
        <v>40295043.35</v>
      </c>
      <c r="D783" s="174">
        <f>C783/E783</f>
        <v/>
      </c>
      <c r="E783" s="157" t="n">
        <v>86.572</v>
      </c>
      <c r="F783" s="159">
        <f>D783/100000</f>
        <v/>
      </c>
      <c r="G783" s="159">
        <f>(F783/DataSheet!$C$12*100)</f>
        <v/>
      </c>
      <c r="H783" s="159">
        <f>K783/I783</f>
        <v/>
      </c>
      <c r="I783" s="159">
        <f>(J783/L783)*100</f>
        <v/>
      </c>
      <c r="J783" s="159">
        <f>L783/O783</f>
        <v/>
      </c>
      <c r="K783" s="157" t="n">
        <v>6.708</v>
      </c>
      <c r="L783" s="157" t="n">
        <v>22795.9</v>
      </c>
      <c r="M783" s="157" t="n">
        <v>3.39</v>
      </c>
      <c r="N783" s="159">
        <f>K783-I783</f>
        <v/>
      </c>
      <c r="O783" s="157" t="n">
        <v>20.26</v>
      </c>
      <c r="P783" s="157" t="n">
        <v>4.43</v>
      </c>
      <c r="Q783" s="159">
        <f>K783-P783</f>
        <v/>
      </c>
      <c r="R783" s="157" t="n">
        <v>106.519</v>
      </c>
      <c r="S783" s="159">
        <f>(O783*T783)/100</f>
        <v/>
      </c>
      <c r="T783" s="157" t="n">
        <v>6.46</v>
      </c>
      <c r="U783" s="157" t="n">
        <v>18681.35</v>
      </c>
      <c r="V783" s="157" t="n">
        <v>35.19</v>
      </c>
      <c r="W783" s="159">
        <f>U783/V783</f>
        <v/>
      </c>
      <c r="X783" s="159">
        <f>(W783/U783)*100</f>
        <v/>
      </c>
      <c r="Y783" s="157" t="n">
        <v>14683.4</v>
      </c>
      <c r="Z783" s="157" t="n">
        <v>27.64</v>
      </c>
      <c r="AA783" s="159">
        <f>Y783/Z783</f>
        <v/>
      </c>
      <c r="AB783" s="159">
        <f>(AA783/Y783)*100</f>
        <v/>
      </c>
    </row>
    <row r="784">
      <c r="A784" s="155" t="n">
        <v>783</v>
      </c>
      <c r="B784" s="156" t="n">
        <v>45712</v>
      </c>
      <c r="C784" s="157" t="n">
        <v>39853380.65</v>
      </c>
      <c r="D784" s="174">
        <f>C784/E784</f>
        <v/>
      </c>
      <c r="E784" s="157" t="n">
        <v>86.66</v>
      </c>
      <c r="F784" s="159">
        <f>D784/100000</f>
        <v/>
      </c>
      <c r="G784" s="159">
        <f>(F784/DataSheet!$C$12*100)</f>
        <v/>
      </c>
      <c r="H784" s="159">
        <f>K784/I784</f>
        <v/>
      </c>
      <c r="I784" s="159">
        <f>(J784/L784)*100</f>
        <v/>
      </c>
      <c r="J784" s="159">
        <f>L784/O784</f>
        <v/>
      </c>
      <c r="K784" s="157" t="n">
        <v>6.7</v>
      </c>
      <c r="L784" s="157" t="n">
        <v>22553.35</v>
      </c>
      <c r="M784" s="157" t="n">
        <v>3.36</v>
      </c>
      <c r="N784" s="159">
        <f>K784-I784</f>
        <v/>
      </c>
      <c r="O784" s="157" t="n">
        <v>20.05</v>
      </c>
      <c r="P784" s="157" t="n">
        <v>4.399</v>
      </c>
      <c r="Q784" s="159">
        <f>K784-P784</f>
        <v/>
      </c>
      <c r="R784" s="157" t="n">
        <v>106.509</v>
      </c>
      <c r="S784" s="159">
        <f>(O784*T784)/100</f>
        <v/>
      </c>
      <c r="T784" s="157" t="n">
        <v>6.42</v>
      </c>
      <c r="U784" s="157" t="n">
        <v>18503.9</v>
      </c>
      <c r="V784" s="157" t="n">
        <v>34.85</v>
      </c>
      <c r="W784" s="159">
        <f>U784/V784</f>
        <v/>
      </c>
      <c r="X784" s="159">
        <f>(W784/U784)*100</f>
        <v/>
      </c>
      <c r="Y784" s="157" t="n">
        <v>14506.45</v>
      </c>
      <c r="Z784" s="157" t="n">
        <v>27.31</v>
      </c>
      <c r="AA784" s="159">
        <f>Y784/Z784</f>
        <v/>
      </c>
      <c r="AB784" s="159">
        <f>(AA784/Y784)*100</f>
        <v/>
      </c>
    </row>
    <row r="785">
      <c r="A785" s="155" t="n">
        <v>784</v>
      </c>
      <c r="B785" s="156" t="n">
        <v>45713</v>
      </c>
      <c r="C785" s="157" t="n">
        <v>39721225.36</v>
      </c>
      <c r="D785" s="174">
        <f>C785/E785</f>
        <v/>
      </c>
      <c r="E785" s="157" t="n">
        <v>87.13</v>
      </c>
      <c r="F785" s="159">
        <f>D785/100000</f>
        <v/>
      </c>
      <c r="G785" s="159">
        <f>(F785/DataSheet!$C$12*100)</f>
        <v/>
      </c>
      <c r="H785" s="159">
        <f>K785/I785</f>
        <v/>
      </c>
      <c r="I785" s="159">
        <f>(J785/L785)*100</f>
        <v/>
      </c>
      <c r="J785" s="159">
        <f>L785/O785</f>
        <v/>
      </c>
      <c r="K785" s="157" t="n">
        <v>6.706</v>
      </c>
      <c r="L785" s="157" t="n">
        <v>22547.55</v>
      </c>
      <c r="M785" s="157" t="n">
        <v>3.36</v>
      </c>
      <c r="N785" s="159">
        <f>K785-I785</f>
        <v/>
      </c>
      <c r="O785" s="157" t="n">
        <v>20.04</v>
      </c>
      <c r="P785" s="157" t="n">
        <v>4.297</v>
      </c>
      <c r="Q785" s="159">
        <f>K785-P785</f>
        <v/>
      </c>
      <c r="R785" s="157" t="n">
        <v>106.228</v>
      </c>
      <c r="S785" s="159">
        <f>(O785*T785)/100</f>
        <v/>
      </c>
      <c r="T785" s="157" t="n">
        <v>6.43</v>
      </c>
      <c r="U785" s="157" t="n">
        <v>18408.75</v>
      </c>
      <c r="V785" s="157" t="n">
        <v>34.67</v>
      </c>
      <c r="W785" s="159">
        <f>U785/V785</f>
        <v/>
      </c>
      <c r="X785" s="159">
        <f>(W785/U785)*100</f>
        <v/>
      </c>
      <c r="Y785" s="157" t="n">
        <v>14441.7</v>
      </c>
      <c r="Z785" s="157" t="n">
        <v>27.18</v>
      </c>
      <c r="AA785" s="159">
        <f>Y785/Z785</f>
        <v/>
      </c>
      <c r="AB785" s="159">
        <f>(AA785/Y785)*100</f>
        <v/>
      </c>
    </row>
    <row r="786">
      <c r="A786" s="155" t="n">
        <v>785</v>
      </c>
      <c r="B786" s="156" t="n">
        <v>45715</v>
      </c>
      <c r="C786" s="157" t="n">
        <v>39379355.46</v>
      </c>
      <c r="D786" s="174">
        <f>C786/E786</f>
        <v/>
      </c>
      <c r="E786" s="157" t="n">
        <v>87.33</v>
      </c>
      <c r="F786" s="159">
        <f>D786/100000</f>
        <v/>
      </c>
      <c r="G786" s="159">
        <f>(F786/DataSheet!$C$12*100)</f>
        <v/>
      </c>
      <c r="H786" s="159">
        <f>K786/I786</f>
        <v/>
      </c>
      <c r="I786" s="159">
        <f>(J786/L786)*100</f>
        <v/>
      </c>
      <c r="J786" s="159">
        <f>L786/O786</f>
        <v/>
      </c>
      <c r="K786" s="157" t="n">
        <v>6.71</v>
      </c>
      <c r="L786" s="157" t="n">
        <v>22545.05</v>
      </c>
      <c r="M786" s="157" t="n">
        <v>3.36</v>
      </c>
      <c r="N786" s="159">
        <f>K786-I786</f>
        <v/>
      </c>
      <c r="O786" s="157" t="n">
        <v>20.04</v>
      </c>
      <c r="P786" s="157" t="n">
        <v>4.265</v>
      </c>
      <c r="Q786" s="159">
        <f>K786-P786</f>
        <v/>
      </c>
      <c r="R786" s="157" t="n">
        <v>107.176</v>
      </c>
      <c r="S786" s="159">
        <f>(O786*T786)/100</f>
        <v/>
      </c>
      <c r="T786" s="157" t="n">
        <v>6.42</v>
      </c>
      <c r="U786" s="157" t="n">
        <v>18176.85</v>
      </c>
      <c r="V786" s="157" t="n">
        <v>34.24</v>
      </c>
      <c r="W786" s="159">
        <f>U786/V786</f>
        <v/>
      </c>
      <c r="X786" s="159">
        <f>(W786/U786)*100</f>
        <v/>
      </c>
      <c r="Y786" s="157" t="n">
        <v>14200.2</v>
      </c>
      <c r="Z786" s="157" t="n">
        <v>26.73</v>
      </c>
      <c r="AA786" s="159">
        <f>Y786/Z786</f>
        <v/>
      </c>
      <c r="AB786" s="159">
        <f>(AA786/Y786)*100</f>
        <v/>
      </c>
    </row>
    <row r="787">
      <c r="A787" s="155" t="n">
        <v>786</v>
      </c>
      <c r="B787" s="156" t="n">
        <v>45716</v>
      </c>
      <c r="C787" s="157" t="n">
        <v>38460048.27</v>
      </c>
      <c r="D787" s="174">
        <f>C787/E787</f>
        <v/>
      </c>
      <c r="E787" s="157" t="n">
        <v>87.46599999999999</v>
      </c>
      <c r="F787" s="159">
        <f>D787/100000</f>
        <v/>
      </c>
      <c r="G787" s="159">
        <f>(F787/DataSheet!$C$12*100)</f>
        <v/>
      </c>
      <c r="H787" s="159">
        <f>K787/I787</f>
        <v/>
      </c>
      <c r="I787" s="159">
        <f>(J787/L787)*100</f>
        <v/>
      </c>
      <c r="J787" s="159">
        <f>L787/O787</f>
        <v/>
      </c>
      <c r="K787" s="157" t="n">
        <v>6.72</v>
      </c>
      <c r="L787" s="157" t="n">
        <v>22124.7</v>
      </c>
      <c r="M787" s="157" t="n">
        <v>3.29</v>
      </c>
      <c r="N787" s="159">
        <f>K787-I787</f>
        <v/>
      </c>
      <c r="O787" s="157" t="n">
        <v>19.67</v>
      </c>
      <c r="P787" s="157" t="n">
        <v>4.202</v>
      </c>
      <c r="Q787" s="159">
        <f>K787-P787</f>
        <v/>
      </c>
      <c r="R787" s="157" t="n">
        <v>107.558</v>
      </c>
      <c r="S787" s="159">
        <f>(O787*T787)/100</f>
        <v/>
      </c>
      <c r="T787" s="157" t="n">
        <v>6.43</v>
      </c>
      <c r="U787" s="157" t="n">
        <v>17750.55</v>
      </c>
      <c r="V787" s="157" t="n">
        <v>33.44</v>
      </c>
      <c r="W787" s="159">
        <f>U787/V787</f>
        <v/>
      </c>
      <c r="X787" s="159">
        <f>(W787/U787)*100</f>
        <v/>
      </c>
      <c r="Y787" s="157" t="n">
        <v>13844.55</v>
      </c>
      <c r="Z787" s="157" t="n">
        <v>26.09</v>
      </c>
      <c r="AA787" s="159">
        <f>Y787/Z787</f>
        <v/>
      </c>
      <c r="AB787" s="159">
        <f>(AA787/Y787)*100</f>
        <v/>
      </c>
    </row>
    <row r="788">
      <c r="A788" s="155" t="n">
        <v>787</v>
      </c>
      <c r="B788" s="163" t="n">
        <v>45719</v>
      </c>
      <c r="C788" s="164" t="n">
        <v>38444417.77</v>
      </c>
      <c r="D788" s="173">
        <f>C788/E788</f>
        <v/>
      </c>
      <c r="E788" s="164" t="n">
        <v>87.26000000000001</v>
      </c>
      <c r="F788" s="158">
        <f>D788/100000</f>
        <v/>
      </c>
      <c r="G788" s="159">
        <f>(F788/DataSheet!$C$12*100)</f>
        <v/>
      </c>
      <c r="H788" s="158">
        <f>K788/I788</f>
        <v/>
      </c>
      <c r="I788" s="158">
        <f>(J788/L788)*100</f>
        <v/>
      </c>
      <c r="J788" s="159">
        <f>L788/O788</f>
        <v/>
      </c>
      <c r="K788" s="164" t="n">
        <v>6.73</v>
      </c>
      <c r="L788" s="164" t="n">
        <v>22119.3</v>
      </c>
      <c r="M788" s="164" t="n">
        <v>3.29</v>
      </c>
      <c r="N788" s="158">
        <f>K788-I788</f>
        <v/>
      </c>
      <c r="O788" s="164" t="n">
        <v>19.66</v>
      </c>
      <c r="P788" s="164" t="n">
        <v>4.158</v>
      </c>
      <c r="Q788" s="158">
        <f>K788-P788</f>
        <v/>
      </c>
      <c r="R788" s="164" t="n">
        <v>106.669</v>
      </c>
      <c r="S788" s="159">
        <f>(O788*T788)/100</f>
        <v/>
      </c>
      <c r="T788" s="157" t="n">
        <v>6.44</v>
      </c>
      <c r="U788" s="157" t="n">
        <v>17778.55</v>
      </c>
      <c r="V788" s="157" t="n">
        <v>33.49</v>
      </c>
      <c r="W788" s="159">
        <f>U788/V788</f>
        <v/>
      </c>
      <c r="X788" s="159">
        <f>(W788/U788)*100</f>
        <v/>
      </c>
      <c r="Y788" s="157" t="n">
        <v>13755.9</v>
      </c>
      <c r="Z788" s="157" t="n">
        <v>25.92</v>
      </c>
      <c r="AA788" s="159">
        <f>Y788/Z788</f>
        <v/>
      </c>
      <c r="AB788" s="159">
        <f>(AA788/Y788)*100</f>
        <v/>
      </c>
    </row>
    <row r="789">
      <c r="A789" s="155" t="n">
        <v>788</v>
      </c>
      <c r="B789" s="156" t="n">
        <v>45720</v>
      </c>
      <c r="C789" s="157" t="n">
        <v>38559355</v>
      </c>
      <c r="D789" s="174">
        <f>C789/E789</f>
        <v/>
      </c>
      <c r="E789" s="157" t="n">
        <v>87.255</v>
      </c>
      <c r="F789" s="159">
        <f>D789/100000</f>
        <v/>
      </c>
      <c r="G789" s="159">
        <f>(F789/DataSheet!$C$12*100)</f>
        <v/>
      </c>
      <c r="H789" s="159">
        <f>K789/I789</f>
        <v/>
      </c>
      <c r="I789" s="159">
        <f>(J789/L789)*100</f>
        <v/>
      </c>
      <c r="J789" s="159">
        <f>L789/O789</f>
        <v/>
      </c>
      <c r="K789" s="157" t="n">
        <v>6.74</v>
      </c>
      <c r="L789" s="157" t="n">
        <v>22082.65</v>
      </c>
      <c r="M789" s="157" t="n">
        <v>3.29</v>
      </c>
      <c r="N789" s="159">
        <f>K789-I789</f>
        <v/>
      </c>
      <c r="O789" s="157" t="n">
        <v>19.63</v>
      </c>
      <c r="P789" s="157" t="n">
        <v>4.241</v>
      </c>
      <c r="Q789" s="159">
        <f>K789-P789</f>
        <v/>
      </c>
      <c r="R789" s="157" t="n">
        <v>105.687</v>
      </c>
      <c r="S789" s="159">
        <f>(O789*T789)/100</f>
        <v/>
      </c>
      <c r="T789" s="157" t="n">
        <v>6.44</v>
      </c>
      <c r="U789" s="157" t="n">
        <v>17807.3</v>
      </c>
      <c r="V789" s="157" t="n">
        <v>33.55</v>
      </c>
      <c r="W789" s="159">
        <f>U789/V789</f>
        <v/>
      </c>
      <c r="X789" s="159">
        <f>(W789/U789)*100</f>
        <v/>
      </c>
      <c r="Y789" s="157" t="n">
        <v>13914.1</v>
      </c>
      <c r="Z789" s="157" t="n">
        <v>26.23</v>
      </c>
      <c r="AA789" s="159">
        <f>Y789/Z789</f>
        <v/>
      </c>
      <c r="AB789" s="159">
        <f>(AA789/Y789)*100</f>
        <v/>
      </c>
    </row>
    <row r="790">
      <c r="A790" s="155" t="n">
        <v>789</v>
      </c>
      <c r="B790" s="156" t="n">
        <v>45721</v>
      </c>
      <c r="C790" s="157" t="n">
        <v>39362308.05</v>
      </c>
      <c r="D790" s="174">
        <f>C790/E790</f>
        <v/>
      </c>
      <c r="E790" s="157" t="n">
        <v>86.88</v>
      </c>
      <c r="F790" s="159">
        <f>D790/100000</f>
        <v/>
      </c>
      <c r="G790" s="159">
        <f>(F790/DataSheet!$C$12*100)</f>
        <v/>
      </c>
      <c r="H790" s="159">
        <f>K790/I790</f>
        <v/>
      </c>
      <c r="I790" s="159">
        <f>(J790/L790)*100</f>
        <v/>
      </c>
      <c r="J790" s="159">
        <f>L790/O790</f>
        <v/>
      </c>
      <c r="K790" s="157" t="n">
        <v>6.71</v>
      </c>
      <c r="L790" s="157" t="n">
        <v>22337.3</v>
      </c>
      <c r="M790" s="157" t="n">
        <v>3.33</v>
      </c>
      <c r="N790" s="159">
        <f>K790-I790</f>
        <v/>
      </c>
      <c r="O790" s="157" t="n">
        <v>19.86</v>
      </c>
      <c r="P790" s="157" t="n">
        <v>4.279</v>
      </c>
      <c r="Q790" s="159">
        <f>K790-P790</f>
        <v/>
      </c>
      <c r="R790" s="157" t="n">
        <v>104.252</v>
      </c>
      <c r="S790" s="159">
        <f>(O790*T790)/100</f>
        <v/>
      </c>
      <c r="T790" s="157" t="n">
        <v>6.45</v>
      </c>
      <c r="U790" s="157" t="n">
        <v>18240.15</v>
      </c>
      <c r="V790" s="157" t="n">
        <v>34.36</v>
      </c>
      <c r="W790" s="159">
        <f>U790/V790</f>
        <v/>
      </c>
      <c r="X790" s="159">
        <f>(W790/U790)*100</f>
        <v/>
      </c>
      <c r="Y790" s="157" t="n">
        <v>14291.05</v>
      </c>
      <c r="Z790" s="157" t="n">
        <v>26.94</v>
      </c>
      <c r="AA790" s="159">
        <f>Y790/Z790</f>
        <v/>
      </c>
      <c r="AB790" s="159">
        <f>(AA790/Y790)*100</f>
        <v/>
      </c>
    </row>
    <row r="791">
      <c r="A791" s="155" t="n">
        <v>790</v>
      </c>
      <c r="B791" s="156" t="n">
        <v>45722</v>
      </c>
      <c r="C791" s="157" t="n">
        <v>39827293.98</v>
      </c>
      <c r="D791" s="174">
        <f>C791/E791</f>
        <v/>
      </c>
      <c r="E791" s="157" t="n">
        <v>87.011</v>
      </c>
      <c r="F791" s="159">
        <f>D791/100000</f>
        <v/>
      </c>
      <c r="G791" s="159">
        <f>(F791/DataSheet!$C$12*100)</f>
        <v/>
      </c>
      <c r="H791" s="159">
        <f>K791/I791</f>
        <v/>
      </c>
      <c r="I791" s="159">
        <f>(J791/L791)*100</f>
        <v/>
      </c>
      <c r="J791" s="159">
        <f>L791/O791</f>
        <v/>
      </c>
      <c r="K791" s="157" t="n">
        <v>6.68</v>
      </c>
      <c r="L791" s="157" t="n">
        <v>22544.7</v>
      </c>
      <c r="M791" s="157" t="n">
        <v>3.36</v>
      </c>
      <c r="N791" s="159">
        <f>K791-I791</f>
        <v/>
      </c>
      <c r="O791" s="157" t="n">
        <v>20.04</v>
      </c>
      <c r="P791" s="157" t="n">
        <v>4.279</v>
      </c>
      <c r="Q791" s="159">
        <f>K791-P791</f>
        <v/>
      </c>
      <c r="R791" s="157" t="n">
        <v>104.028</v>
      </c>
      <c r="S791" s="159">
        <f>(O791*T791)/100</f>
        <v/>
      </c>
      <c r="T791" s="157" t="n">
        <v>6.47</v>
      </c>
      <c r="U791" s="157" t="n">
        <v>18341</v>
      </c>
      <c r="V791" s="157" t="n">
        <v>34.55</v>
      </c>
      <c r="W791" s="159">
        <f>U791/V791</f>
        <v/>
      </c>
      <c r="X791" s="159">
        <f>(W791/U791)*100</f>
        <v/>
      </c>
      <c r="Y791" s="157" t="n">
        <v>14503.3</v>
      </c>
      <c r="Z791" s="157" t="n">
        <v>27.34</v>
      </c>
      <c r="AA791" s="159">
        <f>Y791/Z791</f>
        <v/>
      </c>
      <c r="AB791" s="159">
        <f>(AA791/Y791)*100</f>
        <v/>
      </c>
    </row>
    <row r="792">
      <c r="A792" s="155" t="n">
        <v>791</v>
      </c>
      <c r="B792" s="156" t="n">
        <v>45723</v>
      </c>
      <c r="C792" s="157" t="n">
        <v>39899021</v>
      </c>
      <c r="D792" s="174">
        <f>C792/E792</f>
        <v/>
      </c>
      <c r="E792" s="157" t="n">
        <v>87.09999999999999</v>
      </c>
      <c r="F792" s="159">
        <f>D792/100000</f>
        <v/>
      </c>
      <c r="G792" s="159">
        <f>(F792/DataSheet!$C$12*100)</f>
        <v/>
      </c>
      <c r="H792" s="159">
        <f>K792/I792</f>
        <v/>
      </c>
      <c r="I792" s="159">
        <f>(J792/L792)*100</f>
        <v/>
      </c>
      <c r="J792" s="159">
        <f>L792/O792</f>
        <v/>
      </c>
      <c r="K792" s="157" t="n">
        <v>6.68</v>
      </c>
      <c r="L792" s="157" t="n">
        <v>22552.5</v>
      </c>
      <c r="M792" s="157" t="n">
        <v>3.36</v>
      </c>
      <c r="N792" s="159">
        <f>K792-I792</f>
        <v/>
      </c>
      <c r="O792" s="157" t="n">
        <v>20.05</v>
      </c>
      <c r="P792" s="157" t="n">
        <v>4.304</v>
      </c>
      <c r="Q792" s="159">
        <f>K792-P792</f>
        <v/>
      </c>
      <c r="R792" s="157" t="n">
        <v>103.812</v>
      </c>
      <c r="S792" s="159">
        <f>(O792*T792)/100</f>
        <v/>
      </c>
      <c r="T792" s="157" t="n">
        <v>6.47</v>
      </c>
      <c r="U792" s="157" t="n">
        <v>18290.6</v>
      </c>
      <c r="V792" s="157" t="n">
        <v>34.46</v>
      </c>
      <c r="W792" s="159">
        <f>U792/V792</f>
        <v/>
      </c>
      <c r="X792" s="159">
        <f>(W792/U792)*100</f>
        <v/>
      </c>
      <c r="Y792" s="157" t="n">
        <v>14602.95</v>
      </c>
      <c r="Z792" s="157" t="n">
        <v>27.53</v>
      </c>
      <c r="AA792" s="159">
        <f>Y792/Z792</f>
        <v/>
      </c>
      <c r="AB792" s="159">
        <f>(AA792/Y792)*100</f>
        <v/>
      </c>
    </row>
    <row r="793">
      <c r="A793" s="155" t="n">
        <v>792</v>
      </c>
      <c r="B793" s="156" t="n">
        <v>45726</v>
      </c>
      <c r="C793" s="157" t="n">
        <v>39441215.07</v>
      </c>
      <c r="D793" s="174">
        <f>C793/E793</f>
        <v/>
      </c>
      <c r="E793" s="157" t="n">
        <v>87.29000000000001</v>
      </c>
      <c r="F793" s="159">
        <f>D793/100000</f>
        <v/>
      </c>
      <c r="G793" s="159">
        <f>(F793/DataSheet!$C$12*100)</f>
        <v/>
      </c>
      <c r="H793" s="159">
        <f>K793/I793</f>
        <v/>
      </c>
      <c r="I793" s="159">
        <f>(J793/L793)*100</f>
        <v/>
      </c>
      <c r="J793" s="159">
        <f>L793/O793</f>
        <v/>
      </c>
      <c r="K793" s="157" t="n">
        <v>6.7</v>
      </c>
      <c r="L793" s="157" t="n">
        <v>22460.3</v>
      </c>
      <c r="M793" s="157" t="n">
        <v>3.34</v>
      </c>
      <c r="N793" s="159">
        <f>K793-I793</f>
        <v/>
      </c>
      <c r="O793" s="157" t="n">
        <v>19.96</v>
      </c>
      <c r="P793" s="157" t="n">
        <v>4.218</v>
      </c>
      <c r="Q793" s="159">
        <f>K793-P793</f>
        <v/>
      </c>
      <c r="R793" s="157" t="n">
        <v>103.62</v>
      </c>
      <c r="S793" s="159">
        <f>(O793*T793)/100</f>
        <v/>
      </c>
      <c r="T793" s="157" t="n">
        <v>6.47</v>
      </c>
      <c r="U793" s="157" t="n">
        <v>18031.1</v>
      </c>
      <c r="V793" s="157" t="n">
        <v>33.97</v>
      </c>
      <c r="W793" s="159">
        <f>U793/V793</f>
        <v/>
      </c>
      <c r="X793" s="159">
        <f>(W793/U793)*100</f>
        <v/>
      </c>
      <c r="Y793" s="157" t="n">
        <v>14325.15</v>
      </c>
      <c r="Z793" s="157" t="n">
        <v>27</v>
      </c>
      <c r="AA793" s="159">
        <f>Y793/Z793</f>
        <v/>
      </c>
      <c r="AB793" s="159">
        <f>(AA793/Y793)*100</f>
        <v/>
      </c>
    </row>
    <row r="794">
      <c r="A794" s="155" t="n">
        <v>793</v>
      </c>
      <c r="B794" s="156" t="n">
        <v>45727</v>
      </c>
      <c r="C794" s="157" t="n">
        <v>39484060.52</v>
      </c>
      <c r="D794" s="174">
        <f>C794/E794</f>
        <v/>
      </c>
      <c r="E794" s="157" t="n">
        <v>87.176</v>
      </c>
      <c r="F794" s="159">
        <f>D794/100000</f>
        <v/>
      </c>
      <c r="G794" s="159">
        <f>(F794/DataSheet!$C$12*100)</f>
        <v/>
      </c>
      <c r="H794" s="159">
        <f>K794/I794</f>
        <v/>
      </c>
      <c r="I794" s="159">
        <f>(J794/L794)*100</f>
        <v/>
      </c>
      <c r="J794" s="159">
        <f>L794/O794</f>
        <v/>
      </c>
      <c r="K794" s="157" t="n">
        <v>6.69</v>
      </c>
      <c r="L794" s="157" t="n">
        <v>22497.9</v>
      </c>
      <c r="M794" s="157" t="n">
        <v>3.35</v>
      </c>
      <c r="N794" s="159">
        <f>K794-I794</f>
        <v/>
      </c>
      <c r="O794" s="157" t="n">
        <v>20</v>
      </c>
      <c r="P794" s="157" t="n">
        <v>4.281</v>
      </c>
      <c r="Q794" s="159">
        <f>K794-P794</f>
        <v/>
      </c>
      <c r="R794" s="157" t="n">
        <v>102.931</v>
      </c>
      <c r="S794" s="159">
        <f>(O794*T794)/100</f>
        <v/>
      </c>
      <c r="T794" s="157" t="n">
        <v>6.47</v>
      </c>
      <c r="U794" s="157" t="n">
        <v>18106.9</v>
      </c>
      <c r="V794" s="157" t="n">
        <v>34.11</v>
      </c>
      <c r="W794" s="159">
        <f>U794/V794</f>
        <v/>
      </c>
      <c r="X794" s="159">
        <f>(W794/U794)*100</f>
        <v/>
      </c>
      <c r="Y794" s="157" t="n">
        <v>14232</v>
      </c>
      <c r="Z794" s="157" t="n">
        <v>26.83</v>
      </c>
      <c r="AA794" s="159">
        <f>Y794/Z794</f>
        <v/>
      </c>
      <c r="AB794" s="159">
        <f>(AA794/Y794)*100</f>
        <v/>
      </c>
    </row>
    <row r="795">
      <c r="A795" s="155" t="n">
        <v>794</v>
      </c>
      <c r="B795" s="156" t="n">
        <v>45728</v>
      </c>
      <c r="C795" s="157" t="n">
        <v>39343551.41</v>
      </c>
      <c r="D795" s="174">
        <f>C795/E795</f>
        <v/>
      </c>
      <c r="E795" s="157" t="n">
        <v>87.15000000000001</v>
      </c>
      <c r="F795" s="159">
        <f>D795/100000</f>
        <v/>
      </c>
      <c r="G795" s="159">
        <f>(F795/DataSheet!$C$12*100)</f>
        <v/>
      </c>
      <c r="H795" s="159">
        <f>K795/I795</f>
        <v/>
      </c>
      <c r="I795" s="159">
        <f>(J795/L795)*100</f>
        <v/>
      </c>
      <c r="J795" s="159">
        <f>L795/O795</f>
        <v/>
      </c>
      <c r="K795" s="157" t="n">
        <v>6.68</v>
      </c>
      <c r="L795" s="157" t="n">
        <v>22470.5</v>
      </c>
      <c r="M795" s="157" t="n">
        <v>3.34</v>
      </c>
      <c r="N795" s="159">
        <f>K795-I795</f>
        <v/>
      </c>
      <c r="O795" s="157" t="n">
        <v>19.97</v>
      </c>
      <c r="P795" s="157" t="n">
        <v>4.315</v>
      </c>
      <c r="Q795" s="159">
        <f>K795-P795</f>
        <v/>
      </c>
      <c r="R795" s="157" t="n">
        <v>103.587</v>
      </c>
      <c r="S795" s="159">
        <f>(O795*T795)/100</f>
        <v/>
      </c>
      <c r="T795" s="157" t="n">
        <v>6.47</v>
      </c>
      <c r="U795" s="157" t="n">
        <v>18014.25</v>
      </c>
      <c r="V795" s="157" t="n">
        <v>33.93</v>
      </c>
      <c r="W795" s="159">
        <f>U795/V795</f>
        <v/>
      </c>
      <c r="X795" s="159">
        <f>(W795/U795)*100</f>
        <v/>
      </c>
      <c r="Y795" s="157" t="n">
        <v>14193.65</v>
      </c>
      <c r="Z795" s="157" t="n">
        <v>26.76</v>
      </c>
      <c r="AA795" s="159">
        <f>Y795/Z795</f>
        <v/>
      </c>
      <c r="AB795" s="159">
        <f>(AA795/Y795)*100</f>
        <v/>
      </c>
    </row>
    <row r="796">
      <c r="A796" s="155" t="n">
        <v>795</v>
      </c>
      <c r="B796" s="156" t="n">
        <v>45729</v>
      </c>
      <c r="C796" s="157" t="n">
        <v>39177434.82</v>
      </c>
      <c r="D796" s="174">
        <f>C796/E796</f>
        <v/>
      </c>
      <c r="E796" s="157" t="n">
        <v>86.89700000000001</v>
      </c>
      <c r="F796" s="159">
        <f>D796/100000</f>
        <v/>
      </c>
      <c r="G796" s="159">
        <f>(F796/DataSheet!$C$12*100)</f>
        <v/>
      </c>
      <c r="H796" s="159">
        <f>K796/I796</f>
        <v/>
      </c>
      <c r="I796" s="159">
        <f>(J796/L796)*100</f>
        <v/>
      </c>
      <c r="J796" s="159">
        <f>L796/O796</f>
        <v/>
      </c>
      <c r="K796" s="157" t="n">
        <v>6.69</v>
      </c>
      <c r="L796" s="157" t="n">
        <v>22397.2</v>
      </c>
      <c r="M796" s="157" t="n">
        <v>3.33</v>
      </c>
      <c r="N796" s="159">
        <f>K796-I796</f>
        <v/>
      </c>
      <c r="O796" s="157" t="n">
        <v>19.91</v>
      </c>
      <c r="P796" s="157" t="n">
        <v>4.269</v>
      </c>
      <c r="Q796" s="159">
        <f>K796-P796</f>
        <v/>
      </c>
      <c r="R796" s="157" t="n">
        <v>103.83</v>
      </c>
      <c r="S796" s="159">
        <f>(O796*T796)/100</f>
        <v/>
      </c>
      <c r="T796" s="157" t="n">
        <v>6.48</v>
      </c>
      <c r="U796" s="157" t="n">
        <v>17902</v>
      </c>
      <c r="V796" s="157" t="n">
        <v>33.72</v>
      </c>
      <c r="W796" s="159">
        <f>U796/V796</f>
        <v/>
      </c>
      <c r="X796" s="159">
        <f>(W796/U796)*100</f>
        <v/>
      </c>
      <c r="Y796" s="157" t="n">
        <v>14095.6</v>
      </c>
      <c r="Z796" s="157" t="n">
        <v>26.57</v>
      </c>
      <c r="AA796" s="159">
        <f>Y796/Z796</f>
        <v/>
      </c>
      <c r="AB796" s="159">
        <f>(AA796/Y796)*100</f>
        <v/>
      </c>
    </row>
    <row r="797">
      <c r="A797" s="155" t="n">
        <v>796</v>
      </c>
      <c r="B797" s="156" t="n">
        <v>45733</v>
      </c>
      <c r="C797" s="157" t="n">
        <v>39317232.22</v>
      </c>
      <c r="D797" s="174">
        <f>C797/E797</f>
        <v/>
      </c>
      <c r="E797" s="157" t="n">
        <v>86.69</v>
      </c>
      <c r="F797" s="159">
        <f>D797/100000</f>
        <v/>
      </c>
      <c r="G797" s="159">
        <f>(F797/DataSheet!$C$12*100)</f>
        <v/>
      </c>
      <c r="H797" s="159">
        <f>K797/I797</f>
        <v/>
      </c>
      <c r="I797" s="159">
        <f>(J797/L797)*100</f>
        <v/>
      </c>
      <c r="J797" s="159">
        <f>L797/O797</f>
        <v/>
      </c>
      <c r="K797" s="157" t="n">
        <v>6.69</v>
      </c>
      <c r="L797" s="157" t="n">
        <v>22508.75</v>
      </c>
      <c r="M797" s="157" t="n">
        <v>3.35</v>
      </c>
      <c r="N797" s="159">
        <f>K797-I797</f>
        <v/>
      </c>
      <c r="O797" s="157" t="n">
        <v>20.01</v>
      </c>
      <c r="P797" s="157" t="n">
        <v>4.298</v>
      </c>
      <c r="Q797" s="159">
        <f>K797-P797</f>
        <v/>
      </c>
      <c r="R797" s="157" t="n">
        <v>103.47</v>
      </c>
      <c r="S797" s="159">
        <f>(O797*T797)/100</f>
        <v/>
      </c>
      <c r="T797" s="157" t="n">
        <v>6.45</v>
      </c>
      <c r="U797" s="157" t="n">
        <v>18037.25</v>
      </c>
      <c r="V797" s="157" t="n">
        <v>33.98</v>
      </c>
      <c r="W797" s="159">
        <f>U797/V797</f>
        <v/>
      </c>
      <c r="X797" s="159">
        <f>(W797/U797)*100</f>
        <v/>
      </c>
      <c r="Y797" s="157" t="n">
        <v>14141.7</v>
      </c>
      <c r="Z797" s="157" t="n">
        <v>26.66</v>
      </c>
      <c r="AA797" s="159">
        <f>Y797/Z797</f>
        <v/>
      </c>
      <c r="AB797" s="159">
        <f>(AA797/Y797)*100</f>
        <v/>
      </c>
    </row>
    <row r="798">
      <c r="A798" s="155" t="n">
        <v>797</v>
      </c>
      <c r="B798" s="156" t="n">
        <v>45734</v>
      </c>
      <c r="C798" s="157" t="n">
        <v>40033591.94</v>
      </c>
      <c r="D798" s="174">
        <f>C798/E798</f>
        <v/>
      </c>
      <c r="E798" s="157" t="n">
        <v>86.51000000000001</v>
      </c>
      <c r="F798" s="159">
        <f>D798/100000</f>
        <v/>
      </c>
      <c r="G798" s="159">
        <f>(F798/DataSheet!$C$12*100)</f>
        <v/>
      </c>
      <c r="H798" s="159">
        <f>K798/I798</f>
        <v/>
      </c>
      <c r="I798" s="159">
        <f>(J798/L798)*100</f>
        <v/>
      </c>
      <c r="J798" s="159">
        <f>L798/O798</f>
        <v/>
      </c>
      <c r="K798" s="157" t="n">
        <v>6.67</v>
      </c>
      <c r="L798" s="157" t="n">
        <v>22834.3</v>
      </c>
      <c r="M798" s="157" t="n">
        <v>3.4</v>
      </c>
      <c r="N798" s="159">
        <f>K798-I798</f>
        <v/>
      </c>
      <c r="O798" s="157" t="n">
        <v>20.3</v>
      </c>
      <c r="P798" s="157" t="n">
        <v>4.283</v>
      </c>
      <c r="Q798" s="159">
        <f>K798-P798</f>
        <v/>
      </c>
      <c r="R798" s="157" t="n">
        <v>102.892</v>
      </c>
      <c r="S798" s="159">
        <f>(O798*T798)/100</f>
        <v/>
      </c>
      <c r="T798" s="157" t="n">
        <v>6.45</v>
      </c>
      <c r="U798" s="157" t="n">
        <v>18408.4</v>
      </c>
      <c r="V798" s="157" t="n">
        <v>34.68</v>
      </c>
      <c r="W798" s="159">
        <f>U798/V798</f>
        <v/>
      </c>
      <c r="X798" s="159">
        <f>(W798/U798)*100</f>
        <v/>
      </c>
      <c r="Y798" s="157" t="n">
        <v>14517.6</v>
      </c>
      <c r="Z798" s="157" t="n">
        <v>27.36</v>
      </c>
      <c r="AA798" s="159">
        <f>Y798/Z798</f>
        <v/>
      </c>
      <c r="AB798" s="159">
        <f>(AA798/Y798)*100</f>
        <v/>
      </c>
    </row>
    <row r="799">
      <c r="A799" s="155" t="n">
        <v>798</v>
      </c>
      <c r="B799" s="156" t="n">
        <v>45735</v>
      </c>
      <c r="C799" s="157" t="n">
        <v>40557822.05</v>
      </c>
      <c r="D799" s="174">
        <f>C799/E799</f>
        <v/>
      </c>
      <c r="E799" s="157" t="n">
        <v>86.31</v>
      </c>
      <c r="F799" s="159">
        <f>D799/100000</f>
        <v/>
      </c>
      <c r="G799" s="159">
        <f>(F799/DataSheet!$C$12*100)</f>
        <v/>
      </c>
      <c r="H799" s="159">
        <f>K799/I799</f>
        <v/>
      </c>
      <c r="I799" s="159">
        <f>(J799/L799)*100</f>
        <v/>
      </c>
      <c r="J799" s="159">
        <f>L799/O799</f>
        <v/>
      </c>
      <c r="K799" s="157" t="n">
        <v>6.66</v>
      </c>
      <c r="L799" s="157" t="n">
        <v>22907.6</v>
      </c>
      <c r="M799" s="157" t="n">
        <v>3.41</v>
      </c>
      <c r="N799" s="159">
        <f>K799-I799</f>
        <v/>
      </c>
      <c r="O799" s="157" t="n">
        <v>20.36</v>
      </c>
      <c r="P799" s="157" t="n">
        <v>4.246</v>
      </c>
      <c r="Q799" s="159">
        <f>K799-P799</f>
        <v/>
      </c>
      <c r="R799" s="157" t="n">
        <v>103.093</v>
      </c>
      <c r="S799" s="159">
        <f>(O799*T799)/100</f>
        <v/>
      </c>
      <c r="T799" s="157" t="n">
        <v>6.45</v>
      </c>
      <c r="U799" s="157" t="n">
        <v>18844.4</v>
      </c>
      <c r="V799" s="157" t="n">
        <v>35.5</v>
      </c>
      <c r="W799" s="159">
        <f>U799/V799</f>
        <v/>
      </c>
      <c r="X799" s="159">
        <f>(W799/U799)*100</f>
        <v/>
      </c>
      <c r="Y799" s="157" t="n">
        <v>14807</v>
      </c>
      <c r="Z799" s="157" t="n">
        <v>27.9</v>
      </c>
      <c r="AA799" s="159">
        <f>Y799/Z799</f>
        <v/>
      </c>
      <c r="AB799" s="159">
        <f>(AA799/Y799)*100</f>
        <v/>
      </c>
    </row>
    <row r="800">
      <c r="A800" s="155" t="n">
        <v>799</v>
      </c>
      <c r="B800" s="156" t="n">
        <v>45736</v>
      </c>
      <c r="C800" s="157" t="n">
        <v>40924873</v>
      </c>
      <c r="D800" s="174">
        <f>C800/E800</f>
        <v/>
      </c>
      <c r="E800" s="157" t="n">
        <v>86.31999999999999</v>
      </c>
      <c r="F800" s="159">
        <f>D800/100000</f>
        <v/>
      </c>
      <c r="G800" s="159">
        <f>(F800/DataSheet!$C$12*100)</f>
        <v/>
      </c>
      <c r="H800" s="159">
        <f>K800/I800</f>
        <v/>
      </c>
      <c r="I800" s="159">
        <f>(J800/L800)*100</f>
        <v/>
      </c>
      <c r="J800" s="159">
        <f>L800/O800</f>
        <v/>
      </c>
      <c r="K800" s="157" t="n">
        <v>6.64</v>
      </c>
      <c r="L800" s="157" t="n">
        <v>23190.65</v>
      </c>
      <c r="M800" s="157" t="n">
        <v>3.45</v>
      </c>
      <c r="N800" s="159">
        <f>K800-I800</f>
        <v/>
      </c>
      <c r="O800" s="157" t="n">
        <v>20.61</v>
      </c>
      <c r="P800" s="157" t="n">
        <v>4.24</v>
      </c>
      <c r="Q800" s="159">
        <f>K800-P800</f>
        <v/>
      </c>
      <c r="R800" s="157" t="n">
        <v>103.497</v>
      </c>
      <c r="S800" s="159">
        <f>(O800*T800)/100</f>
        <v/>
      </c>
      <c r="T800" s="157" t="n">
        <v>6.46</v>
      </c>
      <c r="U800" s="157" t="n">
        <v>18948.45</v>
      </c>
      <c r="V800" s="157" t="n">
        <v>35.69</v>
      </c>
      <c r="W800" s="159">
        <f>U800/V800</f>
        <v/>
      </c>
      <c r="X800" s="159">
        <f>(W800/U800)*100</f>
        <v/>
      </c>
      <c r="Y800" s="157" t="n">
        <v>14922.35</v>
      </c>
      <c r="Z800" s="157" t="n">
        <v>28.12</v>
      </c>
      <c r="AA800" s="159">
        <f>Y800/Z800</f>
        <v/>
      </c>
      <c r="AB800" s="159">
        <f>(AA800/Y800)*100</f>
        <v/>
      </c>
    </row>
    <row r="801">
      <c r="A801" s="155" t="n">
        <v>800</v>
      </c>
      <c r="B801" s="156" t="n">
        <v>45737</v>
      </c>
      <c r="C801" s="157" t="n">
        <v>41392614.03</v>
      </c>
      <c r="D801" s="174">
        <f>C801/E801</f>
        <v/>
      </c>
      <c r="E801" s="157" t="n">
        <v>85.98999999999999</v>
      </c>
      <c r="F801" s="159">
        <f>D801/100000</f>
        <v/>
      </c>
      <c r="G801" s="159">
        <f>(F801/DataSheet!$C$12*100)</f>
        <v/>
      </c>
      <c r="H801" s="159">
        <f>K801/I801</f>
        <v/>
      </c>
      <c r="I801" s="159">
        <f>(J801/L801)*100</f>
        <v/>
      </c>
      <c r="J801" s="159">
        <f>L801/O801</f>
        <v/>
      </c>
      <c r="K801" s="157" t="n">
        <v>6.62</v>
      </c>
      <c r="L801" s="157" t="n">
        <v>23350.4</v>
      </c>
      <c r="M801" s="157" t="n">
        <v>3.48</v>
      </c>
      <c r="N801" s="159">
        <f>K801-I801</f>
        <v/>
      </c>
      <c r="O801" s="157" t="n">
        <v>20.76</v>
      </c>
      <c r="P801" s="157" t="n">
        <v>4.249</v>
      </c>
      <c r="Q801" s="159">
        <f>K801-P801</f>
        <v/>
      </c>
      <c r="R801" s="157" t="n">
        <v>103.744</v>
      </c>
      <c r="S801" s="159">
        <f>(O801*T801)/100</f>
        <v/>
      </c>
      <c r="T801" s="157" t="n">
        <v>6.46</v>
      </c>
      <c r="U801" s="157" t="n">
        <v>19203.3</v>
      </c>
      <c r="V801" s="157" t="n">
        <v>36.17</v>
      </c>
      <c r="W801" s="159">
        <f>U801/V801</f>
        <v/>
      </c>
      <c r="X801" s="159">
        <f>(W801/U801)*100</f>
        <v/>
      </c>
      <c r="Y801" s="157" t="n">
        <v>15242.3</v>
      </c>
      <c r="Z801" s="157" t="n">
        <v>28.89</v>
      </c>
      <c r="AA801" s="159">
        <f>Y801/Z801</f>
        <v/>
      </c>
      <c r="AB801" s="159">
        <f>(AA801/Y801)*100</f>
        <v/>
      </c>
    </row>
    <row r="802">
      <c r="A802" s="155" t="n">
        <v>801</v>
      </c>
      <c r="B802" s="156" t="n">
        <v>45740</v>
      </c>
      <c r="C802" s="157" t="n">
        <v>41913920.14</v>
      </c>
      <c r="D802" s="174">
        <f>C802/E802</f>
        <v/>
      </c>
      <c r="E802" s="157" t="n">
        <v>85.56</v>
      </c>
      <c r="F802" s="159">
        <f>D802/100000</f>
        <v/>
      </c>
      <c r="G802" s="159">
        <f>(F802/DataSheet!$C$12*100)</f>
        <v/>
      </c>
      <c r="H802" s="159">
        <f>K802/I802</f>
        <v/>
      </c>
      <c r="I802" s="159">
        <f>(J802/L802)*100</f>
        <v/>
      </c>
      <c r="J802" s="159">
        <f>L802/O802</f>
        <v/>
      </c>
      <c r="K802" s="157" t="n">
        <v>6.62</v>
      </c>
      <c r="L802" s="157" t="n">
        <v>23658.35</v>
      </c>
      <c r="M802" s="157" t="n">
        <v>3.52</v>
      </c>
      <c r="N802" s="159">
        <f>K802-I802</f>
        <v/>
      </c>
      <c r="O802" s="157" t="n">
        <v>21.03</v>
      </c>
      <c r="P802" s="157" t="n">
        <v>4.338</v>
      </c>
      <c r="Q802" s="159">
        <f>K802-P802</f>
        <v/>
      </c>
      <c r="R802" s="157" t="n">
        <v>103.936</v>
      </c>
      <c r="S802" s="159">
        <f>(O802*T802)/100</f>
        <v/>
      </c>
      <c r="T802" s="157" t="n">
        <v>6.45</v>
      </c>
      <c r="U802" s="157" t="n">
        <v>19418.3</v>
      </c>
      <c r="V802" s="157" t="n">
        <v>36.57</v>
      </c>
      <c r="W802" s="159">
        <f>U802/V802</f>
        <v/>
      </c>
      <c r="X802" s="159">
        <f>(W802/U802)*100</f>
        <v/>
      </c>
      <c r="Y802" s="157" t="n">
        <v>15392.4</v>
      </c>
      <c r="Z802" s="157" t="n">
        <v>29.17</v>
      </c>
      <c r="AA802" s="159">
        <f>Y802/Z802</f>
        <v/>
      </c>
      <c r="AB802" s="159">
        <f>(AA802/Y802)*100</f>
        <v/>
      </c>
    </row>
    <row r="803">
      <c r="A803" s="155" t="n">
        <v>802</v>
      </c>
      <c r="B803" s="156" t="n">
        <v>45741</v>
      </c>
      <c r="C803" s="157" t="n">
        <v>41584517.86</v>
      </c>
      <c r="D803" s="174">
        <f>C803/E803</f>
        <v/>
      </c>
      <c r="E803" s="157" t="n">
        <v>85.583</v>
      </c>
      <c r="F803" s="159">
        <f>D803/100000</f>
        <v/>
      </c>
      <c r="G803" s="159">
        <f>(F803/DataSheet!$C$12*100)</f>
        <v/>
      </c>
      <c r="H803" s="159">
        <f>K803/I803</f>
        <v/>
      </c>
      <c r="I803" s="159">
        <f>(J803/L803)*100</f>
        <v/>
      </c>
      <c r="J803" s="159">
        <f>L803/O803</f>
        <v/>
      </c>
      <c r="K803" s="157" t="n">
        <v>6.63</v>
      </c>
      <c r="L803" s="157" t="n">
        <v>23668.65</v>
      </c>
      <c r="M803" s="157" t="n">
        <v>3.52</v>
      </c>
      <c r="N803" s="159">
        <f>K803-I803</f>
        <v/>
      </c>
      <c r="O803" s="157" t="n">
        <v>21.04</v>
      </c>
      <c r="P803" s="157" t="n">
        <v>4.316</v>
      </c>
      <c r="Q803" s="159">
        <f>K803-P803</f>
        <v/>
      </c>
      <c r="R803" s="157" t="n">
        <v>103.831</v>
      </c>
      <c r="S803" s="159">
        <f>(O803*T803)/100</f>
        <v/>
      </c>
      <c r="T803" s="157" t="n">
        <v>6.45</v>
      </c>
      <c r="U803" s="157" t="n">
        <v>19228.35</v>
      </c>
      <c r="V803" s="157" t="n">
        <v>36.21</v>
      </c>
      <c r="W803" s="159">
        <f>U803/V803</f>
        <v/>
      </c>
      <c r="X803" s="159">
        <f>(W803/U803)*100</f>
        <v/>
      </c>
      <c r="Y803" s="157" t="n">
        <v>15184.45</v>
      </c>
      <c r="Z803" s="157" t="n">
        <v>28.78</v>
      </c>
      <c r="AA803" s="159">
        <f>Y803/Z803</f>
        <v/>
      </c>
      <c r="AB803" s="159">
        <f>(AA803/Y803)*100</f>
        <v/>
      </c>
    </row>
    <row r="804">
      <c r="A804" s="155" t="n">
        <v>803</v>
      </c>
      <c r="B804" s="156" t="n">
        <v>45742</v>
      </c>
      <c r="C804" s="157" t="n">
        <v>41248623.07</v>
      </c>
      <c r="D804" s="174">
        <f>C804/E804</f>
        <v/>
      </c>
      <c r="E804" s="157" t="n">
        <v>85.625</v>
      </c>
      <c r="F804" s="159">
        <f>D804/100000</f>
        <v/>
      </c>
      <c r="G804" s="159">
        <f>(F804/DataSheet!$C$12*100)</f>
        <v/>
      </c>
      <c r="H804" s="159">
        <f>K804/I804</f>
        <v/>
      </c>
      <c r="I804" s="159">
        <f>(J804/L804)*100</f>
        <v/>
      </c>
      <c r="J804" s="159">
        <f>L804/O804</f>
        <v/>
      </c>
      <c r="K804" s="157" t="n">
        <v>6.6</v>
      </c>
      <c r="L804" s="157" t="n">
        <v>23486.85</v>
      </c>
      <c r="M804" s="157" t="n">
        <v>3.5</v>
      </c>
      <c r="N804" s="159">
        <f>K804-I804</f>
        <v/>
      </c>
      <c r="O804" s="157" t="n">
        <v>20.88</v>
      </c>
      <c r="P804" s="157" t="n">
        <v>4.353</v>
      </c>
      <c r="Q804" s="159">
        <f>K804-P804</f>
        <v/>
      </c>
      <c r="R804" s="157" t="n">
        <v>104.207</v>
      </c>
      <c r="S804" s="159">
        <f>(O804*T804)/100</f>
        <v/>
      </c>
      <c r="T804" s="157" t="n">
        <v>6.45</v>
      </c>
      <c r="U804" s="157" t="n">
        <v>19106.65</v>
      </c>
      <c r="V804" s="157" t="n">
        <v>35.98</v>
      </c>
      <c r="W804" s="159">
        <f>U804/V804</f>
        <v/>
      </c>
      <c r="X804" s="159">
        <f>(W804/U804)*100</f>
        <v/>
      </c>
      <c r="Y804" s="157" t="n">
        <v>14970</v>
      </c>
      <c r="Z804" s="157" t="n">
        <v>28.37</v>
      </c>
      <c r="AA804" s="159">
        <f>Y804/Z804</f>
        <v/>
      </c>
      <c r="AB804" s="159">
        <f>(AA804/Y804)*100</f>
        <v/>
      </c>
    </row>
    <row r="805">
      <c r="A805" s="155" t="n">
        <v>804</v>
      </c>
      <c r="B805" s="156" t="n">
        <v>45743</v>
      </c>
      <c r="C805" s="157" t="n">
        <v>41555437.41</v>
      </c>
      <c r="D805" s="174">
        <f>C805/E805</f>
        <v/>
      </c>
      <c r="E805" s="157" t="n">
        <v>85.64</v>
      </c>
      <c r="F805" s="159">
        <f>D805/100000</f>
        <v/>
      </c>
      <c r="G805" s="159">
        <f>(F805/DataSheet!$C$12*100)</f>
        <v/>
      </c>
      <c r="H805" s="159">
        <f>K805/I805</f>
        <v/>
      </c>
      <c r="I805" s="159">
        <f>(J805/L805)*100</f>
        <v/>
      </c>
      <c r="J805" s="159">
        <f>L805/O805</f>
        <v/>
      </c>
      <c r="K805" s="157" t="n">
        <v>6.59</v>
      </c>
      <c r="L805" s="157" t="n">
        <v>23591.95</v>
      </c>
      <c r="M805" s="157" t="n">
        <v>3.51</v>
      </c>
      <c r="N805" s="159">
        <f>K805-I805</f>
        <v/>
      </c>
      <c r="O805" s="157" t="n">
        <v>20.97</v>
      </c>
      <c r="P805" s="157" t="n">
        <v>4.36</v>
      </c>
      <c r="Q805" s="159">
        <f>K805-P805</f>
        <v/>
      </c>
      <c r="R805" s="157" t="n">
        <v>103.992</v>
      </c>
      <c r="S805" s="159">
        <f>(O805*T805)/100</f>
        <v/>
      </c>
      <c r="T805" s="157" t="n">
        <v>6.48</v>
      </c>
      <c r="U805" s="157" t="n">
        <v>19175.4</v>
      </c>
      <c r="V805" s="157" t="n">
        <v>36.11</v>
      </c>
      <c r="W805" s="159">
        <f>U805/V805</f>
        <v/>
      </c>
      <c r="X805" s="159">
        <f>(W805/U805)*100</f>
        <v/>
      </c>
      <c r="Y805" s="157" t="n">
        <v>15111.65</v>
      </c>
      <c r="Z805" s="157" t="n">
        <v>28.64</v>
      </c>
      <c r="AA805" s="159">
        <f>Y805/Z805</f>
        <v/>
      </c>
      <c r="AB805" s="159">
        <f>(AA805/Y805)*100</f>
        <v/>
      </c>
    </row>
    <row r="806">
      <c r="A806" s="155" t="n">
        <v>805</v>
      </c>
      <c r="B806" s="156" t="n">
        <v>45744</v>
      </c>
      <c r="C806" s="157" t="n">
        <v>41375586.2</v>
      </c>
      <c r="D806" s="174">
        <f>C806/E806</f>
        <v/>
      </c>
      <c r="E806" s="157" t="n">
        <v>85.53400000000001</v>
      </c>
      <c r="F806" s="159">
        <f>D806/100000</f>
        <v/>
      </c>
      <c r="G806" s="159">
        <f>(F806/DataSheet!$C$12*100)</f>
        <v/>
      </c>
      <c r="H806" s="159">
        <f>K806/I806</f>
        <v/>
      </c>
      <c r="I806" s="159">
        <f>(J806/L806)*100</f>
        <v/>
      </c>
      <c r="J806" s="159">
        <f>L806/O806</f>
        <v/>
      </c>
      <c r="K806" s="157" t="n">
        <v>6.58</v>
      </c>
      <c r="L806" s="157" t="n">
        <v>23519.35</v>
      </c>
      <c r="M806" s="157" t="n">
        <v>3.48</v>
      </c>
      <c r="N806" s="159">
        <f>K806-I806</f>
        <v/>
      </c>
      <c r="O806" s="157" t="n">
        <v>21.37</v>
      </c>
      <c r="P806" s="157" t="n">
        <v>4.251</v>
      </c>
      <c r="Q806" s="159">
        <f>K806-P806</f>
        <v/>
      </c>
      <c r="R806" s="157" t="n">
        <v>103.709</v>
      </c>
      <c r="S806" s="159">
        <f>(O806*T806)/100</f>
        <v/>
      </c>
      <c r="T806" s="157" t="n">
        <v>6.35</v>
      </c>
      <c r="U806" s="157" t="n">
        <v>19120.35</v>
      </c>
      <c r="V806" s="157" t="n">
        <v>33.71</v>
      </c>
      <c r="W806" s="159">
        <f>U806/V806</f>
        <v/>
      </c>
      <c r="X806" s="159">
        <f>(W806/U806)*100</f>
        <v/>
      </c>
      <c r="Y806" s="157" t="n">
        <v>15104.05</v>
      </c>
      <c r="Z806" s="157" t="n">
        <v>29.42</v>
      </c>
      <c r="AA806" s="159">
        <f>Y806/Z806</f>
        <v/>
      </c>
      <c r="AB806" s="159">
        <f>(AA806/Y806)*100</f>
        <v/>
      </c>
    </row>
    <row r="807">
      <c r="A807" s="155" t="n">
        <v>806</v>
      </c>
      <c r="B807" s="168" t="n">
        <v>45748</v>
      </c>
      <c r="C807" s="157" t="n">
        <v>41016692.21</v>
      </c>
      <c r="D807" s="174">
        <f>C807/E807</f>
        <v/>
      </c>
      <c r="E807" s="157" t="n">
        <v>85.56999999999999</v>
      </c>
      <c r="F807" s="159">
        <f>D807/100000</f>
        <v/>
      </c>
      <c r="G807" s="169">
        <f>(F807/DataSheet!$C$12*100)</f>
        <v/>
      </c>
      <c r="H807" s="159">
        <f>K807/I807</f>
        <v/>
      </c>
      <c r="I807" s="159">
        <f>(J807/L807)*100</f>
        <v/>
      </c>
      <c r="J807" s="169">
        <f>L807/O807</f>
        <v/>
      </c>
      <c r="K807" s="170" t="n">
        <v>6.58</v>
      </c>
      <c r="L807" s="157" t="n">
        <v>23165.7</v>
      </c>
      <c r="M807" s="165" t="n">
        <v>3.43</v>
      </c>
      <c r="N807" s="159">
        <f>K807-I807</f>
        <v/>
      </c>
      <c r="O807" s="165" t="n">
        <v>21.05</v>
      </c>
      <c r="P807" s="157" t="n">
        <v>4.16</v>
      </c>
      <c r="Q807" s="169">
        <f>K807-P807</f>
        <v/>
      </c>
      <c r="R807" s="165" t="n">
        <v>103.949</v>
      </c>
      <c r="S807" s="159">
        <f>(O807*T807)</f>
        <v/>
      </c>
      <c r="T807" s="157" t="n">
        <v>6.35</v>
      </c>
      <c r="U807" s="165" t="n">
        <v>18931.4</v>
      </c>
      <c r="V807" s="157" t="n">
        <v>33.38</v>
      </c>
      <c r="W807" s="159">
        <f>U807/V807</f>
        <v/>
      </c>
      <c r="X807" s="159">
        <f>(W807/U807)*100</f>
        <v/>
      </c>
      <c r="Y807" s="165" t="n">
        <v>15030.1</v>
      </c>
      <c r="Z807" s="165" t="n">
        <v>29.28</v>
      </c>
      <c r="AA807" s="159">
        <f>Y807/Z807</f>
        <v/>
      </c>
      <c r="AB807" s="159">
        <f>(AA807/Y807)*100</f>
        <v/>
      </c>
    </row>
    <row r="808">
      <c r="A808" s="155" t="n">
        <v>807</v>
      </c>
      <c r="B808" s="168" t="n">
        <v>45749</v>
      </c>
      <c r="C808" s="157" t="n">
        <v>41377863.39</v>
      </c>
      <c r="D808" s="174">
        <f>C808/E808</f>
        <v/>
      </c>
      <c r="E808" s="157" t="n">
        <v>85.45</v>
      </c>
      <c r="F808" s="159">
        <f>D808/100000</f>
        <v/>
      </c>
      <c r="G808" s="169">
        <f>(F808/DataSheet!$C$12*100)</f>
        <v/>
      </c>
      <c r="H808" s="159">
        <f>K808/I808</f>
        <v/>
      </c>
      <c r="I808" s="159">
        <f>(J808/L808)*100</f>
        <v/>
      </c>
      <c r="J808" s="169">
        <f>L808/O808</f>
        <v/>
      </c>
      <c r="K808" s="157" t="n">
        <v>6.48</v>
      </c>
      <c r="L808" s="157" t="n">
        <v>23332.35</v>
      </c>
      <c r="M808" s="165" t="n">
        <v>3.45</v>
      </c>
      <c r="N808" s="159">
        <f>K808-I808</f>
        <v/>
      </c>
      <c r="O808" s="165" t="n">
        <v>21.2</v>
      </c>
      <c r="P808" s="157" t="n">
        <v>4.125</v>
      </c>
      <c r="Q808" s="169">
        <f>K808-P808</f>
        <v/>
      </c>
      <c r="R808" s="165" t="n">
        <v>103.491</v>
      </c>
      <c r="S808" s="159">
        <f>(O808*T808)</f>
        <v/>
      </c>
      <c r="T808" s="157" t="n">
        <v>6.28</v>
      </c>
      <c r="U808" s="165" t="n">
        <v>19200.75</v>
      </c>
      <c r="V808" s="157" t="n">
        <v>33.86</v>
      </c>
      <c r="W808" s="159">
        <f>U808/V808</f>
        <v/>
      </c>
      <c r="X808" s="159">
        <f>(W808/U808)*100</f>
        <v/>
      </c>
      <c r="Y808" s="165" t="n">
        <v>15179.75</v>
      </c>
      <c r="Z808" s="165" t="n">
        <v>29.57</v>
      </c>
      <c r="AA808" s="159">
        <f>Y808/Z808</f>
        <v/>
      </c>
      <c r="AB808" s="159">
        <f>(AA808/Y808)*100</f>
        <v/>
      </c>
    </row>
    <row r="809">
      <c r="A809" s="155" t="n">
        <v>808</v>
      </c>
      <c r="B809" s="168" t="n">
        <v>45750</v>
      </c>
      <c r="C809" s="157" t="n">
        <v>41416218.49</v>
      </c>
      <c r="D809" s="174">
        <f>C809/E809</f>
        <v/>
      </c>
      <c r="E809" s="157" t="n">
        <v>85.247</v>
      </c>
      <c r="F809" s="159">
        <f>D809/100000</f>
        <v/>
      </c>
      <c r="G809" s="169">
        <f>(F809/DataSheet!$C$12*100)</f>
        <v/>
      </c>
      <c r="H809" s="159">
        <f>K809/I809</f>
        <v/>
      </c>
      <c r="I809" s="159">
        <f>(J809/L809)*100</f>
        <v/>
      </c>
      <c r="J809" s="169">
        <f>L809/O809</f>
        <v/>
      </c>
      <c r="K809" s="157" t="n">
        <v>6.5</v>
      </c>
      <c r="L809" s="157" t="n">
        <v>23250.1</v>
      </c>
      <c r="M809" s="165" t="n">
        <v>3.44</v>
      </c>
      <c r="N809" s="159">
        <f>K809-I809</f>
        <v/>
      </c>
      <c r="O809" s="165" t="n">
        <v>21.13</v>
      </c>
      <c r="P809" s="157" t="n">
        <v>4.036</v>
      </c>
      <c r="Q809" s="169">
        <f>K809-P809</f>
        <v/>
      </c>
      <c r="R809" s="165" t="n">
        <v>101.795</v>
      </c>
      <c r="S809" s="159">
        <f>(O809*T809)</f>
        <v/>
      </c>
      <c r="T809" s="157" t="n">
        <v>6.15</v>
      </c>
      <c r="U809" s="165" t="n">
        <v>19238.4</v>
      </c>
      <c r="V809" s="157" t="n">
        <v>33.92</v>
      </c>
      <c r="W809" s="159">
        <f>U809/V809</f>
        <v/>
      </c>
      <c r="X809" s="159">
        <f>(W809/U809)*100</f>
        <v/>
      </c>
      <c r="Y809" s="165" t="n">
        <v>15285.45</v>
      </c>
      <c r="Z809" s="165" t="n">
        <v>29.77</v>
      </c>
      <c r="AA809" s="159">
        <f>Y809/Z809</f>
        <v/>
      </c>
      <c r="AB809" s="159">
        <f>(AA809/Y809)*100</f>
        <v/>
      </c>
    </row>
    <row r="810">
      <c r="A810" s="155" t="n">
        <v>809</v>
      </c>
      <c r="B810" s="168" t="n">
        <v>45751</v>
      </c>
      <c r="C810" s="157" t="n">
        <v>40409600.62</v>
      </c>
      <c r="D810" s="174">
        <f>C810/E810</f>
        <v/>
      </c>
      <c r="E810" s="157" t="n">
        <v>85.502</v>
      </c>
      <c r="F810" s="159">
        <f>D810/100000</f>
        <v/>
      </c>
      <c r="G810" s="169">
        <f>(F810/DataSheet!$C$12*100)</f>
        <v/>
      </c>
      <c r="H810" s="159">
        <f>K810/I810</f>
        <v/>
      </c>
      <c r="I810" s="159">
        <f>(J810/L810)*100</f>
        <v/>
      </c>
      <c r="J810" s="169">
        <f>L810/O810</f>
        <v/>
      </c>
      <c r="K810" s="157" t="n">
        <v>6.46</v>
      </c>
      <c r="L810" s="157" t="n">
        <v>22904.45</v>
      </c>
      <c r="M810" s="165" t="n">
        <v>3.39</v>
      </c>
      <c r="N810" s="159">
        <f>K810-I810</f>
        <v/>
      </c>
      <c r="O810" s="165" t="n">
        <v>20.82</v>
      </c>
      <c r="P810" s="157" t="n">
        <v>3.999</v>
      </c>
      <c r="Q810" s="169">
        <f>K810-P810</f>
        <v/>
      </c>
      <c r="R810" s="165" t="n">
        <v>102.768</v>
      </c>
      <c r="S810" s="159">
        <f>(O810*T810)</f>
        <v/>
      </c>
      <c r="T810" s="157" t="n">
        <v>6.08</v>
      </c>
      <c r="U810" s="165" t="n">
        <v>18675.3</v>
      </c>
      <c r="V810" s="157" t="n">
        <v>32.93</v>
      </c>
      <c r="W810" s="159">
        <f>U810/V810</f>
        <v/>
      </c>
      <c r="X810" s="159">
        <f>(W810/U810)*100</f>
        <v/>
      </c>
      <c r="Y810" s="165" t="n">
        <v>14780.5</v>
      </c>
      <c r="Z810" s="165" t="n">
        <v>28.79</v>
      </c>
      <c r="AA810" s="159">
        <f>Y810/Z810</f>
        <v/>
      </c>
      <c r="AB810" s="159">
        <f>(AA810/Y810)*100</f>
        <v/>
      </c>
    </row>
    <row r="811">
      <c r="A811" s="155" t="n">
        <v>810</v>
      </c>
      <c r="B811" s="168" t="n">
        <v>45754</v>
      </c>
      <c r="C811" s="157" t="n">
        <v>38983100.81</v>
      </c>
      <c r="D811" s="174">
        <f>C811/E811</f>
        <v/>
      </c>
      <c r="E811" s="157" t="n">
        <v>85.854</v>
      </c>
      <c r="F811" s="159">
        <f>D811/100000</f>
        <v/>
      </c>
      <c r="G811" s="169">
        <f>(F811/DataSheet!$C$12*100)</f>
        <v/>
      </c>
      <c r="H811" s="159">
        <f>K811/I811</f>
        <v/>
      </c>
      <c r="I811" s="159">
        <f>(J811/L811)*100</f>
        <v/>
      </c>
      <c r="J811" s="169">
        <f>L811/O811</f>
        <v/>
      </c>
      <c r="K811" s="157" t="n">
        <v>6.48</v>
      </c>
      <c r="L811" s="157" t="n">
        <v>22161.6</v>
      </c>
      <c r="M811" s="165" t="n">
        <v>3.28</v>
      </c>
      <c r="N811" s="159">
        <f>K811-I811</f>
        <v/>
      </c>
      <c r="O811" s="165" t="n">
        <v>20.14</v>
      </c>
      <c r="P811" s="157" t="n">
        <v>4.201</v>
      </c>
      <c r="Q811" s="169">
        <f>K811-P811</f>
        <v/>
      </c>
      <c r="R811" s="165" t="n">
        <v>102.972</v>
      </c>
      <c r="S811" s="159">
        <f>(O811*T811)</f>
        <v/>
      </c>
      <c r="T811" s="157" t="n">
        <v>6.1</v>
      </c>
      <c r="U811" s="165" t="n">
        <v>18005.1</v>
      </c>
      <c r="V811" s="157" t="n">
        <v>31.75</v>
      </c>
      <c r="W811" s="159">
        <f>U811/V811</f>
        <v/>
      </c>
      <c r="X811" s="159">
        <f>(W811/U811)*100</f>
        <v/>
      </c>
      <c r="Y811" s="165" t="n">
        <v>14190.2</v>
      </c>
      <c r="Z811" s="165" t="n">
        <v>27.64</v>
      </c>
      <c r="AA811" s="159">
        <f>Y811/Z811</f>
        <v/>
      </c>
      <c r="AB811" s="159">
        <f>(AA811/Y811)*100</f>
        <v/>
      </c>
    </row>
    <row r="812">
      <c r="A812" s="155" t="n">
        <v>811</v>
      </c>
      <c r="B812" s="168" t="n">
        <v>45755</v>
      </c>
      <c r="C812" s="157" t="n">
        <v>39734358.65</v>
      </c>
      <c r="D812" s="174">
        <f>C812/E812</f>
        <v/>
      </c>
      <c r="E812" s="157" t="n">
        <v>86.23999999999999</v>
      </c>
      <c r="F812" s="159">
        <f>D812/100000</f>
        <v/>
      </c>
      <c r="G812" s="169">
        <f>(F812/DataSheet!$C$12*100)</f>
        <v/>
      </c>
      <c r="H812" s="159">
        <f>K812/I812</f>
        <v/>
      </c>
      <c r="I812" s="159">
        <f>(J812/L812)*100</f>
        <v/>
      </c>
      <c r="J812" s="169">
        <f>L812/O812</f>
        <v/>
      </c>
      <c r="K812" s="157" t="n">
        <v>6.47</v>
      </c>
      <c r="L812" s="157" t="n">
        <v>22535.85</v>
      </c>
      <c r="M812" s="165" t="n">
        <v>3.33</v>
      </c>
      <c r="N812" s="159">
        <f>K812-I812</f>
        <v/>
      </c>
      <c r="O812" s="165" t="n">
        <v>20.48</v>
      </c>
      <c r="P812" s="157" t="n">
        <v>4.289</v>
      </c>
      <c r="Q812" s="169">
        <f>K812-P812</f>
        <v/>
      </c>
      <c r="R812" s="165" t="n">
        <v>102.701</v>
      </c>
      <c r="S812" s="159">
        <f>(O812*T812)</f>
        <v/>
      </c>
      <c r="T812" s="157" t="n">
        <v>6.05</v>
      </c>
      <c r="U812" s="165" t="n">
        <v>18387.05</v>
      </c>
      <c r="V812" s="157" t="n">
        <v>32.42</v>
      </c>
      <c r="W812" s="159">
        <f>U812/V812</f>
        <v/>
      </c>
      <c r="X812" s="159">
        <f>(W812/U812)*100</f>
        <v/>
      </c>
      <c r="Y812" s="165" t="n">
        <v>14498.4</v>
      </c>
      <c r="Z812" s="165" t="n">
        <v>28.24</v>
      </c>
      <c r="AA812" s="159">
        <f>Y812/Z812</f>
        <v/>
      </c>
      <c r="AB812" s="159">
        <f>(AA812/Y812)*100</f>
        <v/>
      </c>
    </row>
    <row r="813">
      <c r="A813" s="155" t="n">
        <v>812</v>
      </c>
      <c r="B813" s="168" t="n">
        <v>45756</v>
      </c>
      <c r="C813" s="157" t="n">
        <v>39458658.37</v>
      </c>
      <c r="D813" s="174">
        <f>C813/E813</f>
        <v/>
      </c>
      <c r="E813" s="157" t="n">
        <v>86.65000000000001</v>
      </c>
      <c r="F813" s="159">
        <f>D813/100000</f>
        <v/>
      </c>
      <c r="G813" s="169">
        <f>(F813/DataSheet!$C$12*100)</f>
        <v/>
      </c>
      <c r="H813" s="159">
        <f>K813/I813</f>
        <v/>
      </c>
      <c r="I813" s="159">
        <f>(J813/L813)*100</f>
        <v/>
      </c>
      <c r="J813" s="169">
        <f>L813/O813</f>
        <v/>
      </c>
      <c r="K813" s="157" t="n">
        <v>6.44</v>
      </c>
      <c r="L813" s="157" t="n">
        <v>22399.15</v>
      </c>
      <c r="M813" s="165" t="n">
        <v>3.31</v>
      </c>
      <c r="N813" s="159">
        <f>K813-I813</f>
        <v/>
      </c>
      <c r="O813" s="165" t="n">
        <v>20.36</v>
      </c>
      <c r="P813" s="157" t="n">
        <v>4.325</v>
      </c>
      <c r="Q813" s="169">
        <f>K813-P813</f>
        <v/>
      </c>
      <c r="R813" s="165" t="n">
        <v>102.623</v>
      </c>
      <c r="S813" s="159">
        <f>(O813*T813)</f>
        <v/>
      </c>
      <c r="T813" s="157" t="n">
        <v>5.95</v>
      </c>
      <c r="U813" s="165" t="n">
        <v>18272.75</v>
      </c>
      <c r="V813" s="157" t="n">
        <v>32.22</v>
      </c>
      <c r="W813" s="159">
        <f>U813/V813</f>
        <v/>
      </c>
      <c r="X813" s="159">
        <f>(W813/U813)*100</f>
        <v/>
      </c>
      <c r="Y813" s="165" t="n">
        <v>14345.7</v>
      </c>
      <c r="Z813" s="165" t="n">
        <v>27.94</v>
      </c>
      <c r="AA813" s="159">
        <f>Y813/Z813</f>
        <v/>
      </c>
      <c r="AB813" s="159">
        <f>(AA813/Y813)*100</f>
        <v/>
      </c>
    </row>
    <row r="814">
      <c r="A814" s="155" t="n">
        <v>813</v>
      </c>
      <c r="B814" s="168" t="n">
        <v>45758</v>
      </c>
      <c r="C814" s="157" t="n">
        <v>40234966.43</v>
      </c>
      <c r="D814" s="174">
        <f>C814/E814</f>
        <v/>
      </c>
      <c r="E814" s="157" t="n">
        <v>86.19</v>
      </c>
      <c r="F814" s="159">
        <f>D814/100000</f>
        <v/>
      </c>
      <c r="G814" s="169">
        <f>(F814/DataSheet!$C$12*100)</f>
        <v/>
      </c>
      <c r="H814" s="159">
        <f>K814/I814</f>
        <v/>
      </c>
      <c r="I814" s="159">
        <f>(J814/L814)*100</f>
        <v/>
      </c>
      <c r="J814" s="169">
        <f>L814/O814</f>
        <v/>
      </c>
      <c r="K814" s="157" t="n">
        <v>6.44</v>
      </c>
      <c r="L814" s="157" t="n">
        <v>22828.55</v>
      </c>
      <c r="M814" s="165" t="n">
        <v>3.38</v>
      </c>
      <c r="N814" s="159">
        <f>K814-I814</f>
        <v/>
      </c>
      <c r="O814" s="165" t="n">
        <v>20.75</v>
      </c>
      <c r="P814" s="157" t="n">
        <v>4.495</v>
      </c>
      <c r="Q814" s="169">
        <f>K814-P814</f>
        <v/>
      </c>
      <c r="R814" s="165" t="n">
        <v>99.892</v>
      </c>
      <c r="S814" s="159">
        <f>(O814*T814)</f>
        <v/>
      </c>
      <c r="T814" s="157" t="n">
        <v>5.95</v>
      </c>
      <c r="U814" s="165" t="n">
        <v>18614.15</v>
      </c>
      <c r="V814" s="157" t="n">
        <v>32.82</v>
      </c>
      <c r="W814" s="159">
        <f>U814/V814</f>
        <v/>
      </c>
      <c r="X814" s="159">
        <f>(W814/U814)*100</f>
        <v/>
      </c>
      <c r="Y814" s="165" t="n">
        <v>14786.3</v>
      </c>
      <c r="Z814" s="165" t="n">
        <v>28.84</v>
      </c>
      <c r="AA814" s="159">
        <f>Y814/Z814</f>
        <v/>
      </c>
      <c r="AB814" s="159">
        <f>(AA814/Y814)*100</f>
        <v/>
      </c>
    </row>
    <row r="815">
      <c r="A815" s="155" t="n">
        <v>814</v>
      </c>
      <c r="B815" s="168" t="n">
        <v>45762</v>
      </c>
      <c r="C815" s="157" t="n">
        <v>41286851.55</v>
      </c>
      <c r="D815" s="174">
        <f>C815/E815</f>
        <v/>
      </c>
      <c r="E815" s="157" t="n">
        <v>85.681</v>
      </c>
      <c r="F815" s="159">
        <f>D815/100000</f>
        <v/>
      </c>
      <c r="G815" s="169">
        <f>(F815/DataSheet!$C$12*100)</f>
        <v/>
      </c>
      <c r="H815" s="159">
        <f>K815/I815</f>
        <v/>
      </c>
      <c r="I815" s="159">
        <f>(J815/L815)*100</f>
        <v/>
      </c>
      <c r="J815" s="169">
        <f>L815/O815</f>
        <v/>
      </c>
      <c r="K815" s="157" t="n">
        <v>6.41</v>
      </c>
      <c r="L815" s="157" t="n">
        <v>23328.55</v>
      </c>
      <c r="M815" s="165" t="n">
        <v>3.45</v>
      </c>
      <c r="N815" s="159">
        <f>K815-I815</f>
        <v/>
      </c>
      <c r="O815" s="165" t="n">
        <v>21.2</v>
      </c>
      <c r="P815" s="157" t="n">
        <v>4.339</v>
      </c>
      <c r="Q815" s="169">
        <f>K815-P815</f>
        <v/>
      </c>
      <c r="R815" s="165" t="n">
        <v>99.962</v>
      </c>
      <c r="S815" s="159">
        <f>(O815*T815)</f>
        <v/>
      </c>
      <c r="T815" s="157" t="n">
        <v>5.95</v>
      </c>
      <c r="U815" s="165" t="n">
        <v>19178.5</v>
      </c>
      <c r="V815" s="157" t="n">
        <v>33.82</v>
      </c>
      <c r="W815" s="159">
        <f>U815/V815</f>
        <v/>
      </c>
      <c r="X815" s="159">
        <f>(W815/U815)*100</f>
        <v/>
      </c>
      <c r="Y815" s="165" t="n">
        <v>15238.45</v>
      </c>
      <c r="Z815" s="165" t="n">
        <v>29.72</v>
      </c>
      <c r="AA815" s="159">
        <f>Y815/Z815</f>
        <v/>
      </c>
      <c r="AB815" s="159">
        <f>(AA815/Y815)*100</f>
        <v/>
      </c>
    </row>
    <row r="816">
      <c r="A816" s="155" t="n">
        <v>815</v>
      </c>
      <c r="B816" s="168" t="n">
        <v>45763</v>
      </c>
      <c r="C816" s="157" t="n">
        <v>41571814.44</v>
      </c>
      <c r="D816" s="174">
        <f>C816/E816</f>
        <v/>
      </c>
      <c r="E816" s="157" t="n">
        <v>85.587</v>
      </c>
      <c r="F816" s="159">
        <f>D816/100000</f>
        <v/>
      </c>
      <c r="G816" s="169">
        <f>(F816/DataSheet!$C$12*100)</f>
        <v/>
      </c>
      <c r="H816" s="159">
        <f>K816/I816</f>
        <v/>
      </c>
      <c r="I816" s="159">
        <f>(J816/L816)*100</f>
        <v/>
      </c>
      <c r="J816" s="169">
        <f>L816/O816</f>
        <v/>
      </c>
      <c r="K816" s="157" t="n">
        <v>6.39</v>
      </c>
      <c r="L816" s="157" t="n">
        <v>23437.2</v>
      </c>
      <c r="M816" s="165" t="n">
        <v>3.47</v>
      </c>
      <c r="N816" s="159">
        <f>K816-I816</f>
        <v/>
      </c>
      <c r="O816" s="165" t="n">
        <v>21.3</v>
      </c>
      <c r="P816" s="157" t="n">
        <v>4.28</v>
      </c>
      <c r="Q816" s="169">
        <f>K816-P816</f>
        <v/>
      </c>
      <c r="R816" s="165" t="n">
        <v>99.143</v>
      </c>
      <c r="S816" s="159">
        <f>(O816*T816)</f>
        <v/>
      </c>
      <c r="T816" s="157" t="n">
        <v>5.93</v>
      </c>
      <c r="U816" s="165" t="n">
        <v>19320.6</v>
      </c>
      <c r="V816" s="157" t="n">
        <v>34.07</v>
      </c>
      <c r="W816" s="159">
        <f>U816/V816</f>
        <v/>
      </c>
      <c r="X816" s="159">
        <f>(W816/U816)*100</f>
        <v/>
      </c>
      <c r="Y816" s="165" t="n">
        <v>15382.45</v>
      </c>
      <c r="Z816" s="165" t="n">
        <v>30</v>
      </c>
      <c r="AA816" s="159">
        <f>Y816/Z816</f>
        <v/>
      </c>
      <c r="AB816" s="159">
        <f>(AA816/Y816)*100</f>
        <v/>
      </c>
    </row>
    <row r="817">
      <c r="A817" s="155" t="n">
        <v>816</v>
      </c>
      <c r="B817" s="168" t="n">
        <v>45764</v>
      </c>
      <c r="C817" s="157" t="n">
        <v>42034029.12</v>
      </c>
      <c r="D817" s="174">
        <f>C817/E817</f>
        <v/>
      </c>
      <c r="E817" s="157" t="n">
        <v>85.38</v>
      </c>
      <c r="F817" s="159">
        <f>D817/100000</f>
        <v/>
      </c>
      <c r="G817" s="169">
        <f>(F817/DataSheet!$C$12*100)</f>
        <v/>
      </c>
      <c r="H817" s="159">
        <f>K817/I817</f>
        <v/>
      </c>
      <c r="I817" s="159">
        <f>(J817/L817)*100</f>
        <v/>
      </c>
      <c r="J817" s="169">
        <f>L817/O817</f>
        <v/>
      </c>
      <c r="K817" s="157" t="n">
        <v>6.37</v>
      </c>
      <c r="L817" s="157" t="n">
        <v>23851.65</v>
      </c>
      <c r="M817" s="165" t="n">
        <v>3.53</v>
      </c>
      <c r="N817" s="159">
        <f>K817-I817</f>
        <v/>
      </c>
      <c r="O817" s="165" t="n">
        <v>21.68</v>
      </c>
      <c r="P817" s="157" t="n">
        <v>4.332</v>
      </c>
      <c r="Q817" s="169">
        <f>K817-P817</f>
        <v/>
      </c>
      <c r="R817" s="165" t="n">
        <v>99.129</v>
      </c>
      <c r="S817" s="159">
        <f>(O817*T817)</f>
        <v/>
      </c>
      <c r="T817" s="157" t="n">
        <v>5.93</v>
      </c>
      <c r="U817" s="165" t="n">
        <v>19433.45</v>
      </c>
      <c r="V817" s="157" t="n">
        <v>34.27</v>
      </c>
      <c r="W817" s="159">
        <f>U817/V817</f>
        <v/>
      </c>
      <c r="X817" s="159">
        <f>(W817/U817)*100</f>
        <v/>
      </c>
      <c r="Y817" s="165" t="n">
        <v>15452.1</v>
      </c>
      <c r="Z817" s="165" t="n">
        <v>30.14</v>
      </c>
      <c r="AA817" s="159">
        <f>Y817/Z817</f>
        <v/>
      </c>
      <c r="AB817" s="159">
        <f>(AA817/Y817)*100</f>
        <v/>
      </c>
    </row>
    <row r="818">
      <c r="A818" s="155" t="n">
        <v>817</v>
      </c>
      <c r="B818" s="168" t="n">
        <v>45768</v>
      </c>
      <c r="C818" s="157" t="n">
        <v>42651251.55</v>
      </c>
      <c r="D818" s="174">
        <f>C818/E818</f>
        <v/>
      </c>
      <c r="E818" s="157" t="n">
        <v>85.17</v>
      </c>
      <c r="F818" s="159">
        <f>D818/100000</f>
        <v/>
      </c>
      <c r="G818" s="169">
        <f>(F818/DataSheet!$C$12*100)</f>
        <v/>
      </c>
      <c r="H818" s="159">
        <f>K818/I818</f>
        <v/>
      </c>
      <c r="I818" s="159">
        <f>(J818/L818)*100</f>
        <v/>
      </c>
      <c r="J818" s="169">
        <f>L818/O818</f>
        <v/>
      </c>
      <c r="K818" s="157" t="n">
        <v>6.32</v>
      </c>
      <c r="L818" s="157" t="n">
        <v>24125.55</v>
      </c>
      <c r="M818" s="165" t="n">
        <v>3.57</v>
      </c>
      <c r="N818" s="159">
        <f>K818-I818</f>
        <v/>
      </c>
      <c r="O818" s="165" t="n">
        <v>21.93</v>
      </c>
      <c r="P818" s="157" t="n">
        <v>4.416</v>
      </c>
      <c r="Q818" s="169">
        <f>K818-P818</f>
        <v/>
      </c>
      <c r="R818" s="165" t="n">
        <v>98.044</v>
      </c>
      <c r="S818" s="159">
        <f>(O818*T818)</f>
        <v/>
      </c>
      <c r="T818" s="157" t="n">
        <v>5.9</v>
      </c>
      <c r="U818" s="165" t="n">
        <v>19863.65</v>
      </c>
      <c r="V818" s="157" t="n">
        <v>35.02</v>
      </c>
      <c r="W818" s="159">
        <f>U818/V818</f>
        <v/>
      </c>
      <c r="X818" s="159">
        <f>(W818/U818)*100</f>
        <v/>
      </c>
      <c r="Y818" s="165" t="n">
        <v>15751.85</v>
      </c>
      <c r="Z818" s="165" t="n">
        <v>30.72</v>
      </c>
      <c r="AA818" s="159">
        <f>Y818/Z818</f>
        <v/>
      </c>
      <c r="AB818" s="159">
        <f>(AA818/Y818)*100</f>
        <v/>
      </c>
    </row>
    <row r="819">
      <c r="A819" s="155" t="n">
        <v>818</v>
      </c>
      <c r="B819" s="168" t="n">
        <v>45769</v>
      </c>
      <c r="C819" s="157" t="n">
        <v>42815583.53</v>
      </c>
      <c r="D819" s="174">
        <f>C819/E819</f>
        <v/>
      </c>
      <c r="E819" s="157" t="n">
        <v>85.18000000000001</v>
      </c>
      <c r="F819" s="159">
        <f>D819/100000</f>
        <v/>
      </c>
      <c r="G819" s="169">
        <f>(F819/DataSheet!$C$12*100)</f>
        <v/>
      </c>
      <c r="H819" s="159">
        <f>K819/I819</f>
        <v/>
      </c>
      <c r="I819" s="159">
        <f>(J819/L819)*100</f>
        <v/>
      </c>
      <c r="J819" s="169">
        <f>L819/O819</f>
        <v/>
      </c>
      <c r="K819" s="157" t="n">
        <v>6.32</v>
      </c>
      <c r="L819" s="157" t="n">
        <v>24167.25</v>
      </c>
      <c r="M819" s="165" t="n">
        <v>3.57</v>
      </c>
      <c r="N819" s="159">
        <f>K819-I819</f>
        <v/>
      </c>
      <c r="O819" s="165" t="n">
        <v>21.97</v>
      </c>
      <c r="P819" s="157" t="n">
        <v>4.4</v>
      </c>
      <c r="Q819" s="169">
        <f>K819-P819</f>
        <v/>
      </c>
      <c r="R819" s="165" t="n">
        <v>98.69</v>
      </c>
      <c r="S819" s="159">
        <f>(O819*T819)</f>
        <v/>
      </c>
      <c r="T819" s="157" t="n">
        <v>5.9</v>
      </c>
      <c r="U819" s="165" t="n">
        <v>20032.3</v>
      </c>
      <c r="V819" s="157" t="n">
        <v>35.32</v>
      </c>
      <c r="W819" s="159">
        <f>U819/V819</f>
        <v/>
      </c>
      <c r="X819" s="159">
        <f>(W819/U819)*100</f>
        <v/>
      </c>
      <c r="Y819" s="165" t="n">
        <v>15878.05</v>
      </c>
      <c r="Z819" s="165" t="n">
        <v>30.97</v>
      </c>
      <c r="AA819" s="159">
        <f>Y819/Z819</f>
        <v/>
      </c>
      <c r="AB819" s="159">
        <f>(AA819/Y819)*100</f>
        <v/>
      </c>
    </row>
    <row r="820">
      <c r="A820" s="155" t="n">
        <v>819</v>
      </c>
      <c r="B820" s="168" t="n">
        <v>45770</v>
      </c>
      <c r="C820" s="157" t="n">
        <v>43127774.14</v>
      </c>
      <c r="D820" s="174">
        <f>C820/E820</f>
        <v/>
      </c>
      <c r="E820" s="157" t="n">
        <v>85.34999999999999</v>
      </c>
      <c r="F820" s="159">
        <f>D820/100000</f>
        <v/>
      </c>
      <c r="G820" s="169">
        <f>(F820/DataSheet!$C$12*100)</f>
        <v/>
      </c>
      <c r="H820" s="159">
        <f>K820/I820</f>
        <v/>
      </c>
      <c r="I820" s="159">
        <f>(J820/L820)*100</f>
        <v/>
      </c>
      <c r="J820" s="169">
        <f>L820/O820</f>
        <v/>
      </c>
      <c r="K820" s="157" t="n">
        <v>6.33</v>
      </c>
      <c r="L820" s="157" t="n">
        <v>24328.95</v>
      </c>
      <c r="M820" s="165" t="n">
        <v>3.6</v>
      </c>
      <c r="N820" s="159">
        <f>K820-I820</f>
        <v/>
      </c>
      <c r="O820" s="165" t="n">
        <v>21.99</v>
      </c>
      <c r="P820" s="157" t="n">
        <v>4.384</v>
      </c>
      <c r="Q820" s="169">
        <f>K820-P820</f>
        <v/>
      </c>
      <c r="R820" s="165" t="n">
        <v>99.636</v>
      </c>
      <c r="S820" s="159">
        <f>(O820*T820)</f>
        <v/>
      </c>
      <c r="T820" s="157" t="n">
        <v>5.9</v>
      </c>
      <c r="U820" s="165" t="n">
        <v>20229.05</v>
      </c>
      <c r="V820" s="157" t="n">
        <v>35.59</v>
      </c>
      <c r="W820" s="159">
        <f>U820/V820</f>
        <v/>
      </c>
      <c r="X820" s="159">
        <f>(W820/U820)*100</f>
        <v/>
      </c>
      <c r="Y820" s="165" t="n">
        <v>15923.2</v>
      </c>
      <c r="Z820" s="165" t="n">
        <v>31.04</v>
      </c>
      <c r="AA820" s="159">
        <f>Y820/Z820</f>
        <v/>
      </c>
      <c r="AB820" s="159">
        <f>(AA820/Y820)*100</f>
        <v/>
      </c>
    </row>
    <row r="821">
      <c r="A821" s="155" t="n">
        <v>820</v>
      </c>
      <c r="B821" s="168" t="n">
        <v>45771</v>
      </c>
      <c r="C821" s="157" t="n">
        <v>43042123.19</v>
      </c>
      <c r="D821" s="174">
        <f>C821/E821</f>
        <v/>
      </c>
      <c r="E821" s="157" t="n">
        <v>85.32599999999999</v>
      </c>
      <c r="F821" s="159">
        <f>D821/100000</f>
        <v/>
      </c>
      <c r="G821" s="169">
        <f>(F821/DataSheet!$C$12*100)</f>
        <v/>
      </c>
      <c r="H821" s="159">
        <f>K821/I821</f>
        <v/>
      </c>
      <c r="I821" s="159">
        <f>(J821/L821)*100</f>
        <v/>
      </c>
      <c r="J821" s="169">
        <f>L821/O821</f>
        <v/>
      </c>
      <c r="K821" s="157" t="n">
        <v>6.32</v>
      </c>
      <c r="L821" s="157" t="n">
        <v>24246.7</v>
      </c>
      <c r="M821" s="165" t="n">
        <v>3.59</v>
      </c>
      <c r="N821" s="159">
        <f>K821-I821</f>
        <v/>
      </c>
      <c r="O821" s="165" t="n">
        <v>21.91</v>
      </c>
      <c r="P821" s="157" t="n">
        <v>4.314</v>
      </c>
      <c r="Q821" s="169">
        <f>K821-P821</f>
        <v/>
      </c>
      <c r="R821" s="165" t="n">
        <v>99.16800000000001</v>
      </c>
      <c r="S821" s="159">
        <f>(O821*T821)</f>
        <v/>
      </c>
      <c r="T821" s="157" t="n">
        <v>5.88</v>
      </c>
      <c r="U821" s="165" t="n">
        <v>20194.4</v>
      </c>
      <c r="V821" s="157" t="n">
        <v>35.54</v>
      </c>
      <c r="W821" s="159">
        <f>U821/V821</f>
        <v/>
      </c>
      <c r="X821" s="159">
        <f>(W821/U821)*100</f>
        <v/>
      </c>
      <c r="Y821" s="165" t="n">
        <v>15915.25</v>
      </c>
      <c r="Z821" s="165" t="n">
        <v>31.02</v>
      </c>
      <c r="AA821" s="159">
        <f>Y821/Z821</f>
        <v/>
      </c>
      <c r="AB821" s="159">
        <f>(AA821/Y821)*100</f>
        <v/>
      </c>
    </row>
    <row r="822">
      <c r="A822" s="155" t="n">
        <v>821</v>
      </c>
      <c r="B822" s="168" t="n">
        <v>45772</v>
      </c>
      <c r="C822" s="157" t="n">
        <v>42247389.77</v>
      </c>
      <c r="D822" s="174">
        <f>C822/E822</f>
        <v/>
      </c>
      <c r="E822" s="157" t="n">
        <v>85.38500000000001</v>
      </c>
      <c r="F822" s="159">
        <f>D822/100000</f>
        <v/>
      </c>
      <c r="G822" s="169">
        <f>(F822/DataSheet!$C$12*100)</f>
        <v/>
      </c>
      <c r="H822" s="159">
        <f>K822/I822</f>
        <v/>
      </c>
      <c r="I822" s="159">
        <f>(J822/L822)*100</f>
        <v/>
      </c>
      <c r="J822" s="169">
        <f>L822/O822</f>
        <v/>
      </c>
      <c r="K822" s="157" t="n">
        <v>6.36</v>
      </c>
      <c r="L822" s="157" t="n">
        <v>24039.35</v>
      </c>
      <c r="M822" s="165" t="n">
        <v>3.56</v>
      </c>
      <c r="N822" s="159">
        <f>K822-I822</f>
        <v/>
      </c>
      <c r="O822" s="165" t="n">
        <v>21.72</v>
      </c>
      <c r="P822" s="157" t="n">
        <v>4.254</v>
      </c>
      <c r="Q822" s="169">
        <f>K822-P822</f>
        <v/>
      </c>
      <c r="R822" s="165" t="n">
        <v>99.254</v>
      </c>
      <c r="S822" s="159">
        <f>(O822*T822)</f>
        <v/>
      </c>
      <c r="T822" s="157" t="n">
        <v>5.9</v>
      </c>
      <c r="U822" s="165" t="n">
        <v>19694.85</v>
      </c>
      <c r="V822" s="157" t="n">
        <v>34.58</v>
      </c>
      <c r="W822" s="159">
        <f>U822/V822</f>
        <v/>
      </c>
      <c r="X822" s="159">
        <f>(W822/U822)*100</f>
        <v/>
      </c>
      <c r="Y822" s="165" t="n">
        <v>15524.15</v>
      </c>
      <c r="Z822" s="165" t="n">
        <v>30.26</v>
      </c>
      <c r="AA822" s="159">
        <f>Y822/Z822</f>
        <v/>
      </c>
      <c r="AB822" s="159">
        <f>(AA822/Y822)*100</f>
        <v/>
      </c>
    </row>
    <row r="823">
      <c r="A823" s="155" t="n">
        <v>822</v>
      </c>
      <c r="B823" s="168" t="n">
        <v>45775</v>
      </c>
      <c r="C823" s="157" t="n">
        <v>42680933.22</v>
      </c>
      <c r="D823" s="174">
        <f>C823/E823</f>
        <v/>
      </c>
      <c r="E823" s="157" t="n">
        <v>85.163</v>
      </c>
      <c r="F823" s="159">
        <f>D823/100000</f>
        <v/>
      </c>
      <c r="G823" s="169">
        <f>(F823/DataSheet!$C$12*100)</f>
        <v/>
      </c>
      <c r="H823" s="159">
        <f>K823/I823</f>
        <v/>
      </c>
      <c r="I823" s="159">
        <f>(J823/L823)*100</f>
        <v/>
      </c>
      <c r="J823" s="169">
        <f>L823/O823</f>
        <v/>
      </c>
      <c r="K823" s="157" t="n">
        <v>6.39</v>
      </c>
      <c r="L823" s="157" t="n">
        <v>24328.5</v>
      </c>
      <c r="M823" s="165" t="n">
        <v>3.6</v>
      </c>
      <c r="N823" s="159">
        <f>K823-I823</f>
        <v/>
      </c>
      <c r="O823" s="165" t="n">
        <v>21.97</v>
      </c>
      <c r="P823" s="157" t="n">
        <v>4.205</v>
      </c>
      <c r="Q823" s="169">
        <f>K823-P823</f>
        <v/>
      </c>
      <c r="R823" s="165" t="n">
        <v>98.789</v>
      </c>
      <c r="S823" s="159">
        <f>(O823*T823)</f>
        <v/>
      </c>
      <c r="T823" s="157" t="n">
        <v>5.88</v>
      </c>
      <c r="U823" s="165" t="n">
        <v>19966.7</v>
      </c>
      <c r="V823" s="157" t="n">
        <v>35.08</v>
      </c>
      <c r="W823" s="159">
        <f>U823/V823</f>
        <v/>
      </c>
      <c r="X823" s="159">
        <f>(W823/U823)*100</f>
        <v/>
      </c>
      <c r="Y823" s="165" t="n">
        <v>15607.15</v>
      </c>
      <c r="Z823" s="165" t="n">
        <v>30.32</v>
      </c>
      <c r="AA823" s="159">
        <f>Y823/Z823</f>
        <v/>
      </c>
      <c r="AB823" s="159">
        <f>(AA823/Y823)*100</f>
        <v/>
      </c>
    </row>
    <row r="824">
      <c r="A824" s="155" t="n">
        <v>823</v>
      </c>
      <c r="B824" s="168" t="n">
        <v>45776</v>
      </c>
      <c r="C824" s="157" t="n">
        <v>42694248.69</v>
      </c>
      <c r="D824" s="174">
        <f>C824/E824</f>
        <v/>
      </c>
      <c r="E824" s="157" t="n">
        <v>85.155</v>
      </c>
      <c r="F824" s="159">
        <f>D824/100000</f>
        <v/>
      </c>
      <c r="G824" s="169">
        <f>(F824/DataSheet!$C$12*100)</f>
        <v/>
      </c>
      <c r="H824" s="159">
        <f>K824/I824</f>
        <v/>
      </c>
      <c r="I824" s="159">
        <f>(J824/L824)*100</f>
        <v/>
      </c>
      <c r="J824" s="169">
        <f>L824/O824</f>
        <v/>
      </c>
      <c r="K824" s="157" t="n">
        <v>6.34</v>
      </c>
      <c r="L824" s="157" t="n">
        <v>24335.95</v>
      </c>
      <c r="M824" s="165" t="n">
        <v>3.6</v>
      </c>
      <c r="N824" s="159">
        <f>K824-I824</f>
        <v/>
      </c>
      <c r="O824" s="165" t="n">
        <v>21.94</v>
      </c>
      <c r="P824" s="157" t="n">
        <v>4.171</v>
      </c>
      <c r="Q824" s="169">
        <f>K824-P824</f>
        <v/>
      </c>
      <c r="R824" s="165" t="n">
        <v>99.018</v>
      </c>
      <c r="S824" s="159">
        <f>(O824*T824)</f>
        <v/>
      </c>
      <c r="T824" s="157" t="n">
        <v>5.88</v>
      </c>
      <c r="U824" s="165" t="n">
        <v>20009.05</v>
      </c>
      <c r="V824" s="157" t="n">
        <v>35.33</v>
      </c>
      <c r="W824" s="159">
        <f>U824/V824</f>
        <v/>
      </c>
      <c r="X824" s="159">
        <f>(W824/U824)*100</f>
        <v/>
      </c>
      <c r="Y824" s="165" t="n">
        <v>15639.7</v>
      </c>
      <c r="Z824" s="165" t="n">
        <v>30.43</v>
      </c>
      <c r="AA824" s="159">
        <f>Y824/Z824</f>
        <v/>
      </c>
      <c r="AB824" s="159">
        <f>(AA824/Y824)*100</f>
        <v/>
      </c>
    </row>
    <row r="825">
      <c r="A825" s="155" t="n">
        <v>824</v>
      </c>
      <c r="B825" s="168" t="n">
        <v>45777</v>
      </c>
      <c r="C825" s="157" t="n">
        <v>42413092.6</v>
      </c>
      <c r="D825" s="174">
        <f>C825/E825</f>
        <v/>
      </c>
      <c r="E825" s="157" t="n">
        <v>84.599</v>
      </c>
      <c r="F825" s="159">
        <f>D825/100000</f>
        <v/>
      </c>
      <c r="G825" s="169">
        <f>(F825/DataSheet!$C$12*100)</f>
        <v/>
      </c>
      <c r="H825" s="159">
        <f>K825/I825</f>
        <v/>
      </c>
      <c r="I825" s="159">
        <f>(J825/L825)*100</f>
        <v/>
      </c>
      <c r="J825" s="169">
        <f>L825/O825</f>
        <v/>
      </c>
      <c r="K825" s="157" t="n">
        <v>6.35</v>
      </c>
      <c r="L825" s="157" t="n">
        <v>24334.2</v>
      </c>
      <c r="M825" s="165" t="n">
        <v>3.6</v>
      </c>
      <c r="N825" s="159">
        <f>K825-I825</f>
        <v/>
      </c>
      <c r="O825" s="165" t="n">
        <v>21.94</v>
      </c>
      <c r="P825" s="157" t="n">
        <v>4.167</v>
      </c>
      <c r="Q825" s="169">
        <f>K825-P825</f>
        <v/>
      </c>
      <c r="R825" s="165" t="n">
        <v>99.27</v>
      </c>
      <c r="S825" s="159">
        <f>(O825*T825)</f>
        <v/>
      </c>
      <c r="T825" s="157" t="n">
        <v>5.9</v>
      </c>
      <c r="U825" s="165" t="n">
        <v>19873.15</v>
      </c>
      <c r="V825" s="157" t="n">
        <v>34.01</v>
      </c>
      <c r="W825" s="159">
        <f>U825/V825</f>
        <v/>
      </c>
      <c r="X825" s="159">
        <f>(W825/U825)*100</f>
        <v/>
      </c>
      <c r="Y825" s="165" t="n">
        <v>15359.45</v>
      </c>
      <c r="Z825" s="165" t="n">
        <v>30.04</v>
      </c>
      <c r="AA825" s="159">
        <f>Y825/Z825</f>
        <v/>
      </c>
      <c r="AB825" s="159">
        <f>(AA825/Y825)*100</f>
        <v/>
      </c>
    </row>
    <row r="826">
      <c r="A826" s="155" t="n">
        <v>825</v>
      </c>
      <c r="B826" s="168" t="n">
        <v>45779</v>
      </c>
      <c r="C826" s="157" t="n">
        <v>42357227.19</v>
      </c>
      <c r="D826" s="174">
        <f>C826/E826</f>
        <v/>
      </c>
      <c r="E826" s="157" t="n">
        <v>84.527</v>
      </c>
      <c r="F826" s="159">
        <f>D826/100000</f>
        <v/>
      </c>
      <c r="G826" s="169">
        <f>(F826/DataSheet!$C$12*100)</f>
        <v/>
      </c>
      <c r="H826" s="159">
        <f>K826/I826</f>
        <v/>
      </c>
      <c r="I826" s="159">
        <f>(J826/L826)*100</f>
        <v/>
      </c>
      <c r="J826" s="169">
        <f>L826/O826</f>
        <v/>
      </c>
      <c r="K826" s="157" t="n">
        <v>6.35</v>
      </c>
      <c r="L826" s="157" t="n">
        <v>24346.7</v>
      </c>
      <c r="M826" s="165" t="n">
        <v>3.6</v>
      </c>
      <c r="N826" s="159">
        <f>K826-I826</f>
        <v/>
      </c>
      <c r="O826" s="165" t="n">
        <v>21.95</v>
      </c>
      <c r="P826" s="157" t="n">
        <v>4.307</v>
      </c>
      <c r="Q826" s="169">
        <f>K826-P826</f>
        <v/>
      </c>
      <c r="R826" s="165" t="n">
        <v>99.84</v>
      </c>
      <c r="S826" s="159">
        <f>(O826*T826)</f>
        <v/>
      </c>
      <c r="T826" s="157" t="n">
        <v>5.89</v>
      </c>
      <c r="U826" s="165" t="n">
        <v>19738.1</v>
      </c>
      <c r="V826" s="157" t="n">
        <v>33.78</v>
      </c>
      <c r="W826" s="159">
        <f>U826/V826</f>
        <v/>
      </c>
      <c r="X826" s="159">
        <f>(W826/U826)*100</f>
        <v/>
      </c>
      <c r="Y826" s="165" t="n">
        <v>15354.35</v>
      </c>
      <c r="Z826" s="165" t="n">
        <v>30.03</v>
      </c>
      <c r="AA826" s="159">
        <f>Y826/Z826</f>
        <v/>
      </c>
      <c r="AB826" s="159">
        <f>(AA826/Y826)*100</f>
        <v/>
      </c>
    </row>
    <row r="827">
      <c r="A827" s="155" t="n">
        <v>826</v>
      </c>
      <c r="B827" s="168" t="n">
        <v>45782</v>
      </c>
      <c r="C827" s="157" t="n">
        <v>42814518.22</v>
      </c>
      <c r="D827" s="174">
        <f>C827/E827</f>
        <v/>
      </c>
      <c r="E827" s="157" t="n">
        <v>84.295</v>
      </c>
      <c r="F827" s="159">
        <f>D827/100000</f>
        <v/>
      </c>
      <c r="G827" s="169">
        <f>(F827/DataSheet!$C$12*100)</f>
        <v/>
      </c>
      <c r="H827" s="159">
        <f>K827/I827</f>
        <v/>
      </c>
      <c r="I827" s="159">
        <f>(J827/L827)*100</f>
        <v/>
      </c>
      <c r="J827" s="169">
        <f>L827/O827</f>
        <v/>
      </c>
      <c r="K827" s="157" t="n">
        <v>6.419</v>
      </c>
      <c r="L827" s="157" t="n">
        <v>24461.15</v>
      </c>
      <c r="M827" s="165" t="n">
        <v>3.62</v>
      </c>
      <c r="N827" s="159">
        <f>K827-I827</f>
        <v/>
      </c>
      <c r="O827" s="165" t="n">
        <v>21.99</v>
      </c>
      <c r="P827" s="157" t="n">
        <v>4.348</v>
      </c>
      <c r="Q827" s="169">
        <f>K827-P827</f>
        <v/>
      </c>
      <c r="R827" s="165" t="n">
        <v>99.64</v>
      </c>
      <c r="S827" s="159">
        <f>(O827*T827)</f>
        <v/>
      </c>
      <c r="T827" s="157" t="n">
        <v>5.89</v>
      </c>
      <c r="U827" s="165" t="n">
        <v>20049.15</v>
      </c>
      <c r="V827" s="157" t="n">
        <v>34.21</v>
      </c>
      <c r="W827" s="159">
        <f>U827/V827</f>
        <v/>
      </c>
      <c r="X827" s="159">
        <f>(W827/U827)*100</f>
        <v/>
      </c>
      <c r="Y827" s="165" t="n">
        <v>15528.3</v>
      </c>
      <c r="Z827" s="165" t="n">
        <v>30.54</v>
      </c>
      <c r="AA827" s="159">
        <f>Y827/Z827</f>
        <v/>
      </c>
      <c r="AB827" s="159">
        <f>(AA827/Y827)*100</f>
        <v/>
      </c>
    </row>
    <row r="828">
      <c r="A828" s="170" t="n">
        <v>827</v>
      </c>
      <c r="B828" s="156" t="n">
        <v>45783</v>
      </c>
      <c r="C828" s="171" t="n">
        <v>42205723.8</v>
      </c>
      <c r="D828" s="174" t="n">
        <v>500631.3243579858</v>
      </c>
      <c r="E828" s="165" t="n">
        <v>84.30500000000001</v>
      </c>
      <c r="F828" s="159" t="n">
        <v>5.006313243579858</v>
      </c>
      <c r="G828" s="169" t="n">
        <v>136.0411207494527</v>
      </c>
      <c r="H828" s="159" t="n">
        <v>1.3909715</v>
      </c>
      <c r="I828" s="159" t="n">
        <v>4.555808656036446</v>
      </c>
      <c r="J828" s="169" t="n">
        <v>1110.687927107062</v>
      </c>
      <c r="K828" s="157" t="n">
        <v>6.337</v>
      </c>
      <c r="L828" s="165" t="n">
        <v>24379.6</v>
      </c>
      <c r="M828" s="157" t="n">
        <v>3.61</v>
      </c>
      <c r="N828" s="159" t="n">
        <v>1.781191343963553</v>
      </c>
      <c r="O828" s="157" t="n">
        <v>21.95</v>
      </c>
      <c r="P828" s="157" t="n">
        <v>4.298</v>
      </c>
      <c r="Q828" s="169" t="n">
        <v>2.039</v>
      </c>
      <c r="R828" s="165" t="n">
        <v>99.047</v>
      </c>
      <c r="S828" s="159" t="n">
        <v>0</v>
      </c>
      <c r="U828" s="157" t="n">
        <v>19646.2</v>
      </c>
      <c r="V828" s="165" t="n">
        <v>33.47</v>
      </c>
      <c r="W828" s="159" t="n">
        <v>586.9793845234539</v>
      </c>
      <c r="X828" s="159" t="n">
        <v>2.987750224081267</v>
      </c>
      <c r="Y828" s="157" t="n">
        <v>15181.45</v>
      </c>
      <c r="Z828" s="165" t="n">
        <v>29.89</v>
      </c>
      <c r="AA828" s="159" t="n">
        <v>507.9106724657076</v>
      </c>
      <c r="AB828" s="159" t="n">
        <v>3.345600535296085</v>
      </c>
    </row>
    <row r="829">
      <c r="A829" s="170" t="n">
        <v>828</v>
      </c>
      <c r="B829" s="156" t="n">
        <v>45784</v>
      </c>
      <c r="C829" s="171" t="n">
        <v>42420124.81</v>
      </c>
      <c r="D829" s="174" t="n">
        <v>500703.7784020491</v>
      </c>
      <c r="E829" s="165" t="n">
        <v>84.721</v>
      </c>
      <c r="F829" s="159" t="n">
        <v>5.007037784020491</v>
      </c>
      <c r="G829" s="169" t="n">
        <v>136.0608093483829</v>
      </c>
      <c r="H829" s="159" t="n">
        <v>1.4062605</v>
      </c>
      <c r="I829" s="159" t="n">
        <v>4.547521600727603</v>
      </c>
      <c r="J829" s="169" t="n">
        <v>1110.25011368804</v>
      </c>
      <c r="K829" s="157" t="n">
        <v>6.395</v>
      </c>
      <c r="L829" s="165" t="n">
        <v>24414.4</v>
      </c>
      <c r="M829" s="157" t="n">
        <v>3.61</v>
      </c>
      <c r="N829" s="159" t="n">
        <v>1.847478399272396</v>
      </c>
      <c r="O829" s="157" t="n">
        <v>21.99</v>
      </c>
      <c r="P829" s="157" t="n">
        <v>4.268</v>
      </c>
      <c r="Q829" s="169" t="n">
        <v>2.127</v>
      </c>
      <c r="R829" s="165" t="n">
        <v>99.435</v>
      </c>
      <c r="S829" s="159" t="n">
        <v>0</v>
      </c>
      <c r="U829" s="157" t="n">
        <v>19943.65</v>
      </c>
      <c r="V829" s="165" t="n">
        <v>33.95</v>
      </c>
      <c r="W829" s="159" t="n">
        <v>587.441826215022</v>
      </c>
      <c r="X829" s="159" t="n">
        <v>2.945508100147275</v>
      </c>
      <c r="Y829" s="157" t="n">
        <v>15362.7</v>
      </c>
      <c r="Z829" s="165" t="n">
        <v>30.23</v>
      </c>
      <c r="AA829" s="159" t="n">
        <v>508.1938471716838</v>
      </c>
      <c r="AB829" s="159" t="n">
        <v>3.30797221303341</v>
      </c>
    </row>
    <row r="830">
      <c r="A830" s="170" t="n">
        <v>829</v>
      </c>
      <c r="B830" s="156" t="n">
        <v>45785</v>
      </c>
      <c r="C830" s="171" t="n">
        <v>41934056.71</v>
      </c>
      <c r="D830" s="174" t="n">
        <v>490250.3824120838</v>
      </c>
      <c r="E830" s="165" t="n">
        <v>85.536</v>
      </c>
      <c r="F830" s="159" t="n">
        <v>4.902503824120838</v>
      </c>
      <c r="G830" s="169" t="n">
        <v>133.2202126119793</v>
      </c>
      <c r="H830" s="159" t="n">
        <v>1.3940122</v>
      </c>
      <c r="I830" s="159" t="n">
        <v>4.574565416285453</v>
      </c>
      <c r="J830" s="169" t="n">
        <v>1110.420860018298</v>
      </c>
      <c r="K830" s="157" t="n">
        <v>6.377</v>
      </c>
      <c r="L830" s="165" t="n">
        <v>24273.8</v>
      </c>
      <c r="M830" s="157" t="n">
        <v>3.59</v>
      </c>
      <c r="N830" s="159" t="n">
        <v>1.802434583714547</v>
      </c>
      <c r="O830" s="157" t="n">
        <v>21.86</v>
      </c>
      <c r="P830" s="157" t="n">
        <v>4.379</v>
      </c>
      <c r="Q830" s="169" t="n">
        <v>1.998</v>
      </c>
      <c r="R830" s="165" t="n">
        <v>100.49</v>
      </c>
      <c r="S830" s="159" t="n">
        <v>0</v>
      </c>
      <c r="U830" s="157" t="n">
        <v>19591.8</v>
      </c>
      <c r="V830" s="165" t="n">
        <v>33.2</v>
      </c>
      <c r="W830" s="159" t="n">
        <v>590.1144578313252</v>
      </c>
      <c r="X830" s="159" t="n">
        <v>3.012048192771084</v>
      </c>
      <c r="Y830" s="157" t="n">
        <v>15180.45</v>
      </c>
      <c r="Z830" s="165" t="n">
        <v>29.87</v>
      </c>
      <c r="AA830" s="159" t="n">
        <v>508.2172748577168</v>
      </c>
      <c r="AB830" s="159" t="n">
        <v>3.347840642785403</v>
      </c>
    </row>
    <row r="831">
      <c r="A831" s="170" t="n">
        <v>830</v>
      </c>
      <c r="B831" s="156" t="n">
        <v>45786</v>
      </c>
      <c r="C831" s="171" t="n">
        <v>41701115.92</v>
      </c>
      <c r="D831" s="174" t="n">
        <v>488252.0099755295</v>
      </c>
      <c r="E831" s="165" t="n">
        <v>85.40900000000001</v>
      </c>
      <c r="F831" s="159" t="n">
        <v>4.882520099755295</v>
      </c>
      <c r="G831" s="169" t="n">
        <v>132.6771766237852</v>
      </c>
      <c r="H831" s="159" t="n">
        <v>1.3787074</v>
      </c>
      <c r="I831" s="159" t="n">
        <v>4.625346901017577</v>
      </c>
      <c r="J831" s="169" t="n">
        <v>1110.4532839963</v>
      </c>
      <c r="K831" s="157" t="n">
        <v>6.377</v>
      </c>
      <c r="L831" s="165" t="n">
        <v>24008</v>
      </c>
      <c r="M831" s="157" t="n">
        <v>3.55</v>
      </c>
      <c r="N831" s="159" t="n">
        <v>1.751653098982423</v>
      </c>
      <c r="O831" s="157" t="n">
        <v>21.62</v>
      </c>
      <c r="P831" s="157" t="n">
        <v>4.381</v>
      </c>
      <c r="Q831" s="169" t="n">
        <v>1.996</v>
      </c>
      <c r="R831" s="165" t="n">
        <v>100.168</v>
      </c>
      <c r="S831" s="159" t="n">
        <v>0</v>
      </c>
      <c r="U831" s="157" t="n">
        <v>19596.25</v>
      </c>
      <c r="V831" s="165" t="n">
        <v>33.16</v>
      </c>
      <c r="W831" s="159" t="n">
        <v>590.9604945717733</v>
      </c>
      <c r="X831" s="159" t="n">
        <v>3.015681544028951</v>
      </c>
      <c r="Y831" s="157" t="n">
        <v>15080.45</v>
      </c>
      <c r="Z831" s="165" t="n">
        <v>29.42</v>
      </c>
      <c r="AA831" s="159" t="n">
        <v>512.5917743031951</v>
      </c>
      <c r="AB831" s="159" t="n">
        <v>3.399048266485384</v>
      </c>
    </row>
    <row r="832">
      <c r="A832" s="170" t="n">
        <v>831</v>
      </c>
      <c r="B832" s="156" t="n">
        <v>45789</v>
      </c>
      <c r="C832" s="171" t="n">
        <v>43313429.28</v>
      </c>
      <c r="D832" s="174" t="n">
        <v>510260.1081463156</v>
      </c>
      <c r="E832" s="165" t="n">
        <v>84.88500000000001</v>
      </c>
      <c r="F832" s="159" t="n">
        <v>5.102601081463156</v>
      </c>
      <c r="G832" s="169" t="n">
        <v>138.6576380832379</v>
      </c>
      <c r="H832" s="159" t="n">
        <v>1.4097255</v>
      </c>
      <c r="I832" s="159" t="n">
        <v>4.458314757021846</v>
      </c>
      <c r="J832" s="169" t="n">
        <v>1111.221578243424</v>
      </c>
      <c r="K832" s="157" t="n">
        <v>6.285</v>
      </c>
      <c r="L832" s="165" t="n">
        <v>24924.7</v>
      </c>
      <c r="M832" s="157" t="n">
        <v>3.69</v>
      </c>
      <c r="N832" s="159" t="n">
        <v>1.826685242978154</v>
      </c>
      <c r="O832" s="157" t="n">
        <v>22.43</v>
      </c>
      <c r="P832" s="157" t="n">
        <v>4.472</v>
      </c>
      <c r="Q832" s="169" t="n">
        <v>1.813</v>
      </c>
      <c r="R832" s="165" t="n">
        <v>101.599</v>
      </c>
      <c r="S832" s="159" t="n">
        <v>0</v>
      </c>
      <c r="U832" s="157" t="n">
        <v>20331.5</v>
      </c>
      <c r="V832" s="165" t="n">
        <v>34.4</v>
      </c>
      <c r="W832" s="159" t="n">
        <v>591.0319767441861</v>
      </c>
      <c r="X832" s="159" t="n">
        <v>2.906976744186046</v>
      </c>
      <c r="Y832" s="157" t="n">
        <v>15684.2</v>
      </c>
      <c r="Z832" s="165" t="n">
        <v>30.61</v>
      </c>
      <c r="AA832" s="159" t="n">
        <v>512.3881084612872</v>
      </c>
      <c r="AB832" s="159" t="n">
        <v>3.266906239790917</v>
      </c>
    </row>
    <row r="833">
      <c r="A833" s="170" t="n">
        <v>832</v>
      </c>
      <c r="B833" s="156" t="n">
        <v>45790</v>
      </c>
      <c r="C833" s="171" t="n">
        <v>43184842.46</v>
      </c>
      <c r="D833" s="174" t="n">
        <v>506418.557138669</v>
      </c>
      <c r="E833" s="165" t="n">
        <v>85.27500000000001</v>
      </c>
      <c r="F833" s="159" t="n">
        <v>5.06418557138669</v>
      </c>
      <c r="G833" s="169" t="n">
        <v>137.6137383528992</v>
      </c>
      <c r="H833" s="159" t="n">
        <v>1.3782336</v>
      </c>
      <c r="I833" s="159" t="n">
        <v>4.528985507246378</v>
      </c>
      <c r="J833" s="169" t="n">
        <v>1113.14990942029</v>
      </c>
      <c r="K833" s="157" t="n">
        <v>6.242</v>
      </c>
      <c r="L833" s="165" t="n">
        <v>24578.35</v>
      </c>
      <c r="M833" s="157" t="n">
        <v>3.64</v>
      </c>
      <c r="N833" s="159" t="n">
        <v>1.713014492753622</v>
      </c>
      <c r="O833" s="157" t="n">
        <v>22.08</v>
      </c>
      <c r="P833" s="157" t="n">
        <v>4.47</v>
      </c>
      <c r="Q833" s="169" t="n">
        <v>1.772</v>
      </c>
      <c r="R833" s="165" t="n">
        <v>100.826</v>
      </c>
      <c r="S833" s="159" t="n">
        <v>0</v>
      </c>
      <c r="U833" s="157" t="n">
        <v>20379.3</v>
      </c>
      <c r="V833" s="165" t="n">
        <v>34.18</v>
      </c>
      <c r="W833" s="159" t="n">
        <v>596.2346401404329</v>
      </c>
      <c r="X833" s="159" t="n">
        <v>2.925687536571094</v>
      </c>
      <c r="Y833" s="157" t="n">
        <v>15815.45</v>
      </c>
      <c r="Z833" s="165" t="n">
        <v>31.03</v>
      </c>
      <c r="AA833" s="159" t="n">
        <v>509.6825652594264</v>
      </c>
      <c r="AB833" s="159" t="n">
        <v>3.222687721559781</v>
      </c>
    </row>
    <row r="834">
      <c r="A834" s="170" t="n">
        <v>833</v>
      </c>
      <c r="B834" s="156" t="n">
        <v>45791</v>
      </c>
      <c r="C834" s="171" t="n">
        <v>43564124.12</v>
      </c>
      <c r="D834" s="174" t="n">
        <v>510148.4175888518</v>
      </c>
      <c r="E834" s="165" t="n">
        <v>85.395</v>
      </c>
      <c r="F834" s="159" t="n">
        <v>5.101484175888518</v>
      </c>
      <c r="G834" s="169" t="n">
        <v>138.6272873882749</v>
      </c>
      <c r="H834" s="159" t="n">
        <v>1.3795434</v>
      </c>
      <c r="I834" s="159" t="n">
        <v>4.516711833785005</v>
      </c>
      <c r="J834" s="169" t="n">
        <v>1114.132791327913</v>
      </c>
      <c r="K834" s="157" t="n">
        <v>6.231</v>
      </c>
      <c r="L834" s="165" t="n">
        <v>24666.9</v>
      </c>
      <c r="M834" s="157" t="n">
        <v>3.65</v>
      </c>
      <c r="N834" s="159" t="n">
        <v>1.714288166214995</v>
      </c>
      <c r="O834" s="157" t="n">
        <v>22.14</v>
      </c>
      <c r="P834" s="157" t="n">
        <v>4.541</v>
      </c>
      <c r="Q834" s="169" t="n">
        <v>1.69</v>
      </c>
      <c r="R834" s="165" t="n">
        <v>100.873</v>
      </c>
      <c r="S834" s="159" t="n">
        <v>0</v>
      </c>
      <c r="U834" s="157" t="n">
        <v>20637.9</v>
      </c>
      <c r="V834" s="165" t="n">
        <v>34.34</v>
      </c>
      <c r="W834" s="159" t="n">
        <v>600.9871869539895</v>
      </c>
      <c r="X834" s="159" t="n">
        <v>2.9120559114735</v>
      </c>
      <c r="Y834" s="157" t="n">
        <v>16038.3</v>
      </c>
      <c r="Z834" s="165" t="n">
        <v>31.47</v>
      </c>
      <c r="AA834" s="159" t="n">
        <v>509.6377502383222</v>
      </c>
      <c r="AB834" s="159" t="n">
        <v>3.177629488401652</v>
      </c>
    </row>
    <row r="835">
      <c r="A835" s="170" t="n">
        <v>834</v>
      </c>
      <c r="B835" s="156" t="n">
        <v>45792</v>
      </c>
      <c r="C835" s="171" t="n">
        <v>44097971.97</v>
      </c>
      <c r="D835" s="174" t="n">
        <v>515488.415238585</v>
      </c>
      <c r="E835" s="165" t="n">
        <v>85.54600000000001</v>
      </c>
      <c r="F835" s="159" t="n">
        <v>5.154884152385851</v>
      </c>
      <c r="G835" s="169" t="n">
        <v>140.0783737061373</v>
      </c>
      <c r="H835" s="159" t="n">
        <v>1.395146</v>
      </c>
      <c r="I835" s="159" t="n">
        <v>4.458314757021845</v>
      </c>
      <c r="J835" s="169" t="n">
        <v>1117.347302719572</v>
      </c>
      <c r="K835" s="157" t="n">
        <v>6.22</v>
      </c>
      <c r="L835" s="165" t="n">
        <v>25062.1</v>
      </c>
      <c r="M835" s="157" t="n">
        <v>3.71</v>
      </c>
      <c r="N835" s="159" t="n">
        <v>1.761685242978155</v>
      </c>
      <c r="O835" s="157" t="n">
        <v>22.43</v>
      </c>
      <c r="P835" s="157" t="n">
        <v>4.431</v>
      </c>
      <c r="Q835" s="169" t="n">
        <v>1.789</v>
      </c>
      <c r="R835" s="165" t="n">
        <v>100.729</v>
      </c>
      <c r="S835" s="159" t="n">
        <v>0</v>
      </c>
      <c r="U835" s="157" t="n">
        <v>20781.15</v>
      </c>
      <c r="V835" s="165" t="n">
        <v>34.59</v>
      </c>
      <c r="W835" s="159" t="n">
        <v>600.7849089332177</v>
      </c>
      <c r="X835" s="159" t="n">
        <v>2.891008962127783</v>
      </c>
      <c r="Y835" s="157" t="n">
        <v>16159.25</v>
      </c>
      <c r="Z835" s="165" t="n">
        <v>31.52</v>
      </c>
      <c r="AA835" s="159" t="n">
        <v>512.6665609137056</v>
      </c>
      <c r="AB835" s="159" t="n">
        <v>3.172588832487309</v>
      </c>
    </row>
    <row r="836">
      <c r="A836" s="170" t="n">
        <v>835</v>
      </c>
      <c r="B836" s="156" t="n">
        <v>45793</v>
      </c>
      <c r="C836" s="171" t="n">
        <v>44366354.59</v>
      </c>
      <c r="D836" s="174" t="n">
        <v>518904.7320467837</v>
      </c>
      <c r="E836" s="165" t="n">
        <v>85.5</v>
      </c>
      <c r="F836" s="159" t="n">
        <v>5.189047320467837</v>
      </c>
      <c r="G836" s="169" t="n">
        <v>141.0067206648869</v>
      </c>
      <c r="H836" s="159" t="n">
        <v>1.392658</v>
      </c>
      <c r="I836" s="159" t="n">
        <v>4.466279589102277</v>
      </c>
      <c r="J836" s="169" t="n">
        <v>1117.454220634212</v>
      </c>
      <c r="K836" s="157" t="n">
        <v>6.22</v>
      </c>
      <c r="L836" s="165" t="n">
        <v>25019.8</v>
      </c>
      <c r="M836" s="157" t="n">
        <v>3.7</v>
      </c>
      <c r="N836" s="159" t="n">
        <v>1.753720410897722</v>
      </c>
      <c r="O836" s="157" t="n">
        <v>22.39</v>
      </c>
      <c r="P836" s="157" t="n">
        <v>4.443</v>
      </c>
      <c r="Q836" s="169" t="n">
        <v>1.777</v>
      </c>
      <c r="R836" s="165" t="n">
        <v>100.946</v>
      </c>
      <c r="S836" s="159" t="n">
        <v>0</v>
      </c>
      <c r="U836" s="157" t="n">
        <v>20960.15</v>
      </c>
      <c r="V836" s="165" t="n">
        <v>34.87</v>
      </c>
      <c r="W836" s="159" t="n">
        <v>601.0940636650416</v>
      </c>
      <c r="X836" s="159" t="n">
        <v>2.867794665901922</v>
      </c>
      <c r="Y836" s="157" t="n">
        <v>16405.7</v>
      </c>
      <c r="Z836" s="165" t="n">
        <v>31.98</v>
      </c>
      <c r="AA836" s="159" t="n">
        <v>512.9987492182614</v>
      </c>
      <c r="AB836" s="159" t="n">
        <v>3.126954346466541</v>
      </c>
    </row>
    <row r="837">
      <c r="A837" s="170" t="n">
        <v>836</v>
      </c>
      <c r="B837" s="156" t="n">
        <v>45796</v>
      </c>
      <c r="C837" s="171" t="n">
        <v>44435080.26</v>
      </c>
      <c r="D837" s="174" t="n">
        <v>520378.0332591638</v>
      </c>
      <c r="E837" s="165" t="n">
        <v>85.39</v>
      </c>
      <c r="F837" s="159" t="n">
        <v>5.203780332591638</v>
      </c>
      <c r="G837" s="169" t="n">
        <v>141.4070742552076</v>
      </c>
      <c r="H837" s="159" t="n">
        <v>1.391159</v>
      </c>
      <c r="I837" s="159" t="n">
        <v>4.478280340349306</v>
      </c>
      <c r="J837" s="169" t="n">
        <v>1117.127183161666</v>
      </c>
      <c r="K837" s="157" t="n">
        <v>6.23</v>
      </c>
      <c r="L837" s="165" t="n">
        <v>24945.45</v>
      </c>
      <c r="M837" s="157" t="n">
        <v>3.69</v>
      </c>
      <c r="N837" s="159" t="n">
        <v>1.751719659650695</v>
      </c>
      <c r="O837" s="157" t="n">
        <v>22.33</v>
      </c>
      <c r="P837" s="157" t="n">
        <v>4.447</v>
      </c>
      <c r="Q837" s="169" t="n">
        <v>1.783</v>
      </c>
      <c r="R837" s="165" t="n">
        <v>100.288</v>
      </c>
      <c r="S837" s="159" t="n">
        <v>0</v>
      </c>
      <c r="U837" s="157" t="n">
        <v>20992.8</v>
      </c>
      <c r="V837" s="165" t="n">
        <v>34.92</v>
      </c>
      <c r="W837" s="159" t="n">
        <v>601.1683848797251</v>
      </c>
      <c r="X837" s="159" t="n">
        <v>2.86368843069874</v>
      </c>
      <c r="Y837" s="157" t="n">
        <v>16516.8</v>
      </c>
      <c r="Z837" s="165" t="n">
        <v>32.2</v>
      </c>
      <c r="AA837" s="159" t="n">
        <v>512.9440993788819</v>
      </c>
      <c r="AB837" s="159" t="n">
        <v>3.105590062111801</v>
      </c>
    </row>
    <row r="838">
      <c r="A838" s="170" t="n">
        <v>837</v>
      </c>
      <c r="B838" s="156" t="n">
        <v>45797</v>
      </c>
      <c r="C838" s="171" t="n">
        <v>43882812.9</v>
      </c>
      <c r="D838" s="174" t="n">
        <v>513009.2693476736</v>
      </c>
      <c r="E838" s="165" t="n">
        <v>85.54000000000001</v>
      </c>
      <c r="F838" s="159" t="n">
        <v>5.130092693476736</v>
      </c>
      <c r="G838" s="169" t="n">
        <v>139.40469275752</v>
      </c>
      <c r="H838" s="159" t="n">
        <v>1.373376</v>
      </c>
      <c r="I838" s="159" t="n">
        <v>4.528985507246377</v>
      </c>
      <c r="J838" s="169" t="n">
        <v>1117.930253623188</v>
      </c>
      <c r="K838" s="157" t="n">
        <v>6.22</v>
      </c>
      <c r="L838" s="165" t="n">
        <v>24683.9</v>
      </c>
      <c r="M838" s="157" t="n">
        <v>3.65</v>
      </c>
      <c r="N838" s="159" t="n">
        <v>1.691014492753623</v>
      </c>
      <c r="O838" s="157" t="n">
        <v>22.08</v>
      </c>
      <c r="P838" s="157" t="n">
        <v>4.483</v>
      </c>
      <c r="Q838" s="169" t="n">
        <v>1.737</v>
      </c>
      <c r="R838" s="165" t="n">
        <v>99.977</v>
      </c>
      <c r="S838" s="159" t="n">
        <v>0</v>
      </c>
      <c r="U838" s="157" t="n">
        <v>20665.25</v>
      </c>
      <c r="V838" s="165" t="n">
        <v>34.13</v>
      </c>
      <c r="W838" s="159" t="n">
        <v>605.4863756226193</v>
      </c>
      <c r="X838" s="159" t="n">
        <v>2.929973630237328</v>
      </c>
      <c r="Y838" s="157" t="n">
        <v>16368.65</v>
      </c>
      <c r="Z838" s="165" t="n">
        <v>31.61</v>
      </c>
      <c r="AA838" s="159" t="n">
        <v>517.8313824739007</v>
      </c>
      <c r="AB838" s="159" t="n">
        <v>3.163555836760519</v>
      </c>
    </row>
    <row r="839">
      <c r="A839" s="170" t="n">
        <v>838</v>
      </c>
      <c r="B839" s="156" t="n">
        <v>45798</v>
      </c>
      <c r="C839" s="171" t="n">
        <v>44197320.86</v>
      </c>
      <c r="D839" s="174" t="n">
        <v>516323.8418224299</v>
      </c>
      <c r="E839" s="165" t="n">
        <v>85.59999999999999</v>
      </c>
      <c r="F839" s="159" t="n">
        <v>5.163238418224299</v>
      </c>
      <c r="G839" s="169" t="n">
        <v>140.3053917995734</v>
      </c>
      <c r="H839" s="159" t="n">
        <v>1.373561</v>
      </c>
      <c r="I839" s="159" t="n">
        <v>4.506534474988733</v>
      </c>
      <c r="J839" s="169" t="n">
        <v>1118.226678684092</v>
      </c>
      <c r="K839" s="157" t="n">
        <v>6.19</v>
      </c>
      <c r="L839" s="165" t="n">
        <v>24813.45</v>
      </c>
      <c r="M839" s="157" t="n">
        <v>3.67</v>
      </c>
      <c r="N839" s="159" t="n">
        <v>1.683465525011267</v>
      </c>
      <c r="O839" s="157" t="n">
        <v>22.19</v>
      </c>
      <c r="P839" s="157" t="n">
        <v>4.595</v>
      </c>
      <c r="Q839" s="169" t="n">
        <v>1.595000000000001</v>
      </c>
      <c r="R839" s="165" t="n">
        <v>99.435</v>
      </c>
      <c r="S839" s="159" t="n">
        <v>0</v>
      </c>
      <c r="U839" s="157" t="n">
        <v>20828.75</v>
      </c>
      <c r="V839" s="165" t="n">
        <v>34.32</v>
      </c>
      <c r="W839" s="159" t="n">
        <v>606.89831002331</v>
      </c>
      <c r="X839" s="159" t="n">
        <v>2.913752913752914</v>
      </c>
      <c r="Y839" s="157" t="n">
        <v>16437.1</v>
      </c>
      <c r="Z839" s="165" t="n">
        <v>31.75</v>
      </c>
      <c r="AA839" s="159" t="n">
        <v>517.7039370078739</v>
      </c>
      <c r="AB839" s="159" t="n">
        <v>3.149606299212598</v>
      </c>
    </row>
    <row r="840">
      <c r="A840" s="170" t="n">
        <v>839</v>
      </c>
      <c r="B840" s="156" t="n">
        <v>45799</v>
      </c>
      <c r="C840" s="171" t="n">
        <v>43972553.13</v>
      </c>
      <c r="D840" s="174" t="n">
        <v>511338.4863073435</v>
      </c>
      <c r="E840" s="165" t="n">
        <v>85.995</v>
      </c>
      <c r="F840" s="159" t="n">
        <v>5.113384863073435</v>
      </c>
      <c r="G840" s="169" t="n">
        <v>138.9506756269955</v>
      </c>
      <c r="H840" s="159" t="n">
        <v>1.366821</v>
      </c>
      <c r="I840" s="159" t="n">
        <v>4.543389368468877</v>
      </c>
      <c r="J840" s="169" t="n">
        <v>1118.114493412085</v>
      </c>
      <c r="K840" s="157" t="n">
        <v>6.21</v>
      </c>
      <c r="L840" s="165" t="n">
        <v>24609.7</v>
      </c>
      <c r="M840" s="157" t="n">
        <v>3.64</v>
      </c>
      <c r="N840" s="159" t="n">
        <v>1.666610631531123</v>
      </c>
      <c r="O840" s="157" t="n">
        <v>22.01</v>
      </c>
      <c r="P840" s="157" t="n">
        <v>4.528</v>
      </c>
      <c r="Q840" s="169" t="n">
        <v>1.682</v>
      </c>
      <c r="R840" s="165" t="n">
        <v>99.849</v>
      </c>
      <c r="S840" s="159" t="n">
        <v>0</v>
      </c>
      <c r="U840" s="157" t="n">
        <v>20752.7</v>
      </c>
      <c r="V840" s="165" t="n">
        <v>34.11</v>
      </c>
      <c r="W840" s="159" t="n">
        <v>608.4051597771914</v>
      </c>
      <c r="X840" s="159" t="n">
        <v>2.931691586045148</v>
      </c>
      <c r="Y840" s="157" t="n">
        <v>16436.45</v>
      </c>
      <c r="Z840" s="165" t="n">
        <v>31.49</v>
      </c>
      <c r="AA840" s="159" t="n">
        <v>521.9577643696412</v>
      </c>
      <c r="AB840" s="159" t="n">
        <v>3.175611305176246</v>
      </c>
    </row>
    <row r="841">
      <c r="A841" s="170" t="n">
        <v>840</v>
      </c>
      <c r="B841" s="156" t="n">
        <v>45800</v>
      </c>
      <c r="C841" s="171" t="n">
        <v>44279044.17</v>
      </c>
      <c r="D841" s="174" t="n">
        <v>519707.0911971831</v>
      </c>
      <c r="E841" s="165" t="n">
        <v>85.2</v>
      </c>
      <c r="F841" s="159" t="n">
        <v>5.197070911971831</v>
      </c>
      <c r="G841" s="169" t="n">
        <v>141.2247530427128</v>
      </c>
      <c r="H841" s="159" t="n">
        <v>1.39104</v>
      </c>
      <c r="I841" s="159" t="n">
        <v>4.464285714285715</v>
      </c>
      <c r="J841" s="169" t="n">
        <v>1109.515625</v>
      </c>
      <c r="K841" s="157" t="n">
        <v>6.21</v>
      </c>
      <c r="L841" s="165" t="n">
        <v>24853.15</v>
      </c>
      <c r="M841" s="157" t="n">
        <v>3.68</v>
      </c>
      <c r="N841" s="159" t="n">
        <v>1.745714285714285</v>
      </c>
      <c r="O841" s="157" t="n">
        <v>22.4</v>
      </c>
      <c r="P841" s="157" t="n">
        <v>4.507</v>
      </c>
      <c r="Q841" s="169" t="n">
        <v>1.703</v>
      </c>
      <c r="R841" s="165" t="n">
        <v>99.01000000000001</v>
      </c>
      <c r="S841" s="159" t="n">
        <v>124.768</v>
      </c>
      <c r="T841" s="157" t="n">
        <v>5.57</v>
      </c>
      <c r="U841" s="157" t="n">
        <v>20874.4</v>
      </c>
      <c r="V841" s="165" t="n">
        <v>34.08</v>
      </c>
      <c r="W841" s="159" t="n">
        <v>612.5117370892019</v>
      </c>
      <c r="X841" s="159" t="n">
        <v>2.934272300469484</v>
      </c>
      <c r="Y841" s="157" t="n">
        <v>16532.95</v>
      </c>
      <c r="Z841" s="165" t="n">
        <v>31.66</v>
      </c>
      <c r="AA841" s="159" t="n">
        <v>522.2030953885029</v>
      </c>
      <c r="AB841" s="159" t="n">
        <v>3.15855969677827</v>
      </c>
    </row>
    <row r="842">
      <c r="A842" s="170" t="n">
        <v>841</v>
      </c>
      <c r="B842" s="156" t="n">
        <v>45803</v>
      </c>
      <c r="C842" s="171" t="n">
        <v>44547996.33</v>
      </c>
      <c r="D842" s="174" t="n">
        <v>523552.0441190297</v>
      </c>
      <c r="E842" s="165" t="n">
        <v>85.08799999999999</v>
      </c>
      <c r="F842" s="159" t="n">
        <v>5.235520441190297</v>
      </c>
      <c r="G842" s="169" t="n">
        <v>142.269577206258</v>
      </c>
      <c r="H842" s="159" t="n">
        <v>1.39996</v>
      </c>
      <c r="I842" s="159" t="n">
        <v>4.428697962798937</v>
      </c>
      <c r="J842" s="169" t="n">
        <v>1107.225420726307</v>
      </c>
      <c r="K842" s="157" t="n">
        <v>6.2</v>
      </c>
      <c r="L842" s="165" t="n">
        <v>25001.15</v>
      </c>
      <c r="M842" s="157" t="n">
        <v>3.7</v>
      </c>
      <c r="N842" s="159" t="n">
        <v>1.771302037201063</v>
      </c>
      <c r="O842" s="157" t="n">
        <v>22.58</v>
      </c>
      <c r="P842" s="157" t="n">
        <v>4.511</v>
      </c>
      <c r="Q842" s="169" t="n">
        <v>1.689</v>
      </c>
      <c r="R842" s="165" t="n">
        <v>99.01000000000001</v>
      </c>
      <c r="S842" s="159" t="n">
        <v>125.5448</v>
      </c>
      <c r="T842" s="157" t="n">
        <v>5.56</v>
      </c>
      <c r="U842" s="157" t="n">
        <v>20991</v>
      </c>
      <c r="V842" s="165" t="n">
        <v>34.38</v>
      </c>
      <c r="W842" s="159" t="n">
        <v>610.5584642233856</v>
      </c>
      <c r="X842" s="159" t="n">
        <v>2.908667830133798</v>
      </c>
      <c r="Y842" s="157" t="n">
        <v>16619.1</v>
      </c>
      <c r="Z842" s="165" t="n">
        <v>32</v>
      </c>
      <c r="AA842" s="159" t="n">
        <v>519.346875</v>
      </c>
      <c r="AB842" s="159" t="n">
        <v>3.125</v>
      </c>
    </row>
    <row r="843">
      <c r="A843" s="170" t="n">
        <v>842</v>
      </c>
      <c r="B843" s="156" t="n">
        <v>45804</v>
      </c>
      <c r="C843" s="171" t="n">
        <v>44447038.07</v>
      </c>
      <c r="D843" s="174" t="n">
        <v>520884.0744169694</v>
      </c>
      <c r="E843" s="165" t="n">
        <v>85.33</v>
      </c>
      <c r="F843" s="159" t="n">
        <v>5.208840744169694</v>
      </c>
      <c r="G843" s="169" t="n">
        <v>141.5445854393938</v>
      </c>
      <c r="H843" s="159" t="n">
        <v>1.38756</v>
      </c>
      <c r="I843" s="159" t="n">
        <v>4.468275245755138</v>
      </c>
      <c r="J843" s="169" t="n">
        <v>1109.302949061662</v>
      </c>
      <c r="K843" s="157" t="n">
        <v>6.2</v>
      </c>
      <c r="L843" s="165" t="n">
        <v>24826.2</v>
      </c>
      <c r="M843" s="157" t="n">
        <v>3.67</v>
      </c>
      <c r="N843" s="159" t="n">
        <v>1.731724754244862</v>
      </c>
      <c r="O843" s="157" t="n">
        <v>22.38</v>
      </c>
      <c r="P843" s="157" t="n">
        <v>4.445</v>
      </c>
      <c r="Q843" s="169" t="n">
        <v>1.755</v>
      </c>
      <c r="R843" s="165" t="n">
        <v>99.425</v>
      </c>
      <c r="S843" s="159" t="n">
        <v>123.3138</v>
      </c>
      <c r="T843" s="157" t="n">
        <v>5.51</v>
      </c>
      <c r="U843" s="157" t="n">
        <v>21034.45</v>
      </c>
      <c r="V843" s="165" t="n">
        <v>34.39</v>
      </c>
      <c r="W843" s="159" t="n">
        <v>611.6443733643501</v>
      </c>
      <c r="X843" s="159" t="n">
        <v>2.907822041291073</v>
      </c>
      <c r="Y843" s="157" t="n">
        <v>16637.85</v>
      </c>
      <c r="Z843" s="165" t="n">
        <v>32</v>
      </c>
      <c r="AA843" s="159" t="n">
        <v>519.9328125</v>
      </c>
      <c r="AB843" s="159" t="n">
        <v>3.125</v>
      </c>
    </row>
    <row r="844">
      <c r="A844" s="170" t="n">
        <v>843</v>
      </c>
      <c r="B844" s="156" t="n">
        <v>45805</v>
      </c>
      <c r="C844" s="171" t="n">
        <v>44462998.68</v>
      </c>
      <c r="D844" s="174" t="n">
        <v>520558.6751586391</v>
      </c>
      <c r="E844" s="165" t="n">
        <v>85.414</v>
      </c>
      <c r="F844" s="159" t="n">
        <v>5.205586751586391</v>
      </c>
      <c r="G844" s="169" t="n">
        <v>141.456161727891</v>
      </c>
      <c r="H844" s="159" t="n">
        <v>1.374912</v>
      </c>
      <c r="I844" s="159" t="n">
        <v>4.480286738351254</v>
      </c>
      <c r="J844" s="169" t="n">
        <v>1108.980734767025</v>
      </c>
      <c r="K844" s="157" t="n">
        <v>6.16</v>
      </c>
      <c r="L844" s="165" t="n">
        <v>24752.45</v>
      </c>
      <c r="M844" s="157" t="n">
        <v>3.66</v>
      </c>
      <c r="N844" s="159" t="n">
        <v>1.679713261648746</v>
      </c>
      <c r="O844" s="157" t="n">
        <v>22.32</v>
      </c>
      <c r="P844" s="157" t="n">
        <v>4.474</v>
      </c>
      <c r="Q844" s="169" t="n">
        <v>1.686</v>
      </c>
      <c r="R844" s="165" t="n">
        <v>99.785</v>
      </c>
      <c r="S844" s="159" t="n">
        <v>123.4296</v>
      </c>
      <c r="T844" s="157" t="n">
        <v>5.53</v>
      </c>
      <c r="U844" s="157" t="n">
        <v>21044.4</v>
      </c>
      <c r="V844" s="165" t="n">
        <v>34.14</v>
      </c>
      <c r="W844" s="159" t="n">
        <v>616.414762741652</v>
      </c>
      <c r="X844" s="159" t="n">
        <v>2.929115407147041</v>
      </c>
      <c r="Y844" s="157" t="n">
        <v>16706.35</v>
      </c>
      <c r="Z844" s="165" t="n">
        <v>32.12</v>
      </c>
      <c r="AA844" s="159" t="n">
        <v>520.1229763387298</v>
      </c>
      <c r="AB844" s="159" t="n">
        <v>3.113325031133251</v>
      </c>
    </row>
    <row r="845">
      <c r="A845" s="170" t="n">
        <v>844</v>
      </c>
      <c r="B845" s="156" t="n">
        <v>45806</v>
      </c>
      <c r="C845" s="171" t="n">
        <v>44628305.46</v>
      </c>
      <c r="D845" s="174" t="n">
        <v>522463.4502862361</v>
      </c>
      <c r="E845" s="165" t="n">
        <v>85.419</v>
      </c>
      <c r="F845" s="159" t="n">
        <v>5.224634502862362</v>
      </c>
      <c r="G845" s="169" t="n">
        <v>141.9737636647381</v>
      </c>
      <c r="H845" s="159" t="n">
        <v>1.383702</v>
      </c>
      <c r="I845" s="159" t="n">
        <v>4.466279589102278</v>
      </c>
      <c r="J845" s="169" t="n">
        <v>1109.138008039303</v>
      </c>
      <c r="K845" s="157" t="n">
        <v>6.18</v>
      </c>
      <c r="L845" s="165" t="n">
        <v>24833.6</v>
      </c>
      <c r="M845" s="157" t="n">
        <v>3.63</v>
      </c>
      <c r="N845" s="159" t="n">
        <v>1.713720410897722</v>
      </c>
      <c r="O845" s="157" t="n">
        <v>22.39</v>
      </c>
      <c r="P845" s="157" t="n">
        <v>4.425</v>
      </c>
      <c r="Q845" s="169" t="n">
        <v>1.755</v>
      </c>
      <c r="R845" s="165" t="n">
        <v>99.209</v>
      </c>
      <c r="S845" s="159" t="n">
        <v>123.8167</v>
      </c>
      <c r="T845" s="157" t="n">
        <v>5.53</v>
      </c>
      <c r="U845" s="157" t="n">
        <v>21163.15</v>
      </c>
      <c r="V845" s="165" t="n">
        <v>34.32</v>
      </c>
      <c r="W845" s="159" t="n">
        <v>616.6418997668998</v>
      </c>
      <c r="X845" s="159" t="n">
        <v>2.913752913752913</v>
      </c>
      <c r="Y845" s="157" t="n">
        <v>16779.55</v>
      </c>
      <c r="Z845" s="165" t="n">
        <v>32.17</v>
      </c>
      <c r="AA845" s="159" t="n">
        <v>521.5899906745415</v>
      </c>
      <c r="AB845" s="159" t="n">
        <v>3.108486167236556</v>
      </c>
    </row>
    <row r="846">
      <c r="A846" s="170" t="n">
        <v>845</v>
      </c>
      <c r="B846" s="156" t="n">
        <v>45807</v>
      </c>
      <c r="C846" s="171" t="n">
        <v>44508662.95</v>
      </c>
      <c r="D846" s="174" t="n">
        <v>520416.9885998246</v>
      </c>
      <c r="E846" s="165" t="n">
        <v>85.52500000000001</v>
      </c>
      <c r="F846" s="159" t="n">
        <v>5.204169885998246</v>
      </c>
      <c r="G846" s="169" t="n">
        <v>141.4176599456045</v>
      </c>
      <c r="H846" s="159" t="n">
        <v>1.38384</v>
      </c>
      <c r="I846" s="159" t="n">
        <v>4.480286738351254</v>
      </c>
      <c r="J846" s="169" t="n">
        <v>1108.902329749104</v>
      </c>
      <c r="K846" s="157" t="n">
        <v>6.2</v>
      </c>
      <c r="L846" s="165" t="n">
        <v>24750.7</v>
      </c>
      <c r="M846" s="157" t="n">
        <v>3.62</v>
      </c>
      <c r="N846" s="159" t="n">
        <v>1.719713261648746</v>
      </c>
      <c r="O846" s="157" t="n">
        <v>22.32</v>
      </c>
      <c r="P846" s="157" t="n">
        <v>4.397</v>
      </c>
      <c r="Q846" s="169" t="n">
        <v>1.803</v>
      </c>
      <c r="R846" s="165" t="n">
        <v>99.259</v>
      </c>
      <c r="S846" s="159" t="n">
        <v>122.9832</v>
      </c>
      <c r="T846" s="157" t="n">
        <v>5.51</v>
      </c>
      <c r="U846" s="157" t="n">
        <v>21125.55</v>
      </c>
      <c r="V846" s="165" t="n">
        <v>34.26</v>
      </c>
      <c r="W846" s="159" t="n">
        <v>616.6243432574431</v>
      </c>
      <c r="X846" s="159" t="n">
        <v>2.918855808523059</v>
      </c>
      <c r="Y846" s="157" t="n">
        <v>16833.05</v>
      </c>
      <c r="Z846" s="165" t="n">
        <v>32.19</v>
      </c>
      <c r="AA846" s="159" t="n">
        <v>522.927927927928</v>
      </c>
      <c r="AB846" s="159" t="n">
        <v>3.106554830692762</v>
      </c>
    </row>
    <row r="847">
      <c r="A847" s="170" t="n">
        <v>846</v>
      </c>
      <c r="B847" s="156" t="n">
        <v>45810</v>
      </c>
      <c r="C847" s="171" t="n">
        <v>44622419.54</v>
      </c>
      <c r="D847" s="174" t="n">
        <v>522792.3652084261</v>
      </c>
      <c r="E847" s="165" t="n">
        <v>85.354</v>
      </c>
      <c r="F847" s="159" t="n">
        <v>5.227923652084261</v>
      </c>
      <c r="G847" s="169" t="n">
        <v>142.063142719681</v>
      </c>
      <c r="H847" s="159" t="n">
        <v>1.386438</v>
      </c>
      <c r="I847" s="159" t="n">
        <v>4.486316733961418</v>
      </c>
      <c r="J847" s="169" t="n">
        <v>1108.864961866308</v>
      </c>
      <c r="K847" s="157" t="n">
        <v>6.22</v>
      </c>
      <c r="L847" s="165" t="n">
        <v>24716.6</v>
      </c>
      <c r="M847" s="157" t="n">
        <v>3.62</v>
      </c>
      <c r="N847" s="159" t="n">
        <v>1.733683266038581</v>
      </c>
      <c r="O847" s="157" t="n">
        <v>22.29</v>
      </c>
      <c r="P847" s="157" t="n">
        <v>4.441</v>
      </c>
      <c r="Q847" s="169" t="n">
        <v>1.779</v>
      </c>
      <c r="R847" s="165" t="n">
        <v>98.63500000000001</v>
      </c>
      <c r="S847" s="159" t="n">
        <v>123.0408</v>
      </c>
      <c r="T847" s="157" t="n">
        <v>5.52</v>
      </c>
      <c r="U847" s="157" t="n">
        <v>21240.8</v>
      </c>
      <c r="V847" s="165" t="n">
        <v>34.45</v>
      </c>
      <c r="W847" s="159" t="n">
        <v>616.5689404934687</v>
      </c>
      <c r="X847" s="159" t="n">
        <v>2.902757619738752</v>
      </c>
      <c r="Y847" s="157" t="n">
        <v>16953.75</v>
      </c>
      <c r="Z847" s="165" t="n">
        <v>32.24</v>
      </c>
      <c r="AA847" s="159" t="n">
        <v>525.8607320099255</v>
      </c>
      <c r="AB847" s="159" t="n">
        <v>3.101736972704714</v>
      </c>
    </row>
    <row r="848">
      <c r="A848" s="170" t="n">
        <v>847</v>
      </c>
      <c r="B848" s="156" t="n">
        <v>45811</v>
      </c>
      <c r="C848" s="171" t="n">
        <v>44403871.77</v>
      </c>
      <c r="D848" s="174" t="n">
        <v>518077.1187389889</v>
      </c>
      <c r="E848" s="165" t="n">
        <v>85.709</v>
      </c>
      <c r="F848" s="159" t="n">
        <v>5.180771187389889</v>
      </c>
      <c r="G848" s="169" t="n">
        <v>140.7818257442904</v>
      </c>
      <c r="H848" s="159" t="n">
        <v>1.36834</v>
      </c>
      <c r="I848" s="159" t="n">
        <v>4.531037607612143</v>
      </c>
      <c r="J848" s="169" t="n">
        <v>1112.02990484821</v>
      </c>
      <c r="K848" s="157" t="n">
        <v>6.2</v>
      </c>
      <c r="L848" s="165" t="n">
        <v>24542.5</v>
      </c>
      <c r="M848" s="157" t="n">
        <v>3.59</v>
      </c>
      <c r="N848" s="159" t="n">
        <v>1.668962392387857</v>
      </c>
      <c r="O848" s="157" t="n">
        <v>22.07</v>
      </c>
      <c r="P848" s="157" t="n">
        <v>4.457</v>
      </c>
      <c r="Q848" s="169" t="n">
        <v>1.743</v>
      </c>
      <c r="R848" s="165" t="n">
        <v>99.15900000000001</v>
      </c>
      <c r="S848" s="159" t="n">
        <v>121.385</v>
      </c>
      <c r="T848" s="157" t="n">
        <v>5.5</v>
      </c>
      <c r="U848" s="157" t="n">
        <v>21164.75</v>
      </c>
      <c r="V848" s="165" t="n">
        <v>33.85</v>
      </c>
      <c r="W848" s="159" t="n">
        <v>625.2511078286558</v>
      </c>
      <c r="X848" s="159" t="n">
        <v>2.954209748892171</v>
      </c>
      <c r="Y848" s="157" t="n">
        <v>16971.25</v>
      </c>
      <c r="Z848" s="165" t="n">
        <v>32.38</v>
      </c>
      <c r="AA848" s="159" t="n">
        <v>524.127547869055</v>
      </c>
      <c r="AB848" s="159" t="n">
        <v>3.088326127239037</v>
      </c>
    </row>
    <row r="849">
      <c r="A849" s="170" t="n">
        <v>848</v>
      </c>
      <c r="B849" s="156" t="n">
        <v>45812</v>
      </c>
      <c r="C849" s="171" t="n">
        <v>44607489.96</v>
      </c>
      <c r="D849" s="174" t="n">
        <v>519446.7535371179</v>
      </c>
      <c r="E849" s="165" t="n">
        <v>85.875</v>
      </c>
      <c r="F849" s="159" t="n">
        <v>5.194467535371179</v>
      </c>
      <c r="G849" s="169" t="n">
        <v>141.1540091133473</v>
      </c>
      <c r="H849" s="159" t="n">
        <v>1.374894</v>
      </c>
      <c r="I849" s="159" t="n">
        <v>4.516711833785005</v>
      </c>
      <c r="J849" s="169" t="n">
        <v>1112.023486901536</v>
      </c>
      <c r="K849" s="157" t="n">
        <v>6.21</v>
      </c>
      <c r="L849" s="165" t="n">
        <v>24620.2</v>
      </c>
      <c r="M849" s="157" t="n">
        <v>3.6</v>
      </c>
      <c r="N849" s="159" t="n">
        <v>1.693288166214995</v>
      </c>
      <c r="O849" s="157" t="n">
        <v>22.14</v>
      </c>
      <c r="P849" s="157" t="n">
        <v>4.356</v>
      </c>
      <c r="Q849" s="169" t="n">
        <v>1.854</v>
      </c>
      <c r="R849" s="165" t="n">
        <v>98.73</v>
      </c>
      <c r="S849" s="159" t="n">
        <v>121.5486</v>
      </c>
      <c r="T849" s="157" t="n">
        <v>5.49</v>
      </c>
      <c r="U849" s="157" t="n">
        <v>21334.6</v>
      </c>
      <c r="V849" s="165" t="n">
        <v>34.14</v>
      </c>
      <c r="W849" s="159" t="n">
        <v>624.9150556531927</v>
      </c>
      <c r="X849" s="159" t="n">
        <v>2.929115407147042</v>
      </c>
      <c r="Y849" s="157" t="n">
        <v>17060.8</v>
      </c>
      <c r="Z849" s="165" t="n">
        <v>32.51</v>
      </c>
      <c r="AA849" s="159" t="n">
        <v>524.7862196247308</v>
      </c>
      <c r="AB849" s="159" t="n">
        <v>3.075976622577669</v>
      </c>
    </row>
    <row r="850">
      <c r="A850" s="170" t="n">
        <v>849</v>
      </c>
      <c r="B850" s="156" t="n">
        <v>45813</v>
      </c>
      <c r="C850" s="171" t="n">
        <v>44838576.68</v>
      </c>
      <c r="D850" s="174" t="n">
        <v>522381.041300169</v>
      </c>
      <c r="E850" s="165" t="n">
        <v>85.83499999999999</v>
      </c>
      <c r="F850" s="159" t="n">
        <v>5.22381041300169</v>
      </c>
      <c r="G850" s="169" t="n">
        <v>141.9513699185242</v>
      </c>
      <c r="H850" s="159" t="n">
        <v>1.37505</v>
      </c>
      <c r="I850" s="159" t="n">
        <v>4.49438202247191</v>
      </c>
      <c r="J850" s="169" t="n">
        <v>1112.4</v>
      </c>
      <c r="K850" s="157" t="n">
        <v>6.18</v>
      </c>
      <c r="L850" s="165" t="n">
        <v>24750.9</v>
      </c>
      <c r="M850" s="157" t="n">
        <v>3.62</v>
      </c>
      <c r="N850" s="159" t="n">
        <v>1.685617977528089</v>
      </c>
      <c r="O850" s="157" t="n">
        <v>22.25</v>
      </c>
      <c r="P850" s="157" t="n">
        <v>4.389</v>
      </c>
      <c r="Q850" s="169" t="n">
        <v>1.790999999999999</v>
      </c>
      <c r="R850" s="165" t="n">
        <v>98.70399999999999</v>
      </c>
      <c r="S850" s="159" t="n">
        <v>121.93</v>
      </c>
      <c r="T850" s="157" t="n">
        <v>5.48</v>
      </c>
      <c r="U850" s="157" t="n">
        <v>21476.45</v>
      </c>
      <c r="V850" s="165" t="n">
        <v>34.37</v>
      </c>
      <c r="W850" s="159" t="n">
        <v>624.8603433226651</v>
      </c>
      <c r="X850" s="159" t="n">
        <v>2.909514111143439</v>
      </c>
      <c r="Y850" s="157" t="n">
        <v>17173.45</v>
      </c>
      <c r="Z850" s="165" t="n">
        <v>32.68</v>
      </c>
      <c r="AA850" s="159" t="n">
        <v>525.5033659730723</v>
      </c>
      <c r="AB850" s="159" t="n">
        <v>3.059975520195839</v>
      </c>
    </row>
    <row r="851">
      <c r="A851" s="170" t="n">
        <v>850</v>
      </c>
      <c r="B851" s="156" t="n">
        <v>45814</v>
      </c>
      <c r="C851" s="171" t="n">
        <v>45201565.26</v>
      </c>
      <c r="D851" s="174" t="n">
        <v>526910.7460424778</v>
      </c>
      <c r="E851" s="165" t="n">
        <v>85.786</v>
      </c>
      <c r="F851" s="159" t="n">
        <v>5.269107460424777</v>
      </c>
      <c r="G851" s="169" t="n">
        <v>143.1822679463255</v>
      </c>
      <c r="H851" s="159" t="n">
        <v>1.399881</v>
      </c>
      <c r="I851" s="159" t="n">
        <v>4.450378282153983</v>
      </c>
      <c r="J851" s="169" t="n">
        <v>1112.730307076102</v>
      </c>
      <c r="K851" s="157" t="n">
        <v>6.23</v>
      </c>
      <c r="L851" s="165" t="n">
        <v>25003.05</v>
      </c>
      <c r="M851" s="157" t="n">
        <v>3.65</v>
      </c>
      <c r="N851" s="159" t="n">
        <v>1.779621717846017</v>
      </c>
      <c r="O851" s="157" t="n">
        <v>22.47</v>
      </c>
      <c r="P851" s="157" t="n">
        <v>4.505</v>
      </c>
      <c r="Q851" s="169" t="n">
        <v>1.725000000000001</v>
      </c>
      <c r="R851" s="165" t="n">
        <v>99.142</v>
      </c>
      <c r="S851" s="159" t="n">
        <v>117.0687</v>
      </c>
      <c r="T851" s="157" t="n">
        <v>5.21</v>
      </c>
      <c r="U851" s="157" t="n">
        <v>21688.6</v>
      </c>
      <c r="V851" s="165" t="n">
        <v>34.7</v>
      </c>
      <c r="W851" s="159" t="n">
        <v>625.0317002881843</v>
      </c>
      <c r="X851" s="159" t="n">
        <v>2.881844380403458</v>
      </c>
      <c r="Y851" s="157" t="n">
        <v>17285.75</v>
      </c>
      <c r="Z851" s="165" t="n">
        <v>32.89</v>
      </c>
      <c r="AA851" s="159" t="n">
        <v>525.5624809972636</v>
      </c>
      <c r="AB851" s="159" t="n">
        <v>3.040437823046519</v>
      </c>
    </row>
    <row r="852">
      <c r="A852" s="170" t="n">
        <v>851</v>
      </c>
      <c r="B852" s="156" t="n">
        <v>45817</v>
      </c>
      <c r="C852" s="171" t="n">
        <v>45587212.24</v>
      </c>
      <c r="D852" s="174" t="n">
        <v>532125.7410995681</v>
      </c>
      <c r="E852" s="165" t="n">
        <v>85.67</v>
      </c>
      <c r="F852" s="159" t="n">
        <v>5.321257410995681</v>
      </c>
      <c r="G852" s="169" t="n">
        <v>144.5993861683609</v>
      </c>
      <c r="H852" s="159" t="n">
        <v>1.414512</v>
      </c>
      <c r="I852" s="159" t="n">
        <v>4.432624113475177</v>
      </c>
      <c r="J852" s="169" t="n">
        <v>1112.730496453901</v>
      </c>
      <c r="K852" s="157" t="n">
        <v>6.27</v>
      </c>
      <c r="L852" s="165" t="n">
        <v>25103.2</v>
      </c>
      <c r="M852" s="157" t="n">
        <v>3.66</v>
      </c>
      <c r="N852" s="159" t="n">
        <v>1.837375886524822</v>
      </c>
      <c r="O852" s="157" t="n">
        <v>22.56</v>
      </c>
      <c r="P852" s="157" t="n">
        <v>4.475</v>
      </c>
      <c r="Q852" s="169" t="n">
        <v>1.795</v>
      </c>
      <c r="R852" s="165" t="n">
        <v>98.44199999999999</v>
      </c>
      <c r="S852" s="159" t="n">
        <v>117.5376</v>
      </c>
      <c r="T852" s="157" t="n">
        <v>5.21</v>
      </c>
      <c r="U852" s="157" t="n">
        <v>21908.35</v>
      </c>
      <c r="V852" s="165" t="n">
        <v>35.05</v>
      </c>
      <c r="W852" s="159" t="n">
        <v>625.0599144079886</v>
      </c>
      <c r="X852" s="159" t="n">
        <v>2.853067047075606</v>
      </c>
      <c r="Y852" s="157" t="n">
        <v>17515.15</v>
      </c>
      <c r="Z852" s="165" t="n">
        <v>33.33</v>
      </c>
      <c r="AA852" s="159" t="n">
        <v>525.5070507050706</v>
      </c>
      <c r="AB852" s="159" t="n">
        <v>3.000300030003001</v>
      </c>
    </row>
    <row r="853">
      <c r="A853" s="170" t="n">
        <v>852</v>
      </c>
      <c r="B853" s="156" t="n">
        <v>45818</v>
      </c>
      <c r="C853" s="171" t="n">
        <v>45633871.92</v>
      </c>
      <c r="D853" s="174" t="n">
        <v>533130.8930323847</v>
      </c>
      <c r="E853" s="165" t="n">
        <v>85.596</v>
      </c>
      <c r="F853" s="159" t="n">
        <v>5.331308930323847</v>
      </c>
      <c r="G853" s="169" t="n">
        <v>144.8725252805393</v>
      </c>
      <c r="H853" s="159" t="n">
        <v>1.417396</v>
      </c>
      <c r="I853" s="159" t="n">
        <v>4.430660168365087</v>
      </c>
      <c r="J853" s="169" t="n">
        <v>1112.284005316792</v>
      </c>
      <c r="K853" s="157" t="n">
        <v>6.28</v>
      </c>
      <c r="L853" s="165" t="n">
        <v>25104.25</v>
      </c>
      <c r="M853" s="157" t="n">
        <v>3.66</v>
      </c>
      <c r="N853" s="159" t="n">
        <v>1.849339831634913</v>
      </c>
      <c r="O853" s="157" t="n">
        <v>22.57</v>
      </c>
      <c r="P853" s="157" t="n">
        <v>4.473</v>
      </c>
      <c r="Q853" s="169" t="n">
        <v>1.807</v>
      </c>
      <c r="R853" s="165" t="n">
        <v>99.06999999999999</v>
      </c>
      <c r="S853" s="159" t="n">
        <v>117.5897</v>
      </c>
      <c r="T853" s="157" t="n">
        <v>5.21</v>
      </c>
      <c r="U853" s="157" t="n">
        <v>21915.9</v>
      </c>
      <c r="V853" s="165" t="n">
        <v>35.05</v>
      </c>
      <c r="W853" s="159" t="n">
        <v>625.2753209700429</v>
      </c>
      <c r="X853" s="159" t="n">
        <v>2.853067047075607</v>
      </c>
      <c r="Y853" s="157" t="n">
        <v>17544.3</v>
      </c>
      <c r="Z853" s="165" t="n">
        <v>33.38</v>
      </c>
      <c r="AA853" s="159" t="n">
        <v>525.5931695626123</v>
      </c>
      <c r="AB853" s="159" t="n">
        <v>2.995805871779508</v>
      </c>
    </row>
    <row r="854">
      <c r="A854" s="170" t="n">
        <v>853</v>
      </c>
      <c r="B854" s="156" t="n">
        <v>45819</v>
      </c>
      <c r="C854" s="171" t="n">
        <v>45653428.96</v>
      </c>
      <c r="D854" s="174" t="n">
        <v>534158.1522909158</v>
      </c>
      <c r="E854" s="165" t="n">
        <v>85.468</v>
      </c>
      <c r="F854" s="159" t="n">
        <v>5.341581522909158</v>
      </c>
      <c r="G854" s="169" t="n">
        <v>145.1516718181836</v>
      </c>
      <c r="H854" s="159" t="n">
        <v>1.42154</v>
      </c>
      <c r="I854" s="159" t="n">
        <v>4.424778761061947</v>
      </c>
      <c r="J854" s="169" t="n">
        <v>1112.451327433628</v>
      </c>
      <c r="K854" s="157" t="n">
        <v>6.29</v>
      </c>
      <c r="L854" s="165" t="n">
        <v>25141.4</v>
      </c>
      <c r="M854" s="157" t="n">
        <v>3.66</v>
      </c>
      <c r="N854" s="159" t="n">
        <v>1.865221238938053</v>
      </c>
      <c r="O854" s="157" t="n">
        <v>22.6</v>
      </c>
      <c r="P854" s="157" t="n">
        <v>4.419</v>
      </c>
      <c r="Q854" s="169" t="n">
        <v>1.871</v>
      </c>
      <c r="R854" s="165" t="n">
        <v>98.604</v>
      </c>
      <c r="S854" s="159" t="n">
        <v>119.102</v>
      </c>
      <c r="T854" s="157" t="n">
        <v>5.27</v>
      </c>
      <c r="U854" s="157" t="n">
        <v>21846.05</v>
      </c>
      <c r="V854" s="165" t="n">
        <v>34.94</v>
      </c>
      <c r="W854" s="159" t="n">
        <v>625.2447052089296</v>
      </c>
      <c r="X854" s="159" t="n">
        <v>2.862049227246709</v>
      </c>
      <c r="Y854" s="157" t="n">
        <v>17528.95</v>
      </c>
      <c r="Z854" s="165" t="n">
        <v>33.35</v>
      </c>
      <c r="AA854" s="159" t="n">
        <v>525.6056971514242</v>
      </c>
      <c r="AB854" s="159" t="n">
        <v>2.998500749625187</v>
      </c>
    </row>
    <row r="855">
      <c r="A855" s="170" t="n">
        <v>854</v>
      </c>
      <c r="B855" s="156" t="n">
        <v>45820</v>
      </c>
      <c r="C855" s="171" t="n">
        <v>45052928.25</v>
      </c>
      <c r="D855" s="174" t="n">
        <v>526436.10439233</v>
      </c>
      <c r="E855" s="165" t="n">
        <v>85.581</v>
      </c>
      <c r="F855" s="159" t="n">
        <v>5.264361043923301</v>
      </c>
      <c r="G855" s="169" t="n">
        <v>143.0532892370462</v>
      </c>
      <c r="H855" s="159" t="n">
        <v>1.404836</v>
      </c>
      <c r="I855" s="159" t="n">
        <v>4.470272686633884</v>
      </c>
      <c r="J855" s="169" t="n">
        <v>1112.570406794815</v>
      </c>
      <c r="K855" s="157" t="n">
        <v>6.28</v>
      </c>
      <c r="L855" s="165" t="n">
        <v>24888.2</v>
      </c>
      <c r="M855" s="157" t="n">
        <v>3.62</v>
      </c>
      <c r="N855" s="159" t="n">
        <v>1.809727313366116</v>
      </c>
      <c r="O855" s="157" t="n">
        <v>22.37</v>
      </c>
      <c r="P855" s="157" t="n">
        <v>4.364</v>
      </c>
      <c r="Q855" s="169" t="n">
        <v>1.916</v>
      </c>
      <c r="R855" s="165" t="n">
        <v>97.901</v>
      </c>
      <c r="S855" s="159" t="n">
        <v>118.3373</v>
      </c>
      <c r="T855" s="157" t="n">
        <v>5.29</v>
      </c>
      <c r="U855" s="157" t="n">
        <v>21509.65</v>
      </c>
      <c r="V855" s="165" t="n">
        <v>34.4</v>
      </c>
      <c r="W855" s="159" t="n">
        <v>625.280523255814</v>
      </c>
      <c r="X855" s="159" t="n">
        <v>2.906976744186047</v>
      </c>
      <c r="Y855" s="157" t="n">
        <v>17276.9</v>
      </c>
      <c r="Z855" s="165" t="n">
        <v>32.87</v>
      </c>
      <c r="AA855" s="159" t="n">
        <v>525.6130209917859</v>
      </c>
      <c r="AB855" s="159" t="n">
        <v>3.042287800425921</v>
      </c>
    </row>
    <row r="856">
      <c r="A856" s="170" t="n">
        <v>855</v>
      </c>
      <c r="B856" s="156" t="n">
        <v>45821</v>
      </c>
      <c r="C856" s="171" t="n">
        <v>44809183.06</v>
      </c>
      <c r="D856" s="174" t="n">
        <v>520383.5074557532</v>
      </c>
      <c r="E856" s="165" t="n">
        <v>86.108</v>
      </c>
      <c r="F856" s="159" t="n">
        <v>5.203835074557532</v>
      </c>
      <c r="G856" s="169" t="n">
        <v>141.4085618086286</v>
      </c>
      <c r="H856" s="159" t="n">
        <v>1.397638</v>
      </c>
      <c r="I856" s="159" t="n">
        <v>4.5004500450045</v>
      </c>
      <c r="J856" s="169" t="n">
        <v>1112.448244824482</v>
      </c>
      <c r="K856" s="157" t="n">
        <v>6.29</v>
      </c>
      <c r="L856" s="165" t="n">
        <v>24718.6</v>
      </c>
      <c r="M856" s="157" t="n">
        <v>3.6</v>
      </c>
      <c r="N856" s="159" t="n">
        <v>1.7895499549955</v>
      </c>
      <c r="O856" s="157" t="n">
        <v>22.22</v>
      </c>
      <c r="P856" s="157" t="n">
        <v>4.406</v>
      </c>
      <c r="Q856" s="169" t="n">
        <v>1.884</v>
      </c>
      <c r="R856" s="165" t="n">
        <v>98.176</v>
      </c>
      <c r="S856" s="159" t="n">
        <v>117.5438</v>
      </c>
      <c r="T856" s="157" t="n">
        <v>5.29</v>
      </c>
      <c r="U856" s="157" t="n">
        <v>21433.05</v>
      </c>
      <c r="V856" s="165" t="n">
        <v>34.28</v>
      </c>
      <c r="W856" s="159" t="n">
        <v>625.2348308051342</v>
      </c>
      <c r="X856" s="159" t="n">
        <v>2.917152858809802</v>
      </c>
      <c r="Y856" s="157" t="n">
        <v>17210.4</v>
      </c>
      <c r="Z856" s="165" t="n">
        <v>32.74</v>
      </c>
      <c r="AA856" s="159" t="n">
        <v>525.668906536347</v>
      </c>
      <c r="AB856" s="159" t="n">
        <v>3.054367745876603</v>
      </c>
    </row>
    <row r="857">
      <c r="A857" s="170" t="n">
        <v>856</v>
      </c>
      <c r="B857" s="156" t="n">
        <v>45824</v>
      </c>
      <c r="C857" s="171" t="n">
        <v>45129220.92</v>
      </c>
      <c r="D857" s="174" t="n">
        <v>525699.7521142511</v>
      </c>
      <c r="E857" s="165" t="n">
        <v>85.846</v>
      </c>
      <c r="F857" s="159" t="n">
        <v>5.256997521142512</v>
      </c>
      <c r="G857" s="169" t="n">
        <v>142.8531935093074</v>
      </c>
      <c r="H857" s="159" t="n">
        <v>1.403492</v>
      </c>
      <c r="I857" s="159" t="n">
        <v>4.460303300624442</v>
      </c>
      <c r="J857" s="169" t="n">
        <v>1112.689562890276</v>
      </c>
      <c r="K857" s="157" t="n">
        <v>6.26</v>
      </c>
      <c r="L857" s="165" t="n">
        <v>24946.5</v>
      </c>
      <c r="M857" s="157" t="n">
        <v>3.63</v>
      </c>
      <c r="N857" s="159" t="n">
        <v>1.799696699375557</v>
      </c>
      <c r="O857" s="157" t="n">
        <v>22.42</v>
      </c>
      <c r="P857" s="157" t="n">
        <v>4.448</v>
      </c>
      <c r="Q857" s="169" t="n">
        <v>1.811999999999999</v>
      </c>
      <c r="R857" s="165" t="n">
        <v>97.702</v>
      </c>
      <c r="S857" s="159" t="n">
        <v>118.6018</v>
      </c>
      <c r="T857" s="157" t="n">
        <v>5.29</v>
      </c>
      <c r="U857" s="157" t="n">
        <v>21594.45</v>
      </c>
      <c r="V857" s="165" t="n">
        <v>34.54</v>
      </c>
      <c r="W857" s="159" t="n">
        <v>625.2012159814708</v>
      </c>
      <c r="X857" s="159" t="n">
        <v>2.895193977996526</v>
      </c>
      <c r="Y857" s="157" t="n">
        <v>17296.3</v>
      </c>
      <c r="Z857" s="165" t="n">
        <v>32.91</v>
      </c>
      <c r="AA857" s="159" t="n">
        <v>525.5636584624734</v>
      </c>
      <c r="AB857" s="159" t="n">
        <v>3.038590094196293</v>
      </c>
    </row>
    <row r="858">
      <c r="A858" s="170" t="n">
        <v>857</v>
      </c>
      <c r="B858" s="156" t="n">
        <v>45825</v>
      </c>
      <c r="C858" s="171" t="n">
        <v>44887121.51</v>
      </c>
      <c r="D858" s="174" t="n">
        <v>520020.407215181</v>
      </c>
      <c r="E858" s="165" t="n">
        <v>86.318</v>
      </c>
      <c r="F858" s="159" t="n">
        <v>5.20020407215181</v>
      </c>
      <c r="G858" s="169" t="n">
        <v>141.3098932649948</v>
      </c>
      <c r="H858" s="159" t="n">
        <v>1.39625</v>
      </c>
      <c r="I858" s="159" t="n">
        <v>4.476275738585497</v>
      </c>
      <c r="J858" s="169" t="n">
        <v>1112.506714413608</v>
      </c>
      <c r="K858" s="157" t="n">
        <v>6.25</v>
      </c>
      <c r="L858" s="165" t="n">
        <v>24853.4</v>
      </c>
      <c r="M858" s="157" t="n">
        <v>3.62</v>
      </c>
      <c r="N858" s="159" t="n">
        <v>1.773724261414503</v>
      </c>
      <c r="O858" s="157" t="n">
        <v>22.34</v>
      </c>
      <c r="P858" s="157" t="n">
        <v>4.386</v>
      </c>
      <c r="Q858" s="169" t="n">
        <v>1.864</v>
      </c>
      <c r="R858" s="165" t="n">
        <v>98.39400000000001</v>
      </c>
      <c r="S858" s="159" t="n">
        <v>117.7318</v>
      </c>
      <c r="T858" s="157" t="n">
        <v>5.27</v>
      </c>
      <c r="U858" s="157" t="n">
        <v>21460.95</v>
      </c>
      <c r="V858" s="165" t="n">
        <v>34.33</v>
      </c>
      <c r="W858" s="159" t="n">
        <v>625.1369064957763</v>
      </c>
      <c r="X858" s="159" t="n">
        <v>2.912904165452957</v>
      </c>
      <c r="Y858" s="157" t="n">
        <v>17177.3</v>
      </c>
      <c r="Z858" s="165" t="n">
        <v>32.67</v>
      </c>
      <c r="AA858" s="159" t="n">
        <v>525.7820630547902</v>
      </c>
      <c r="AB858" s="159" t="n">
        <v>3.060912151821242</v>
      </c>
    </row>
    <row r="859">
      <c r="A859" s="170" t="n">
        <v>858</v>
      </c>
      <c r="B859" s="156" t="n">
        <v>45826</v>
      </c>
      <c r="C859" s="171" t="n">
        <v>44719545.41</v>
      </c>
      <c r="D859" s="174" t="n">
        <v>517407.6756913108</v>
      </c>
      <c r="E859" s="165" t="n">
        <v>86.43000000000001</v>
      </c>
      <c r="F859" s="159" t="n">
        <v>5.174076756913108</v>
      </c>
      <c r="G859" s="169" t="n">
        <v>140.5999118726388</v>
      </c>
      <c r="H859" s="159" t="n">
        <v>1.39375</v>
      </c>
      <c r="I859" s="159" t="n">
        <v>4.484304932735426</v>
      </c>
      <c r="J859" s="169" t="n">
        <v>1112.64798206278</v>
      </c>
      <c r="K859" s="157" t="n">
        <v>6.25</v>
      </c>
      <c r="L859" s="165" t="n">
        <v>24812.05</v>
      </c>
      <c r="M859" s="157" t="n">
        <v>3.61</v>
      </c>
      <c r="N859" s="159" t="n">
        <v>1.765695067264574</v>
      </c>
      <c r="O859" s="157" t="n">
        <v>22.3</v>
      </c>
      <c r="P859" s="157" t="n">
        <v>4.39</v>
      </c>
      <c r="Q859" s="169" t="n">
        <v>1.86</v>
      </c>
      <c r="R859" s="165" t="n">
        <v>98.468</v>
      </c>
      <c r="S859" s="159" t="n">
        <v>117.075</v>
      </c>
      <c r="T859" s="157" t="n">
        <v>5.25</v>
      </c>
      <c r="U859" s="157" t="n">
        <v>21358.5</v>
      </c>
      <c r="V859" s="165" t="n">
        <v>34.16</v>
      </c>
      <c r="W859" s="159" t="n">
        <v>625.2488290398127</v>
      </c>
      <c r="X859" s="159" t="n">
        <v>2.927400468384075</v>
      </c>
      <c r="Y859" s="157" t="n">
        <v>17143.6</v>
      </c>
      <c r="Z859" s="165" t="n">
        <v>32.61</v>
      </c>
      <c r="AA859" s="159" t="n">
        <v>525.7160380251456</v>
      </c>
      <c r="AB859" s="159" t="n">
        <v>3.066544004906471</v>
      </c>
    </row>
    <row r="860">
      <c r="A860" s="170" t="n">
        <v>859</v>
      </c>
      <c r="B860" s="156" t="n">
        <v>45827</v>
      </c>
      <c r="C860" s="171" t="n">
        <v>44370983.66</v>
      </c>
      <c r="D860" s="174" t="n">
        <v>510950.9864117918</v>
      </c>
      <c r="E860" s="165" t="n">
        <v>86.84</v>
      </c>
      <c r="F860" s="159" t="n">
        <v>5.109509864117918</v>
      </c>
      <c r="G860" s="169" t="n">
        <v>138.8453767423347</v>
      </c>
      <c r="H860" s="159" t="n">
        <v>1.40427</v>
      </c>
      <c r="I860" s="159" t="n">
        <v>4.486316733961418</v>
      </c>
      <c r="J860" s="169" t="n">
        <v>1112.303723642889</v>
      </c>
      <c r="K860" s="157" t="n">
        <v>6.3</v>
      </c>
      <c r="L860" s="165" t="n">
        <v>24793.25</v>
      </c>
      <c r="M860" s="157" t="n">
        <v>3.61</v>
      </c>
      <c r="N860" s="159" t="n">
        <v>1.813683266038582</v>
      </c>
      <c r="O860" s="157" t="n">
        <v>22.29</v>
      </c>
      <c r="P860" s="157" t="n">
        <v>4.385</v>
      </c>
      <c r="Q860" s="169" t="n">
        <v>1.915</v>
      </c>
      <c r="R860" s="165" t="n">
        <v>98.468</v>
      </c>
      <c r="S860" s="159" t="n">
        <v>117.0225</v>
      </c>
      <c r="T860" s="157" t="n">
        <v>5.25</v>
      </c>
      <c r="U860" s="157" t="n">
        <v>21022.95</v>
      </c>
      <c r="V860" s="165" t="n">
        <v>33.63</v>
      </c>
      <c r="W860" s="159" t="n">
        <v>625.1248884924174</v>
      </c>
      <c r="X860" s="159" t="n">
        <v>2.973535533749628</v>
      </c>
      <c r="Y860" s="157" t="n">
        <v>16813.05</v>
      </c>
      <c r="Z860" s="165" t="n">
        <v>31.98</v>
      </c>
      <c r="AA860" s="159" t="n">
        <v>525.7363977485928</v>
      </c>
      <c r="AB860" s="159" t="n">
        <v>3.126954346466541</v>
      </c>
    </row>
    <row r="861">
      <c r="A861" s="170" t="n">
        <v>860</v>
      </c>
      <c r="B861" s="156" t="n">
        <v>45828</v>
      </c>
      <c r="C861" s="171" t="n">
        <v>44875555.39</v>
      </c>
      <c r="D861" s="174" t="n">
        <v>518313.1830676831</v>
      </c>
      <c r="E861" s="165" t="n">
        <v>86.58</v>
      </c>
      <c r="F861" s="159" t="n">
        <v>5.183131830676831</v>
      </c>
      <c r="G861" s="169" t="n">
        <v>140.8459736596965</v>
      </c>
      <c r="H861" s="159" t="n">
        <v>1.424167</v>
      </c>
      <c r="I861" s="159" t="n">
        <v>4.430660168365086</v>
      </c>
      <c r="J861" s="169" t="n">
        <v>1112.645104120514</v>
      </c>
      <c r="K861" s="157" t="n">
        <v>6.31</v>
      </c>
      <c r="L861" s="165" t="n">
        <v>25112.4</v>
      </c>
      <c r="M861" s="157" t="n">
        <v>3.65</v>
      </c>
      <c r="N861" s="159" t="n">
        <v>1.879339831634914</v>
      </c>
      <c r="O861" s="157" t="n">
        <v>22.57</v>
      </c>
      <c r="P861" s="157" t="n">
        <v>4.376</v>
      </c>
      <c r="Q861" s="169" t="n">
        <v>1.933999999999999</v>
      </c>
      <c r="R861" s="165" t="n">
        <v>98.282</v>
      </c>
      <c r="S861" s="159" t="n">
        <v>117.5897</v>
      </c>
      <c r="T861" s="157" t="n">
        <v>5.21</v>
      </c>
      <c r="U861" s="157" t="n">
        <v>21285.45</v>
      </c>
      <c r="V861" s="165" t="n">
        <v>34.04</v>
      </c>
      <c r="W861" s="159" t="n">
        <v>625.3069917743832</v>
      </c>
      <c r="X861" s="159" t="n">
        <v>2.937720329024677</v>
      </c>
      <c r="Y861" s="157" t="n">
        <v>16916.95</v>
      </c>
      <c r="Z861" s="165" t="n">
        <v>32.18</v>
      </c>
      <c r="AA861" s="159" t="n">
        <v>525.6976382846489</v>
      </c>
      <c r="AB861" s="159" t="n">
        <v>3.107520198881293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ColWidth="11.42578125" defaultRowHeight="15"/>
  <sheetData/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ColWidth="11.42578125" defaultRowHeight="15"/>
  <sheetData/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ColWidth="11.42578125" defaultRowHeight="15"/>
  <sheetData/>
  <pageMargins left="0.7" right="0.7" top="0.75" bottom="0.75" header="0.3" footer="0.3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ColWidth="11.42578125" defaultRowHeight="15"/>
  <sheetData/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K51" sqref="K51"/>
    </sheetView>
  </sheetViews>
  <sheetFormatPr baseColWidth="8" defaultColWidth="11.42578125" defaultRowHeight="15"/>
  <sheetData/>
  <pageMargins left="0.7" right="0.7" top="0.75" bottom="0.75" header="0.3" footer="0.3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62" workbookViewId="0">
      <selection activeCell="A1" sqref="A1"/>
    </sheetView>
  </sheetViews>
  <sheetFormatPr baseColWidth="8" defaultColWidth="11.42578125" defaultRowHeight="15"/>
  <sheetData/>
  <pageMargins left="0.7" right="0.7" top="0.75" bottom="0.75" header="0.3" footer="0.3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ColWidth="11.42578125" defaultRowHeight="15"/>
  <sheetData/>
  <pageMargins left="0.7" right="0.7" top="0.75" bottom="0.75" header="0.3" footer="0.3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2" workbookViewId="0">
      <selection activeCell="B2" sqref="B2"/>
    </sheetView>
  </sheetViews>
  <sheetFormatPr baseColWidth="8" defaultColWidth="11.42578125" defaultRowHeight="15"/>
  <sheetData/>
  <pageMargins left="0.7" right="0.7" top="0.75" bottom="0.75" header="0.3" footer="0.3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8" defaultColWidth="8.85546875" defaultRowHeight="15"/>
  <cols>
    <col width="10.85546875" bestFit="1" customWidth="1" style="3" min="1" max="1"/>
    <col width="21.42578125" bestFit="1" customWidth="1" style="3" min="2" max="2"/>
    <col width="12.85546875" bestFit="1" customWidth="1" style="2" min="3" max="3"/>
    <col width="12.85546875" bestFit="1" customWidth="1" min="4" max="4"/>
    <col width="8.85546875" bestFit="1" customWidth="1" min="5" max="5"/>
    <col width="8.28515625" bestFit="1" customWidth="1" min="6" max="6"/>
    <col width="21" bestFit="1" customWidth="1" min="7" max="7"/>
    <col width="18.7109375" bestFit="1" customWidth="1" min="8" max="8"/>
    <col width="23.140625" bestFit="1" customWidth="1" min="9" max="9"/>
    <col width="17.85546875" bestFit="1" customWidth="1" min="10" max="10"/>
    <col width="13.28515625" bestFit="1" customWidth="1" min="11" max="11"/>
    <col width="9.140625" bestFit="1" customWidth="1" min="12" max="12"/>
    <col width="11.42578125" bestFit="1" customWidth="1" min="13" max="13"/>
    <col width="14.85546875" bestFit="1" customWidth="1" min="14" max="14"/>
    <col width="9.85546875" bestFit="1" customWidth="1" min="15" max="15"/>
    <col width="12.7109375" bestFit="1" customWidth="1" min="16" max="16"/>
    <col width="14.85546875" bestFit="1" customWidth="1" min="17" max="17"/>
    <col width="10.7109375" bestFit="1" customWidth="1" min="18" max="18"/>
    <col width="12.7109375" bestFit="1" customWidth="1" min="19" max="19"/>
    <col width="15.140625" bestFit="1" customWidth="1" min="20" max="20"/>
    <col width="14.7109375" bestFit="1" customWidth="1" min="21" max="21"/>
    <col width="12.42578125" bestFit="1" customWidth="1" min="22" max="22"/>
    <col width="10.140625" bestFit="1" customWidth="1" style="1" min="23" max="23"/>
    <col width="17.7109375" bestFit="1" customWidth="1" min="24" max="24"/>
    <col width="16.140625" bestFit="1" customWidth="1" min="25" max="25"/>
    <col width="14" bestFit="1" customWidth="1" min="26" max="26"/>
    <col width="18.28515625" bestFit="1" customWidth="1" min="27" max="27"/>
    <col width="19" bestFit="1" customWidth="1" min="28" max="28"/>
    <col width="14.28515625" bestFit="1" customWidth="1" min="29" max="29"/>
    <col width="11.7109375" bestFit="1" customWidth="1" min="30" max="30"/>
    <col width="19.42578125" bestFit="1" customWidth="1" min="31" max="31"/>
  </cols>
  <sheetData>
    <row r="1" customFormat="1" s="55">
      <c r="A1" s="52" t="inlineStr">
        <is>
          <t>S.no</t>
        </is>
      </c>
      <c r="B1" s="52" t="inlineStr">
        <is>
          <t xml:space="preserve">Date </t>
        </is>
      </c>
      <c r="C1" s="52" t="inlineStr">
        <is>
          <t xml:space="preserve">Market Cap </t>
        </is>
      </c>
      <c r="D1" s="52" t="inlineStr">
        <is>
          <t>US $</t>
        </is>
      </c>
      <c r="E1" s="52" t="inlineStr">
        <is>
          <t>USD/INR</t>
        </is>
      </c>
      <c r="F1" s="52" t="inlineStr">
        <is>
          <t>Trillion</t>
        </is>
      </c>
      <c r="G1" s="53" t="inlineStr">
        <is>
          <t>Market Cap to GDP</t>
        </is>
      </c>
      <c r="H1" s="53" t="inlineStr">
        <is>
          <t>BEER</t>
        </is>
      </c>
      <c r="I1" s="53" t="inlineStr">
        <is>
          <t>Nifty 50 Earning Yield</t>
        </is>
      </c>
      <c r="J1" s="53" t="inlineStr">
        <is>
          <t>NIFTY 50 EPS</t>
        </is>
      </c>
      <c r="K1" s="53" t="inlineStr">
        <is>
          <t>India 10Yr Yield</t>
        </is>
      </c>
      <c r="L1" s="53" t="inlineStr">
        <is>
          <t>Nifty 50</t>
        </is>
      </c>
      <c r="M1" s="54" t="inlineStr">
        <is>
          <t>Price to Book</t>
        </is>
      </c>
      <c r="N1" s="53" t="inlineStr">
        <is>
          <t>Yield Gap</t>
        </is>
      </c>
      <c r="O1" s="53" t="inlineStr">
        <is>
          <t>Nifty 50 pe</t>
        </is>
      </c>
      <c r="P1" s="53" t="inlineStr">
        <is>
          <t>US 10yr Bond</t>
        </is>
      </c>
      <c r="Q1" s="53" t="inlineStr">
        <is>
          <t xml:space="preserve">India yr- US 10yr </t>
        </is>
      </c>
      <c r="R1" s="53" t="inlineStr">
        <is>
          <t>Dollar index</t>
        </is>
      </c>
      <c r="S1" s="53" t="inlineStr">
        <is>
          <t>PREITY Ratio</t>
        </is>
      </c>
      <c r="T1" s="53" t="inlineStr">
        <is>
          <t>91 day T Bill</t>
        </is>
      </c>
      <c r="U1" s="53" t="inlineStr">
        <is>
          <t>Nifty Midcap 150</t>
        </is>
      </c>
      <c r="V1" s="53" t="inlineStr">
        <is>
          <t>Midcap 150 PE</t>
        </is>
      </c>
      <c r="W1" s="53" t="inlineStr">
        <is>
          <t>Midcap EPS</t>
        </is>
      </c>
      <c r="X1" s="53" t="inlineStr">
        <is>
          <t>Midcap Earning Yield</t>
        </is>
      </c>
      <c r="Y1" s="53" t="inlineStr">
        <is>
          <t>Nifty Smallcap 250</t>
        </is>
      </c>
      <c r="Z1" s="53" t="inlineStr">
        <is>
          <t>Smallcap 250 PE</t>
        </is>
      </c>
      <c r="AA1" s="53" t="inlineStr">
        <is>
          <t>Smallcap EPS</t>
        </is>
      </c>
      <c r="AB1" s="53" t="inlineStr">
        <is>
          <t>Smallcap Earning Yield</t>
        </is>
      </c>
    </row>
    <row r="2" customFormat="1" s="68">
      <c r="A2" s="71" t="n">
        <v>1</v>
      </c>
      <c r="B2" s="72" t="n">
        <v>44795</v>
      </c>
      <c r="C2" s="73" t="n">
        <v>27395002.87</v>
      </c>
      <c r="D2" s="66">
        <f>C2/E2</f>
        <v/>
      </c>
      <c r="E2" s="66" t="n">
        <v>79.86</v>
      </c>
      <c r="F2" s="66">
        <f>D2/100000</f>
        <v/>
      </c>
      <c r="G2" s="66">
        <f>(F2/DataSheet!$C$9*100)</f>
        <v/>
      </c>
      <c r="H2" s="66">
        <f>K2/I2</f>
        <v/>
      </c>
      <c r="I2" s="65">
        <f>(J2/L2)*100</f>
        <v/>
      </c>
      <c r="J2" s="7">
        <f>L2/O2</f>
        <v/>
      </c>
      <c r="K2" s="60" t="n">
        <v>7.27</v>
      </c>
      <c r="L2" s="67" t="n">
        <v>17490.7</v>
      </c>
      <c r="M2" s="57" t="n">
        <v>4.09</v>
      </c>
      <c r="N2" s="59">
        <f>K2-I2</f>
        <v/>
      </c>
      <c r="O2" s="64" t="n">
        <v>20.88</v>
      </c>
      <c r="P2" s="60" t="n">
        <v>3.024</v>
      </c>
      <c r="Q2" s="59">
        <f>K2-P2</f>
        <v/>
      </c>
      <c r="R2" s="60" t="n">
        <v>108.981</v>
      </c>
      <c r="S2" s="7">
        <f>(O2*T2)</f>
        <v/>
      </c>
      <c r="T2" s="12" t="n">
        <v>5.58</v>
      </c>
      <c r="U2" s="60" t="n">
        <v>11489.8</v>
      </c>
      <c r="V2" s="60" t="n">
        <v>25.24</v>
      </c>
      <c r="W2" s="59">
        <f>U2/V2</f>
        <v/>
      </c>
      <c r="X2" s="59">
        <f>(W2/U2)*100</f>
        <v/>
      </c>
      <c r="Y2" s="60" t="n">
        <v>8960.299999999999</v>
      </c>
      <c r="Z2" s="60" t="n">
        <v>18.67</v>
      </c>
      <c r="AA2" s="59">
        <f>Y2/Z2</f>
        <v/>
      </c>
      <c r="AB2" s="59">
        <f>(AA2/Y2)*100</f>
        <v/>
      </c>
    </row>
    <row r="3">
      <c r="A3" s="14" t="n">
        <v>2</v>
      </c>
      <c r="B3" s="9" t="n">
        <v>44796</v>
      </c>
      <c r="C3" s="24" t="n">
        <v>27528171.05</v>
      </c>
      <c r="D3" s="7">
        <f>C3/E3</f>
        <v/>
      </c>
      <c r="E3" s="7" t="n">
        <v>79.79000000000001</v>
      </c>
      <c r="F3" s="7">
        <f>D3/100000</f>
        <v/>
      </c>
      <c r="G3" s="7">
        <f>(F3/DataSheet!$C$9*100)</f>
        <v/>
      </c>
      <c r="H3" s="7">
        <f>K3/I3</f>
        <v/>
      </c>
      <c r="I3" s="4">
        <f>(J3/L3)*100</f>
        <v/>
      </c>
      <c r="J3" s="7">
        <f>L3/O3</f>
        <v/>
      </c>
      <c r="K3" s="23" t="n">
        <v>7.281</v>
      </c>
      <c r="L3" s="23" t="n">
        <v>17577.5</v>
      </c>
      <c r="M3" s="21" t="n">
        <v>4.11</v>
      </c>
      <c r="N3" s="7">
        <f>K3-I3</f>
        <v/>
      </c>
      <c r="O3" s="21" t="n">
        <v>20.98</v>
      </c>
      <c r="P3" s="23" t="n">
        <v>3.057</v>
      </c>
      <c r="Q3" s="7">
        <f>K3-P3</f>
        <v/>
      </c>
      <c r="R3" s="23" t="n">
        <v>108.554</v>
      </c>
      <c r="S3" s="7">
        <f>(O3*T3)</f>
        <v/>
      </c>
      <c r="T3" s="12" t="n">
        <v>5.52</v>
      </c>
      <c r="U3" s="23" t="n">
        <v>11598.85</v>
      </c>
      <c r="V3" s="23" t="n">
        <v>25.48</v>
      </c>
      <c r="W3" s="7">
        <f>U3/V3</f>
        <v/>
      </c>
      <c r="X3" s="7">
        <f>(W3/U3)*100</f>
        <v/>
      </c>
      <c r="Y3" s="23" t="n">
        <v>9050.85</v>
      </c>
      <c r="Z3" s="23" t="n">
        <v>18.86</v>
      </c>
      <c r="AA3" s="7">
        <f>Y3/Z3</f>
        <v/>
      </c>
      <c r="AB3" s="7">
        <f>(AA3/Y3)*100</f>
        <v/>
      </c>
    </row>
    <row r="4">
      <c r="A4" s="14" t="n">
        <v>3</v>
      </c>
      <c r="B4" s="9" t="n">
        <v>44797</v>
      </c>
      <c r="C4" s="7" t="n">
        <v>27616281.23</v>
      </c>
      <c r="D4" s="7">
        <f>C4/E4</f>
        <v/>
      </c>
      <c r="E4" s="7" t="n">
        <v>79.848</v>
      </c>
      <c r="F4" s="7">
        <f>D4/100000</f>
        <v/>
      </c>
      <c r="G4" s="7">
        <f>(F4/DataSheet!$C$9*100)</f>
        <v/>
      </c>
      <c r="H4" s="7">
        <f>K4/I4</f>
        <v/>
      </c>
      <c r="I4" s="4">
        <f>(J4/L4)*100</f>
        <v/>
      </c>
      <c r="J4" s="7">
        <f>L4/O4</f>
        <v/>
      </c>
      <c r="K4" s="23" t="n">
        <v>7.286</v>
      </c>
      <c r="L4" s="23" t="n">
        <v>17604.95</v>
      </c>
      <c r="M4" s="21" t="n">
        <v>4.11</v>
      </c>
      <c r="N4" s="7">
        <f>K4-I4</f>
        <v/>
      </c>
      <c r="O4" s="21" t="n">
        <v>21.02</v>
      </c>
      <c r="P4" s="23" t="n">
        <v>3.109</v>
      </c>
      <c r="Q4" s="7">
        <f>K4-P4</f>
        <v/>
      </c>
      <c r="R4" s="23" t="n">
        <v>108.616</v>
      </c>
      <c r="S4" s="7">
        <f>(O4*T4)</f>
        <v/>
      </c>
      <c r="T4" s="12" t="n">
        <v>5.58</v>
      </c>
      <c r="U4" s="23" t="n">
        <v>11675.05</v>
      </c>
      <c r="V4" s="23" t="n">
        <v>25.55</v>
      </c>
      <c r="W4" s="7">
        <f>U4/V4</f>
        <v/>
      </c>
      <c r="X4" s="7">
        <f>(W4/U4)*100</f>
        <v/>
      </c>
      <c r="Y4" s="23" t="n">
        <v>9129.9</v>
      </c>
      <c r="Z4" s="23" t="n">
        <v>19.02</v>
      </c>
      <c r="AA4" s="7">
        <f>Y4/Z4</f>
        <v/>
      </c>
      <c r="AB4" s="7">
        <f>(AA4/Y4)*100</f>
        <v/>
      </c>
    </row>
    <row r="5">
      <c r="A5" s="14" t="n">
        <v>4</v>
      </c>
      <c r="B5" s="9" t="n">
        <v>44798</v>
      </c>
      <c r="C5" s="7" t="n">
        <v>27584524.42</v>
      </c>
      <c r="D5" s="7">
        <f>C5/E5</f>
        <v/>
      </c>
      <c r="E5" s="7" t="n">
        <v>79.846</v>
      </c>
      <c r="F5" s="7">
        <f>D5/100000</f>
        <v/>
      </c>
      <c r="G5" s="7">
        <f>(F5/DataSheet!$C$9*100)</f>
        <v/>
      </c>
      <c r="H5" s="7">
        <f>K5/I5</f>
        <v/>
      </c>
      <c r="I5" s="4">
        <f>(J5/L5)*100</f>
        <v/>
      </c>
      <c r="J5" s="7">
        <f>L5/O5</f>
        <v/>
      </c>
      <c r="K5" s="23" t="n">
        <v>7.292</v>
      </c>
      <c r="L5" s="23" t="n">
        <v>17522.45</v>
      </c>
      <c r="M5" s="21" t="n">
        <v>4.09</v>
      </c>
      <c r="N5" s="7">
        <f>K5-I5</f>
        <v/>
      </c>
      <c r="O5" s="21" t="n">
        <v>20.92</v>
      </c>
      <c r="P5" s="23" t="n">
        <v>3.031</v>
      </c>
      <c r="Q5" s="7">
        <f>K5-P5</f>
        <v/>
      </c>
      <c r="R5" s="23" t="n">
        <v>108.433</v>
      </c>
      <c r="S5" s="7">
        <f>(O5*T5)</f>
        <v/>
      </c>
      <c r="T5" s="12" t="n">
        <v>5.62</v>
      </c>
      <c r="U5" s="23" t="n">
        <v>11685.85</v>
      </c>
      <c r="V5" s="23" t="n">
        <v>25.58</v>
      </c>
      <c r="W5" s="7">
        <f>U5/V5</f>
        <v/>
      </c>
      <c r="X5" s="7">
        <f>(W5/U5)*100</f>
        <v/>
      </c>
      <c r="Y5" s="23" t="n">
        <v>9160.6</v>
      </c>
      <c r="Z5" s="23" t="n">
        <v>19.09</v>
      </c>
      <c r="AA5" s="7">
        <f>Y5/Z5</f>
        <v/>
      </c>
      <c r="AB5" s="7">
        <f>(AA5/Y5)*100</f>
        <v/>
      </c>
    </row>
    <row r="6">
      <c r="A6" s="14" t="n">
        <v>5</v>
      </c>
      <c r="B6" s="9" t="n">
        <v>44799</v>
      </c>
      <c r="C6" s="7" t="n">
        <v>27696111.6</v>
      </c>
      <c r="D6" s="7">
        <f>C6/E6</f>
        <v/>
      </c>
      <c r="E6" s="7" t="n">
        <v>80.086</v>
      </c>
      <c r="F6" s="7">
        <f>D6/100000</f>
        <v/>
      </c>
      <c r="G6" s="7">
        <f>(F6/DataSheet!$C$9*100)</f>
        <v/>
      </c>
      <c r="H6" s="7">
        <f>K6/I6</f>
        <v/>
      </c>
      <c r="I6" s="4">
        <f>(J6/L6)*100</f>
        <v/>
      </c>
      <c r="J6" s="7">
        <f>L6/O6</f>
        <v/>
      </c>
      <c r="K6" s="23" t="n">
        <v>7.217</v>
      </c>
      <c r="L6" s="23" t="n">
        <v>17558.9</v>
      </c>
      <c r="M6" s="21" t="n">
        <v>4.1</v>
      </c>
      <c r="N6" s="7">
        <f>K6-I6</f>
        <v/>
      </c>
      <c r="O6" s="21" t="n">
        <v>20.96</v>
      </c>
      <c r="P6" s="23" t="n">
        <v>3.03</v>
      </c>
      <c r="Q6" s="7">
        <f>K6-P6</f>
        <v/>
      </c>
      <c r="R6" s="23" t="n">
        <v>108.751</v>
      </c>
      <c r="S6" s="7">
        <f>(O6*T6)</f>
        <v/>
      </c>
      <c r="T6" s="12" t="n">
        <v>5.59</v>
      </c>
      <c r="U6" s="23" t="n">
        <v>11730.6</v>
      </c>
      <c r="V6" s="23" t="n">
        <v>25.68</v>
      </c>
      <c r="W6" s="7">
        <f>U6/V6</f>
        <v/>
      </c>
      <c r="X6" s="7">
        <f>(W6/U6)*100</f>
        <v/>
      </c>
      <c r="Y6" s="23" t="n">
        <v>9227.049999999999</v>
      </c>
      <c r="Z6" s="23" t="n">
        <v>19.22</v>
      </c>
      <c r="AA6" s="7">
        <f>Y6/Z6</f>
        <v/>
      </c>
      <c r="AB6" s="7">
        <f>(AA6/Y6)*100</f>
        <v/>
      </c>
    </row>
    <row r="7">
      <c r="A7" s="14" t="n">
        <v>6</v>
      </c>
      <c r="B7" s="9" t="n">
        <v>44802</v>
      </c>
      <c r="C7" s="7" t="n">
        <v>27456316.27</v>
      </c>
      <c r="D7" s="7">
        <f>C7/E7</f>
        <v/>
      </c>
      <c r="E7" s="7" t="n">
        <v>79.996</v>
      </c>
      <c r="F7" s="7">
        <f>D7/100000</f>
        <v/>
      </c>
      <c r="G7" s="7">
        <f>(F7/DataSheet!$C$9*100)</f>
        <v/>
      </c>
      <c r="H7" s="7">
        <f>K7/I7</f>
        <v/>
      </c>
      <c r="I7" s="4">
        <f>(J7/L7)*100</f>
        <v/>
      </c>
      <c r="J7" s="7">
        <f>L7/O7</f>
        <v/>
      </c>
      <c r="K7" s="7" t="n">
        <v>7.245</v>
      </c>
      <c r="L7" s="7" t="n">
        <v>17312</v>
      </c>
      <c r="M7" s="7" t="n">
        <v>4.05</v>
      </c>
      <c r="N7" s="7">
        <f>K7-I7</f>
        <v/>
      </c>
      <c r="O7" s="21" t="n">
        <v>20.67</v>
      </c>
      <c r="P7" s="23" t="n">
        <v>3.114</v>
      </c>
      <c r="Q7" s="7">
        <f>K7-P7</f>
        <v/>
      </c>
      <c r="R7" s="23" t="n">
        <v>108.79</v>
      </c>
      <c r="S7" s="7">
        <f>(O7*T7)</f>
        <v/>
      </c>
      <c r="T7" s="12" t="n">
        <v>5.6</v>
      </c>
      <c r="U7" s="23" t="n">
        <v>11633.9</v>
      </c>
      <c r="V7" s="23" t="n">
        <v>25.46</v>
      </c>
      <c r="W7" s="7">
        <f>U7/V7</f>
        <v/>
      </c>
      <c r="X7" s="7">
        <f>(W7/U7)*100</f>
        <v/>
      </c>
      <c r="Y7" s="23" t="n">
        <v>9172.200000000001</v>
      </c>
      <c r="Z7" s="23" t="n">
        <v>19.11</v>
      </c>
      <c r="AA7" s="7">
        <f>Y7/Z7</f>
        <v/>
      </c>
      <c r="AB7" s="7">
        <f>(AA7/Y7)*100</f>
        <v/>
      </c>
    </row>
    <row r="8">
      <c r="A8" s="14" t="n">
        <v>7</v>
      </c>
      <c r="B8" s="8" t="n">
        <v>44803</v>
      </c>
      <c r="C8" s="23" t="n">
        <v>28024622</v>
      </c>
      <c r="D8" s="7">
        <f>C8/E8</f>
        <v/>
      </c>
      <c r="E8" s="4" t="n">
        <v>79.52</v>
      </c>
      <c r="F8" s="7">
        <f>D8/100000</f>
        <v/>
      </c>
      <c r="G8" s="7">
        <f>(F8/DataSheet!$C$9*100)</f>
        <v/>
      </c>
      <c r="H8" s="7">
        <f>K8/I8</f>
        <v/>
      </c>
      <c r="I8" s="4">
        <f>(J8/L8)*100</f>
        <v/>
      </c>
      <c r="J8" s="7">
        <f>L8/O8</f>
        <v/>
      </c>
      <c r="K8" s="4" t="n">
        <v>7.189</v>
      </c>
      <c r="L8" s="4" t="n">
        <v>17759.3</v>
      </c>
      <c r="M8" s="4" t="n">
        <v>4.12</v>
      </c>
      <c r="N8" s="7">
        <f>K8-I8</f>
        <v/>
      </c>
      <c r="O8" s="21" t="n">
        <v>21.2</v>
      </c>
      <c r="P8" s="23" t="n">
        <v>3.112</v>
      </c>
      <c r="Q8" s="7">
        <f>K8-P8</f>
        <v/>
      </c>
      <c r="R8" s="23" t="n">
        <v>108.749</v>
      </c>
      <c r="S8" s="7">
        <f>(O8*T8)</f>
        <v/>
      </c>
      <c r="T8" s="12" t="n">
        <v>5.59</v>
      </c>
      <c r="U8" s="23" t="n">
        <v>11867</v>
      </c>
      <c r="V8" s="23" t="n">
        <v>26</v>
      </c>
      <c r="W8" s="7">
        <f>U8/V8</f>
        <v/>
      </c>
      <c r="X8" s="7">
        <f>(W8/U8)*100</f>
        <v/>
      </c>
      <c r="Y8" s="23" t="n">
        <v>9285.799999999999</v>
      </c>
      <c r="Z8" s="23" t="n">
        <v>19.35</v>
      </c>
      <c r="AA8" s="7">
        <f>Y8/Z8</f>
        <v/>
      </c>
      <c r="AB8" s="7">
        <f>(AA8/Y8)*100</f>
        <v/>
      </c>
    </row>
    <row r="9">
      <c r="A9" s="14" t="n">
        <v>8</v>
      </c>
      <c r="B9" s="9" t="n">
        <v>44805</v>
      </c>
      <c r="C9" s="7" t="n">
        <v>27875475</v>
      </c>
      <c r="D9" s="7">
        <f>C9/E9</f>
        <v/>
      </c>
      <c r="E9" s="7" t="n">
        <v>79.61</v>
      </c>
      <c r="F9" s="7">
        <f>D9/100000</f>
        <v/>
      </c>
      <c r="G9" s="7">
        <f>(F9/DataSheet!$C$9*100)</f>
        <v/>
      </c>
      <c r="H9" s="7">
        <f>K9/I9</f>
        <v/>
      </c>
      <c r="I9" s="4">
        <f>(J9/L9)*100</f>
        <v/>
      </c>
      <c r="J9" s="7">
        <f>L9/O9</f>
        <v/>
      </c>
      <c r="K9" s="4" t="n">
        <v>7.215</v>
      </c>
      <c r="L9" s="4" t="n">
        <v>17542.8</v>
      </c>
      <c r="M9" s="4" t="n">
        <v>4.07</v>
      </c>
      <c r="N9" s="7">
        <f>K9-I9</f>
        <v/>
      </c>
      <c r="O9" s="21" t="n">
        <v>20.94</v>
      </c>
      <c r="P9" s="23" t="n">
        <v>3.196</v>
      </c>
      <c r="Q9" s="7">
        <f>K9-P9</f>
        <v/>
      </c>
      <c r="R9" s="23" t="n">
        <v>108.665</v>
      </c>
      <c r="S9" s="7">
        <f>(O9*T9)</f>
        <v/>
      </c>
      <c r="T9" s="12" t="n">
        <v>5.66</v>
      </c>
      <c r="U9" s="23" t="n">
        <v>11896.95</v>
      </c>
      <c r="V9" s="23" t="n">
        <v>26.06</v>
      </c>
      <c r="W9" s="7">
        <f>U9/V9</f>
        <v/>
      </c>
      <c r="X9" s="7">
        <f>(W9/U9)*100</f>
        <v/>
      </c>
      <c r="Y9" s="23" t="n">
        <v>9313.85</v>
      </c>
      <c r="Z9" s="23" t="n">
        <v>19.4</v>
      </c>
      <c r="AA9" s="7">
        <f>Y9/Z9</f>
        <v/>
      </c>
      <c r="AB9" s="7">
        <f>(AA9/Y9)*100</f>
        <v/>
      </c>
    </row>
    <row r="10">
      <c r="A10" s="14" t="n">
        <v>9</v>
      </c>
      <c r="B10" s="8" t="n">
        <v>44806</v>
      </c>
      <c r="C10" s="4" t="n">
        <v>27846733</v>
      </c>
      <c r="D10" s="4">
        <f>C10/E10</f>
        <v/>
      </c>
      <c r="E10" s="4" t="n">
        <v>79.84</v>
      </c>
      <c r="F10" s="4">
        <f>D10/100000</f>
        <v/>
      </c>
      <c r="G10" s="7">
        <f>(F10/DataSheet!$C$9*100)</f>
        <v/>
      </c>
      <c r="H10" s="4">
        <f>K10/I10</f>
        <v/>
      </c>
      <c r="I10" s="4">
        <f>(J10/L10)*100</f>
        <v/>
      </c>
      <c r="J10" s="7">
        <f>L10/O10</f>
        <v/>
      </c>
      <c r="K10" s="4" t="n">
        <v>7.235</v>
      </c>
      <c r="L10" s="4" t="n">
        <v>17539.45</v>
      </c>
      <c r="M10" s="4" t="n">
        <v>4.07</v>
      </c>
      <c r="N10" s="7">
        <f>K10-I10</f>
        <v/>
      </c>
      <c r="O10" s="21" t="n">
        <v>20.94</v>
      </c>
      <c r="P10" s="23" t="n">
        <v>3.259</v>
      </c>
      <c r="Q10" s="7">
        <f>K10-P10</f>
        <v/>
      </c>
      <c r="R10" s="23" t="n">
        <v>109.678</v>
      </c>
      <c r="S10" s="7">
        <f>(O10*T10)</f>
        <v/>
      </c>
      <c r="T10" s="12" t="n">
        <v>5.63</v>
      </c>
      <c r="U10" s="23" t="n">
        <v>11865.55</v>
      </c>
      <c r="V10" s="23" t="n">
        <v>26</v>
      </c>
      <c r="W10" s="7">
        <f>U10/V10</f>
        <v/>
      </c>
      <c r="X10" s="7">
        <f>(W10/U10)*100</f>
        <v/>
      </c>
      <c r="Y10" s="23" t="n">
        <v>9333.950000000001</v>
      </c>
      <c r="Z10" s="23" t="n">
        <v>19.45</v>
      </c>
      <c r="AA10" s="7">
        <f>Y10/Z10</f>
        <v/>
      </c>
      <c r="AB10" s="7">
        <f>(AA10/Y10)*100</f>
        <v/>
      </c>
    </row>
    <row r="11">
      <c r="A11" s="14" t="n">
        <v>10</v>
      </c>
      <c r="B11" s="8" t="n">
        <v>44809</v>
      </c>
      <c r="C11" s="4" t="n">
        <v>27982150</v>
      </c>
      <c r="D11" s="4">
        <f>C11/E11</f>
        <v/>
      </c>
      <c r="E11" s="4" t="n">
        <v>79.79000000000001</v>
      </c>
      <c r="F11" s="4">
        <f>D11/100000</f>
        <v/>
      </c>
      <c r="G11" s="7">
        <f>(F11/DataSheet!$C$9*100)</f>
        <v/>
      </c>
      <c r="H11" s="4">
        <f>K11/I11</f>
        <v/>
      </c>
      <c r="I11" s="4">
        <f>(J11/L11)*100</f>
        <v/>
      </c>
      <c r="J11" s="7">
        <f>L11/O11</f>
        <v/>
      </c>
      <c r="K11" s="4" t="n">
        <v>7.219</v>
      </c>
      <c r="L11" s="4" t="n">
        <v>17665.8</v>
      </c>
      <c r="M11" s="4" t="n">
        <v>4.1</v>
      </c>
      <c r="N11" s="7">
        <f>K11-I11</f>
        <v/>
      </c>
      <c r="O11" s="21" t="n">
        <v>21.09</v>
      </c>
      <c r="P11" s="23" t="n">
        <v>3.195</v>
      </c>
      <c r="Q11" s="7">
        <f>K11-P11</f>
        <v/>
      </c>
      <c r="R11" s="23" t="n">
        <v>109.51</v>
      </c>
      <c r="S11" s="7">
        <f>(O11*T11)</f>
        <v/>
      </c>
      <c r="T11" s="12" t="n">
        <v>5.63</v>
      </c>
      <c r="U11" s="23" t="n">
        <v>11930.35</v>
      </c>
      <c r="V11" s="23" t="n">
        <v>26.14</v>
      </c>
      <c r="W11" s="7">
        <f>U11/V11</f>
        <v/>
      </c>
      <c r="X11" s="7">
        <f>(W11/U11)*100</f>
        <v/>
      </c>
      <c r="Y11" s="23" t="n">
        <v>9427.450000000001</v>
      </c>
      <c r="Z11" s="23" t="n">
        <v>19.64</v>
      </c>
      <c r="AA11" s="7">
        <f>Y11/Z11</f>
        <v/>
      </c>
      <c r="AB11" s="7">
        <f>(AA11/Y11)*100</f>
        <v/>
      </c>
    </row>
    <row r="12">
      <c r="A12" s="14" t="n">
        <v>11</v>
      </c>
      <c r="B12" s="9" t="n">
        <v>44810</v>
      </c>
      <c r="C12" s="7" t="n">
        <v>28036303</v>
      </c>
      <c r="D12" s="7">
        <f>C12/E12</f>
        <v/>
      </c>
      <c r="E12" s="7" t="n">
        <v>79.78700000000001</v>
      </c>
      <c r="F12" s="7">
        <f>D12/100000</f>
        <v/>
      </c>
      <c r="G12" s="7">
        <f>(F12/DataSheet!$C$9*100)</f>
        <v/>
      </c>
      <c r="H12" s="4">
        <f>K12/I12</f>
        <v/>
      </c>
      <c r="I12" s="4">
        <f>(J12/L12)*100</f>
        <v/>
      </c>
      <c r="J12" s="7">
        <f>L12/O12</f>
        <v/>
      </c>
      <c r="K12" s="7" t="n">
        <v>7.181</v>
      </c>
      <c r="L12" s="7" t="n">
        <v>17655.6</v>
      </c>
      <c r="M12" s="7" t="n">
        <v>4.1</v>
      </c>
      <c r="N12" s="7">
        <f>K12-I12</f>
        <v/>
      </c>
      <c r="O12" s="21" t="n">
        <v>21.08</v>
      </c>
      <c r="P12" s="23" t="n">
        <v>3.223</v>
      </c>
      <c r="Q12" s="7">
        <f>K12-P12</f>
        <v/>
      </c>
      <c r="R12" s="23" t="n">
        <v>109.51</v>
      </c>
      <c r="S12" s="7">
        <f>(O12*T12)</f>
        <v/>
      </c>
      <c r="T12" s="12" t="n">
        <v>5.6</v>
      </c>
      <c r="U12" s="23" t="n">
        <v>11974.95</v>
      </c>
      <c r="V12" s="23" t="n">
        <v>26.23</v>
      </c>
      <c r="W12" s="7">
        <f>U12/V12</f>
        <v/>
      </c>
      <c r="X12" s="7">
        <f>(W12/U12)*100</f>
        <v/>
      </c>
      <c r="Y12" s="23" t="n">
        <v>9457.25</v>
      </c>
      <c r="Z12" s="23" t="n">
        <v>19.7</v>
      </c>
      <c r="AA12" s="7">
        <f>Y12/Z12</f>
        <v/>
      </c>
      <c r="AB12" s="7">
        <f>(AA12/Y12)*100</f>
        <v/>
      </c>
    </row>
    <row r="13">
      <c r="A13" s="14" t="n">
        <v>12</v>
      </c>
      <c r="B13" s="9" t="n">
        <v>44811</v>
      </c>
      <c r="C13" s="7" t="n">
        <v>28089962</v>
      </c>
      <c r="D13" s="7">
        <f>C13/E13</f>
        <v/>
      </c>
      <c r="E13" s="7" t="n">
        <v>79.90000000000001</v>
      </c>
      <c r="F13" s="7">
        <f>D13/100000</f>
        <v/>
      </c>
      <c r="G13" s="7">
        <f>(F13/DataSheet!$C$9*100)</f>
        <v/>
      </c>
      <c r="H13" s="4">
        <f>K13/I13</f>
        <v/>
      </c>
      <c r="I13" s="4">
        <f>(J13/L13)*100</f>
        <v/>
      </c>
      <c r="J13" s="7">
        <f>L13/O13</f>
        <v/>
      </c>
      <c r="K13" s="4" t="n">
        <v>7.184</v>
      </c>
      <c r="L13" s="4" t="n">
        <v>17624.4</v>
      </c>
      <c r="M13" s="4" t="n">
        <v>4.1</v>
      </c>
      <c r="N13" s="7">
        <f>K13-I13</f>
        <v/>
      </c>
      <c r="O13" s="21" t="n">
        <v>21.04</v>
      </c>
      <c r="P13" s="23" t="n">
        <v>3.351</v>
      </c>
      <c r="Q13" s="7">
        <f>K13-P13</f>
        <v/>
      </c>
      <c r="R13" s="23" t="n">
        <v>110.204</v>
      </c>
      <c r="S13" s="7">
        <f>(O13*T13)</f>
        <v/>
      </c>
      <c r="T13" s="12" t="n">
        <v>5.59</v>
      </c>
      <c r="U13" s="23" t="n">
        <v>12038.85</v>
      </c>
      <c r="V13" s="23" t="n">
        <v>26.38</v>
      </c>
      <c r="W13" s="7">
        <f>U13/V13</f>
        <v/>
      </c>
      <c r="X13" s="7">
        <f>(W13/U13)*100</f>
        <v/>
      </c>
      <c r="Y13" s="23" t="n">
        <v>9533.549999999999</v>
      </c>
      <c r="Z13" s="23" t="n">
        <v>19.86</v>
      </c>
      <c r="AA13" s="7">
        <f>Y13/Z13</f>
        <v/>
      </c>
      <c r="AB13" s="7">
        <f>(AA13/Y13)*100</f>
        <v/>
      </c>
    </row>
    <row r="14">
      <c r="A14" s="14" t="n">
        <v>13</v>
      </c>
      <c r="B14" s="8" t="n">
        <v>44812</v>
      </c>
      <c r="C14" s="4" t="n">
        <v>28279904.31</v>
      </c>
      <c r="D14" s="4">
        <f>C14/E14</f>
        <v/>
      </c>
      <c r="E14" s="4" t="n">
        <v>79.7</v>
      </c>
      <c r="F14" s="4">
        <f>D14/100000</f>
        <v/>
      </c>
      <c r="G14" s="7">
        <f>(F14/DataSheet!$C$9*100)</f>
        <v/>
      </c>
      <c r="H14" s="4">
        <f>K14/I14</f>
        <v/>
      </c>
      <c r="I14" s="4">
        <f>(J14/L14)*100</f>
        <v/>
      </c>
      <c r="J14" s="7">
        <f>L14/O14</f>
        <v/>
      </c>
      <c r="K14" s="4" t="n">
        <v>7.135</v>
      </c>
      <c r="L14" s="4" t="n">
        <v>17798.75</v>
      </c>
      <c r="M14" s="4" t="n">
        <v>4.13</v>
      </c>
      <c r="N14" s="7">
        <f>K14-I14</f>
        <v/>
      </c>
      <c r="O14" s="21" t="n">
        <v>21.25</v>
      </c>
      <c r="P14" s="23" t="n">
        <v>3.267</v>
      </c>
      <c r="Q14" s="7">
        <f>K14-P14</f>
        <v/>
      </c>
      <c r="R14" s="23" t="n">
        <v>109.832</v>
      </c>
      <c r="S14" s="7">
        <f>(O14*T14)</f>
        <v/>
      </c>
      <c r="T14" s="12" t="n">
        <v>5.64</v>
      </c>
      <c r="U14" s="23" t="n">
        <v>12080.8</v>
      </c>
      <c r="V14" s="23" t="n">
        <v>26.47</v>
      </c>
      <c r="W14" s="7">
        <f>U14/V14</f>
        <v/>
      </c>
      <c r="X14" s="7">
        <f>(W14/U14)*100</f>
        <v/>
      </c>
      <c r="Y14" s="23" t="n">
        <v>9600.700000000001</v>
      </c>
      <c r="Z14" s="23" t="n">
        <v>20</v>
      </c>
      <c r="AA14" s="7">
        <f>Y14/Z14</f>
        <v/>
      </c>
      <c r="AB14" s="7">
        <f>(AA14/Y14)*100</f>
        <v/>
      </c>
    </row>
    <row r="15">
      <c r="A15" s="14" t="n">
        <v>14</v>
      </c>
      <c r="B15" s="9" t="n">
        <v>44813</v>
      </c>
      <c r="C15" s="7" t="n">
        <v>28301067</v>
      </c>
      <c r="D15" s="4">
        <f>C15/E15</f>
        <v/>
      </c>
      <c r="E15" s="7" t="n">
        <v>79.56</v>
      </c>
      <c r="F15" s="4">
        <f>D15/100000</f>
        <v/>
      </c>
      <c r="G15" s="7">
        <f>(F15/DataSheet!$C$9*100)</f>
        <v/>
      </c>
      <c r="H15" s="7">
        <f>K15/I15</f>
        <v/>
      </c>
      <c r="I15" s="4">
        <f>(J15/L15)*100</f>
        <v/>
      </c>
      <c r="J15" s="7">
        <f>L15/O15</f>
        <v/>
      </c>
      <c r="K15" s="4" t="n">
        <v>7.169</v>
      </c>
      <c r="L15" s="4" t="n">
        <v>17833.35</v>
      </c>
      <c r="M15" s="7" t="n">
        <v>4.13</v>
      </c>
      <c r="N15" s="7">
        <f>K15-I15</f>
        <v/>
      </c>
      <c r="O15" s="21" t="n">
        <v>21.29</v>
      </c>
      <c r="P15" s="23" t="n">
        <v>3.323</v>
      </c>
      <c r="Q15" s="7">
        <f>K15-P15</f>
        <v/>
      </c>
      <c r="R15" s="23" t="n">
        <v>109.713</v>
      </c>
      <c r="S15" s="7">
        <f>(O15*T15)</f>
        <v/>
      </c>
      <c r="T15" s="12" t="n">
        <v>5.64</v>
      </c>
      <c r="U15" s="23" t="n">
        <v>12129.45</v>
      </c>
      <c r="V15" s="23" t="n">
        <v>26.57</v>
      </c>
      <c r="W15" s="7">
        <f>U15/V15</f>
        <v/>
      </c>
      <c r="X15" s="7">
        <f>(W15/U15)*100</f>
        <v/>
      </c>
      <c r="Y15" s="23" t="n">
        <v>9581.65</v>
      </c>
      <c r="Z15" s="23" t="n">
        <v>20.02</v>
      </c>
      <c r="AA15" s="7">
        <f>Y15/Z15</f>
        <v/>
      </c>
      <c r="AB15" s="7">
        <f>(AA15/Y15)*100</f>
        <v/>
      </c>
    </row>
    <row r="16">
      <c r="A16" s="14" t="n">
        <v>15</v>
      </c>
      <c r="B16" s="9" t="n">
        <v>44816</v>
      </c>
      <c r="C16" s="21" t="n">
        <v>28526694</v>
      </c>
      <c r="D16" s="4">
        <f>C16/E16</f>
        <v/>
      </c>
      <c r="E16" s="7" t="n">
        <v>79.68000000000001</v>
      </c>
      <c r="F16" s="4">
        <f>D16/100000</f>
        <v/>
      </c>
      <c r="G16" s="7">
        <f>(F16/DataSheet!$C$9*100)</f>
        <v/>
      </c>
      <c r="H16" s="7">
        <f>K16/I16</f>
        <v/>
      </c>
      <c r="I16" s="4">
        <f>(J16/L16)*100</f>
        <v/>
      </c>
      <c r="J16" s="7">
        <f>L16/O16</f>
        <v/>
      </c>
      <c r="K16" s="7" t="n">
        <v>7.185</v>
      </c>
      <c r="L16" s="7" t="n">
        <v>17936.35</v>
      </c>
      <c r="M16" s="4" t="n">
        <v>4.16</v>
      </c>
      <c r="N16" s="7">
        <f>K16-I16</f>
        <v/>
      </c>
      <c r="O16" s="21" t="n">
        <v>21.41</v>
      </c>
      <c r="P16" s="23" t="n">
        <v>3.315</v>
      </c>
      <c r="Q16" s="7">
        <f>K16-P16</f>
        <v/>
      </c>
      <c r="R16" s="23" t="n">
        <v>108.997</v>
      </c>
      <c r="S16" s="7">
        <f>(O16*T16)</f>
        <v/>
      </c>
      <c r="T16" s="12" t="n">
        <v>5.66</v>
      </c>
      <c r="U16" s="23" t="n">
        <v>12228.05</v>
      </c>
      <c r="V16" s="23" t="n">
        <v>26.79</v>
      </c>
      <c r="W16" s="7">
        <f>U16/V16</f>
        <v/>
      </c>
      <c r="X16" s="7">
        <f>(W16/U16)*100</f>
        <v/>
      </c>
      <c r="Y16" s="23" t="n">
        <v>9672.35</v>
      </c>
      <c r="Z16" s="23" t="n">
        <v>20.21</v>
      </c>
      <c r="AA16" s="7">
        <f>Y16/Z16</f>
        <v/>
      </c>
      <c r="AB16" s="7">
        <f>(AA16/Y16)*100</f>
        <v/>
      </c>
    </row>
    <row r="17">
      <c r="A17" s="14" t="n">
        <v>16</v>
      </c>
      <c r="B17" s="9" t="n">
        <v>44817</v>
      </c>
      <c r="C17" s="7" t="n">
        <v>28671194</v>
      </c>
      <c r="D17" s="4">
        <f>C17/E17</f>
        <v/>
      </c>
      <c r="E17" s="7" t="n">
        <v>79.45</v>
      </c>
      <c r="F17" s="4">
        <f>D17/100000</f>
        <v/>
      </c>
      <c r="G17" s="7">
        <f>(F17/DataSheet!$C$9*100)</f>
        <v/>
      </c>
      <c r="H17" s="7">
        <f>K17/I17</f>
        <v/>
      </c>
      <c r="I17" s="4">
        <f>(J17/L17)*100</f>
        <v/>
      </c>
      <c r="J17" s="7">
        <f>L17/O17</f>
        <v/>
      </c>
      <c r="K17" s="7" t="n">
        <v>7.109</v>
      </c>
      <c r="L17" s="7" t="n">
        <v>18070.05</v>
      </c>
      <c r="M17" s="4" t="n">
        <v>4.19</v>
      </c>
      <c r="N17" s="7">
        <f>K17-I17</f>
        <v/>
      </c>
      <c r="O17" s="21" t="n">
        <v>21.57</v>
      </c>
      <c r="P17" s="23" t="n">
        <v>3.358</v>
      </c>
      <c r="Q17" s="7">
        <f>K17-P17</f>
        <v/>
      </c>
      <c r="R17" s="23" t="n">
        <v>108.316</v>
      </c>
      <c r="S17" s="7">
        <f>(O17*T17)</f>
        <v/>
      </c>
      <c r="T17" s="12" t="n">
        <v>5.66</v>
      </c>
      <c r="U17" s="23" t="n">
        <v>12245.65</v>
      </c>
      <c r="V17" s="23" t="n">
        <v>26.83</v>
      </c>
      <c r="W17" s="7">
        <f>U17/V17</f>
        <v/>
      </c>
      <c r="X17" s="7">
        <f>(W17/U17)*100</f>
        <v/>
      </c>
      <c r="Y17" s="23" t="n">
        <v>9683</v>
      </c>
      <c r="Z17" s="23" t="n">
        <v>20.23</v>
      </c>
      <c r="AA17" s="7">
        <f>Y17/Z17</f>
        <v/>
      </c>
      <c r="AB17" s="7">
        <f>(AA17/Y17)*100</f>
        <v/>
      </c>
    </row>
    <row r="18">
      <c r="A18" s="14" t="n">
        <v>17</v>
      </c>
      <c r="B18" s="9" t="n">
        <v>44818</v>
      </c>
      <c r="C18" s="7" t="n">
        <v>28594672</v>
      </c>
      <c r="D18" s="7">
        <f>C18/E18</f>
        <v/>
      </c>
      <c r="E18" s="7" t="n">
        <v>79.45</v>
      </c>
      <c r="F18" s="7">
        <f>D18/100000</f>
        <v/>
      </c>
      <c r="G18" s="7">
        <f>(F18/DataSheet!$C$9*100)</f>
        <v/>
      </c>
      <c r="H18" s="7">
        <f>K18/I18</f>
        <v/>
      </c>
      <c r="I18" s="4">
        <f>(J18/L18)*100</f>
        <v/>
      </c>
      <c r="J18" s="7">
        <f>L18/O18</f>
        <v/>
      </c>
      <c r="K18" s="7" t="n">
        <v>7.155</v>
      </c>
      <c r="L18" s="7" t="n">
        <v>18003.75</v>
      </c>
      <c r="M18" s="7" t="n">
        <v>4.18</v>
      </c>
      <c r="N18" s="7">
        <f>K18-I18</f>
        <v/>
      </c>
      <c r="O18" s="21" t="n">
        <v>21.49</v>
      </c>
      <c r="P18" s="23" t="n">
        <v>3.412</v>
      </c>
      <c r="Q18" s="7">
        <f>K18-P18</f>
        <v/>
      </c>
      <c r="R18" s="23" t="n">
        <v>109.809</v>
      </c>
      <c r="S18" s="7">
        <f>(O18*T18)</f>
        <v/>
      </c>
      <c r="T18" s="12" t="n">
        <v>5.7</v>
      </c>
      <c r="U18" s="23" t="n">
        <v>12203.55</v>
      </c>
      <c r="V18" s="23" t="n">
        <v>26.74</v>
      </c>
      <c r="W18" s="7">
        <f>U18/V18</f>
        <v/>
      </c>
      <c r="X18" s="7">
        <f>(W18/U18)*100</f>
        <v/>
      </c>
      <c r="Y18" s="23" t="n">
        <v>9692.1</v>
      </c>
      <c r="Z18" s="23" t="n">
        <v>20.25</v>
      </c>
      <c r="AA18" s="7">
        <f>Y18/Z18</f>
        <v/>
      </c>
      <c r="AB18" s="7">
        <f>(AA18/Y18)*100</f>
        <v/>
      </c>
    </row>
    <row r="19">
      <c r="A19" s="14" t="n">
        <v>18</v>
      </c>
      <c r="B19" s="9" t="n">
        <v>44819</v>
      </c>
      <c r="C19" s="7" t="n">
        <v>28587353</v>
      </c>
      <c r="D19" s="7">
        <f>C19/E19</f>
        <v/>
      </c>
      <c r="E19" s="7" t="n">
        <v>79.84</v>
      </c>
      <c r="F19" s="7">
        <f>D19/100000</f>
        <v/>
      </c>
      <c r="G19" s="7">
        <f>(F19/DataSheet!$C$9*100)</f>
        <v/>
      </c>
      <c r="H19" s="7">
        <f>K19/I19</f>
        <v/>
      </c>
      <c r="I19" s="4">
        <f>(J19/L19)*100</f>
        <v/>
      </c>
      <c r="J19" s="7">
        <f>L19/O19</f>
        <v/>
      </c>
      <c r="K19" s="7" t="n">
        <v>7.238</v>
      </c>
      <c r="L19" s="7" t="n">
        <v>17877.4</v>
      </c>
      <c r="M19" s="7" t="n">
        <v>4.15</v>
      </c>
      <c r="N19" s="7">
        <f>K19-I19</f>
        <v/>
      </c>
      <c r="O19" s="21" t="n">
        <v>21.34</v>
      </c>
      <c r="P19" s="23" t="n">
        <v>3.404</v>
      </c>
      <c r="Q19" s="7">
        <f>K19-P19</f>
        <v/>
      </c>
      <c r="R19" s="23" t="n">
        <v>109.631</v>
      </c>
      <c r="S19" s="7">
        <f>(O19*T19)</f>
        <v/>
      </c>
      <c r="T19" s="12" t="n">
        <v>5.76</v>
      </c>
      <c r="U19" s="23" t="n">
        <v>12242.85</v>
      </c>
      <c r="V19" s="23" t="n">
        <v>26.82</v>
      </c>
      <c r="W19" s="7">
        <f>U19/V19</f>
        <v/>
      </c>
      <c r="X19" s="7">
        <f>(W19/U19)*100</f>
        <v/>
      </c>
      <c r="Y19" s="23" t="n">
        <v>9690.049999999999</v>
      </c>
      <c r="Z19" s="23" t="n">
        <v>20.24</v>
      </c>
      <c r="AA19" s="7">
        <f>Y19/Z19</f>
        <v/>
      </c>
      <c r="AB19" s="7">
        <f>(AA19/Y19)*100</f>
        <v/>
      </c>
    </row>
    <row r="20">
      <c r="A20" s="14" t="n">
        <v>19</v>
      </c>
      <c r="B20" s="9" t="n">
        <v>44820</v>
      </c>
      <c r="C20" s="7" t="n">
        <v>27968822</v>
      </c>
      <c r="D20" s="7">
        <f>C20/E20</f>
        <v/>
      </c>
      <c r="E20" s="7" t="n">
        <v>79.72</v>
      </c>
      <c r="F20" s="7">
        <f>D20/100000</f>
        <v/>
      </c>
      <c r="G20" s="7">
        <f>(F20/DataSheet!$C$9*100)</f>
        <v/>
      </c>
      <c r="H20" s="7">
        <f>K20/I20</f>
        <v/>
      </c>
      <c r="I20" s="4">
        <f>(J20/L20)*100</f>
        <v/>
      </c>
      <c r="J20" s="7">
        <f>L20/O20</f>
        <v/>
      </c>
      <c r="K20" s="7" t="n">
        <v>7.266</v>
      </c>
      <c r="L20" s="7" t="n">
        <v>17530.85</v>
      </c>
      <c r="M20" s="7" t="n">
        <v>4.07</v>
      </c>
      <c r="N20" s="7">
        <f>K20-I20</f>
        <v/>
      </c>
      <c r="O20" s="21" t="n">
        <v>20.93</v>
      </c>
      <c r="P20" s="23" t="n">
        <v>3.449</v>
      </c>
      <c r="Q20" s="7">
        <f>K20-P20</f>
        <v/>
      </c>
      <c r="R20" s="23" t="n">
        <v>109.711</v>
      </c>
      <c r="S20" s="7">
        <f>(O20*T20)</f>
        <v/>
      </c>
      <c r="T20" s="12" t="n">
        <v>5.77</v>
      </c>
      <c r="U20" s="23" t="n">
        <v>11933.3</v>
      </c>
      <c r="V20" s="23" t="n">
        <v>26.14</v>
      </c>
      <c r="W20" s="7">
        <f>U20/V20</f>
        <v/>
      </c>
      <c r="X20" s="7">
        <f>(W20/U20)*100</f>
        <v/>
      </c>
      <c r="Y20" s="23" t="n">
        <v>9467.85</v>
      </c>
      <c r="Z20" s="23" t="n">
        <v>19.78</v>
      </c>
      <c r="AA20" s="7">
        <f>Y20/Z20</f>
        <v/>
      </c>
      <c r="AB20" s="7">
        <f>(AA20/Y20)*100</f>
        <v/>
      </c>
    </row>
    <row r="21">
      <c r="A21" s="14" t="n">
        <v>20</v>
      </c>
      <c r="B21" s="9" t="n">
        <v>44823</v>
      </c>
      <c r="C21" s="7" t="n">
        <v>28060174</v>
      </c>
      <c r="D21" s="7">
        <f>C21/E21</f>
        <v/>
      </c>
      <c r="E21" s="7" t="n">
        <v>79.73999999999999</v>
      </c>
      <c r="F21" s="7">
        <f>D21/100000</f>
        <v/>
      </c>
      <c r="G21" s="7">
        <f>(F21/DataSheet!$C$9*100)</f>
        <v/>
      </c>
      <c r="H21" s="7">
        <f>K21/I21</f>
        <v/>
      </c>
      <c r="I21" s="7">
        <f>(J21/L21)*100</f>
        <v/>
      </c>
      <c r="J21" s="7">
        <f>L21/O21</f>
        <v/>
      </c>
      <c r="K21" s="7" t="n">
        <v>7.279</v>
      </c>
      <c r="L21" s="7" t="n">
        <v>17622.25</v>
      </c>
      <c r="M21" s="7" t="n">
        <v>4.09</v>
      </c>
      <c r="N21" s="7">
        <f>K21-I21</f>
        <v/>
      </c>
      <c r="O21" s="21" t="n">
        <v>21.04</v>
      </c>
      <c r="P21" s="23" t="n">
        <v>3.455</v>
      </c>
      <c r="Q21" s="7">
        <f>K21-P21</f>
        <v/>
      </c>
      <c r="R21" s="23" t="n">
        <v>109.736</v>
      </c>
      <c r="S21" s="7">
        <f>(O21*T21)</f>
        <v/>
      </c>
      <c r="T21" s="12" t="n">
        <v>5.78</v>
      </c>
      <c r="U21" s="23" t="n">
        <v>11936.55</v>
      </c>
      <c r="V21" s="23" t="n">
        <v>26.15</v>
      </c>
      <c r="W21" s="7">
        <f>U21/V21</f>
        <v/>
      </c>
      <c r="X21" s="7">
        <f>(W21/U21)*100</f>
        <v/>
      </c>
      <c r="Y21" s="23" t="n">
        <v>9398.299999999999</v>
      </c>
      <c r="Z21" s="23" t="n">
        <v>19.63</v>
      </c>
      <c r="AA21" s="7">
        <f>Y21/Z21</f>
        <v/>
      </c>
      <c r="AB21" s="7">
        <f>(AA21/Y21)*100</f>
        <v/>
      </c>
    </row>
    <row r="22">
      <c r="A22" s="14" t="n">
        <v>21</v>
      </c>
      <c r="B22" s="9" t="n">
        <v>44824</v>
      </c>
      <c r="C22" s="7" t="n">
        <v>28342214</v>
      </c>
      <c r="D22" s="7">
        <f>C22/E22</f>
        <v/>
      </c>
      <c r="E22" s="7" t="n">
        <v>79.7</v>
      </c>
      <c r="F22" s="7">
        <f>D22/100000</f>
        <v/>
      </c>
      <c r="G22" s="7">
        <f>(F22/DataSheet!$C$9*100)</f>
        <v/>
      </c>
      <c r="H22" s="7">
        <f>K22/I22</f>
        <v/>
      </c>
      <c r="I22" s="7">
        <f>(J22/L22)*100</f>
        <v/>
      </c>
      <c r="J22" s="7">
        <f>L22/O22</f>
        <v/>
      </c>
      <c r="K22" s="7" t="n">
        <v>7.296</v>
      </c>
      <c r="L22" s="7" t="n">
        <v>17816.25</v>
      </c>
      <c r="M22" s="7" t="n">
        <v>4.13</v>
      </c>
      <c r="N22" s="7">
        <f>K22-I22</f>
        <v/>
      </c>
      <c r="O22" s="21" t="n">
        <v>21.27</v>
      </c>
      <c r="P22" s="23" t="n">
        <v>3.494</v>
      </c>
      <c r="Q22" s="7">
        <f>K22-P22</f>
        <v/>
      </c>
      <c r="R22" s="23" t="n">
        <v>109.982</v>
      </c>
      <c r="S22" s="7">
        <f>(O22*T22)</f>
        <v/>
      </c>
      <c r="T22" s="12" t="n">
        <v>5.79</v>
      </c>
      <c r="U22" s="23" t="n">
        <v>12111.3</v>
      </c>
      <c r="V22" s="23" t="n">
        <v>26.53</v>
      </c>
      <c r="W22" s="7">
        <f>U22/V22</f>
        <v/>
      </c>
      <c r="X22" s="7">
        <f>(W22/U22)*100</f>
        <v/>
      </c>
      <c r="Y22" s="23" t="n">
        <v>9506.25</v>
      </c>
      <c r="Z22" s="23" t="n">
        <v>19.86</v>
      </c>
      <c r="AA22" s="7">
        <f>Y22/Z22</f>
        <v/>
      </c>
      <c r="AB22" s="7">
        <f>(AA22/Y22)*100</f>
        <v/>
      </c>
    </row>
    <row r="23">
      <c r="A23" s="14" t="n">
        <v>22</v>
      </c>
      <c r="B23" s="9" t="n">
        <v>44825</v>
      </c>
      <c r="C23" s="7" t="n">
        <v>28117658</v>
      </c>
      <c r="D23" s="7">
        <f>C23/E23</f>
        <v/>
      </c>
      <c r="E23" s="7" t="n">
        <v>79.93000000000001</v>
      </c>
      <c r="F23" s="7">
        <f>D23/100000</f>
        <v/>
      </c>
      <c r="G23" s="7">
        <f>(F23/DataSheet!$C$9*100)</f>
        <v/>
      </c>
      <c r="H23" s="7">
        <f>K23/I23</f>
        <v/>
      </c>
      <c r="I23" s="7">
        <f>(J23/L23)*100</f>
        <v/>
      </c>
      <c r="J23" s="7">
        <f>L23/O23</f>
        <v/>
      </c>
      <c r="K23" s="7" t="n">
        <v>7.26</v>
      </c>
      <c r="L23" s="7" t="n">
        <v>17718.35</v>
      </c>
      <c r="M23" s="7" t="n">
        <v>4.11</v>
      </c>
      <c r="N23" s="7">
        <f>K23-I23</f>
        <v/>
      </c>
      <c r="O23" s="21" t="n">
        <v>21.15</v>
      </c>
      <c r="P23" s="23" t="n">
        <v>3.569</v>
      </c>
      <c r="Q23" s="7">
        <f>K23-P23</f>
        <v/>
      </c>
      <c r="R23" s="23" t="n">
        <v>109.942</v>
      </c>
      <c r="S23" s="7">
        <f>(O23*T23)</f>
        <v/>
      </c>
      <c r="T23" s="12" t="n">
        <v>5.85</v>
      </c>
      <c r="U23" s="23" t="n">
        <v>12027.5</v>
      </c>
      <c r="V23" s="23" t="n">
        <v>26.35</v>
      </c>
      <c r="W23" s="7">
        <f>U23/V23</f>
        <v/>
      </c>
      <c r="X23" s="7">
        <f>(W23/U23)*100</f>
        <v/>
      </c>
      <c r="Y23" s="23" t="n">
        <v>9446.700000000001</v>
      </c>
      <c r="Z23" s="23" t="n">
        <v>19.73</v>
      </c>
      <c r="AA23" s="7">
        <f>Y23/Z23</f>
        <v/>
      </c>
      <c r="AB23" s="7">
        <f>(AA23/Y23)*100</f>
        <v/>
      </c>
    </row>
    <row r="24">
      <c r="A24" s="14" t="n">
        <v>23</v>
      </c>
      <c r="B24" s="9" t="n">
        <v>44826</v>
      </c>
      <c r="C24" s="7" t="n">
        <v>28154729</v>
      </c>
      <c r="D24" s="7">
        <f>C24/E24</f>
        <v/>
      </c>
      <c r="E24" s="7" t="n">
        <v>80.88</v>
      </c>
      <c r="F24" s="7">
        <f>D24/100000</f>
        <v/>
      </c>
      <c r="G24" s="7">
        <f>(F24/DataSheet!$C$9*100)</f>
        <v/>
      </c>
      <c r="H24" s="7">
        <f>K24/I24</f>
        <v/>
      </c>
      <c r="I24" s="7">
        <f>(J24/L24)*100</f>
        <v/>
      </c>
      <c r="J24" s="7">
        <f>L24/O24</f>
        <v/>
      </c>
      <c r="K24" s="7" t="n">
        <v>7.233</v>
      </c>
      <c r="L24" s="7" t="n">
        <v>17629.8</v>
      </c>
      <c r="M24" s="7" t="n">
        <v>4.09</v>
      </c>
      <c r="N24" s="7">
        <f>K24-I24</f>
        <v/>
      </c>
      <c r="O24" s="21" t="n">
        <v>21.05</v>
      </c>
      <c r="P24" s="23" t="n">
        <v>3.534</v>
      </c>
      <c r="Q24" s="7">
        <f>K24-P24</f>
        <v/>
      </c>
      <c r="R24" s="23" t="n">
        <v>110.346</v>
      </c>
      <c r="S24" s="7">
        <f>(O24*T24)</f>
        <v/>
      </c>
      <c r="T24" s="12" t="n">
        <v>5.88</v>
      </c>
      <c r="U24" s="23" t="n">
        <v>12067.4</v>
      </c>
      <c r="V24" s="23" t="n">
        <v>26.44</v>
      </c>
      <c r="W24" s="7">
        <f>U24/V24</f>
        <v/>
      </c>
      <c r="X24" s="7">
        <f>(W24/U24)*100</f>
        <v/>
      </c>
      <c r="Y24" s="23" t="n">
        <v>9500.4</v>
      </c>
      <c r="Z24" s="23" t="n">
        <v>19.84</v>
      </c>
      <c r="AA24" s="7">
        <f>Y24/Z24</f>
        <v/>
      </c>
      <c r="AB24" s="7">
        <f>(AA24/Y24)*100</f>
        <v/>
      </c>
    </row>
    <row r="25">
      <c r="A25" s="14" t="n">
        <v>24</v>
      </c>
      <c r="B25" s="9" t="n">
        <v>44827</v>
      </c>
      <c r="C25" s="4" t="n">
        <v>27664567</v>
      </c>
      <c r="D25" s="7">
        <f>C25/E25</f>
        <v/>
      </c>
      <c r="E25" s="7" t="n">
        <v>81.06</v>
      </c>
      <c r="F25" s="7">
        <f>D25/100000</f>
        <v/>
      </c>
      <c r="G25" s="7">
        <f>(F25/DataSheet!$C$9*100)</f>
        <v/>
      </c>
      <c r="H25" s="7">
        <f>K25/I25</f>
        <v/>
      </c>
      <c r="I25" s="7">
        <f>(J25/L25)*100</f>
        <v/>
      </c>
      <c r="J25" s="7">
        <f>L25/O25</f>
        <v/>
      </c>
      <c r="K25" s="7" t="n">
        <v>7.393</v>
      </c>
      <c r="L25" s="7" t="n">
        <v>17327.35</v>
      </c>
      <c r="M25" s="7" t="n">
        <v>4.02</v>
      </c>
      <c r="N25" s="7">
        <f>K25-I25</f>
        <v/>
      </c>
      <c r="O25" s="21" t="n">
        <v>20.69</v>
      </c>
      <c r="P25" s="23" t="n">
        <v>3.71</v>
      </c>
      <c r="Q25" s="7">
        <f>K25-P25</f>
        <v/>
      </c>
      <c r="R25" s="23" t="n">
        <v>111.105</v>
      </c>
      <c r="S25" s="7">
        <f>(O25*T25)</f>
        <v/>
      </c>
      <c r="T25" s="12" t="n">
        <v>5.9</v>
      </c>
      <c r="U25" s="23" t="n">
        <v>11811.9</v>
      </c>
      <c r="V25" s="23" t="n">
        <v>25.88</v>
      </c>
      <c r="W25" s="7">
        <f>U25/V25</f>
        <v/>
      </c>
      <c r="X25" s="7">
        <f>(W25/U25)*100</f>
        <v/>
      </c>
      <c r="Y25" s="23" t="n">
        <v>9312.450000000001</v>
      </c>
      <c r="Z25" s="23" t="n">
        <v>19.45</v>
      </c>
      <c r="AA25" s="7">
        <f>Y25/Z25</f>
        <v/>
      </c>
      <c r="AB25" s="7">
        <f>(AA25/Y25)*100</f>
        <v/>
      </c>
    </row>
    <row r="26">
      <c r="A26" s="14" t="n">
        <v>25</v>
      </c>
      <c r="B26" s="9" t="n">
        <v>44830</v>
      </c>
      <c r="C26" s="7" t="n">
        <v>27011460</v>
      </c>
      <c r="D26" s="7">
        <f>C26/E26</f>
        <v/>
      </c>
      <c r="E26" s="7" t="n">
        <v>81.59999999999999</v>
      </c>
      <c r="F26" s="7">
        <f>D26/100000</f>
        <v/>
      </c>
      <c r="G26" s="7">
        <f>(F26/DataSheet!$C$9*100)</f>
        <v/>
      </c>
      <c r="H26" s="7">
        <f>K26/I26</f>
        <v/>
      </c>
      <c r="I26" s="7">
        <f>(J26/L26)*100</f>
        <v/>
      </c>
      <c r="J26" s="7">
        <f>L26/O26</f>
        <v/>
      </c>
      <c r="K26" s="7" t="n">
        <v>7.366</v>
      </c>
      <c r="L26" s="7" t="n">
        <v>17016.3</v>
      </c>
      <c r="M26" s="7" t="n">
        <v>3.95</v>
      </c>
      <c r="N26" s="7">
        <f>K26-I26</f>
        <v/>
      </c>
      <c r="O26" s="21" t="n">
        <v>20.31</v>
      </c>
      <c r="P26" s="23" t="n">
        <v>3.687</v>
      </c>
      <c r="Q26" s="7">
        <f>K26-P26</f>
        <v/>
      </c>
      <c r="R26" s="23" t="n">
        <v>112.962</v>
      </c>
      <c r="S26" s="7">
        <f>(O26*T26)</f>
        <v/>
      </c>
      <c r="T26" s="12" t="n">
        <v>5.94</v>
      </c>
      <c r="U26" s="23" t="n">
        <v>11461.7</v>
      </c>
      <c r="V26" s="23" t="n">
        <v>25.11</v>
      </c>
      <c r="W26" s="7">
        <f>U26/V26</f>
        <v/>
      </c>
      <c r="X26" s="7">
        <f>(W26/U26)*100</f>
        <v/>
      </c>
      <c r="Y26" s="23" t="n">
        <v>9001</v>
      </c>
      <c r="Z26" s="23" t="n">
        <v>18.8</v>
      </c>
      <c r="AA26" s="7">
        <f>Y26/Z26</f>
        <v/>
      </c>
      <c r="AB26" s="7">
        <f>(AA26/Y26)*100</f>
        <v/>
      </c>
    </row>
    <row r="27">
      <c r="A27" s="14" t="n">
        <v>26</v>
      </c>
      <c r="B27" s="9" t="n">
        <v>44831</v>
      </c>
      <c r="C27" s="7" t="n">
        <v>27016183</v>
      </c>
      <c r="D27" s="7">
        <f>C27/E27</f>
        <v/>
      </c>
      <c r="E27" s="7" t="n">
        <v>81.56999999999999</v>
      </c>
      <c r="F27" s="7">
        <f>D27/100000</f>
        <v/>
      </c>
      <c r="G27" s="7">
        <f>(F27/DataSheet!$C$9*100)</f>
        <v/>
      </c>
      <c r="H27" s="7">
        <f>K27/I27</f>
        <v/>
      </c>
      <c r="I27" s="7">
        <f>(J27/L27)*100</f>
        <v/>
      </c>
      <c r="J27" s="7">
        <f>L27/O27</f>
        <v/>
      </c>
      <c r="K27" s="7" t="n">
        <v>7.297</v>
      </c>
      <c r="L27" s="7" t="n">
        <v>17007.4</v>
      </c>
      <c r="M27" s="7" t="n">
        <v>3.95</v>
      </c>
      <c r="N27" s="7">
        <f>K27-I27</f>
        <v/>
      </c>
      <c r="O27" s="21" t="n">
        <v>20.3</v>
      </c>
      <c r="P27" s="23" t="n">
        <v>3.928</v>
      </c>
      <c r="Q27" s="7">
        <f>K27-P27</f>
        <v/>
      </c>
      <c r="R27" s="23" t="n">
        <v>114.02</v>
      </c>
      <c r="S27" s="7">
        <f>(O27*T27)</f>
        <v/>
      </c>
      <c r="T27" s="12" t="n">
        <v>5.97</v>
      </c>
      <c r="U27" s="23" t="n">
        <v>11469.75</v>
      </c>
      <c r="V27" s="23" t="n">
        <v>25.13</v>
      </c>
      <c r="W27" s="7">
        <f>U27/V27</f>
        <v/>
      </c>
      <c r="X27" s="7">
        <f>(W27/U27)*100</f>
        <v/>
      </c>
      <c r="Y27" s="23" t="n">
        <v>9048.950000000001</v>
      </c>
      <c r="Z27" s="23" t="n">
        <v>18.9</v>
      </c>
      <c r="AA27" s="7">
        <f>Y27/Z27</f>
        <v/>
      </c>
      <c r="AB27" s="7">
        <f>(AA27/Y27)*100</f>
        <v/>
      </c>
    </row>
    <row r="28">
      <c r="A28" s="14" t="n">
        <v>27</v>
      </c>
      <c r="B28" s="8" t="n">
        <v>44832</v>
      </c>
      <c r="C28" s="7" t="n">
        <v>26842958</v>
      </c>
      <c r="D28" s="7">
        <f>C28/E28</f>
        <v/>
      </c>
      <c r="E28" s="7" t="n">
        <v>81.72</v>
      </c>
      <c r="F28" s="7">
        <f>D28/100000</f>
        <v/>
      </c>
      <c r="G28" s="7">
        <f>(F28/DataSheet!$C$9*100)</f>
        <v/>
      </c>
      <c r="H28" s="7">
        <f>K28/I28</f>
        <v/>
      </c>
      <c r="I28" s="7">
        <f>(J28/L28)*100</f>
        <v/>
      </c>
      <c r="J28" s="7">
        <f>L28/O28</f>
        <v/>
      </c>
      <c r="K28" s="7" t="n">
        <v>7.333</v>
      </c>
      <c r="L28" s="7" t="n">
        <v>16858.6</v>
      </c>
      <c r="M28" s="7" t="n">
        <v>3.91</v>
      </c>
      <c r="N28" s="7">
        <f>K28-I28</f>
        <v/>
      </c>
      <c r="O28" s="7" t="n">
        <v>20.13</v>
      </c>
      <c r="P28" s="23" t="n">
        <v>3.949</v>
      </c>
      <c r="Q28" s="7">
        <f>K28-P28</f>
        <v/>
      </c>
      <c r="R28" s="23" t="n">
        <v>114.047</v>
      </c>
      <c r="S28" s="7">
        <f>(O28*T28)</f>
        <v/>
      </c>
      <c r="T28" s="12" t="n">
        <v>6.1</v>
      </c>
      <c r="U28" s="23" t="n">
        <v>11439.4</v>
      </c>
      <c r="V28" s="23" t="n">
        <v>25.06</v>
      </c>
      <c r="W28" s="7">
        <f>U28/V28</f>
        <v/>
      </c>
      <c r="X28" s="7">
        <f>(W28/U28)*100</f>
        <v/>
      </c>
      <c r="Y28" s="23" t="n">
        <v>9009.049999999999</v>
      </c>
      <c r="Z28" s="23" t="n">
        <v>18.82</v>
      </c>
      <c r="AA28" s="7">
        <f>Y28/Z28</f>
        <v/>
      </c>
      <c r="AB28" s="7">
        <f>(AA28/Y28)*100</f>
        <v/>
      </c>
    </row>
    <row r="29">
      <c r="A29" s="14" t="n">
        <v>28</v>
      </c>
      <c r="B29" s="9" t="n">
        <v>44833</v>
      </c>
      <c r="C29" s="7" t="n">
        <v>26814559</v>
      </c>
      <c r="D29" s="7">
        <f>C29/E29</f>
        <v/>
      </c>
      <c r="E29" s="7" t="n">
        <v>81.75</v>
      </c>
      <c r="F29" s="7">
        <f>D29/100000</f>
        <v/>
      </c>
      <c r="G29" s="7">
        <f>(F29/DataSheet!$C$9*100)</f>
        <v/>
      </c>
      <c r="H29" s="7">
        <f>K29/I29</f>
        <v/>
      </c>
      <c r="I29" s="7">
        <f>(J29/L29)*100</f>
        <v/>
      </c>
      <c r="J29" s="7">
        <f>L29/O29</f>
        <v/>
      </c>
      <c r="K29" s="7" t="n">
        <v>7.34</v>
      </c>
      <c r="L29" s="7" t="n">
        <v>16818.1</v>
      </c>
      <c r="M29" s="7" t="n">
        <v>3.9</v>
      </c>
      <c r="N29" s="7">
        <f>K29-I29</f>
        <v/>
      </c>
      <c r="O29" s="7" t="n">
        <v>20.08</v>
      </c>
      <c r="P29" s="7" t="n">
        <v>3.82</v>
      </c>
      <c r="Q29" s="7">
        <f>K29-P29</f>
        <v/>
      </c>
      <c r="R29" s="23" t="n">
        <v>112.508</v>
      </c>
      <c r="S29" s="7">
        <f>(O29*T29)</f>
        <v/>
      </c>
      <c r="T29" s="12" t="n">
        <v>6.09</v>
      </c>
      <c r="U29" s="23" t="n">
        <v>11488.6</v>
      </c>
      <c r="V29" s="23" t="n">
        <v>25.17</v>
      </c>
      <c r="W29" s="7">
        <f>U29/V29</f>
        <v/>
      </c>
      <c r="X29" s="7">
        <f>(W29/U29)*100</f>
        <v/>
      </c>
      <c r="Y29" s="23" t="n">
        <v>9060.15</v>
      </c>
      <c r="Z29" s="23" t="n">
        <v>18.93</v>
      </c>
      <c r="AA29" s="7">
        <f>Y29/Z29</f>
        <v/>
      </c>
      <c r="AB29" s="7">
        <f>(AA29/Y29)*100</f>
        <v/>
      </c>
    </row>
    <row r="30">
      <c r="A30" s="14" t="n">
        <v>29</v>
      </c>
      <c r="B30" s="9" t="n">
        <v>44834</v>
      </c>
      <c r="C30" s="7" t="n">
        <v>27186899</v>
      </c>
      <c r="D30" s="7">
        <f>C30/E30</f>
        <v/>
      </c>
      <c r="E30" s="7" t="n">
        <v>81.41</v>
      </c>
      <c r="F30" s="7">
        <f>D30/100000</f>
        <v/>
      </c>
      <c r="G30" s="7">
        <f>(F30/DataSheet!$C$9*100)</f>
        <v/>
      </c>
      <c r="H30" s="7">
        <f>K30/I30</f>
        <v/>
      </c>
      <c r="I30" s="7">
        <f>(J30/L30)*100</f>
        <v/>
      </c>
      <c r="J30" s="7">
        <f>L30/O30</f>
        <v/>
      </c>
      <c r="K30" s="7" t="n">
        <v>7.393</v>
      </c>
      <c r="L30" s="7" t="n">
        <v>17094.35</v>
      </c>
      <c r="M30" s="7" t="n">
        <v>4.02</v>
      </c>
      <c r="N30" s="7">
        <f>K30-I30</f>
        <v/>
      </c>
      <c r="O30" s="7" t="n">
        <v>20.64</v>
      </c>
      <c r="P30" s="7" t="n">
        <v>3.686</v>
      </c>
      <c r="Q30" s="7">
        <f>K30-P30</f>
        <v/>
      </c>
      <c r="R30" s="23" t="n">
        <v>112.202</v>
      </c>
      <c r="S30" s="7">
        <f>(O30*T30)</f>
        <v/>
      </c>
      <c r="T30" s="12" t="n">
        <v>6.09</v>
      </c>
      <c r="U30" s="23" t="n">
        <v>11654.45</v>
      </c>
      <c r="V30" s="23" t="n">
        <v>24.69</v>
      </c>
      <c r="W30" s="7">
        <f>U30/V30</f>
        <v/>
      </c>
      <c r="X30" s="7">
        <f>(W30/U30)*100</f>
        <v/>
      </c>
      <c r="Y30" s="23" t="n">
        <v>9198.75</v>
      </c>
      <c r="Z30" s="23" t="n">
        <v>18.82</v>
      </c>
      <c r="AA30" s="7">
        <f>Y30/Z30</f>
        <v/>
      </c>
      <c r="AB30" s="7">
        <f>(AA30/Y30)*100</f>
        <v/>
      </c>
    </row>
    <row r="31">
      <c r="A31" s="14" t="n">
        <v>30</v>
      </c>
      <c r="B31" s="9" t="n">
        <v>44837</v>
      </c>
      <c r="C31" s="7" t="n">
        <v>26826421</v>
      </c>
      <c r="D31" s="7">
        <f>C31/E31</f>
        <v/>
      </c>
      <c r="E31" s="7" t="n">
        <v>81.83</v>
      </c>
      <c r="F31" s="7">
        <f>D31/100000</f>
        <v/>
      </c>
      <c r="G31" s="7">
        <f>(F31/DataSheet!$C$9*100)</f>
        <v/>
      </c>
      <c r="H31" s="7">
        <f>K31/I31</f>
        <v/>
      </c>
      <c r="I31" s="7">
        <f>(J31/L31)*100</f>
        <v/>
      </c>
      <c r="J31" s="7">
        <f>L31/O31</f>
        <v/>
      </c>
      <c r="K31" s="7" t="n">
        <v>7.47</v>
      </c>
      <c r="L31" s="7" t="n">
        <v>16887.35</v>
      </c>
      <c r="M31" s="7" t="n">
        <v>3.97</v>
      </c>
      <c r="N31" s="7">
        <f>K31-I31</f>
        <v/>
      </c>
      <c r="O31" s="7" t="n">
        <v>20.39</v>
      </c>
      <c r="P31" s="7" t="n">
        <v>3.72</v>
      </c>
      <c r="Q31" s="7">
        <f>K31-P31</f>
        <v/>
      </c>
      <c r="R31" s="23" t="n">
        <v>112.084</v>
      </c>
      <c r="S31" s="7">
        <f>(O31*T31)</f>
        <v/>
      </c>
      <c r="T31" s="12" t="n">
        <v>5.98</v>
      </c>
      <c r="U31" s="23" t="n">
        <v>11533.35</v>
      </c>
      <c r="V31" s="23" t="n">
        <v>24.43</v>
      </c>
      <c r="W31" s="7">
        <f>U31/V31</f>
        <v/>
      </c>
      <c r="X31" s="7">
        <f>(W31/U31)*100</f>
        <v/>
      </c>
      <c r="Y31" s="23" t="n">
        <v>9163.950000000001</v>
      </c>
      <c r="Z31" s="23" t="n">
        <v>18.74</v>
      </c>
      <c r="AA31" s="7">
        <f>Y31/Z31</f>
        <v/>
      </c>
      <c r="AB31" s="7">
        <f>(AA31/Y31)*100</f>
        <v/>
      </c>
    </row>
    <row r="32">
      <c r="A32" s="14" t="n">
        <v>31</v>
      </c>
      <c r="B32" s="9" t="n">
        <v>44838</v>
      </c>
      <c r="C32" s="21" t="n">
        <v>27386547</v>
      </c>
      <c r="D32" s="7">
        <f>C32/E32</f>
        <v/>
      </c>
      <c r="E32" s="7" t="n">
        <v>81.55</v>
      </c>
      <c r="F32" s="7">
        <f>D32/100000</f>
        <v/>
      </c>
      <c r="G32" s="7">
        <f>(F32/DataSheet!$C$9*100)</f>
        <v/>
      </c>
      <c r="H32" s="7">
        <f>K32/I32</f>
        <v/>
      </c>
      <c r="I32" s="7">
        <f>(J32/L32)*100</f>
        <v/>
      </c>
      <c r="J32" s="7">
        <f>L32/O32</f>
        <v/>
      </c>
      <c r="K32" s="7" t="n">
        <v>7.362</v>
      </c>
      <c r="L32" s="7" t="n">
        <v>17274.3</v>
      </c>
      <c r="M32" s="7" t="n">
        <v>4.06</v>
      </c>
      <c r="N32" s="7">
        <f>K32-I32</f>
        <v/>
      </c>
      <c r="O32" s="7" t="n">
        <v>20.86</v>
      </c>
      <c r="P32" s="7" t="n">
        <v>3.57</v>
      </c>
      <c r="Q32" s="7">
        <f>K32-P32</f>
        <v/>
      </c>
      <c r="R32" s="23" t="n">
        <v>111.656</v>
      </c>
      <c r="S32" s="7">
        <f>(O32*T32)</f>
        <v/>
      </c>
      <c r="T32" s="12" t="n">
        <v>5.96</v>
      </c>
      <c r="U32" s="23" t="n">
        <v>11794.35</v>
      </c>
      <c r="V32" s="23" t="n">
        <v>24.98</v>
      </c>
      <c r="W32" s="7">
        <f>U32/V32</f>
        <v/>
      </c>
      <c r="X32" s="7">
        <f>(W32/U32)*100</f>
        <v/>
      </c>
      <c r="Y32" s="23" t="n">
        <v>9285.299999999999</v>
      </c>
      <c r="Z32" s="23" t="n">
        <v>18.99</v>
      </c>
      <c r="AA32" s="7">
        <f>Y32/Z32</f>
        <v/>
      </c>
      <c r="AB32" s="7">
        <f>(AA32/Y32)*100</f>
        <v/>
      </c>
    </row>
    <row r="33">
      <c r="A33" s="14" t="n">
        <v>32</v>
      </c>
      <c r="B33" s="9" t="n">
        <v>44840</v>
      </c>
      <c r="C33" s="7" t="n">
        <v>27587301</v>
      </c>
      <c r="D33" s="7">
        <f>C33/E33</f>
        <v/>
      </c>
      <c r="E33" s="7" t="n">
        <v>82.18000000000001</v>
      </c>
      <c r="F33" s="7">
        <f>D33/100000</f>
        <v/>
      </c>
      <c r="G33" s="7">
        <f>(F33/DataSheet!$C$9*100)</f>
        <v/>
      </c>
      <c r="H33" s="7">
        <f>K33/I33</f>
        <v/>
      </c>
      <c r="I33" s="7">
        <f>(J33/L33)*100</f>
        <v/>
      </c>
      <c r="J33" s="7">
        <f>L33/O33</f>
        <v/>
      </c>
      <c r="K33" s="7" t="n">
        <v>7.454</v>
      </c>
      <c r="L33" s="7" t="n">
        <v>17331.8</v>
      </c>
      <c r="M33" s="7" t="n">
        <v>4.07</v>
      </c>
      <c r="N33" s="7">
        <f>K33-I33</f>
        <v/>
      </c>
      <c r="O33" s="7" t="n">
        <v>20.93</v>
      </c>
      <c r="P33" s="7" t="n">
        <v>3.781</v>
      </c>
      <c r="Q33" s="7">
        <f>K33-P33</f>
        <v/>
      </c>
      <c r="R33" s="7" t="n">
        <v>111.34</v>
      </c>
      <c r="S33" s="7">
        <f>(O33*T33)</f>
        <v/>
      </c>
      <c r="T33" s="12" t="n">
        <v>6.09</v>
      </c>
      <c r="U33" s="23" t="n">
        <v>11933.35</v>
      </c>
      <c r="V33" s="23" t="n">
        <v>25.28</v>
      </c>
      <c r="W33" s="7">
        <f>U33/V33</f>
        <v/>
      </c>
      <c r="X33" s="7">
        <f>(W33/U33)*100</f>
        <v/>
      </c>
      <c r="Y33" s="23" t="n">
        <v>9387.200000000001</v>
      </c>
      <c r="Z33" s="23" t="n">
        <v>19.19</v>
      </c>
      <c r="AA33" s="7">
        <f>Y33/Z33</f>
        <v/>
      </c>
      <c r="AB33" s="7">
        <f>(AA33/Y33)*100</f>
        <v/>
      </c>
    </row>
    <row r="34">
      <c r="A34" s="14" t="n">
        <v>33</v>
      </c>
      <c r="B34" s="9" t="n">
        <v>44841</v>
      </c>
      <c r="C34" s="7" t="n">
        <v>27561547</v>
      </c>
      <c r="D34" s="7">
        <f>C34/E34</f>
        <v/>
      </c>
      <c r="E34" s="7" t="n">
        <v>82.23999999999999</v>
      </c>
      <c r="F34" s="7">
        <f>D34/100000</f>
        <v/>
      </c>
      <c r="G34" s="7">
        <f>(F34/DataSheet!$C$9*100)</f>
        <v/>
      </c>
      <c r="H34" s="7">
        <f>K34/I34</f>
        <v/>
      </c>
      <c r="I34" s="7">
        <f>(J34/L34)*100</f>
        <v/>
      </c>
      <c r="J34" s="7">
        <f>L34/O34</f>
        <v/>
      </c>
      <c r="K34" s="7" t="n">
        <v>7.462</v>
      </c>
      <c r="L34" s="7" t="n">
        <v>17314.65</v>
      </c>
      <c r="M34" s="7" t="n">
        <v>4.07</v>
      </c>
      <c r="N34" s="7">
        <f>K34-I34</f>
        <v/>
      </c>
      <c r="O34" s="7" t="n">
        <v>20.9</v>
      </c>
      <c r="P34" s="7" t="n">
        <v>3.841</v>
      </c>
      <c r="Q34" s="7">
        <f>K34-P34</f>
        <v/>
      </c>
      <c r="R34" s="7" t="n">
        <v>111.987</v>
      </c>
      <c r="S34" s="7">
        <f>(O34*T34)</f>
        <v/>
      </c>
      <c r="T34" s="12" t="n">
        <v>6.12</v>
      </c>
      <c r="U34" s="23" t="n">
        <v>11903.05</v>
      </c>
      <c r="V34" s="23" t="n">
        <v>25.22</v>
      </c>
      <c r="W34" s="7">
        <f>U34/V34</f>
        <v/>
      </c>
      <c r="X34" s="7">
        <f>(W34/U34)*100</f>
        <v/>
      </c>
      <c r="Y34" s="23" t="n">
        <v>9417.4</v>
      </c>
      <c r="Z34" s="23" t="n">
        <v>19.26</v>
      </c>
      <c r="AA34" s="7">
        <f>Y34/Z34</f>
        <v/>
      </c>
      <c r="AB34" s="7">
        <f>(AA34/Y34)*100</f>
        <v/>
      </c>
    </row>
    <row r="35">
      <c r="A35" s="14" t="n">
        <v>34</v>
      </c>
      <c r="B35" s="9" t="n">
        <v>44844</v>
      </c>
      <c r="C35" s="7" t="n">
        <v>27427707</v>
      </c>
      <c r="D35" s="7">
        <f>C35/E35</f>
        <v/>
      </c>
      <c r="E35" s="7" t="n">
        <v>82.45</v>
      </c>
      <c r="F35" s="7">
        <f>D35/100000</f>
        <v/>
      </c>
      <c r="G35" s="7">
        <f>(F35/DataSheet!$C$9*100)</f>
        <v/>
      </c>
      <c r="H35" s="7">
        <f>K35/I35</f>
        <v/>
      </c>
      <c r="I35" s="7">
        <f>(J35/L35)*100</f>
        <v/>
      </c>
      <c r="J35" s="7">
        <f>L35/O35</f>
        <v/>
      </c>
      <c r="K35" s="7" t="n">
        <v>7.479</v>
      </c>
      <c r="L35" s="7" t="n">
        <v>17241</v>
      </c>
      <c r="M35" s="7" t="n">
        <v>4.05</v>
      </c>
      <c r="N35" s="7">
        <f>K35-I35</f>
        <v/>
      </c>
      <c r="O35" s="7" t="n">
        <v>20.82</v>
      </c>
      <c r="P35" s="7" t="n">
        <v>3.888</v>
      </c>
      <c r="Q35" s="7">
        <f>K35-P35</f>
        <v/>
      </c>
      <c r="R35" s="7" t="n">
        <v>113.11</v>
      </c>
      <c r="S35" s="7">
        <f>(O35*T35)</f>
        <v/>
      </c>
      <c r="T35" s="12" t="n">
        <v>6.13</v>
      </c>
      <c r="U35" s="23" t="n">
        <v>11796.05</v>
      </c>
      <c r="V35" s="23" t="n">
        <v>24.99</v>
      </c>
      <c r="W35" s="7">
        <f>U35/V35</f>
        <v/>
      </c>
      <c r="X35" s="7">
        <f>(W35/U35)*100</f>
        <v/>
      </c>
      <c r="Y35" s="23" t="n">
        <v>9365.75</v>
      </c>
      <c r="Z35" s="23" t="n">
        <v>19.15</v>
      </c>
      <c r="AA35" s="7">
        <f>Y35/Z35</f>
        <v/>
      </c>
      <c r="AB35" s="7">
        <f>(AA35/Y35)*100</f>
        <v/>
      </c>
    </row>
    <row r="36">
      <c r="A36" s="14" t="n">
        <v>35</v>
      </c>
      <c r="B36" s="9" t="n">
        <v>44845</v>
      </c>
      <c r="C36" s="7" t="n">
        <v>27011275</v>
      </c>
      <c r="D36" s="7">
        <f>C36/E36</f>
        <v/>
      </c>
      <c r="E36" s="7" t="n">
        <v>82.18000000000001</v>
      </c>
      <c r="F36" s="7">
        <f>D36/100000</f>
        <v/>
      </c>
      <c r="G36" s="7">
        <f>(F36/DataSheet!$C$9*100)</f>
        <v/>
      </c>
      <c r="H36" s="7">
        <f>K36/I36</f>
        <v/>
      </c>
      <c r="I36" s="7">
        <f>(J36/L36)*100</f>
        <v/>
      </c>
      <c r="J36" s="7">
        <f>L36/O36</f>
        <v/>
      </c>
      <c r="K36" s="7" t="n">
        <v>7.429</v>
      </c>
      <c r="L36" s="7" t="n">
        <v>16983.55</v>
      </c>
      <c r="M36" s="7" t="n">
        <v>3.99</v>
      </c>
      <c r="N36" s="7">
        <f>K36-I36</f>
        <v/>
      </c>
      <c r="O36" s="7" t="n">
        <v>20.51</v>
      </c>
      <c r="P36" s="7" t="n">
        <v>3.927</v>
      </c>
      <c r="Q36" s="7">
        <f>K36-P36</f>
        <v/>
      </c>
      <c r="R36" s="7" t="n">
        <v>112.875</v>
      </c>
      <c r="S36" s="7">
        <f>(O36*T36)</f>
        <v/>
      </c>
      <c r="T36" s="12" t="n">
        <v>6.2</v>
      </c>
      <c r="U36" s="23" t="n">
        <v>11607</v>
      </c>
      <c r="V36" s="23" t="n">
        <v>24.59</v>
      </c>
      <c r="W36" s="7">
        <f>U36/V36</f>
        <v/>
      </c>
      <c r="X36" s="7">
        <f>(W36/U36)*100</f>
        <v/>
      </c>
      <c r="Y36" s="23" t="n">
        <v>9221.15</v>
      </c>
      <c r="Z36" s="23" t="n">
        <v>18.85</v>
      </c>
      <c r="AA36" s="7">
        <f>Y36/Z36</f>
        <v/>
      </c>
      <c r="AB36" s="7">
        <f>(AA36/Y36)*100</f>
        <v/>
      </c>
    </row>
    <row r="37">
      <c r="A37" s="14" t="n">
        <v>36</v>
      </c>
      <c r="B37" s="9" t="n">
        <v>44846</v>
      </c>
      <c r="C37" s="7" t="n">
        <v>27164340</v>
      </c>
      <c r="D37" s="7">
        <f>C37/E37</f>
        <v/>
      </c>
      <c r="E37" s="7" t="n">
        <v>82.3</v>
      </c>
      <c r="F37" s="7">
        <f>D37/100000</f>
        <v/>
      </c>
      <c r="G37" s="7">
        <f>(F37/DataSheet!$C$9*100)</f>
        <v/>
      </c>
      <c r="H37" s="7">
        <f>K37/I37</f>
        <v/>
      </c>
      <c r="I37" s="7">
        <f>(J37/L37)*100</f>
        <v/>
      </c>
      <c r="J37" s="7">
        <f>L37/O37</f>
        <v/>
      </c>
      <c r="K37" s="7" t="n">
        <v>7.435</v>
      </c>
      <c r="L37" s="7" t="n">
        <v>17123.6</v>
      </c>
      <c r="M37" s="7" t="n">
        <v>4.02</v>
      </c>
      <c r="N37" s="7">
        <f>K37-I37</f>
        <v/>
      </c>
      <c r="O37" s="7" t="n">
        <v>20.67</v>
      </c>
      <c r="P37" s="7" t="n">
        <v>3.951</v>
      </c>
      <c r="Q37" s="7">
        <f>K37-P37</f>
        <v/>
      </c>
      <c r="R37" s="7" t="n">
        <v>113.082</v>
      </c>
      <c r="S37" s="7">
        <f>(O37*T37)</f>
        <v/>
      </c>
      <c r="T37" s="12" t="n">
        <v>6.23</v>
      </c>
      <c r="U37" s="23" t="n">
        <v>11672.45</v>
      </c>
      <c r="V37" s="23" t="n">
        <v>24.73</v>
      </c>
      <c r="W37" s="7">
        <f>U37/V37</f>
        <v/>
      </c>
      <c r="X37" s="7">
        <f>(W37/U37)*100</f>
        <v/>
      </c>
      <c r="Y37" s="23" t="n">
        <v>9261.450000000001</v>
      </c>
      <c r="Z37" s="23" t="n">
        <v>18.94</v>
      </c>
      <c r="AA37" s="7">
        <f>Y37/Z37</f>
        <v/>
      </c>
      <c r="AB37" s="7">
        <f>(AA37/Y37)*100</f>
        <v/>
      </c>
    </row>
    <row r="38">
      <c r="A38" s="14" t="n">
        <v>37</v>
      </c>
      <c r="B38" s="9" t="n">
        <v>44847</v>
      </c>
      <c r="C38" s="7" t="n">
        <v>26985420</v>
      </c>
      <c r="D38" s="7">
        <f>C38/E38</f>
        <v/>
      </c>
      <c r="E38" s="7" t="n">
        <v>82.18000000000001</v>
      </c>
      <c r="F38" s="7">
        <f>D38/100000</f>
        <v/>
      </c>
      <c r="G38" s="7">
        <f>(F38/DataSheet!$C$9*100)</f>
        <v/>
      </c>
      <c r="H38" s="7">
        <f>K38/I38</f>
        <v/>
      </c>
      <c r="I38" s="7">
        <f>(J38/L38)*100</f>
        <v/>
      </c>
      <c r="J38" s="7">
        <f>L38/O38</f>
        <v/>
      </c>
      <c r="K38" s="7" t="n">
        <v>7.422</v>
      </c>
      <c r="L38" s="7" t="n">
        <v>17014.35</v>
      </c>
      <c r="M38" s="7" t="n">
        <v>4</v>
      </c>
      <c r="N38" s="7">
        <f>K38-I38</f>
        <v/>
      </c>
      <c r="O38" s="7" t="n">
        <v>20.53</v>
      </c>
      <c r="P38" s="7" t="n">
        <v>3.858</v>
      </c>
      <c r="Q38" s="7">
        <f>K38-P38</f>
        <v/>
      </c>
      <c r="R38" s="7" t="n">
        <v>112.675</v>
      </c>
      <c r="S38" s="7">
        <f>(O38*T38)</f>
        <v/>
      </c>
      <c r="T38" s="12" t="n">
        <v>6.3</v>
      </c>
      <c r="U38" s="23" t="n">
        <v>11599.7</v>
      </c>
      <c r="V38" s="23" t="n">
        <v>24.57</v>
      </c>
      <c r="W38" s="7">
        <f>U38/V38</f>
        <v/>
      </c>
      <c r="X38" s="7">
        <f>(W38/U38)*100</f>
        <v/>
      </c>
      <c r="Y38" s="23" t="n">
        <v>9212.049999999999</v>
      </c>
      <c r="Z38" s="23" t="n">
        <v>18.81</v>
      </c>
      <c r="AA38" s="7">
        <f>Y38/Z38</f>
        <v/>
      </c>
      <c r="AB38" s="7">
        <f>(AA38/Y38)*100</f>
        <v/>
      </c>
    </row>
    <row r="39">
      <c r="A39" s="14" t="n">
        <v>38</v>
      </c>
      <c r="B39" s="9" t="n">
        <v>44848</v>
      </c>
      <c r="C39" s="7" t="n">
        <v>27028769</v>
      </c>
      <c r="D39" s="7">
        <f>C39/E39</f>
        <v/>
      </c>
      <c r="E39" s="7" t="n">
        <v>82.29000000000001</v>
      </c>
      <c r="F39" s="7">
        <f>D39/100000</f>
        <v/>
      </c>
      <c r="G39" s="7">
        <f>(F39/DataSheet!$C$9*100)</f>
        <v/>
      </c>
      <c r="H39" s="7">
        <f>K39/I39</f>
        <v/>
      </c>
      <c r="I39" s="7">
        <f>(J39/L39)*100</f>
        <v/>
      </c>
      <c r="J39" s="7">
        <f>L39/O39</f>
        <v/>
      </c>
      <c r="K39" s="7" t="n">
        <v>7.47</v>
      </c>
      <c r="L39" s="7" t="n">
        <v>17185.7</v>
      </c>
      <c r="M39" s="7" t="n">
        <v>4.04</v>
      </c>
      <c r="N39" s="7">
        <f>K39-I39</f>
        <v/>
      </c>
      <c r="O39" s="7" t="n">
        <v>20.74</v>
      </c>
      <c r="P39" s="7" t="n">
        <v>3.948</v>
      </c>
      <c r="Q39" s="7">
        <f>K39-P39</f>
        <v/>
      </c>
      <c r="R39" s="7" t="n">
        <v>113.02</v>
      </c>
      <c r="S39" s="7">
        <f>(O39*T39)</f>
        <v/>
      </c>
      <c r="T39" s="12" t="n">
        <v>6.33</v>
      </c>
      <c r="U39" s="23" t="n">
        <v>11591.65</v>
      </c>
      <c r="V39" s="23" t="n">
        <v>24.56</v>
      </c>
      <c r="W39" s="7">
        <f>U39/V39</f>
        <v/>
      </c>
      <c r="X39" s="7">
        <f>(W39/U39)*100</f>
        <v/>
      </c>
      <c r="Y39" s="23" t="n">
        <v>9215.700000000001</v>
      </c>
      <c r="Z39" s="23" t="n">
        <v>18.82</v>
      </c>
      <c r="AA39" s="7">
        <f>Y39/Z39</f>
        <v/>
      </c>
      <c r="AB39" s="7">
        <f>(AA39/Y39)*100</f>
        <v/>
      </c>
    </row>
    <row r="40">
      <c r="A40" s="14" t="n">
        <v>39</v>
      </c>
      <c r="B40" s="9" t="n">
        <v>44851</v>
      </c>
      <c r="C40" s="7" t="n">
        <v>27179781</v>
      </c>
      <c r="D40" s="7">
        <f>C40/E40</f>
        <v/>
      </c>
      <c r="E40" s="7" t="n">
        <v>82.31</v>
      </c>
      <c r="F40" s="7">
        <f>D40/100000</f>
        <v/>
      </c>
      <c r="G40" s="7">
        <f>(F40/DataSheet!$C$9*100)</f>
        <v/>
      </c>
      <c r="H40" s="7">
        <f>K40/I40</f>
        <v/>
      </c>
      <c r="I40" s="7">
        <f>(J40/L40)*100</f>
        <v/>
      </c>
      <c r="J40" s="7">
        <f>L40/O40</f>
        <v/>
      </c>
      <c r="K40" s="7" t="n">
        <v>7.415</v>
      </c>
      <c r="L40" s="7" t="n">
        <v>17311.8</v>
      </c>
      <c r="M40" s="7" t="n">
        <v>4.07</v>
      </c>
      <c r="N40" s="7">
        <f>K40-I40</f>
        <v/>
      </c>
      <c r="O40" s="7" t="n">
        <v>20.86</v>
      </c>
      <c r="P40" s="7" t="n">
        <v>3.95</v>
      </c>
      <c r="Q40" s="7">
        <f>K40-P40</f>
        <v/>
      </c>
      <c r="R40" s="7" t="n">
        <v>112.83</v>
      </c>
      <c r="S40" s="7">
        <f>(O40*T40)</f>
        <v/>
      </c>
      <c r="T40" s="12" t="n">
        <v>6.3</v>
      </c>
      <c r="U40" s="23" t="n">
        <v>11611.65</v>
      </c>
      <c r="V40" s="23" t="n">
        <v>24.6</v>
      </c>
      <c r="W40" s="7">
        <f>U40/V40</f>
        <v/>
      </c>
      <c r="X40" s="7">
        <f>(W40/U40)*100</f>
        <v/>
      </c>
      <c r="Y40" s="23" t="n">
        <v>9239.25</v>
      </c>
      <c r="Z40" s="23" t="n">
        <v>18.86</v>
      </c>
      <c r="AA40" s="7">
        <f>Y40/Z40</f>
        <v/>
      </c>
      <c r="AB40" s="7">
        <f>(AA40/Y40)*100</f>
        <v/>
      </c>
    </row>
    <row r="41">
      <c r="A41" s="14" t="n">
        <v>40</v>
      </c>
      <c r="B41" s="9" t="n">
        <v>44852</v>
      </c>
      <c r="C41" s="7" t="n">
        <v>27447761</v>
      </c>
      <c r="D41" s="7">
        <f>C41/E41</f>
        <v/>
      </c>
      <c r="E41" s="7" t="n">
        <v>82.34999999999999</v>
      </c>
      <c r="F41" s="7">
        <f>D41/100000</f>
        <v/>
      </c>
      <c r="G41" s="7">
        <f>(F41/DataSheet!$C$9*100)</f>
        <v/>
      </c>
      <c r="H41" s="7">
        <f>K41/I41</f>
        <v/>
      </c>
      <c r="I41" s="7">
        <f>(J41/L41)*100</f>
        <v/>
      </c>
      <c r="J41" s="7">
        <f>L41/O41</f>
        <v/>
      </c>
      <c r="K41" s="7" t="n">
        <v>7.427</v>
      </c>
      <c r="L41" s="7" t="n">
        <v>17486.95</v>
      </c>
      <c r="M41" s="7" t="n">
        <v>4.11</v>
      </c>
      <c r="N41" s="7">
        <f>K41-I41</f>
        <v/>
      </c>
      <c r="O41" s="7" t="n">
        <v>20.99</v>
      </c>
      <c r="P41" s="7" t="n">
        <v>3.99</v>
      </c>
      <c r="Q41" s="7">
        <f>K41-P41</f>
        <v/>
      </c>
      <c r="R41" s="7" t="n">
        <v>112.078</v>
      </c>
      <c r="S41" s="7">
        <f>(O41*T41)</f>
        <v/>
      </c>
      <c r="T41" s="12" t="n">
        <v>6.3</v>
      </c>
      <c r="U41" s="23" t="n">
        <v>11727.75</v>
      </c>
      <c r="V41" s="23" t="n">
        <v>24.74</v>
      </c>
      <c r="W41" s="7">
        <f>U41/V41</f>
        <v/>
      </c>
      <c r="X41" s="7">
        <f>(W41/U41)*100</f>
        <v/>
      </c>
      <c r="Y41" s="23" t="n">
        <v>9313.65</v>
      </c>
      <c r="Z41" s="23" t="n">
        <v>19.03</v>
      </c>
      <c r="AA41" s="7">
        <f>Y41/Z41</f>
        <v/>
      </c>
      <c r="AB41" s="7">
        <f>(AA41/Y41)*100</f>
        <v/>
      </c>
    </row>
    <row r="42">
      <c r="A42" s="14" t="n">
        <v>41</v>
      </c>
      <c r="B42" s="9" t="n">
        <v>44853</v>
      </c>
      <c r="C42" s="7" t="n">
        <v>27457936</v>
      </c>
      <c r="D42" s="7">
        <f>C42/E42</f>
        <v/>
      </c>
      <c r="E42" s="7" t="n">
        <v>83</v>
      </c>
      <c r="F42" s="7">
        <f>D42/100000</f>
        <v/>
      </c>
      <c r="G42" s="7">
        <f>(F42/DataSheet!$C$9*100)</f>
        <v/>
      </c>
      <c r="H42" s="7">
        <f>K42/I42</f>
        <v/>
      </c>
      <c r="I42" s="7">
        <f>(J42/L42)*100</f>
        <v/>
      </c>
      <c r="J42" s="7">
        <f>L42/O42</f>
        <v/>
      </c>
      <c r="K42" s="7" t="n">
        <v>7.45</v>
      </c>
      <c r="L42" s="7" t="n">
        <v>17512.25</v>
      </c>
      <c r="M42" s="7" t="n">
        <v>4.12</v>
      </c>
      <c r="N42" s="7">
        <f>K42-I42</f>
        <v/>
      </c>
      <c r="O42" s="7" t="n">
        <v>21.02</v>
      </c>
      <c r="P42" s="7" t="n">
        <v>4.098</v>
      </c>
      <c r="Q42" s="7">
        <f>K42-P42</f>
        <v/>
      </c>
      <c r="R42" s="7" t="n">
        <v>112.75</v>
      </c>
      <c r="S42" s="7">
        <f>(O42*T42)</f>
        <v/>
      </c>
      <c r="T42" s="12" t="n">
        <v>6.33</v>
      </c>
      <c r="U42" s="23" t="n">
        <v>11737.9</v>
      </c>
      <c r="V42" s="23" t="n">
        <v>24.72</v>
      </c>
      <c r="W42" s="7">
        <f>U42/V42</f>
        <v/>
      </c>
      <c r="X42" s="7">
        <f>(W42/U42)*100</f>
        <v/>
      </c>
      <c r="Y42" s="23" t="n">
        <v>9316.4</v>
      </c>
      <c r="Z42" s="23" t="n">
        <v>19.02</v>
      </c>
      <c r="AA42" s="7">
        <f>Y42/Z42</f>
        <v/>
      </c>
      <c r="AB42" s="7">
        <f>(AA42/Y42)*100</f>
        <v/>
      </c>
    </row>
    <row r="43">
      <c r="A43" s="14" t="n">
        <v>42</v>
      </c>
      <c r="B43" s="9" t="n">
        <v>44854</v>
      </c>
      <c r="C43" s="7" t="n">
        <v>27457936</v>
      </c>
      <c r="D43" s="7">
        <f>C43/E43</f>
        <v/>
      </c>
      <c r="E43" s="7" t="n">
        <v>82.63</v>
      </c>
      <c r="F43" s="7">
        <f>D43/100000</f>
        <v/>
      </c>
      <c r="G43" s="7">
        <f>(F43/DataSheet!$C$9*100)</f>
        <v/>
      </c>
      <c r="H43" s="7">
        <f>K43/I43</f>
        <v/>
      </c>
      <c r="I43" s="7">
        <f>(J43/L43)*100</f>
        <v/>
      </c>
      <c r="J43" s="7">
        <f>L43/O43</f>
        <v/>
      </c>
      <c r="K43" s="7" t="n">
        <v>7.477</v>
      </c>
      <c r="L43" s="7" t="n">
        <v>17563.95</v>
      </c>
      <c r="M43" s="7" t="n">
        <v>4.13</v>
      </c>
      <c r="N43" s="7">
        <f>K43-I43</f>
        <v/>
      </c>
      <c r="O43" s="7" t="n">
        <v>21.06</v>
      </c>
      <c r="P43" s="7" t="n">
        <v>4.12</v>
      </c>
      <c r="Q43" s="7">
        <f>K43-P43</f>
        <v/>
      </c>
      <c r="R43" s="7" t="n">
        <v>112.32</v>
      </c>
      <c r="S43" s="7">
        <f>(O43*T43)</f>
        <v/>
      </c>
      <c r="T43" s="12" t="n">
        <v>6.38</v>
      </c>
      <c r="U43" s="23" t="n">
        <v>11706.15</v>
      </c>
      <c r="V43" s="23" t="n">
        <v>24.62</v>
      </c>
      <c r="W43" s="7">
        <f>U43/V43</f>
        <v/>
      </c>
      <c r="X43" s="7">
        <f>(W43/U43)*100</f>
        <v/>
      </c>
      <c r="Y43" s="23" t="n">
        <v>9327</v>
      </c>
      <c r="Z43" s="23" t="n">
        <v>19.03</v>
      </c>
      <c r="AA43" s="7">
        <f>Y43/Z43</f>
        <v/>
      </c>
      <c r="AB43" s="7">
        <f>(AA43/Y43)*100</f>
        <v/>
      </c>
    </row>
    <row r="44">
      <c r="A44" s="14" t="n">
        <v>43</v>
      </c>
      <c r="B44" s="9" t="n">
        <v>44855</v>
      </c>
      <c r="C44" s="7" t="n">
        <v>27458602.15</v>
      </c>
      <c r="D44" s="7">
        <f>C44/E44</f>
        <v/>
      </c>
      <c r="E44" s="7" t="n">
        <v>82.54000000000001</v>
      </c>
      <c r="F44" s="7">
        <f>D44/100000</f>
        <v/>
      </c>
      <c r="G44" s="7">
        <f>(F44/DataSheet!$C$9*100)</f>
        <v/>
      </c>
      <c r="H44" s="7">
        <f>K44/I44</f>
        <v/>
      </c>
      <c r="I44" s="7">
        <f>(J44/L44)*100</f>
        <v/>
      </c>
      <c r="J44" s="7">
        <f>L44/O44</f>
        <v/>
      </c>
      <c r="K44" s="7" t="n">
        <v>7.511</v>
      </c>
      <c r="L44" s="7" t="n">
        <v>17576.3</v>
      </c>
      <c r="M44" s="7" t="n">
        <v>4.13</v>
      </c>
      <c r="N44" s="7">
        <f>K44-I44</f>
        <v/>
      </c>
      <c r="O44" s="7" t="n">
        <v>21.07</v>
      </c>
      <c r="P44" s="7" t="n">
        <v>4.21</v>
      </c>
      <c r="Q44" s="7">
        <f>K44-P44</f>
        <v/>
      </c>
      <c r="R44" s="7" t="n">
        <v>112.01</v>
      </c>
      <c r="S44" s="7">
        <f>(O44*T44)</f>
        <v/>
      </c>
      <c r="T44" s="12" t="n">
        <v>6.38</v>
      </c>
      <c r="U44" s="23" t="n">
        <v>11637.6</v>
      </c>
      <c r="V44" s="23" t="n">
        <v>24.48</v>
      </c>
      <c r="W44" s="7">
        <f>U44/V44</f>
        <v/>
      </c>
      <c r="X44" s="7">
        <f>(W44/U44)*100</f>
        <v/>
      </c>
      <c r="Y44" s="23" t="n">
        <v>9287.35</v>
      </c>
      <c r="Z44" s="23" t="n">
        <v>18.95</v>
      </c>
      <c r="AA44" s="7">
        <f>Y44/Z44</f>
        <v/>
      </c>
      <c r="AB44" s="7">
        <f>(AA44/Y44)*100</f>
        <v/>
      </c>
    </row>
    <row r="45">
      <c r="A45" s="14" t="n">
        <v>44</v>
      </c>
      <c r="B45" s="9" t="n">
        <v>44858</v>
      </c>
      <c r="C45" s="7" t="n">
        <v>27655388.99</v>
      </c>
      <c r="D45" s="7">
        <f>C45/E45</f>
        <v/>
      </c>
      <c r="E45" s="7" t="n">
        <v>82.68000000000001</v>
      </c>
      <c r="F45" s="7">
        <f>D45/100000</f>
        <v/>
      </c>
      <c r="G45" s="7">
        <f>(F45/DataSheet!$C$9*100)</f>
        <v/>
      </c>
      <c r="H45" s="7">
        <f>K45/I45</f>
        <v/>
      </c>
      <c r="I45" s="7">
        <f>(J45/L45)*100</f>
        <v/>
      </c>
      <c r="J45" s="7">
        <f>L45/O45</f>
        <v/>
      </c>
      <c r="K45" s="7" t="n">
        <v>7.511</v>
      </c>
      <c r="L45" s="7" t="n">
        <v>17730.75</v>
      </c>
      <c r="M45" s="7" t="n">
        <v>4.17</v>
      </c>
      <c r="N45" s="7">
        <f>K45-I45</f>
        <v/>
      </c>
      <c r="O45" s="7" t="n">
        <v>21.26</v>
      </c>
      <c r="P45" s="7" t="n">
        <v>4.24</v>
      </c>
      <c r="Q45" s="7">
        <f>K45-P45</f>
        <v/>
      </c>
      <c r="R45" s="7" t="n">
        <v>111.99</v>
      </c>
      <c r="S45" s="7">
        <f>(O45*T45)</f>
        <v/>
      </c>
      <c r="T45" s="12" t="n">
        <v>6.38</v>
      </c>
      <c r="U45" s="23" t="n">
        <v>11703</v>
      </c>
      <c r="V45" s="23" t="n">
        <v>24.62</v>
      </c>
      <c r="W45" s="7">
        <f>U45/V45</f>
        <v/>
      </c>
      <c r="X45" s="7">
        <f>(W45/U45)*100</f>
        <v/>
      </c>
      <c r="Y45" s="23" t="n">
        <v>9374.299999999999</v>
      </c>
      <c r="Z45" s="23" t="n">
        <v>19.13</v>
      </c>
      <c r="AA45" s="7">
        <f>Y45/Z45</f>
        <v/>
      </c>
      <c r="AB45" s="7">
        <f>(AA45/Y45)*100</f>
        <v/>
      </c>
    </row>
    <row r="46">
      <c r="A46" s="14" t="n">
        <v>45</v>
      </c>
      <c r="B46" s="9" t="n">
        <v>44859</v>
      </c>
      <c r="C46" s="7" t="n">
        <v>27586062.02</v>
      </c>
      <c r="D46" s="7">
        <f>C46/E46</f>
        <v/>
      </c>
      <c r="E46" s="7" t="n">
        <v>82.48</v>
      </c>
      <c r="F46" s="7">
        <f>D46/100000</f>
        <v/>
      </c>
      <c r="G46" s="7">
        <f>(F46/DataSheet!$C$9*100)</f>
        <v/>
      </c>
      <c r="H46" s="7">
        <f>K46/I46</f>
        <v/>
      </c>
      <c r="I46" s="7">
        <f>(J46/L46)*100</f>
        <v/>
      </c>
      <c r="J46" s="7">
        <f>L46/O46</f>
        <v/>
      </c>
      <c r="K46" s="7" t="n">
        <v>7.442</v>
      </c>
      <c r="L46" s="7" t="n">
        <v>17656.35</v>
      </c>
      <c r="M46" s="7" t="n">
        <v>4.15</v>
      </c>
      <c r="N46" s="7">
        <f>K46-I46</f>
        <v/>
      </c>
      <c r="O46" s="7" t="n">
        <v>21</v>
      </c>
      <c r="P46" s="7" t="n">
        <v>4.1</v>
      </c>
      <c r="Q46" s="7">
        <f>K46-P46</f>
        <v/>
      </c>
      <c r="R46" s="7" t="n">
        <v>110.95</v>
      </c>
      <c r="S46" s="7">
        <f>(O46*T46)</f>
        <v/>
      </c>
      <c r="T46" s="12" t="n">
        <v>6.36</v>
      </c>
      <c r="U46" s="23" t="n">
        <v>11718.9</v>
      </c>
      <c r="V46" s="23" t="n">
        <v>24.23</v>
      </c>
      <c r="W46" s="7">
        <f>U46/V46</f>
        <v/>
      </c>
      <c r="X46" s="7">
        <f>(W46/U46)*100</f>
        <v/>
      </c>
      <c r="Y46" s="23" t="n">
        <v>9357.25</v>
      </c>
      <c r="Z46" s="23" t="n">
        <v>18.95</v>
      </c>
      <c r="AA46" s="7">
        <f>Y46/Z46</f>
        <v/>
      </c>
      <c r="AB46" s="7">
        <f>(AA46/Y46)*100</f>
        <v/>
      </c>
    </row>
    <row r="47">
      <c r="A47" s="14" t="n">
        <v>46</v>
      </c>
      <c r="B47" s="9" t="n">
        <v>44861</v>
      </c>
      <c r="C47" s="7" t="n">
        <v>27705193</v>
      </c>
      <c r="D47" s="7">
        <f>C47/E47</f>
        <v/>
      </c>
      <c r="E47" s="7" t="n">
        <v>82.43000000000001</v>
      </c>
      <c r="F47" s="7">
        <f>D47/100000</f>
        <v/>
      </c>
      <c r="G47" s="7">
        <f>(F47/DataSheet!$C$9*100)</f>
        <v/>
      </c>
      <c r="H47" s="7">
        <f>K47/I47</f>
        <v/>
      </c>
      <c r="I47" s="7">
        <f>(J47/L47)*100</f>
        <v/>
      </c>
      <c r="J47" s="7">
        <f>L47/O47</f>
        <v/>
      </c>
      <c r="K47" s="7" t="n">
        <v>7.413</v>
      </c>
      <c r="L47" s="7" t="n">
        <v>17736.95</v>
      </c>
      <c r="M47" s="7" t="n">
        <v>4.17</v>
      </c>
      <c r="N47" s="7">
        <f>K47-I47</f>
        <v/>
      </c>
      <c r="O47" s="7" t="n">
        <v>21.1</v>
      </c>
      <c r="P47" s="7" t="n">
        <v>4.06</v>
      </c>
      <c r="Q47" s="7">
        <f>K47-P47</f>
        <v/>
      </c>
      <c r="R47" s="7" t="n">
        <v>110.1</v>
      </c>
      <c r="S47" s="7">
        <f>(O47*T47)</f>
        <v/>
      </c>
      <c r="T47" s="12" t="n">
        <v>6.38</v>
      </c>
      <c r="U47" s="23" t="n">
        <v>11791.8</v>
      </c>
      <c r="V47" s="23" t="n">
        <v>24.38</v>
      </c>
      <c r="W47" s="7">
        <f>U47/V47</f>
        <v/>
      </c>
      <c r="X47" s="7">
        <f>(W47/U47)*100</f>
        <v/>
      </c>
      <c r="Y47" s="23" t="n">
        <v>9394.450000000001</v>
      </c>
      <c r="Z47" s="23" t="n">
        <v>19.03</v>
      </c>
      <c r="AA47" s="7">
        <f>Y47/Z47</f>
        <v/>
      </c>
      <c r="AB47" s="7">
        <f>(AA47/Y47)*100</f>
        <v/>
      </c>
    </row>
    <row r="48">
      <c r="A48" s="14" t="n">
        <v>47</v>
      </c>
      <c r="B48" s="9" t="n">
        <v>44862</v>
      </c>
      <c r="C48" s="7" t="n">
        <v>27688451</v>
      </c>
      <c r="D48" s="7">
        <f>C48/E48</f>
        <v/>
      </c>
      <c r="E48" s="7" t="n">
        <v>82.44</v>
      </c>
      <c r="F48" s="7">
        <f>D48/100000</f>
        <v/>
      </c>
      <c r="G48" s="7">
        <f>(F48/DataSheet!$C$9*100)</f>
        <v/>
      </c>
      <c r="H48" s="7">
        <f>K48/I48</f>
        <v/>
      </c>
      <c r="I48" s="7">
        <f>(J48/L48)*100</f>
        <v/>
      </c>
      <c r="J48" s="7">
        <f>L48/O48</f>
        <v/>
      </c>
      <c r="K48" s="7" t="n">
        <v>7.418</v>
      </c>
      <c r="L48" s="7" t="n">
        <v>17786.8</v>
      </c>
      <c r="M48" s="7" t="n">
        <v>4.18</v>
      </c>
      <c r="N48" s="7">
        <f>K48-I48</f>
        <v/>
      </c>
      <c r="O48" s="7" t="n">
        <v>21.15</v>
      </c>
      <c r="P48" s="7" t="n">
        <v>4</v>
      </c>
      <c r="Q48" s="7">
        <f>K48-P48</f>
        <v/>
      </c>
      <c r="R48" s="7" t="n">
        <v>110.68</v>
      </c>
      <c r="S48" s="7">
        <f>(O48*T48)</f>
        <v/>
      </c>
      <c r="T48" s="12" t="n">
        <v>6.45</v>
      </c>
      <c r="U48" s="23" t="n">
        <v>11715.55</v>
      </c>
      <c r="V48" s="23" t="n">
        <v>24.23</v>
      </c>
      <c r="W48" s="7">
        <f>U48/V48</f>
        <v/>
      </c>
      <c r="X48" s="7">
        <f>(W48/U48)*100</f>
        <v/>
      </c>
      <c r="Y48" s="23" t="n">
        <v>9337</v>
      </c>
      <c r="Z48" s="23" t="n">
        <v>18.96</v>
      </c>
      <c r="AA48" s="7">
        <f>Y48/Z48</f>
        <v/>
      </c>
      <c r="AB48" s="7">
        <f>(AA48/Y48)*100</f>
        <v/>
      </c>
    </row>
    <row r="49">
      <c r="A49" s="14" t="n">
        <v>48</v>
      </c>
      <c r="B49" s="9" t="n">
        <v>44865</v>
      </c>
      <c r="C49" s="7" t="n">
        <v>27994094</v>
      </c>
      <c r="D49" s="7">
        <f>C49/E49</f>
        <v/>
      </c>
      <c r="E49" s="7" t="n">
        <v>82.84</v>
      </c>
      <c r="F49" s="7">
        <f>D49/100000</f>
        <v/>
      </c>
      <c r="G49" s="7">
        <f>(F49/DataSheet!$C$9*100)</f>
        <v/>
      </c>
      <c r="H49" s="7">
        <f>K49/I49</f>
        <v/>
      </c>
      <c r="I49" s="7">
        <f>(J49/L49)*100</f>
        <v/>
      </c>
      <c r="J49" s="7">
        <f>L49/O49</f>
        <v/>
      </c>
      <c r="K49" s="7" t="n">
        <v>7.447</v>
      </c>
      <c r="L49" s="7" t="n">
        <v>18012.2</v>
      </c>
      <c r="M49" s="7" t="n">
        <v>4.23</v>
      </c>
      <c r="N49" s="7">
        <f>K49-I49</f>
        <v/>
      </c>
      <c r="O49" s="7" t="n">
        <v>21.42</v>
      </c>
      <c r="P49" s="7" t="n">
        <v>4.05</v>
      </c>
      <c r="Q49" s="7">
        <f>K49-P49</f>
        <v/>
      </c>
      <c r="R49" s="7" t="n">
        <v>111.08</v>
      </c>
      <c r="S49" s="7">
        <f>(O49*T49)</f>
        <v/>
      </c>
      <c r="T49" s="12" t="n">
        <v>6.44</v>
      </c>
      <c r="U49" s="23" t="n">
        <v>11868.15</v>
      </c>
      <c r="V49" s="23" t="n">
        <v>24.45</v>
      </c>
      <c r="W49" s="7">
        <f>U49/V49</f>
        <v/>
      </c>
      <c r="X49" s="7">
        <f>(W49/U49)*100</f>
        <v/>
      </c>
      <c r="Y49" s="23" t="n">
        <v>9372</v>
      </c>
      <c r="Z49" s="23" t="n">
        <v>19.05</v>
      </c>
      <c r="AA49" s="7">
        <f>Y49/Z49</f>
        <v/>
      </c>
      <c r="AB49" s="7">
        <f>(AA49/Y49)*100</f>
        <v/>
      </c>
    </row>
    <row r="50">
      <c r="A50" s="14" t="n">
        <v>49</v>
      </c>
      <c r="B50" s="9" t="n">
        <v>44866</v>
      </c>
      <c r="C50" s="4" t="n">
        <v>28228225.73</v>
      </c>
      <c r="D50" s="4">
        <f>C50/E50</f>
        <v/>
      </c>
      <c r="E50" s="4" t="n">
        <v>82.65000000000001</v>
      </c>
      <c r="F50" s="4">
        <f>D50/100000</f>
        <v/>
      </c>
      <c r="G50" s="7">
        <f>(F50/DataSheet!$C$9*100)</f>
        <v/>
      </c>
      <c r="H50" s="4">
        <f>K50/I50</f>
        <v/>
      </c>
      <c r="I50" s="4">
        <f>(J50/L50)*100</f>
        <v/>
      </c>
      <c r="J50" s="7">
        <f>L50/O50</f>
        <v/>
      </c>
      <c r="K50" s="4" t="n">
        <v>7.396</v>
      </c>
      <c r="L50" s="4" t="n">
        <v>18145.4</v>
      </c>
      <c r="M50" s="4" t="n">
        <v>4.3</v>
      </c>
      <c r="N50" s="4">
        <f>K50-I50</f>
        <v/>
      </c>
      <c r="O50" s="4" t="n">
        <v>22</v>
      </c>
      <c r="P50" s="4" t="n">
        <v>4.05</v>
      </c>
      <c r="Q50" s="4">
        <f>K50-P50</f>
        <v/>
      </c>
      <c r="R50" s="4" t="n">
        <v>111.35</v>
      </c>
      <c r="S50" s="7">
        <f>(O50*T50)</f>
        <v/>
      </c>
      <c r="T50" s="12" t="n">
        <v>6.45</v>
      </c>
      <c r="U50" s="23" t="n">
        <v>11967.9</v>
      </c>
      <c r="V50" s="23" t="n">
        <v>24.66</v>
      </c>
      <c r="W50" s="7">
        <f>U50/V50</f>
        <v/>
      </c>
      <c r="X50" s="7">
        <f>(W50/U50)*100</f>
        <v/>
      </c>
      <c r="Y50" s="23" t="n">
        <v>9385.299999999999</v>
      </c>
      <c r="Z50" s="23" t="n">
        <v>19.15</v>
      </c>
      <c r="AA50" s="7">
        <f>Y50/Z50</f>
        <v/>
      </c>
      <c r="AB50" s="7">
        <f>(AA50/Y50)*100</f>
        <v/>
      </c>
    </row>
    <row r="51">
      <c r="A51" s="14" t="n">
        <v>50</v>
      </c>
      <c r="B51" s="9" t="n">
        <v>44867</v>
      </c>
      <c r="C51" s="4" t="n">
        <v>28175407.53</v>
      </c>
      <c r="D51" s="4">
        <f>C51/E51</f>
        <v/>
      </c>
      <c r="E51" s="4" t="n">
        <v>82.70999999999999</v>
      </c>
      <c r="F51" s="4">
        <f>D51/100000</f>
        <v/>
      </c>
      <c r="G51" s="7">
        <f>(F51/DataSheet!$C$9*100)</f>
        <v/>
      </c>
      <c r="H51" s="4">
        <f>K51/I51</f>
        <v/>
      </c>
      <c r="I51" s="4">
        <f>(J51/L51)*100</f>
        <v/>
      </c>
      <c r="J51" s="7">
        <f>L51/O51</f>
        <v/>
      </c>
      <c r="K51" s="4" t="n">
        <v>7.404</v>
      </c>
      <c r="L51" s="4" t="n">
        <v>18082.85</v>
      </c>
      <c r="M51" s="4" t="n">
        <v>4.25</v>
      </c>
      <c r="N51" s="4">
        <f>K51-I51</f>
        <v/>
      </c>
      <c r="O51" s="4" t="n">
        <v>21.82</v>
      </c>
      <c r="P51" s="4" t="n">
        <v>4.06</v>
      </c>
      <c r="Q51" s="4">
        <f>K51-P51</f>
        <v/>
      </c>
      <c r="R51" s="4" t="n">
        <v>111.22</v>
      </c>
      <c r="S51" s="7">
        <f>(O51*T51)</f>
        <v/>
      </c>
      <c r="T51" s="12" t="n">
        <v>6.47</v>
      </c>
      <c r="U51" s="23" t="n">
        <v>11965.65</v>
      </c>
      <c r="V51" s="23" t="n">
        <v>24.69</v>
      </c>
      <c r="W51" s="7">
        <f>U51/V51</f>
        <v/>
      </c>
      <c r="X51" s="7">
        <f>(W51/U51)*100</f>
        <v/>
      </c>
      <c r="Y51" s="23" t="n">
        <v>9386.9</v>
      </c>
      <c r="Z51" s="23" t="n">
        <v>19.18</v>
      </c>
      <c r="AA51" s="7">
        <f>Y51/Z51</f>
        <v/>
      </c>
      <c r="AB51" s="7">
        <f>(AA51/Y51)*100</f>
        <v/>
      </c>
    </row>
    <row r="52">
      <c r="A52" s="14" t="n">
        <v>51</v>
      </c>
      <c r="B52" s="9" t="n">
        <v>44868</v>
      </c>
      <c r="C52" s="4" t="n">
        <v>28157664</v>
      </c>
      <c r="D52" s="4">
        <f>C52/E52</f>
        <v/>
      </c>
      <c r="E52" s="4" t="n">
        <v>82.89</v>
      </c>
      <c r="F52" s="4">
        <f>D52/100000</f>
        <v/>
      </c>
      <c r="G52" s="7">
        <f>(F52/DataSheet!$C$9*100)</f>
        <v/>
      </c>
      <c r="H52" s="4">
        <f>K52/I52</f>
        <v/>
      </c>
      <c r="I52" s="4">
        <f>(J52/L52)*100</f>
        <v/>
      </c>
      <c r="J52" s="7">
        <f>L52/O52</f>
        <v/>
      </c>
      <c r="K52" s="4" t="n">
        <v>7.483</v>
      </c>
      <c r="L52" s="4" t="n">
        <v>18052.7</v>
      </c>
      <c r="M52" s="4" t="n">
        <v>4.24</v>
      </c>
      <c r="N52" s="4">
        <f>K52-I52</f>
        <v/>
      </c>
      <c r="O52" s="4" t="n">
        <v>21.79</v>
      </c>
      <c r="P52" s="4" t="n">
        <v>4.19</v>
      </c>
      <c r="Q52" s="4">
        <f>K52-P52</f>
        <v/>
      </c>
      <c r="R52" s="4" t="n">
        <v>112.82</v>
      </c>
      <c r="S52" s="7">
        <f>(O52*T52)</f>
        <v/>
      </c>
      <c r="T52" s="12" t="n">
        <v>6.46</v>
      </c>
      <c r="U52" s="23" t="n">
        <v>11984.75</v>
      </c>
      <c r="V52" s="23" t="n">
        <v>24.81</v>
      </c>
      <c r="W52" s="7">
        <f>U52/V52</f>
        <v/>
      </c>
      <c r="X52" s="7">
        <f>(W52/U52)*100</f>
        <v/>
      </c>
      <c r="Y52" s="23" t="n">
        <v>9398.75</v>
      </c>
      <c r="Z52" s="23" t="n">
        <v>19.21</v>
      </c>
      <c r="AA52" s="7">
        <f>Y52/Z52</f>
        <v/>
      </c>
      <c r="AB52" s="7">
        <f>(AA52/Y52)*100</f>
        <v/>
      </c>
    </row>
    <row r="53">
      <c r="A53" s="14" t="n">
        <v>52</v>
      </c>
      <c r="B53" s="9" t="n">
        <v>44869</v>
      </c>
      <c r="C53" s="7" t="n">
        <v>28324925.35</v>
      </c>
      <c r="D53" s="7">
        <f>C53/E53</f>
        <v/>
      </c>
      <c r="E53" s="7" t="n">
        <v>81.95999999999999</v>
      </c>
      <c r="F53" s="7">
        <f>D53/100000</f>
        <v/>
      </c>
      <c r="G53" s="7">
        <f>(F53/DataSheet!$C$9*100)</f>
        <v/>
      </c>
      <c r="H53" s="7">
        <f>K53/I53</f>
        <v/>
      </c>
      <c r="I53" s="4">
        <f>(J53/L53)*100</f>
        <v/>
      </c>
      <c r="J53" s="7">
        <f>L53/O53</f>
        <v/>
      </c>
      <c r="K53" s="4" t="n">
        <v>7.469</v>
      </c>
      <c r="L53" s="4" t="n">
        <v>18117.25</v>
      </c>
      <c r="M53" s="4" t="n">
        <v>4.26</v>
      </c>
      <c r="N53" s="4">
        <f>K53-I53</f>
        <v/>
      </c>
      <c r="O53" s="4" t="n">
        <v>21.77</v>
      </c>
      <c r="P53" s="4" t="n">
        <v>4.15</v>
      </c>
      <c r="Q53" s="4">
        <f>K53-P53</f>
        <v/>
      </c>
      <c r="R53" s="4" t="n">
        <v>110.774</v>
      </c>
      <c r="S53" s="7">
        <f>(O53*T53)</f>
        <v/>
      </c>
      <c r="T53" s="12" t="n">
        <v>6.48</v>
      </c>
      <c r="U53" s="23" t="n">
        <v>11978.15</v>
      </c>
      <c r="V53" s="23" t="n">
        <v>25.66</v>
      </c>
      <c r="W53" s="7">
        <f>U53/V53</f>
        <v/>
      </c>
      <c r="X53" s="7">
        <f>(W53/U53)*100</f>
        <v/>
      </c>
      <c r="Y53" s="23" t="n">
        <v>9442.1</v>
      </c>
      <c r="Z53" s="23" t="n">
        <v>19.25</v>
      </c>
      <c r="AA53" s="7">
        <f>Y53/Z53</f>
        <v/>
      </c>
      <c r="AB53" s="7">
        <f>(AA53/Y53)*100</f>
        <v/>
      </c>
    </row>
    <row r="54">
      <c r="A54" s="14" t="n">
        <v>53</v>
      </c>
      <c r="B54" s="8" t="n">
        <v>44872</v>
      </c>
      <c r="C54" s="4" t="n">
        <v>28477828</v>
      </c>
      <c r="D54" s="4">
        <f>C54/E54</f>
        <v/>
      </c>
      <c r="E54" s="4" t="n">
        <v>81.92</v>
      </c>
      <c r="F54" s="4">
        <f>D54/100000</f>
        <v/>
      </c>
      <c r="G54" s="7">
        <f>(F54/DataSheet!$C$9*100)</f>
        <v/>
      </c>
      <c r="H54" s="4">
        <f>K54/I54</f>
        <v/>
      </c>
      <c r="I54" s="4">
        <f>(J54/L54)*100</f>
        <v/>
      </c>
      <c r="J54" s="7">
        <f>L54/O54</f>
        <v/>
      </c>
      <c r="K54" s="4" t="n">
        <v>7.437</v>
      </c>
      <c r="L54" s="4" t="n">
        <v>18202.8</v>
      </c>
      <c r="M54" s="4" t="n">
        <v>4.28</v>
      </c>
      <c r="N54" s="4">
        <f>K54-I54</f>
        <v/>
      </c>
      <c r="O54" s="4" t="n">
        <v>21.71</v>
      </c>
      <c r="P54" s="4" t="n">
        <v>4.13</v>
      </c>
      <c r="Q54" s="4">
        <f>K54-P54</f>
        <v/>
      </c>
      <c r="R54" s="4" t="n">
        <v>110.37</v>
      </c>
      <c r="S54" s="7">
        <f>(O54*T54)</f>
        <v/>
      </c>
      <c r="T54" s="12" t="n">
        <v>6.47</v>
      </c>
      <c r="U54" s="23" t="n">
        <v>12066.05</v>
      </c>
      <c r="V54" s="23" t="n">
        <v>25.83</v>
      </c>
      <c r="W54" s="7">
        <f>U54/V54</f>
        <v/>
      </c>
      <c r="X54" s="7">
        <f>(W54/U54)*100</f>
        <v/>
      </c>
      <c r="Y54" s="23" t="n">
        <v>9512.799999999999</v>
      </c>
      <c r="Z54" s="23" t="n">
        <v>19.23</v>
      </c>
      <c r="AA54" s="7">
        <f>Y54/Z54</f>
        <v/>
      </c>
      <c r="AB54" s="7">
        <f>(AA54/Y54)*100</f>
        <v/>
      </c>
    </row>
    <row r="55">
      <c r="A55" s="14" t="n">
        <v>54</v>
      </c>
      <c r="B55" s="9" t="n">
        <v>44874</v>
      </c>
      <c r="C55" s="7" t="n">
        <v>28401452</v>
      </c>
      <c r="D55" s="7">
        <f>C55/E55</f>
        <v/>
      </c>
      <c r="E55" s="7" t="n">
        <v>81.38</v>
      </c>
      <c r="F55" s="7">
        <f>D55/100000</f>
        <v/>
      </c>
      <c r="G55" s="7">
        <f>(F55/DataSheet!$C$9*100)</f>
        <v/>
      </c>
      <c r="H55" s="7">
        <f>K55/I55</f>
        <v/>
      </c>
      <c r="I55" s="7">
        <f>(J55/L55)*100</f>
        <v/>
      </c>
      <c r="J55" s="7">
        <f>L55/O55</f>
        <v/>
      </c>
      <c r="K55" s="7" t="n">
        <v>7.387</v>
      </c>
      <c r="L55" s="7" t="n">
        <v>18157</v>
      </c>
      <c r="M55" s="7" t="n">
        <v>4.27</v>
      </c>
      <c r="N55" s="4">
        <f>K55-I55</f>
        <v/>
      </c>
      <c r="O55" s="7" t="n">
        <v>21.66</v>
      </c>
      <c r="P55" s="7" t="n">
        <v>4.13</v>
      </c>
      <c r="Q55" s="7">
        <f>K55-P55</f>
        <v/>
      </c>
      <c r="R55" s="7" t="n">
        <v>109.83</v>
      </c>
      <c r="S55" s="7">
        <f>(O55*T55)</f>
        <v/>
      </c>
      <c r="T55" s="12" t="n">
        <v>6.45</v>
      </c>
      <c r="U55" s="23" t="n">
        <v>11991.25</v>
      </c>
      <c r="V55" s="23" t="n">
        <v>25.67</v>
      </c>
      <c r="W55" s="7">
        <f>U55/V55</f>
        <v/>
      </c>
      <c r="X55" s="7">
        <f>(W55/U55)*100</f>
        <v/>
      </c>
      <c r="Y55" s="23" t="n">
        <v>9475.85</v>
      </c>
      <c r="Z55" s="23" t="n">
        <v>19.16</v>
      </c>
      <c r="AA55" s="7">
        <f>Y55/Z55</f>
        <v/>
      </c>
      <c r="AB55" s="7">
        <f>(AA55/Y55)*100</f>
        <v/>
      </c>
    </row>
    <row r="56">
      <c r="A56" s="14" t="n">
        <v>55</v>
      </c>
      <c r="B56" s="9" t="n">
        <v>44875</v>
      </c>
      <c r="C56" s="7" t="n">
        <v>28159222</v>
      </c>
      <c r="D56" s="7">
        <f>C56/E56</f>
        <v/>
      </c>
      <c r="E56" s="7" t="n">
        <v>81.70999999999999</v>
      </c>
      <c r="F56" s="7">
        <f>D56/100000</f>
        <v/>
      </c>
      <c r="G56" s="7">
        <f>(F56/DataSheet!$C$9*100)</f>
        <v/>
      </c>
      <c r="H56" s="7">
        <f>K56/I56</f>
        <v/>
      </c>
      <c r="I56" s="7">
        <f>(J56/L56)*100</f>
        <v/>
      </c>
      <c r="J56" s="7">
        <f>L56/O56</f>
        <v/>
      </c>
      <c r="K56" s="7" t="n">
        <v>7.349</v>
      </c>
      <c r="L56" s="7" t="n">
        <v>18028.2</v>
      </c>
      <c r="M56" s="7" t="n">
        <v>4.24</v>
      </c>
      <c r="N56" s="4">
        <f>K56-I56</f>
        <v/>
      </c>
      <c r="O56" s="7" t="n">
        <v>21.53</v>
      </c>
      <c r="P56" s="7" t="n">
        <v>4.1</v>
      </c>
      <c r="Q56" s="7">
        <f>K56-P56</f>
        <v/>
      </c>
      <c r="R56" s="7" t="n">
        <v>110.73</v>
      </c>
      <c r="S56" s="7">
        <f>(O56*T56)</f>
        <v/>
      </c>
      <c r="T56" s="12" t="n">
        <v>6.45</v>
      </c>
      <c r="U56" s="23" t="n">
        <v>11881.95</v>
      </c>
      <c r="V56" s="23" t="n">
        <v>25.41</v>
      </c>
      <c r="W56" s="7">
        <f>U56/V56</f>
        <v/>
      </c>
      <c r="X56" s="7">
        <f>(W56/U56)*100</f>
        <v/>
      </c>
      <c r="Y56" s="23" t="n">
        <v>9359.5</v>
      </c>
      <c r="Z56" s="23" t="n">
        <v>18.98</v>
      </c>
      <c r="AA56" s="7">
        <f>Y56/Z56</f>
        <v/>
      </c>
      <c r="AB56" s="7">
        <f>(AA56/Y56)*100</f>
        <v/>
      </c>
    </row>
    <row r="57">
      <c r="A57" s="14" t="n">
        <v>56</v>
      </c>
      <c r="B57" s="9" t="n">
        <v>44876</v>
      </c>
      <c r="C57" s="4" t="n">
        <v>28480625.64</v>
      </c>
      <c r="D57" s="7">
        <f>C57/E57</f>
        <v/>
      </c>
      <c r="E57" s="4" t="n">
        <v>80.47</v>
      </c>
      <c r="F57" s="7">
        <f>D57/100000</f>
        <v/>
      </c>
      <c r="G57" s="7">
        <f>(F57/DataSheet!$C$9*100)</f>
        <v/>
      </c>
      <c r="H57" s="7">
        <f>K57/I57</f>
        <v/>
      </c>
      <c r="I57" s="7">
        <f>(J57/L57)*100</f>
        <v/>
      </c>
      <c r="J57" s="7">
        <f>L57/O57</f>
        <v/>
      </c>
      <c r="K57" s="4" t="n">
        <v>7.307</v>
      </c>
      <c r="L57" s="4" t="n">
        <v>18349.7</v>
      </c>
      <c r="M57" s="4" t="n">
        <v>4.31</v>
      </c>
      <c r="N57" s="4">
        <f>K57-I57</f>
        <v/>
      </c>
      <c r="O57" s="4" t="n">
        <v>21.92</v>
      </c>
      <c r="P57" s="7" t="n">
        <v>3.81</v>
      </c>
      <c r="Q57" s="7">
        <f>K57-P57</f>
        <v/>
      </c>
      <c r="R57" s="7" t="n">
        <v>106.29</v>
      </c>
      <c r="S57" s="7">
        <f>(O57*T57)</f>
        <v/>
      </c>
      <c r="T57" s="12" t="n">
        <v>6.43</v>
      </c>
      <c r="U57" s="23" t="n">
        <v>11898.55</v>
      </c>
      <c r="V57" s="23" t="n">
        <v>25.42</v>
      </c>
      <c r="W57" s="7">
        <f>U57/V57</f>
        <v/>
      </c>
      <c r="X57" s="7">
        <f>(W57/U57)*100</f>
        <v/>
      </c>
      <c r="Y57" s="23" t="n">
        <v>9391.1</v>
      </c>
      <c r="Z57" s="23" t="n">
        <v>19.1</v>
      </c>
      <c r="AA57" s="7">
        <f>Y57/Z57</f>
        <v/>
      </c>
      <c r="AB57" s="7">
        <f>(AA57/Y57)*100</f>
        <v/>
      </c>
    </row>
    <row r="58">
      <c r="A58" s="14" t="n">
        <v>57</v>
      </c>
      <c r="B58" s="9" t="n">
        <v>44879</v>
      </c>
      <c r="C58" s="4" t="n">
        <v>28498815.4</v>
      </c>
      <c r="D58" s="7">
        <f>C58/E58</f>
        <v/>
      </c>
      <c r="E58" s="4" t="n">
        <v>80.95999999999999</v>
      </c>
      <c r="F58" s="7">
        <f>D58/100000</f>
        <v/>
      </c>
      <c r="G58" s="7">
        <f>(F58/DataSheet!$C$9*100)</f>
        <v/>
      </c>
      <c r="H58" s="7">
        <f>K58/I58</f>
        <v/>
      </c>
      <c r="I58" s="7">
        <f>(J58/L58)*100</f>
        <v/>
      </c>
      <c r="J58" s="7">
        <f>L58/O58</f>
        <v/>
      </c>
      <c r="K58" s="4" t="n">
        <v>7.287</v>
      </c>
      <c r="L58" s="4" t="n">
        <v>18329.15</v>
      </c>
      <c r="M58" s="4" t="n">
        <v>4.31</v>
      </c>
      <c r="N58" s="4">
        <f>K58-I58</f>
        <v/>
      </c>
      <c r="O58" s="4" t="n">
        <v>21.79</v>
      </c>
      <c r="P58" s="7" t="n">
        <v>3.89</v>
      </c>
      <c r="Q58" s="7">
        <f>K58-P58</f>
        <v/>
      </c>
      <c r="R58" s="7" t="n">
        <v>106.66</v>
      </c>
      <c r="S58" s="7">
        <f>(O58*T58)</f>
        <v/>
      </c>
      <c r="T58" s="12" t="n">
        <v>6.48</v>
      </c>
      <c r="U58" s="23" t="n">
        <v>11893.6</v>
      </c>
      <c r="V58" s="23" t="n">
        <v>25.88</v>
      </c>
      <c r="W58" s="7">
        <f>U58/V58</f>
        <v/>
      </c>
      <c r="X58" s="7">
        <f>(W58/U58)*100</f>
        <v/>
      </c>
      <c r="Y58" s="23" t="n">
        <v>9433.700000000001</v>
      </c>
      <c r="Z58" s="23" t="n">
        <v>19.12</v>
      </c>
      <c r="AA58" s="7">
        <f>Y58/Z58</f>
        <v/>
      </c>
      <c r="AB58" s="7">
        <f>(AA58/Y58)*100</f>
        <v/>
      </c>
    </row>
    <row r="59">
      <c r="A59" s="14" t="n">
        <v>58</v>
      </c>
      <c r="B59" s="9" t="n">
        <v>44880</v>
      </c>
      <c r="C59" s="4" t="n">
        <v>28541003.57</v>
      </c>
      <c r="D59" s="7">
        <f>C59/E59</f>
        <v/>
      </c>
      <c r="E59" s="4" t="n">
        <v>81.06</v>
      </c>
      <c r="F59" s="7">
        <f>D59/100000</f>
        <v/>
      </c>
      <c r="G59" s="7">
        <f>(F59/DataSheet!$C$9*100)</f>
        <v/>
      </c>
      <c r="H59" s="7">
        <f>K59/I59</f>
        <v/>
      </c>
      <c r="I59" s="7">
        <f>(J59/L59)*100</f>
        <v/>
      </c>
      <c r="J59" s="7">
        <f>L59/O59</f>
        <v/>
      </c>
      <c r="K59" s="4" t="n">
        <v>7.261</v>
      </c>
      <c r="L59" s="4" t="n">
        <v>18403.4</v>
      </c>
      <c r="M59" s="4" t="n">
        <v>4.32</v>
      </c>
      <c r="N59" s="4">
        <f>K59-I59</f>
        <v/>
      </c>
      <c r="O59" s="4" t="n">
        <v>21.89</v>
      </c>
      <c r="P59" s="7" t="n">
        <v>3.86</v>
      </c>
      <c r="Q59" s="7">
        <f>K59-P59</f>
        <v/>
      </c>
      <c r="R59" s="7" t="n">
        <v>106.4</v>
      </c>
      <c r="S59" s="7">
        <f>(O59*T59)</f>
        <v/>
      </c>
      <c r="T59" s="12" t="n">
        <v>6.48</v>
      </c>
      <c r="U59" s="23" t="n">
        <v>11888.25</v>
      </c>
      <c r="V59" s="23" t="n">
        <v>26</v>
      </c>
      <c r="W59" s="7">
        <f>U59/V59</f>
        <v/>
      </c>
      <c r="X59" s="7">
        <f>(W59/U59)*100</f>
        <v/>
      </c>
      <c r="Y59" s="23" t="n">
        <v>9439</v>
      </c>
      <c r="Z59" s="23" t="n">
        <v>18.82</v>
      </c>
      <c r="AA59" s="7">
        <f>Y59/Z59</f>
        <v/>
      </c>
      <c r="AB59" s="7">
        <f>(AA59/Y59)*100</f>
        <v/>
      </c>
    </row>
    <row r="60">
      <c r="A60" s="14" t="n">
        <v>59</v>
      </c>
      <c r="B60" s="9" t="n">
        <v>44881</v>
      </c>
      <c r="C60" s="4" t="n">
        <v>28458400.38</v>
      </c>
      <c r="D60" s="7">
        <f>C60/E60</f>
        <v/>
      </c>
      <c r="E60" s="4" t="n">
        <v>81.48</v>
      </c>
      <c r="F60" s="7">
        <f>D60/100000</f>
        <v/>
      </c>
      <c r="G60" s="7">
        <f>(F60/DataSheet!$C$9*100)</f>
        <v/>
      </c>
      <c r="H60" s="7">
        <f>K60/I60</f>
        <v/>
      </c>
      <c r="I60" s="7">
        <f>(J60/L60)*100</f>
        <v/>
      </c>
      <c r="J60" s="7">
        <f>L60/O60</f>
        <v/>
      </c>
      <c r="K60" s="4" t="n">
        <v>7.274</v>
      </c>
      <c r="L60" s="4" t="n">
        <v>18409.65</v>
      </c>
      <c r="M60" s="4" t="n">
        <v>4.32</v>
      </c>
      <c r="N60" s="4">
        <f>K60-I60</f>
        <v/>
      </c>
      <c r="O60" s="4" t="n">
        <v>21.91</v>
      </c>
      <c r="P60" s="7" t="n">
        <v>3.77</v>
      </c>
      <c r="Q60" s="7">
        <f>K60-P60</f>
        <v/>
      </c>
      <c r="R60" s="7" t="n">
        <v>106.28</v>
      </c>
      <c r="S60" s="7">
        <f>(O60*T60)</f>
        <v/>
      </c>
      <c r="T60" s="12" t="n">
        <v>6.45</v>
      </c>
      <c r="U60" s="23" t="n">
        <v>11816.55</v>
      </c>
      <c r="V60" s="23" t="n">
        <v>25.85</v>
      </c>
      <c r="W60" s="7">
        <f>U60/V60</f>
        <v/>
      </c>
      <c r="X60" s="7">
        <f>(W60/U60)*100</f>
        <v/>
      </c>
      <c r="Y60" s="23" t="n">
        <v>9407.6</v>
      </c>
      <c r="Z60" s="23" t="n">
        <v>18.61</v>
      </c>
      <c r="AA60" s="7">
        <f>Y60/Z60</f>
        <v/>
      </c>
      <c r="AB60" s="7">
        <f>(AA60/Y60)*100</f>
        <v/>
      </c>
    </row>
    <row r="61">
      <c r="A61" s="14" t="n">
        <v>60</v>
      </c>
      <c r="B61" s="9" t="n">
        <v>44882</v>
      </c>
      <c r="C61" s="4" t="n">
        <v>28344662.25</v>
      </c>
      <c r="D61" s="7">
        <f>C61/E61</f>
        <v/>
      </c>
      <c r="E61" s="4" t="n">
        <v>81.51000000000001</v>
      </c>
      <c r="F61" s="7">
        <f>D61/100000</f>
        <v/>
      </c>
      <c r="G61" s="7">
        <f>(F61/DataSheet!$C$9*100)</f>
        <v/>
      </c>
      <c r="H61" s="7">
        <f>K61/I61</f>
        <v/>
      </c>
      <c r="I61" s="7">
        <f>(J61/L61)*100</f>
        <v/>
      </c>
      <c r="J61" s="7">
        <f>L61/O61</f>
        <v/>
      </c>
      <c r="K61" s="4" t="n">
        <v>7.281</v>
      </c>
      <c r="L61" s="4" t="n">
        <v>18434.9</v>
      </c>
      <c r="M61" s="4" t="n">
        <v>4.31</v>
      </c>
      <c r="N61" s="4">
        <f>K61-I61</f>
        <v/>
      </c>
      <c r="O61" s="4" t="n">
        <v>21.83</v>
      </c>
      <c r="P61" s="7" t="n">
        <v>3.69</v>
      </c>
      <c r="Q61" s="7">
        <f>K61-P61</f>
        <v/>
      </c>
      <c r="R61" s="7" t="n">
        <v>106.69</v>
      </c>
      <c r="S61" s="7">
        <f>(O61*T61)</f>
        <v/>
      </c>
      <c r="T61" s="12" t="n">
        <v>6.43</v>
      </c>
      <c r="U61" s="23" t="n">
        <v>11767.05</v>
      </c>
      <c r="V61" s="23" t="n">
        <v>25.73</v>
      </c>
      <c r="W61" s="7">
        <f>U61/V61</f>
        <v/>
      </c>
      <c r="X61" s="7">
        <f>(W61/U61)*100</f>
        <v/>
      </c>
      <c r="Y61" s="23" t="n">
        <v>9395.75</v>
      </c>
      <c r="Z61" s="23" t="n">
        <v>18.58</v>
      </c>
      <c r="AA61" s="7">
        <f>Y61/Z61</f>
        <v/>
      </c>
      <c r="AB61" s="7">
        <f>(AA61/Y61)*100</f>
        <v/>
      </c>
    </row>
    <row r="62">
      <c r="A62" s="14" t="n">
        <v>61</v>
      </c>
      <c r="B62" s="9" t="n">
        <v>44883</v>
      </c>
      <c r="C62" s="4" t="n">
        <v>28254867.39</v>
      </c>
      <c r="D62" s="7">
        <f>C62/E62</f>
        <v/>
      </c>
      <c r="E62" s="4" t="n">
        <v>81.61</v>
      </c>
      <c r="F62" s="7">
        <f>D62/100000</f>
        <v/>
      </c>
      <c r="G62" s="7">
        <f>(F62/DataSheet!$C$9*100)</f>
        <v/>
      </c>
      <c r="H62" s="7">
        <f>K62/I62</f>
        <v/>
      </c>
      <c r="I62" s="7">
        <f>(J62/L62)*100</f>
        <v/>
      </c>
      <c r="J62" s="7">
        <f>L62/O62</f>
        <v/>
      </c>
      <c r="K62" s="4" t="n">
        <v>7.307</v>
      </c>
      <c r="L62" s="4" t="n">
        <v>18307.65</v>
      </c>
      <c r="M62" s="4" t="n">
        <v>4.3</v>
      </c>
      <c r="N62" s="4">
        <f>K62-I62</f>
        <v/>
      </c>
      <c r="O62" s="4" t="n">
        <v>21.79</v>
      </c>
      <c r="P62" s="7" t="n">
        <v>3.76</v>
      </c>
      <c r="Q62" s="7">
        <f>K62-P62</f>
        <v/>
      </c>
      <c r="R62" s="7" t="n">
        <v>106.97</v>
      </c>
      <c r="S62" s="7">
        <f>(O62*T62)</f>
        <v/>
      </c>
      <c r="T62" s="12" t="n">
        <v>6.43</v>
      </c>
      <c r="U62" s="23" t="n">
        <v>11719.95</v>
      </c>
      <c r="V62" s="23" t="n">
        <v>25.57</v>
      </c>
      <c r="W62" s="7">
        <f>U62/V62</f>
        <v/>
      </c>
      <c r="X62" s="7">
        <f>(W62/U62)*100</f>
        <v/>
      </c>
      <c r="Y62" s="23" t="n">
        <v>9353.5</v>
      </c>
      <c r="Z62" s="23" t="n">
        <v>18.48</v>
      </c>
      <c r="AA62" s="7">
        <f>Y62/Z62</f>
        <v/>
      </c>
      <c r="AB62" s="7">
        <f>(AA62/Y62)*100</f>
        <v/>
      </c>
    </row>
    <row r="63">
      <c r="A63" s="14" t="n">
        <v>62</v>
      </c>
      <c r="B63" s="9" t="n">
        <v>44886</v>
      </c>
      <c r="C63" s="4" t="n">
        <v>28116258.97</v>
      </c>
      <c r="D63" s="7">
        <f>C63/E63</f>
        <v/>
      </c>
      <c r="E63" s="4" t="n">
        <v>81.72</v>
      </c>
      <c r="F63" s="7">
        <f>D63/100000</f>
        <v/>
      </c>
      <c r="G63" s="7">
        <f>(F63/DataSheet!$C$9*100)</f>
        <v/>
      </c>
      <c r="H63" s="7">
        <f>K63/I63</f>
        <v/>
      </c>
      <c r="I63" s="7">
        <f>(J63/L63)*100</f>
        <v/>
      </c>
      <c r="J63" s="7">
        <f>L63/O63</f>
        <v/>
      </c>
      <c r="K63" s="4" t="n">
        <v>7.32</v>
      </c>
      <c r="L63" s="4" t="n">
        <v>18159.95</v>
      </c>
      <c r="M63" s="4" t="n">
        <v>4.26</v>
      </c>
      <c r="N63" s="4">
        <f>K63-I63</f>
        <v/>
      </c>
      <c r="O63" s="4" t="n">
        <v>21.82</v>
      </c>
      <c r="P63" s="7" t="n">
        <v>3.83</v>
      </c>
      <c r="Q63" s="7">
        <f>K63-P63</f>
        <v/>
      </c>
      <c r="R63" s="7" t="n">
        <v>107.78</v>
      </c>
      <c r="S63" s="7">
        <f>(O63*T63)</f>
        <v/>
      </c>
      <c r="T63" s="12" t="n">
        <v>6.43</v>
      </c>
      <c r="U63" s="23" t="n">
        <v>11719.55</v>
      </c>
      <c r="V63" s="23" t="n">
        <v>25.56</v>
      </c>
      <c r="W63" s="7">
        <f>U63/V63</f>
        <v/>
      </c>
      <c r="X63" s="7">
        <f>(W63/U63)*100</f>
        <v/>
      </c>
      <c r="Y63" s="23" t="n">
        <v>9363.65</v>
      </c>
      <c r="Z63" s="23" t="n">
        <v>18.5</v>
      </c>
      <c r="AA63" s="7">
        <f>Y63/Z63</f>
        <v/>
      </c>
      <c r="AB63" s="7">
        <f>(AA63/Y63)*100</f>
        <v/>
      </c>
    </row>
    <row r="64">
      <c r="A64" s="14" t="n">
        <v>63</v>
      </c>
      <c r="B64" s="9" t="n">
        <v>44887</v>
      </c>
      <c r="C64" s="4" t="n">
        <v>28185214</v>
      </c>
      <c r="D64" s="7">
        <f>C64/E64</f>
        <v/>
      </c>
      <c r="E64" s="4" t="n">
        <v>81.70999999999999</v>
      </c>
      <c r="F64" s="7">
        <f>D64/100000</f>
        <v/>
      </c>
      <c r="G64" s="7">
        <f>(F64/DataSheet!$C$9*100)</f>
        <v/>
      </c>
      <c r="H64" s="7">
        <f>K64/I64</f>
        <v/>
      </c>
      <c r="I64" s="7">
        <f>(J64/L64)*100</f>
        <v/>
      </c>
      <c r="J64" s="7">
        <f>L64/O64</f>
        <v/>
      </c>
      <c r="K64" s="4" t="n">
        <v>7.285</v>
      </c>
      <c r="L64" s="4" t="n">
        <v>18244.2</v>
      </c>
      <c r="M64" s="4" t="n">
        <v>4.28</v>
      </c>
      <c r="N64" s="4">
        <f>K64-I64</f>
        <v/>
      </c>
      <c r="O64" s="4" t="n">
        <v>21.93</v>
      </c>
      <c r="P64" s="7" t="n">
        <v>3.75</v>
      </c>
      <c r="Q64" s="7">
        <f>K64-P64</f>
        <v/>
      </c>
      <c r="R64" s="7" t="n">
        <v>107.15</v>
      </c>
      <c r="S64" s="7">
        <f>(O64*T64)</f>
        <v/>
      </c>
      <c r="T64" s="12" t="n">
        <v>6.43</v>
      </c>
      <c r="U64" s="23" t="n">
        <v>11762.55</v>
      </c>
      <c r="V64" s="23" t="n">
        <v>25.65</v>
      </c>
      <c r="W64" s="7">
        <f>U64/V64</f>
        <v/>
      </c>
      <c r="X64" s="7">
        <f>(W64/U64)*100</f>
        <v/>
      </c>
      <c r="Y64" s="23" t="n">
        <v>9355.35</v>
      </c>
      <c r="Z64" s="23" t="n">
        <v>18.48</v>
      </c>
      <c r="AA64" s="7">
        <f>Y64/Z64</f>
        <v/>
      </c>
      <c r="AB64" s="7">
        <f>(AA64/Y64)*100</f>
        <v/>
      </c>
    </row>
    <row r="65">
      <c r="A65" s="14" t="n">
        <v>64</v>
      </c>
      <c r="B65" s="9" t="n">
        <v>44888</v>
      </c>
      <c r="C65" s="4" t="n">
        <v>28225366.32</v>
      </c>
      <c r="D65" s="7">
        <f>C65/E65</f>
        <v/>
      </c>
      <c r="E65" s="4" t="n">
        <v>81.63</v>
      </c>
      <c r="F65" s="7">
        <f>D65/100000</f>
        <v/>
      </c>
      <c r="G65" s="7">
        <f>(F65/DataSheet!$C$9*100)</f>
        <v/>
      </c>
      <c r="H65" s="7">
        <f>K65/I65</f>
        <v/>
      </c>
      <c r="I65" s="7">
        <f>(J65/L65)*100</f>
        <v/>
      </c>
      <c r="J65" s="7">
        <f>L65/O65</f>
        <v/>
      </c>
      <c r="K65" s="4" t="n">
        <v>7.291</v>
      </c>
      <c r="L65" s="4" t="n">
        <v>18267.25</v>
      </c>
      <c r="M65" s="4" t="n">
        <v>4.29</v>
      </c>
      <c r="N65" s="4">
        <f>K65-I65</f>
        <v/>
      </c>
      <c r="O65" s="4" t="n">
        <v>21.95</v>
      </c>
      <c r="P65" s="7" t="n">
        <v>3.68</v>
      </c>
      <c r="Q65" s="7">
        <f>K65-P65</f>
        <v/>
      </c>
      <c r="R65" s="7" t="n">
        <v>106.1</v>
      </c>
      <c r="S65" s="7">
        <f>(O65*T65)</f>
        <v/>
      </c>
      <c r="T65" s="12" t="n">
        <v>6.44</v>
      </c>
      <c r="U65" s="23" t="n">
        <v>11790.2</v>
      </c>
      <c r="V65" s="23" t="n">
        <v>25.7</v>
      </c>
      <c r="W65" s="7">
        <f>U65/V65</f>
        <v/>
      </c>
      <c r="X65" s="7">
        <f>(W65/U65)*100</f>
        <v/>
      </c>
      <c r="Y65" s="23" t="n">
        <v>9410</v>
      </c>
      <c r="Z65" s="23" t="n">
        <v>18.59</v>
      </c>
      <c r="AA65" s="7">
        <f>Y65/Z65</f>
        <v/>
      </c>
      <c r="AB65" s="7">
        <f>(AA65/Y65)*100</f>
        <v/>
      </c>
    </row>
    <row r="66">
      <c r="A66" s="14" t="n">
        <v>65</v>
      </c>
      <c r="B66" s="9" t="n">
        <v>44889</v>
      </c>
      <c r="C66" s="4" t="n">
        <v>28370058</v>
      </c>
      <c r="D66" s="4">
        <f>C66/E66</f>
        <v/>
      </c>
      <c r="E66" s="4" t="n">
        <v>81.67</v>
      </c>
      <c r="F66" s="4">
        <f>D66/100000</f>
        <v/>
      </c>
      <c r="G66" s="7">
        <f>(F66/DataSheet!$C$9*100)</f>
        <v/>
      </c>
      <c r="H66" s="4">
        <f>K66/I66</f>
        <v/>
      </c>
      <c r="I66" s="7">
        <f>(J66/L66)*100</f>
        <v/>
      </c>
      <c r="J66" s="7">
        <f>L66/O66</f>
        <v/>
      </c>
      <c r="K66" s="4" t="n">
        <v>7.25</v>
      </c>
      <c r="L66" s="4" t="n">
        <v>18484.1</v>
      </c>
      <c r="M66" s="4" t="n">
        <v>4.34</v>
      </c>
      <c r="N66" s="4">
        <f>K66-I66</f>
        <v/>
      </c>
      <c r="O66" s="4" t="n">
        <v>22.21</v>
      </c>
      <c r="P66" s="4" t="n">
        <v>3.68</v>
      </c>
      <c r="Q66" s="4">
        <f>K66-P66</f>
        <v/>
      </c>
      <c r="R66" s="4" t="n">
        <v>105.88</v>
      </c>
      <c r="S66" s="7">
        <f>(O66*T66)</f>
        <v/>
      </c>
      <c r="T66" s="12" t="n">
        <v>6.42</v>
      </c>
      <c r="U66" s="23" t="n">
        <v>11837.6</v>
      </c>
      <c r="V66" s="23" t="n">
        <v>25.8</v>
      </c>
      <c r="W66" s="7">
        <f>U66/V66</f>
        <v/>
      </c>
      <c r="X66" s="7">
        <f>(W66/U66)*100</f>
        <v/>
      </c>
      <c r="Y66" s="23" t="n">
        <v>9461.299999999999</v>
      </c>
      <c r="Z66" s="23" t="n">
        <v>18.69</v>
      </c>
      <c r="AA66" s="7">
        <f>Y66/Z66</f>
        <v/>
      </c>
      <c r="AB66" s="7">
        <f>(AA66/Y66)*100</f>
        <v/>
      </c>
    </row>
    <row r="67">
      <c r="A67" s="14" t="n">
        <v>66</v>
      </c>
      <c r="B67" s="8" t="n">
        <v>44890</v>
      </c>
      <c r="C67" s="4" t="n">
        <v>28456423</v>
      </c>
      <c r="D67" s="4">
        <f>C67/E67</f>
        <v/>
      </c>
      <c r="E67" s="4" t="n">
        <v>81.63</v>
      </c>
      <c r="F67" s="4">
        <f>D67/100000</f>
        <v/>
      </c>
      <c r="G67" s="7">
        <f>(F67/DataSheet!$C$9*100)</f>
        <v/>
      </c>
      <c r="H67" s="4">
        <f>K67/I67</f>
        <v/>
      </c>
      <c r="I67" s="4">
        <f>(J67/L67)*100</f>
        <v/>
      </c>
      <c r="J67" s="7">
        <f>L67/O67</f>
        <v/>
      </c>
      <c r="K67" s="4" t="n">
        <v>7.3</v>
      </c>
      <c r="L67" s="4" t="n">
        <v>18512.75</v>
      </c>
      <c r="M67" s="4" t="n">
        <v>4.35</v>
      </c>
      <c r="N67" s="4">
        <f>K67-I67</f>
        <v/>
      </c>
      <c r="O67" s="4" t="n">
        <v>22.25</v>
      </c>
      <c r="P67" s="4" t="n">
        <v>3.71</v>
      </c>
      <c r="Q67" s="4">
        <f>K67-P67</f>
        <v/>
      </c>
      <c r="R67" s="4" t="n">
        <v>106</v>
      </c>
      <c r="S67" s="7">
        <f>(O67*T67)</f>
        <v/>
      </c>
      <c r="T67" s="12" t="n">
        <v>6.45</v>
      </c>
      <c r="U67" s="23" t="n">
        <v>11943.55</v>
      </c>
      <c r="V67" s="23" t="n">
        <v>26.03</v>
      </c>
      <c r="W67" s="7">
        <f>U67/V67</f>
        <v/>
      </c>
      <c r="X67" s="7">
        <f>(W67/U67)*100</f>
        <v/>
      </c>
      <c r="Y67" s="23" t="n">
        <v>9534.549999999999</v>
      </c>
      <c r="Z67" s="23" t="n">
        <v>18.84</v>
      </c>
      <c r="AA67" s="7">
        <f>Y67/Z67</f>
        <v/>
      </c>
      <c r="AB67" s="7">
        <f>(AA67/Y67)*100</f>
        <v/>
      </c>
    </row>
    <row r="68">
      <c r="A68" s="14" t="n">
        <v>67</v>
      </c>
      <c r="B68" s="8" t="n">
        <v>44893</v>
      </c>
      <c r="C68" s="4" t="n">
        <v>28659078.46</v>
      </c>
      <c r="D68" s="4">
        <f>C68/E68</f>
        <v/>
      </c>
      <c r="E68" s="4" t="n">
        <v>81.64</v>
      </c>
      <c r="F68" s="4">
        <f>D68/100000</f>
        <v/>
      </c>
      <c r="G68" s="7">
        <f>(F68/DataSheet!$C$9*100)</f>
        <v/>
      </c>
      <c r="H68" s="4">
        <f>K68/I68</f>
        <v/>
      </c>
      <c r="I68" s="4">
        <f>(J68/L68)*100</f>
        <v/>
      </c>
      <c r="J68" s="7">
        <f>L68/O68</f>
        <v/>
      </c>
      <c r="K68" s="4" t="n">
        <v>7.27</v>
      </c>
      <c r="L68" s="4" t="n">
        <v>18562.75</v>
      </c>
      <c r="M68" s="4" t="n">
        <v>4.36</v>
      </c>
      <c r="N68" s="4">
        <f>K68-I68</f>
        <v/>
      </c>
      <c r="O68" s="4" t="n">
        <v>22.31</v>
      </c>
      <c r="P68" s="4" t="n">
        <v>3.7</v>
      </c>
      <c r="Q68" s="4">
        <f>K68-P68</f>
        <v/>
      </c>
      <c r="R68" s="4" t="n">
        <v>106.63</v>
      </c>
      <c r="S68" s="7">
        <f>(O68*T68)</f>
        <v/>
      </c>
      <c r="T68" s="12" t="n">
        <v>6.42</v>
      </c>
      <c r="U68" s="23" t="n">
        <v>12025.95</v>
      </c>
      <c r="V68" s="23" t="n">
        <v>26.21</v>
      </c>
      <c r="W68" s="7">
        <f>U68/V68</f>
        <v/>
      </c>
      <c r="X68" s="7">
        <f>(W68/U68)*100</f>
        <v/>
      </c>
      <c r="Y68" s="23" t="n">
        <v>9636.6</v>
      </c>
      <c r="Z68" s="23" t="n">
        <v>19.04</v>
      </c>
      <c r="AA68" s="7">
        <f>Y68/Z68</f>
        <v/>
      </c>
      <c r="AB68" s="7">
        <f>(AA68/Y68)*100</f>
        <v/>
      </c>
    </row>
    <row r="69">
      <c r="A69" s="14" t="n">
        <v>68</v>
      </c>
      <c r="B69" s="8" t="n">
        <v>44894</v>
      </c>
      <c r="C69" s="7" t="n">
        <v>28711500.84</v>
      </c>
      <c r="D69" s="7">
        <f>C69/E69</f>
        <v/>
      </c>
      <c r="E69" s="7" t="n">
        <v>81.62</v>
      </c>
      <c r="F69" s="7">
        <f>D69/100000</f>
        <v/>
      </c>
      <c r="G69" s="7">
        <f>(F69/DataSheet!$C$9*100)</f>
        <v/>
      </c>
      <c r="H69" s="7">
        <f>K69/I69</f>
        <v/>
      </c>
      <c r="I69" s="4">
        <f>(J69/L69)*100</f>
        <v/>
      </c>
      <c r="J69" s="7">
        <f>L69/O69</f>
        <v/>
      </c>
      <c r="K69" s="7" t="n">
        <v>7.27</v>
      </c>
      <c r="L69" s="7" t="n">
        <v>18618.05</v>
      </c>
      <c r="M69" s="7" t="n">
        <v>4.37</v>
      </c>
      <c r="N69" s="7">
        <f>K69-I69</f>
        <v/>
      </c>
      <c r="O69" s="7" t="n">
        <v>22.37</v>
      </c>
      <c r="P69" s="7" t="n">
        <v>3.75</v>
      </c>
      <c r="Q69" s="7">
        <f>K69-P69</f>
        <v/>
      </c>
      <c r="R69" s="7" t="n">
        <v>106.82</v>
      </c>
      <c r="S69" s="7">
        <f>(O69*T69)</f>
        <v/>
      </c>
      <c r="T69" s="12" t="n">
        <v>6.42</v>
      </c>
      <c r="U69" s="23" t="n">
        <v>11983.1</v>
      </c>
      <c r="V69" s="23" t="n">
        <v>26.07</v>
      </c>
      <c r="W69" s="7">
        <f>U69/V69</f>
        <v/>
      </c>
      <c r="X69" s="7">
        <f>(W69/U69)*100</f>
        <v/>
      </c>
      <c r="Y69" s="23" t="n">
        <v>9602.200000000001</v>
      </c>
      <c r="Z69" s="23" t="n">
        <v>18.97</v>
      </c>
      <c r="AA69" s="7">
        <f>Y69/Z69</f>
        <v/>
      </c>
      <c r="AB69" s="7">
        <f>(AA69/Y69)*100</f>
        <v/>
      </c>
    </row>
    <row r="70">
      <c r="A70" s="14" t="n">
        <v>69</v>
      </c>
      <c r="B70" s="9" t="n">
        <v>44895</v>
      </c>
      <c r="C70" s="7" t="n">
        <v>28938267.36</v>
      </c>
      <c r="D70" s="7">
        <f>C70/E70</f>
        <v/>
      </c>
      <c r="E70" s="7" t="n">
        <v>81.37</v>
      </c>
      <c r="F70" s="7">
        <f>D70/100000</f>
        <v/>
      </c>
      <c r="G70" s="7">
        <f>(F70/DataSheet!$C$9*100)</f>
        <v/>
      </c>
      <c r="H70" s="7">
        <f>K70/I70</f>
        <v/>
      </c>
      <c r="I70" s="4">
        <f>(J70/L70)*100</f>
        <v/>
      </c>
      <c r="J70" s="7">
        <f>L70/O70</f>
        <v/>
      </c>
      <c r="K70" s="7" t="n">
        <v>7.28</v>
      </c>
      <c r="L70" s="7" t="n">
        <v>18758.35</v>
      </c>
      <c r="M70" s="7" t="n">
        <v>4.4</v>
      </c>
      <c r="N70" s="7">
        <f>K70-I70</f>
        <v/>
      </c>
      <c r="O70" s="7" t="n">
        <v>22.54</v>
      </c>
      <c r="P70" s="7" t="n">
        <v>3.61</v>
      </c>
      <c r="Q70" s="7">
        <f>K70-P70</f>
        <v/>
      </c>
      <c r="R70" s="7" t="n">
        <v>105.95</v>
      </c>
      <c r="S70" s="7">
        <f>(O70*T70)</f>
        <v/>
      </c>
      <c r="T70" s="12" t="n">
        <v>6.41</v>
      </c>
      <c r="U70" s="23" t="n">
        <v>12093.5</v>
      </c>
      <c r="V70" s="23" t="n">
        <v>26.31</v>
      </c>
      <c r="W70" s="7">
        <f>U70/V70</f>
        <v/>
      </c>
      <c r="X70" s="7">
        <f>(W70/U70)*100</f>
        <v/>
      </c>
      <c r="Y70" s="23" t="n">
        <v>9651.049999999999</v>
      </c>
      <c r="Z70" s="23" t="n">
        <v>19.07</v>
      </c>
      <c r="AA70" s="7">
        <f>Y70/Z70</f>
        <v/>
      </c>
      <c r="AB70" s="7">
        <f>(AA70/Y70)*100</f>
        <v/>
      </c>
    </row>
    <row r="71">
      <c r="A71" s="14" t="n">
        <v>70</v>
      </c>
      <c r="B71" s="9" t="n">
        <v>44896</v>
      </c>
      <c r="C71" s="7" t="n">
        <v>29075831.84</v>
      </c>
      <c r="D71" s="7">
        <f>C71/E71</f>
        <v/>
      </c>
      <c r="E71" s="7" t="n">
        <v>81.12</v>
      </c>
      <c r="F71" s="7">
        <f>D71/100000</f>
        <v/>
      </c>
      <c r="G71" s="7">
        <f>(F71/DataSheet!$C$9*100)</f>
        <v/>
      </c>
      <c r="H71" s="7">
        <f>K71/I71</f>
        <v/>
      </c>
      <c r="I71" s="7">
        <f>(J71/L71)*100</f>
        <v/>
      </c>
      <c r="J71" s="7">
        <f>L71/O71</f>
        <v/>
      </c>
      <c r="K71" s="7" t="n">
        <v>7.21</v>
      </c>
      <c r="L71" s="7" t="n">
        <v>18812.5</v>
      </c>
      <c r="M71" s="7" t="n">
        <v>4.42</v>
      </c>
      <c r="N71" s="7">
        <f>K71-I71</f>
        <v/>
      </c>
      <c r="O71" s="7" t="n">
        <v>22.61</v>
      </c>
      <c r="P71" s="7" t="n">
        <v>3.51</v>
      </c>
      <c r="Q71" s="7">
        <f>K71-P71</f>
        <v/>
      </c>
      <c r="R71" s="7" t="n">
        <v>104.73</v>
      </c>
      <c r="S71" s="7">
        <f>(O71*T71)</f>
        <v/>
      </c>
      <c r="T71" s="12" t="n">
        <v>6.39</v>
      </c>
      <c r="U71" s="23" t="n">
        <v>12185.25</v>
      </c>
      <c r="V71" s="23" t="n">
        <v>26.51</v>
      </c>
      <c r="W71" s="7">
        <f>U71/V71</f>
        <v/>
      </c>
      <c r="X71" s="7">
        <f>(W71/U71)*100</f>
        <v/>
      </c>
      <c r="Y71" s="23" t="n">
        <v>9693.85</v>
      </c>
      <c r="Z71" s="23" t="n">
        <v>19.15</v>
      </c>
      <c r="AA71" s="7">
        <f>Y71/Z71</f>
        <v/>
      </c>
      <c r="AB71" s="7">
        <f>(AA71/Y71)*100</f>
        <v/>
      </c>
    </row>
    <row r="72">
      <c r="A72" s="14" t="n">
        <v>71</v>
      </c>
      <c r="B72" s="9" t="n">
        <v>44897</v>
      </c>
      <c r="C72" s="7" t="n">
        <v>29042825.88</v>
      </c>
      <c r="D72" s="7">
        <f>C72/E72</f>
        <v/>
      </c>
      <c r="E72" s="7" t="n">
        <v>81.41</v>
      </c>
      <c r="F72" s="7">
        <f>D72/100000</f>
        <v/>
      </c>
      <c r="G72" s="7">
        <f>(F72/DataSheet!$C$9*100)</f>
        <v/>
      </c>
      <c r="H72" s="7">
        <f>K72/I72</f>
        <v/>
      </c>
      <c r="I72" s="7">
        <f>(J72/L72)*100</f>
        <v/>
      </c>
      <c r="J72" s="7">
        <f>L72/O72</f>
        <v/>
      </c>
      <c r="K72" s="7" t="n">
        <v>7.22</v>
      </c>
      <c r="L72" s="7" t="n">
        <v>18781.95</v>
      </c>
      <c r="M72" s="7" t="n">
        <v>4.39</v>
      </c>
      <c r="N72" s="7">
        <f>K72-I72</f>
        <v/>
      </c>
      <c r="O72" s="7" t="n">
        <v>22.47</v>
      </c>
      <c r="P72" s="7" t="n">
        <v>3.49</v>
      </c>
      <c r="Q72" s="7">
        <f>K72-P72</f>
        <v/>
      </c>
      <c r="R72" s="7" t="n">
        <v>104.55</v>
      </c>
      <c r="S72" s="7">
        <f>(O72*T72)</f>
        <v/>
      </c>
      <c r="T72" s="12" t="n">
        <v>6.37</v>
      </c>
      <c r="U72" s="23" t="n">
        <v>12289.6</v>
      </c>
      <c r="V72" s="23" t="n">
        <v>26.73</v>
      </c>
      <c r="W72" s="7">
        <f>U72/V72</f>
        <v/>
      </c>
      <c r="X72" s="7">
        <f>(W72/U72)*100</f>
        <v/>
      </c>
      <c r="Y72" s="23" t="n">
        <v>9758.15</v>
      </c>
      <c r="Z72" s="23" t="n">
        <v>19.28</v>
      </c>
      <c r="AA72" s="7">
        <f>Y72/Z72</f>
        <v/>
      </c>
      <c r="AB72" s="7">
        <f>(AA72/Y72)*100</f>
        <v/>
      </c>
    </row>
    <row r="73">
      <c r="A73" s="14" t="n">
        <v>72</v>
      </c>
      <c r="B73" s="9" t="n">
        <v>44900</v>
      </c>
      <c r="C73" s="7" t="n">
        <v>29121652.07</v>
      </c>
      <c r="D73" s="7">
        <f>C73/E73</f>
        <v/>
      </c>
      <c r="E73" s="7" t="n">
        <v>81.89</v>
      </c>
      <c r="F73" s="7">
        <f>D73/100000</f>
        <v/>
      </c>
      <c r="G73" s="7">
        <f>(F73/DataSheet!$C$9*100)</f>
        <v/>
      </c>
      <c r="H73" s="7">
        <f>K73/I73</f>
        <v/>
      </c>
      <c r="I73" s="7">
        <f>(J73/L73)*100</f>
        <v/>
      </c>
      <c r="J73" s="7">
        <f>L73/O73</f>
        <v/>
      </c>
      <c r="K73" s="7" t="n">
        <v>7.22</v>
      </c>
      <c r="L73" s="7" t="n">
        <v>18701.05</v>
      </c>
      <c r="M73" s="7" t="n">
        <v>4.39</v>
      </c>
      <c r="N73" s="7">
        <f>K73-I73</f>
        <v/>
      </c>
      <c r="O73" s="7" t="n">
        <v>22.47</v>
      </c>
      <c r="P73" s="7" t="n">
        <v>3.58</v>
      </c>
      <c r="Q73" s="7">
        <f>K73-P73</f>
        <v/>
      </c>
      <c r="R73" s="7" t="n">
        <v>105.29</v>
      </c>
      <c r="S73" s="7">
        <f>(O73*T73)</f>
        <v/>
      </c>
      <c r="T73" s="12" t="n">
        <v>6.36</v>
      </c>
      <c r="U73" s="23" t="n">
        <v>12298.5</v>
      </c>
      <c r="V73" s="23" t="n">
        <v>26.75</v>
      </c>
      <c r="W73" s="7">
        <f>U73/V73</f>
        <v/>
      </c>
      <c r="X73" s="7">
        <f>(W73/U73)*100</f>
        <v/>
      </c>
      <c r="Y73" s="23" t="n">
        <v>9790.5</v>
      </c>
      <c r="Z73" s="23" t="n">
        <v>19.34</v>
      </c>
      <c r="AA73" s="7">
        <f>Y73/Z73</f>
        <v/>
      </c>
      <c r="AB73" s="7">
        <f>(AA73/Y73)*100</f>
        <v/>
      </c>
    </row>
    <row r="74">
      <c r="A74" s="14" t="n">
        <v>73</v>
      </c>
      <c r="B74" s="9" t="n">
        <v>44901</v>
      </c>
      <c r="C74" s="7" t="n">
        <v>29079423.52</v>
      </c>
      <c r="D74" s="7">
        <f>C74/E74</f>
        <v/>
      </c>
      <c r="E74" s="7" t="n">
        <v>82.48</v>
      </c>
      <c r="F74" s="7">
        <f>D74/100000</f>
        <v/>
      </c>
      <c r="G74" s="7">
        <f>(F74/DataSheet!$C$9*100)</f>
        <v/>
      </c>
      <c r="H74" s="7">
        <f>K74/I74</f>
        <v/>
      </c>
      <c r="I74" s="7">
        <f>(J74/L74)*100</f>
        <v/>
      </c>
      <c r="J74" s="7">
        <f>L74/O74</f>
        <v/>
      </c>
      <c r="K74" s="7" t="n">
        <v>7.24</v>
      </c>
      <c r="L74" s="7" t="n">
        <v>18642.75</v>
      </c>
      <c r="M74" s="7" t="n">
        <v>4.38</v>
      </c>
      <c r="N74" s="7">
        <f>K74-I74</f>
        <v/>
      </c>
      <c r="O74" s="7" t="n">
        <v>22.4</v>
      </c>
      <c r="P74" s="7" t="n">
        <v>3.53</v>
      </c>
      <c r="Q74" s="7">
        <f>K74-P74</f>
        <v/>
      </c>
      <c r="R74" s="7" t="n">
        <v>105.58</v>
      </c>
      <c r="S74" s="7">
        <f>(O74*T74)</f>
        <v/>
      </c>
      <c r="T74" s="12" t="n">
        <v>6.36</v>
      </c>
      <c r="U74" s="23" t="n">
        <v>12239.3</v>
      </c>
      <c r="V74" s="23" t="n">
        <v>26.62</v>
      </c>
      <c r="W74" s="7">
        <f>U74/V74</f>
        <v/>
      </c>
      <c r="X74" s="7">
        <f>(W74/U74)*100</f>
        <v/>
      </c>
      <c r="Y74" s="23" t="n">
        <v>9767.5</v>
      </c>
      <c r="Z74" s="23" t="n">
        <v>19.3</v>
      </c>
      <c r="AA74" s="7">
        <f>Y74/Z74</f>
        <v/>
      </c>
      <c r="AB74" s="7">
        <f>(AA74/Y74)*100</f>
        <v/>
      </c>
    </row>
    <row r="75">
      <c r="A75" s="14" t="n">
        <v>74</v>
      </c>
      <c r="B75" s="9" t="n">
        <v>44902</v>
      </c>
      <c r="C75" s="7" t="n">
        <v>28983371.75</v>
      </c>
      <c r="D75" s="7">
        <f>C75/E75</f>
        <v/>
      </c>
      <c r="E75" s="7" t="n">
        <v>82.2</v>
      </c>
      <c r="F75" s="7">
        <f>D75/100000</f>
        <v/>
      </c>
      <c r="G75" s="7">
        <f>(F75/DataSheet!$C$9*100)</f>
        <v/>
      </c>
      <c r="H75" s="7">
        <f>K75/I75</f>
        <v/>
      </c>
      <c r="I75" s="7">
        <f>(J75/L75)*100</f>
        <v/>
      </c>
      <c r="J75" s="7">
        <f>L75/O75</f>
        <v/>
      </c>
      <c r="K75" s="7" t="n">
        <v>7.26</v>
      </c>
      <c r="L75" s="7" t="n">
        <v>18560.5</v>
      </c>
      <c r="M75" s="7" t="n">
        <v>4.36</v>
      </c>
      <c r="N75" s="7">
        <f>K75-I75</f>
        <v/>
      </c>
      <c r="O75" s="7" t="n">
        <v>22.31</v>
      </c>
      <c r="P75" s="7" t="n">
        <v>3.42</v>
      </c>
      <c r="Q75" s="7">
        <f>K75-P75</f>
        <v/>
      </c>
      <c r="R75" s="7" t="n">
        <v>105.1</v>
      </c>
      <c r="S75" s="7">
        <f>(O75*T75)</f>
        <v/>
      </c>
      <c r="T75" s="12" t="n">
        <v>6.4</v>
      </c>
      <c r="U75" s="23" t="n">
        <v>12178.85</v>
      </c>
      <c r="V75" s="23" t="n">
        <v>26.49</v>
      </c>
      <c r="W75" s="7">
        <f>U75/V75</f>
        <v/>
      </c>
      <c r="X75" s="7">
        <f>(W75/U75)*100</f>
        <v/>
      </c>
      <c r="Y75" s="23" t="n">
        <v>9729.65</v>
      </c>
      <c r="Z75" s="23" t="n">
        <v>19.22</v>
      </c>
      <c r="AA75" s="7">
        <f>Y75/Z75</f>
        <v/>
      </c>
      <c r="AB75" s="7">
        <f>(AA75/Y75)*100</f>
        <v/>
      </c>
    </row>
    <row r="76">
      <c r="A76" s="14" t="n">
        <v>75</v>
      </c>
      <c r="B76" s="9" t="n">
        <v>44903</v>
      </c>
      <c r="C76" s="7" t="n">
        <v>29056039.68</v>
      </c>
      <c r="D76" s="7">
        <f>C76/E76</f>
        <v/>
      </c>
      <c r="E76" s="7" t="n">
        <v>82.28</v>
      </c>
      <c r="F76" s="7">
        <f>D76/100000</f>
        <v/>
      </c>
      <c r="G76" s="7">
        <f>(F76/DataSheet!$C$9*100)</f>
        <v/>
      </c>
      <c r="H76" s="7">
        <f>K76/I76</f>
        <v/>
      </c>
      <c r="I76" s="7">
        <f>(J76/L76)*100</f>
        <v/>
      </c>
      <c r="J76" s="7">
        <f>L76/O76</f>
        <v/>
      </c>
      <c r="K76" s="7" t="n">
        <v>7.28</v>
      </c>
      <c r="L76" s="7" t="n">
        <v>18609.35</v>
      </c>
      <c r="M76" s="7" t="n">
        <v>4.37</v>
      </c>
      <c r="N76" s="7">
        <f>K76-I76</f>
        <v/>
      </c>
      <c r="O76" s="7" t="n">
        <v>22.36</v>
      </c>
      <c r="P76" s="7" t="n">
        <v>3.48</v>
      </c>
      <c r="Q76" s="7">
        <f>K76-P76</f>
        <v/>
      </c>
      <c r="R76" s="7" t="n">
        <v>104.77</v>
      </c>
      <c r="S76" s="7">
        <f>(O76*T76)</f>
        <v/>
      </c>
      <c r="T76" s="12" t="n">
        <v>6.4</v>
      </c>
      <c r="U76" s="23" t="n">
        <v>12237.05</v>
      </c>
      <c r="V76" s="23" t="n">
        <v>26.62</v>
      </c>
      <c r="W76" s="7">
        <f>U76/V76</f>
        <v/>
      </c>
      <c r="X76" s="7">
        <f>(W76/U76)*100</f>
        <v/>
      </c>
      <c r="Y76" s="23" t="n">
        <v>9783.200000000001</v>
      </c>
      <c r="Z76" s="23" t="n">
        <v>19.33</v>
      </c>
      <c r="AA76" s="7">
        <f>Y76/Z76</f>
        <v/>
      </c>
      <c r="AB76" s="7">
        <f>(AA76/Y76)*100</f>
        <v/>
      </c>
    </row>
    <row r="77">
      <c r="A77" s="14" t="n">
        <v>76</v>
      </c>
      <c r="B77" s="9" t="n">
        <v>44904</v>
      </c>
      <c r="C77" s="7" t="n">
        <v>28918266.54</v>
      </c>
      <c r="D77" s="7">
        <f>C77/E77</f>
        <v/>
      </c>
      <c r="E77" s="7" t="n">
        <v>82.41</v>
      </c>
      <c r="F77" s="7">
        <f>D77/100000</f>
        <v/>
      </c>
      <c r="G77" s="7">
        <f>(F77/DataSheet!$C$9*100)</f>
        <v/>
      </c>
      <c r="H77" s="7">
        <f>K77/I77</f>
        <v/>
      </c>
      <c r="I77" s="7">
        <f>(J77/L77)*100</f>
        <v/>
      </c>
      <c r="J77" s="7">
        <f>L77/O77</f>
        <v/>
      </c>
      <c r="K77" s="7" t="n">
        <v>7.29</v>
      </c>
      <c r="L77" s="7" t="n">
        <v>18496.6</v>
      </c>
      <c r="M77" s="7" t="n">
        <v>4.34</v>
      </c>
      <c r="N77" s="7">
        <f>K77-I77</f>
        <v/>
      </c>
      <c r="O77" s="7" t="n">
        <v>22.23</v>
      </c>
      <c r="P77" s="7" t="n">
        <v>3.58</v>
      </c>
      <c r="Q77" s="7">
        <f>K77-P77</f>
        <v/>
      </c>
      <c r="R77" s="7" t="n">
        <v>104.81</v>
      </c>
      <c r="S77" s="7">
        <f>(O77*T77)</f>
        <v/>
      </c>
      <c r="T77" s="12" t="n">
        <v>6.38</v>
      </c>
      <c r="U77" s="23" t="n">
        <v>12181.6</v>
      </c>
      <c r="V77" s="23" t="n">
        <v>26.5</v>
      </c>
      <c r="W77" s="7">
        <f>U77/V77</f>
        <v/>
      </c>
      <c r="X77" s="7">
        <f>(W77/U77)*100</f>
        <v/>
      </c>
      <c r="Y77" s="23" t="n">
        <v>9681.799999999999</v>
      </c>
      <c r="Z77" s="23" t="n">
        <v>19.13</v>
      </c>
      <c r="AA77" s="7">
        <f>Y77/Z77</f>
        <v/>
      </c>
      <c r="AB77" s="7">
        <f>(AA77/Y77)*100</f>
        <v/>
      </c>
    </row>
    <row r="78">
      <c r="A78" s="14" t="n">
        <v>77</v>
      </c>
      <c r="B78" s="9" t="n">
        <v>44907</v>
      </c>
      <c r="C78" s="7" t="n">
        <v>28917889.93</v>
      </c>
      <c r="D78" s="7">
        <f>C78/E78</f>
        <v/>
      </c>
      <c r="E78" s="7" t="n">
        <v>82.63</v>
      </c>
      <c r="F78" s="7">
        <f>D78/100000</f>
        <v/>
      </c>
      <c r="G78" s="7">
        <f>(F78/DataSheet!$C$9*100)</f>
        <v/>
      </c>
      <c r="H78" s="7">
        <f>K78/I78</f>
        <v/>
      </c>
      <c r="I78" s="7">
        <f>(J78/L78)*100</f>
        <v/>
      </c>
      <c r="J78" s="7">
        <f>L78/O78</f>
        <v/>
      </c>
      <c r="K78" s="7" t="n">
        <v>7.29</v>
      </c>
      <c r="L78" s="7" t="n">
        <v>18497.15</v>
      </c>
      <c r="M78" s="7" t="n">
        <v>4.34</v>
      </c>
      <c r="N78" s="7">
        <f>K78-I78</f>
        <v/>
      </c>
      <c r="O78" s="7" t="n">
        <v>22.23</v>
      </c>
      <c r="P78" s="7" t="n">
        <v>3.61</v>
      </c>
      <c r="Q78" s="7">
        <f>K78-P78</f>
        <v/>
      </c>
      <c r="R78" s="7" t="n">
        <v>105.13</v>
      </c>
      <c r="S78" s="7">
        <f>(O78*T78)</f>
        <v/>
      </c>
      <c r="T78" s="12" t="n">
        <v>6.4</v>
      </c>
      <c r="U78" s="23" t="n">
        <v>12218.95</v>
      </c>
      <c r="V78" s="23" t="n">
        <v>26.58</v>
      </c>
      <c r="W78" s="7">
        <f>U78/V78</f>
        <v/>
      </c>
      <c r="X78" s="7">
        <f>(W78/U78)*100</f>
        <v/>
      </c>
      <c r="Y78" s="23" t="n">
        <v>9733.25</v>
      </c>
      <c r="Z78" s="23" t="n">
        <v>19.23</v>
      </c>
      <c r="AA78" s="7">
        <f>Y78/Z78</f>
        <v/>
      </c>
      <c r="AB78" s="7">
        <f>(AA78/Y78)*100</f>
        <v/>
      </c>
    </row>
    <row r="79">
      <c r="A79" s="14" t="n">
        <v>78</v>
      </c>
      <c r="B79" s="9" t="n">
        <v>44908</v>
      </c>
      <c r="C79" s="7" t="n">
        <v>29087813.71</v>
      </c>
      <c r="D79" s="7">
        <f>C79/E79</f>
        <v/>
      </c>
      <c r="E79" s="7" t="n">
        <v>82.37</v>
      </c>
      <c r="F79" s="7">
        <f>D79/100000</f>
        <v/>
      </c>
      <c r="G79" s="7">
        <f>(F79/DataSheet!$C$9*100)</f>
        <v/>
      </c>
      <c r="H79" s="7">
        <f>K79/I79</f>
        <v/>
      </c>
      <c r="I79" s="7">
        <f>(J79/L79)*100</f>
        <v/>
      </c>
      <c r="J79" s="7">
        <f>L79/O79</f>
        <v/>
      </c>
      <c r="K79" s="7" t="n">
        <v>7.26</v>
      </c>
      <c r="L79" s="7" t="n">
        <v>18608</v>
      </c>
      <c r="M79" s="7" t="n">
        <v>4.37</v>
      </c>
      <c r="N79" s="7">
        <f>K79-I79</f>
        <v/>
      </c>
      <c r="O79" s="7" t="n">
        <v>22.36</v>
      </c>
      <c r="P79" s="7" t="n">
        <v>3.5</v>
      </c>
      <c r="Q79" s="7">
        <f>K79-P79</f>
        <v/>
      </c>
      <c r="R79" s="7" t="n">
        <v>103.98</v>
      </c>
      <c r="S79" s="7">
        <f>(O79*T79)</f>
        <v/>
      </c>
      <c r="T79" s="12" t="n">
        <v>6.37</v>
      </c>
      <c r="U79" s="23" t="n">
        <v>12270.45</v>
      </c>
      <c r="V79" s="23" t="n">
        <v>26.69</v>
      </c>
      <c r="W79" s="7">
        <f>U79/V79</f>
        <v/>
      </c>
      <c r="X79" s="7">
        <f>(W79/U79)*100</f>
        <v/>
      </c>
      <c r="Y79" s="23" t="n">
        <v>9788.700000000001</v>
      </c>
      <c r="Z79" s="23" t="n">
        <v>19.34</v>
      </c>
      <c r="AA79" s="7">
        <f>Y79/Z79</f>
        <v/>
      </c>
      <c r="AB79" s="7">
        <f>(AA79/Y79)*100</f>
        <v/>
      </c>
    </row>
    <row r="80">
      <c r="A80" s="14" t="n">
        <v>79</v>
      </c>
      <c r="B80" s="9" t="n">
        <v>44909</v>
      </c>
      <c r="C80" s="7" t="n">
        <v>29211638.35</v>
      </c>
      <c r="D80" s="7">
        <f>C80/E80</f>
        <v/>
      </c>
      <c r="E80" s="7" t="n">
        <v>82.47</v>
      </c>
      <c r="F80" s="7">
        <f>D80/100000</f>
        <v/>
      </c>
      <c r="G80" s="7">
        <f>(F80/DataSheet!$C$9*100)</f>
        <v/>
      </c>
      <c r="H80" s="7">
        <f>K80/I80</f>
        <v/>
      </c>
      <c r="I80" s="7">
        <f>(J80/L80)*100</f>
        <v/>
      </c>
      <c r="J80" s="7">
        <f>L80/O80</f>
        <v/>
      </c>
      <c r="K80" s="7" t="n">
        <v>7.22</v>
      </c>
      <c r="L80" s="7" t="n">
        <v>18660.3</v>
      </c>
      <c r="M80" s="7" t="n">
        <v>4.38</v>
      </c>
      <c r="N80" s="7">
        <f>K80-I80</f>
        <v/>
      </c>
      <c r="O80" s="7" t="n">
        <v>22.43</v>
      </c>
      <c r="P80" s="7" t="n">
        <v>3.47</v>
      </c>
      <c r="Q80" s="7">
        <f>K80-P80</f>
        <v/>
      </c>
      <c r="R80" s="7" t="n">
        <v>103.77</v>
      </c>
      <c r="S80" s="7">
        <f>(O80*T80)</f>
        <v/>
      </c>
      <c r="T80" s="12" t="n">
        <v>6.41</v>
      </c>
      <c r="U80" s="23" t="n">
        <v>12349.7</v>
      </c>
      <c r="V80" s="23" t="n">
        <v>26.86</v>
      </c>
      <c r="W80" s="7">
        <f>U80/V80</f>
        <v/>
      </c>
      <c r="X80" s="7">
        <f>(W80/U80)*100</f>
        <v/>
      </c>
      <c r="Y80" s="23" t="n">
        <v>9852.65</v>
      </c>
      <c r="Z80" s="23" t="n">
        <v>19.47</v>
      </c>
      <c r="AA80" s="7">
        <f>Y80/Z80</f>
        <v/>
      </c>
      <c r="AB80" s="7">
        <f>(AA80/Y80)*100</f>
        <v/>
      </c>
    </row>
    <row r="81">
      <c r="A81" s="14" t="n">
        <v>80</v>
      </c>
      <c r="B81" s="9" t="n">
        <v>44910</v>
      </c>
      <c r="C81" s="7" t="n">
        <v>28934812.59</v>
      </c>
      <c r="D81" s="7">
        <f>C81/E81</f>
        <v/>
      </c>
      <c r="E81" s="7" t="n">
        <v>82.84</v>
      </c>
      <c r="F81" s="7">
        <f>D81/100000</f>
        <v/>
      </c>
      <c r="G81" s="7">
        <f>(F81/DataSheet!$C$9*100)</f>
        <v/>
      </c>
      <c r="H81" s="7">
        <f>K81/I81</f>
        <v/>
      </c>
      <c r="I81" s="7">
        <f>(J81/L81)*100</f>
        <v/>
      </c>
      <c r="J81" s="7">
        <f>L81/O81</f>
        <v/>
      </c>
      <c r="K81" s="7" t="n">
        <v>7.26</v>
      </c>
      <c r="L81" s="7" t="n">
        <v>18414.9</v>
      </c>
      <c r="M81" s="7" t="n">
        <v>4.32</v>
      </c>
      <c r="N81" s="7">
        <f>K81-I81</f>
        <v/>
      </c>
      <c r="O81" s="7" t="n">
        <v>22.13</v>
      </c>
      <c r="P81" s="7" t="n">
        <v>3.45</v>
      </c>
      <c r="Q81" s="7">
        <f>K81-P81</f>
        <v/>
      </c>
      <c r="R81" s="7" t="n">
        <v>104.56</v>
      </c>
      <c r="S81" s="7">
        <f>(O81*T81)</f>
        <v/>
      </c>
      <c r="T81" s="12" t="n">
        <v>6.42</v>
      </c>
      <c r="U81" s="23" t="n">
        <v>12237.9</v>
      </c>
      <c r="V81" s="23" t="n">
        <v>26.62</v>
      </c>
      <c r="W81" s="7">
        <f>U81/V81</f>
        <v/>
      </c>
      <c r="X81" s="7">
        <f>(W81/U81)*100</f>
        <v/>
      </c>
      <c r="Y81" s="23" t="n">
        <v>9810.200000000001</v>
      </c>
      <c r="Z81" s="23" t="n">
        <v>19.38</v>
      </c>
      <c r="AA81" s="7">
        <f>Y81/Z81</f>
        <v/>
      </c>
      <c r="AB81" s="7">
        <f>(AA81/Y81)*100</f>
        <v/>
      </c>
    </row>
    <row r="82">
      <c r="A82" s="14" t="n">
        <v>81</v>
      </c>
      <c r="B82" s="9" t="n">
        <v>44911</v>
      </c>
      <c r="C82" s="7" t="n">
        <v>28634300.27</v>
      </c>
      <c r="D82" s="7">
        <f>C82/E82</f>
        <v/>
      </c>
      <c r="E82" s="7" t="n">
        <v>82.7</v>
      </c>
      <c r="F82" s="7">
        <f>D82/100000</f>
        <v/>
      </c>
      <c r="G82" s="7">
        <f>(F82/DataSheet!$C$9*100)</f>
        <v/>
      </c>
      <c r="H82" s="7">
        <f>K82/I82</f>
        <v/>
      </c>
      <c r="I82" s="7">
        <f>(J82/L82)*100</f>
        <v/>
      </c>
      <c r="J82" s="7">
        <f>L82/O82</f>
        <v/>
      </c>
      <c r="K82" s="7" t="n">
        <v>7.27</v>
      </c>
      <c r="L82" s="7" t="n">
        <v>18269</v>
      </c>
      <c r="M82" s="7" t="n">
        <v>4.29</v>
      </c>
      <c r="N82" s="7">
        <f>K82-I82</f>
        <v/>
      </c>
      <c r="O82" s="7" t="n">
        <v>21.96</v>
      </c>
      <c r="P82" s="7" t="n">
        <v>3.48</v>
      </c>
      <c r="Q82" s="7">
        <f>K82-P82</f>
        <v/>
      </c>
      <c r="R82" s="7" t="n">
        <v>104.7</v>
      </c>
      <c r="S82" s="7">
        <f>(O82*T82)</f>
        <v/>
      </c>
      <c r="T82" s="12" t="n">
        <v>6.42</v>
      </c>
      <c r="U82" s="23" t="n">
        <v>12061.25</v>
      </c>
      <c r="V82" s="23" t="n">
        <v>26.24</v>
      </c>
      <c r="W82" s="7">
        <f>U82/V82</f>
        <v/>
      </c>
      <c r="X82" s="7">
        <f>(W82/U82)*100</f>
        <v/>
      </c>
      <c r="Y82" s="23" t="n">
        <v>9732.299999999999</v>
      </c>
      <c r="Z82" s="23" t="n">
        <v>19.23</v>
      </c>
      <c r="AA82" s="7">
        <f>Y82/Z82</f>
        <v/>
      </c>
      <c r="AB82" s="7">
        <f>(AA82/Y82)*100</f>
        <v/>
      </c>
    </row>
    <row r="83">
      <c r="A83" s="14" t="n">
        <v>82</v>
      </c>
      <c r="B83" s="9" t="n">
        <v>44914</v>
      </c>
      <c r="C83" s="4" t="n">
        <v>28863824.61</v>
      </c>
      <c r="D83" s="4">
        <f>C83/E83</f>
        <v/>
      </c>
      <c r="E83" s="4" t="n">
        <v>82.64</v>
      </c>
      <c r="F83" s="4">
        <f>D83/100000</f>
        <v/>
      </c>
      <c r="G83" s="7">
        <f>(F83/DataSheet!$C$9*100)</f>
        <v/>
      </c>
      <c r="H83" s="4">
        <f>K83/I83</f>
        <v/>
      </c>
      <c r="I83" s="4">
        <f>(J83/L83)*100</f>
        <v/>
      </c>
      <c r="J83" s="7">
        <f>L83/O83</f>
        <v/>
      </c>
      <c r="K83" s="4" t="n">
        <v>7.29</v>
      </c>
      <c r="L83" s="4" t="n">
        <v>18420.45</v>
      </c>
      <c r="M83" s="4" t="n">
        <v>4.32</v>
      </c>
      <c r="N83" s="4">
        <f>K83-I83</f>
        <v/>
      </c>
      <c r="O83" s="4" t="n">
        <v>22.14</v>
      </c>
      <c r="P83" s="4" t="n">
        <v>3.59</v>
      </c>
      <c r="Q83" s="4">
        <f>K83-P83</f>
        <v/>
      </c>
      <c r="R83" s="4" t="n">
        <v>104.59</v>
      </c>
      <c r="S83" s="7">
        <f>(O83*T83)</f>
        <v/>
      </c>
      <c r="T83" s="12" t="n">
        <v>6.43</v>
      </c>
      <c r="U83" s="23" t="n">
        <v>12118.95</v>
      </c>
      <c r="V83" s="23" t="n">
        <v>26.36</v>
      </c>
      <c r="W83" s="7">
        <f>U83/V83</f>
        <v/>
      </c>
      <c r="X83" s="7">
        <f>(W83/U83)*100</f>
        <v/>
      </c>
      <c r="Y83" s="23" t="n">
        <v>9761.450000000001</v>
      </c>
      <c r="Z83" s="23" t="n">
        <v>19.28</v>
      </c>
      <c r="AA83" s="7">
        <f>Y83/Z83</f>
        <v/>
      </c>
      <c r="AB83" s="7">
        <f>(AA83/Y83)*100</f>
        <v/>
      </c>
    </row>
    <row r="84">
      <c r="A84" s="14" t="n">
        <v>83</v>
      </c>
      <c r="B84" s="9" t="n">
        <v>44915</v>
      </c>
      <c r="C84" s="4" t="n">
        <v>28827518.88</v>
      </c>
      <c r="D84" s="4">
        <f>C84/E84</f>
        <v/>
      </c>
      <c r="E84" s="4" t="n">
        <v>82.59999999999999</v>
      </c>
      <c r="F84" s="4">
        <f>D84/100000</f>
        <v/>
      </c>
      <c r="G84" s="7">
        <f>(F84/DataSheet!$C$9*100)</f>
        <v/>
      </c>
      <c r="H84" s="4">
        <f>K84/I84</f>
        <v/>
      </c>
      <c r="I84" s="4">
        <f>(J84/L84)*100</f>
        <v/>
      </c>
      <c r="J84" s="7">
        <f>L84/O84</f>
        <v/>
      </c>
      <c r="K84" s="4" t="n">
        <v>7.29</v>
      </c>
      <c r="L84" s="4" t="n">
        <v>18385.3</v>
      </c>
      <c r="M84" s="4" t="n">
        <v>4.32</v>
      </c>
      <c r="N84" s="4">
        <f>K84-I84</f>
        <v/>
      </c>
      <c r="O84" s="4" t="n">
        <v>22.1</v>
      </c>
      <c r="P84" s="4" t="n">
        <v>3.69</v>
      </c>
      <c r="Q84" s="4">
        <f>K84-P84</f>
        <v/>
      </c>
      <c r="R84" s="4" t="n">
        <v>103.6</v>
      </c>
      <c r="S84" s="7">
        <f>(O84*T84)</f>
        <v/>
      </c>
      <c r="T84" s="12" t="n">
        <v>6.43</v>
      </c>
      <c r="U84" s="23" t="n">
        <v>12098.55</v>
      </c>
      <c r="V84" s="23" t="n">
        <v>26.32</v>
      </c>
      <c r="W84" s="7">
        <f>U84/V84</f>
        <v/>
      </c>
      <c r="X84" s="7">
        <f>(W84/U84)*100</f>
        <v/>
      </c>
      <c r="Y84" s="23" t="n">
        <v>9741.25</v>
      </c>
      <c r="Z84" s="23" t="n">
        <v>19.24</v>
      </c>
      <c r="AA84" s="7">
        <f>Y84/Z84</f>
        <v/>
      </c>
      <c r="AB84" s="7">
        <f>(AA84/Y84)*100</f>
        <v/>
      </c>
    </row>
    <row r="85">
      <c r="A85" s="14" t="n">
        <v>84</v>
      </c>
      <c r="B85" s="9" t="n">
        <v>44916</v>
      </c>
      <c r="C85" s="4" t="n">
        <v>28382083.09</v>
      </c>
      <c r="D85" s="4">
        <f>C85/E85</f>
        <v/>
      </c>
      <c r="E85" s="4" t="n">
        <v>82.88</v>
      </c>
      <c r="F85" s="4">
        <f>D85/100000</f>
        <v/>
      </c>
      <c r="G85" s="7">
        <f>(F85/DataSheet!$C$9*100)</f>
        <v/>
      </c>
      <c r="H85" s="4">
        <f>K85/I85</f>
        <v/>
      </c>
      <c r="I85" s="4">
        <f>(J85/L85)*100</f>
        <v/>
      </c>
      <c r="J85" s="7">
        <f>L85/O85</f>
        <v/>
      </c>
      <c r="K85" s="4" t="n">
        <v>7.28</v>
      </c>
      <c r="L85" s="4" t="n">
        <v>18199.1</v>
      </c>
      <c r="M85" s="4" t="n">
        <v>4.27</v>
      </c>
      <c r="N85" s="4">
        <f>K85-I85</f>
        <v/>
      </c>
      <c r="O85" s="4" t="n">
        <v>21.87</v>
      </c>
      <c r="P85" s="4" t="n">
        <v>3.67</v>
      </c>
      <c r="Q85" s="4">
        <f>K85-P85</f>
        <v/>
      </c>
      <c r="R85" s="4" t="n">
        <v>103.84</v>
      </c>
      <c r="S85" s="7">
        <f>(O85*T85)</f>
        <v/>
      </c>
      <c r="T85" s="12" t="n">
        <v>6.46</v>
      </c>
      <c r="U85" s="23" t="n">
        <v>11908.15</v>
      </c>
      <c r="V85" s="23" t="n">
        <v>25.9</v>
      </c>
      <c r="W85" s="7">
        <f>U85/V85</f>
        <v/>
      </c>
      <c r="X85" s="7">
        <f>(W85/U85)*100</f>
        <v/>
      </c>
      <c r="Y85" s="23" t="n">
        <v>9540</v>
      </c>
      <c r="Z85" s="23" t="n">
        <v>18.85</v>
      </c>
      <c r="AA85" s="7">
        <f>Y85/Z85</f>
        <v/>
      </c>
      <c r="AB85" s="7">
        <f>(AA85/Y85)*100</f>
        <v/>
      </c>
    </row>
    <row r="86">
      <c r="A86" s="14" t="n">
        <v>85</v>
      </c>
      <c r="B86" s="9" t="n">
        <v>44917</v>
      </c>
      <c r="C86" s="4" t="n">
        <v>28142937.85</v>
      </c>
      <c r="D86" s="4">
        <f>C86/E86</f>
        <v/>
      </c>
      <c r="E86" s="4" t="n">
        <v>82.95999999999999</v>
      </c>
      <c r="F86" s="4">
        <f>D86/100000</f>
        <v/>
      </c>
      <c r="G86" s="7">
        <f>(F86/DataSheet!$C$9*100)</f>
        <v/>
      </c>
      <c r="H86" s="4">
        <f>K86/I86</f>
        <v/>
      </c>
      <c r="I86" s="4">
        <f>(J86/L86)*100</f>
        <v/>
      </c>
      <c r="J86" s="7">
        <f>L86/O86</f>
        <v/>
      </c>
      <c r="K86" s="4" t="n">
        <v>7.31</v>
      </c>
      <c r="L86" s="4" t="n">
        <v>18127.35</v>
      </c>
      <c r="M86" s="4" t="n">
        <v>4.26</v>
      </c>
      <c r="N86" s="4">
        <f>K86-I86</f>
        <v/>
      </c>
      <c r="O86" s="4" t="n">
        <v>21.79</v>
      </c>
      <c r="P86" s="4" t="n">
        <v>3.68</v>
      </c>
      <c r="Q86" s="4">
        <f>K86-P86</f>
        <v/>
      </c>
      <c r="R86" s="4" t="n">
        <v>104.12</v>
      </c>
      <c r="S86" s="7">
        <f>(O86*T86)</f>
        <v/>
      </c>
      <c r="T86" s="12" t="n">
        <v>6.38</v>
      </c>
      <c r="U86" s="23" t="n">
        <v>11797.05</v>
      </c>
      <c r="V86" s="23" t="n">
        <v>25.66</v>
      </c>
      <c r="W86" s="7">
        <f>U86/V86</f>
        <v/>
      </c>
      <c r="X86" s="7">
        <f>(W86/U86)*100</f>
        <v/>
      </c>
      <c r="Y86" s="23" t="n">
        <v>9373.85</v>
      </c>
      <c r="Z86" s="23" t="n">
        <v>18.52</v>
      </c>
      <c r="AA86" s="7">
        <f>Y86/Z86</f>
        <v/>
      </c>
      <c r="AB86" s="7">
        <f>(AA86/Y86)*100</f>
        <v/>
      </c>
    </row>
    <row r="87">
      <c r="A87" s="14" t="n">
        <v>86</v>
      </c>
      <c r="B87" s="9" t="n">
        <v>44918</v>
      </c>
      <c r="C87" s="4" t="n">
        <v>27298446.79</v>
      </c>
      <c r="D87" s="4">
        <f>C87/E87</f>
        <v/>
      </c>
      <c r="E87" s="4" t="n">
        <v>82.78</v>
      </c>
      <c r="F87" s="4">
        <f>D87/100000</f>
        <v/>
      </c>
      <c r="G87" s="7">
        <f>(F87/DataSheet!$C$9*100)</f>
        <v/>
      </c>
      <c r="H87" s="4">
        <f>K87/I87</f>
        <v/>
      </c>
      <c r="I87" s="4">
        <f>(J87/L87)*100</f>
        <v/>
      </c>
      <c r="J87" s="7">
        <f>L87/O87</f>
        <v/>
      </c>
      <c r="K87" s="4" t="n">
        <v>7.31</v>
      </c>
      <c r="L87" s="4" t="n">
        <v>17806.8</v>
      </c>
      <c r="M87" s="4" t="n">
        <v>4.18</v>
      </c>
      <c r="N87" s="4">
        <f>K87-I87</f>
        <v/>
      </c>
      <c r="O87" s="4" t="n">
        <v>21.4</v>
      </c>
      <c r="P87" s="4" t="n">
        <v>3.71</v>
      </c>
      <c r="Q87" s="4">
        <f>K87-P87</f>
        <v/>
      </c>
      <c r="R87" s="4" t="n">
        <v>103.95</v>
      </c>
      <c r="S87" s="7">
        <f>(O87*T87)</f>
        <v/>
      </c>
      <c r="T87" s="12" t="n">
        <v>6.39</v>
      </c>
      <c r="U87" s="23" t="n">
        <v>11383.05</v>
      </c>
      <c r="V87" s="23" t="n">
        <v>24.76</v>
      </c>
      <c r="W87" s="7">
        <f>U87/V87</f>
        <v/>
      </c>
      <c r="X87" s="7">
        <f>(W87/U87)*100</f>
        <v/>
      </c>
      <c r="Y87" s="23" t="n">
        <v>8962.5</v>
      </c>
      <c r="Z87" s="23" t="n">
        <v>17.71</v>
      </c>
      <c r="AA87" s="7">
        <f>Y87/Z87</f>
        <v/>
      </c>
      <c r="AB87" s="7">
        <f>(AA87/Y87)*100</f>
        <v/>
      </c>
    </row>
    <row r="88">
      <c r="A88" s="14" t="n">
        <v>87</v>
      </c>
      <c r="B88" s="9" t="n">
        <v>44921</v>
      </c>
      <c r="C88" s="7" t="n">
        <v>27859586.2</v>
      </c>
      <c r="D88" s="7">
        <f>C88/E88</f>
        <v/>
      </c>
      <c r="E88" s="7" t="n">
        <v>82.65000000000001</v>
      </c>
      <c r="F88" s="7">
        <f>D88/100000</f>
        <v/>
      </c>
      <c r="G88" s="7">
        <f>(F88/DataSheet!$C$9*100)</f>
        <v/>
      </c>
      <c r="H88" s="7">
        <f>K88/I88</f>
        <v/>
      </c>
      <c r="I88" s="4">
        <f>(J88/L88)*100</f>
        <v/>
      </c>
      <c r="J88" s="7">
        <f>L88/O88</f>
        <v/>
      </c>
      <c r="K88" s="4" t="n">
        <v>7.31</v>
      </c>
      <c r="L88" s="4" t="n">
        <v>18014.6</v>
      </c>
      <c r="M88" s="4" t="n">
        <v>4.23</v>
      </c>
      <c r="N88" s="4">
        <f>K88-I88</f>
        <v/>
      </c>
      <c r="O88" s="4" t="n">
        <v>21.65</v>
      </c>
      <c r="P88" s="4" t="n">
        <v>3.74</v>
      </c>
      <c r="Q88" s="4">
        <f>K88-P88</f>
        <v/>
      </c>
      <c r="R88" s="4" t="n">
        <v>104.33</v>
      </c>
      <c r="S88" s="7">
        <f>(O88*T88)</f>
        <v/>
      </c>
      <c r="T88" s="12" t="n">
        <v>6.37</v>
      </c>
      <c r="U88" s="23" t="n">
        <v>11665.3</v>
      </c>
      <c r="V88" s="23" t="n">
        <v>25.38</v>
      </c>
      <c r="W88" s="7">
        <f>U88/V88</f>
        <v/>
      </c>
      <c r="X88" s="7">
        <f>(W88/U88)*100</f>
        <v/>
      </c>
      <c r="Y88" s="23" t="n">
        <v>9262.700000000001</v>
      </c>
      <c r="Z88" s="23" t="n">
        <v>18.3</v>
      </c>
      <c r="AA88" s="7">
        <f>Y88/Z88</f>
        <v/>
      </c>
      <c r="AB88" s="7">
        <f>(AA88/Y88)*100</f>
        <v/>
      </c>
    </row>
    <row r="89">
      <c r="A89" s="14" t="n">
        <v>88</v>
      </c>
      <c r="B89" s="9" t="n">
        <v>44922</v>
      </c>
      <c r="C89" s="7" t="n">
        <v>28128814.01</v>
      </c>
      <c r="D89" s="7">
        <f>C89/E89</f>
        <v/>
      </c>
      <c r="E89" s="7" t="n">
        <v>82.83</v>
      </c>
      <c r="F89" s="7">
        <f>D89/100000</f>
        <v/>
      </c>
      <c r="G89" s="7">
        <f>(F89/DataSheet!$C$9*100)</f>
        <v/>
      </c>
      <c r="H89" s="7">
        <f>K89/I89</f>
        <v/>
      </c>
      <c r="I89" s="4">
        <f>(J89/L89)*100</f>
        <v/>
      </c>
      <c r="J89" s="7">
        <f>L89/O89</f>
        <v/>
      </c>
      <c r="K89" s="4" t="n">
        <v>7.3</v>
      </c>
      <c r="L89" s="4" t="n">
        <v>18132.3</v>
      </c>
      <c r="M89" s="4" t="n">
        <v>4.26</v>
      </c>
      <c r="N89" s="4">
        <f>K89-I89</f>
        <v/>
      </c>
      <c r="O89" s="4" t="n">
        <v>21.79</v>
      </c>
      <c r="P89" s="4" t="n">
        <v>3.84</v>
      </c>
      <c r="Q89" s="4">
        <f>K89-P89</f>
        <v/>
      </c>
      <c r="R89" s="4" t="n">
        <v>104.19</v>
      </c>
      <c r="S89" s="7">
        <f>(O89*T89)</f>
        <v/>
      </c>
      <c r="T89" s="12" t="n">
        <v>6.38</v>
      </c>
      <c r="U89" s="23" t="n">
        <v>11774.15</v>
      </c>
      <c r="V89" s="23" t="n">
        <v>25.61</v>
      </c>
      <c r="W89" s="7">
        <f>U89/V89</f>
        <v/>
      </c>
      <c r="X89" s="7">
        <f>(W89/U89)*100</f>
        <v/>
      </c>
      <c r="Y89" s="23" t="n">
        <v>9377.049999999999</v>
      </c>
      <c r="Z89" s="23" t="n">
        <v>18.52</v>
      </c>
      <c r="AA89" s="7">
        <f>Y89/Z89</f>
        <v/>
      </c>
      <c r="AB89" s="7">
        <f>(AA89/Y89)*100</f>
        <v/>
      </c>
    </row>
    <row r="90">
      <c r="A90" s="14" t="n">
        <v>89</v>
      </c>
      <c r="B90" s="9" t="n">
        <v>44923</v>
      </c>
      <c r="C90" s="7" t="n">
        <v>28197413.06</v>
      </c>
      <c r="D90" s="7">
        <f>C90/E90</f>
        <v/>
      </c>
      <c r="E90" s="7" t="n">
        <v>82.73</v>
      </c>
      <c r="F90" s="7">
        <f>D90/100000</f>
        <v/>
      </c>
      <c r="G90" s="7">
        <f>(F90/DataSheet!$C$9*100)</f>
        <v/>
      </c>
      <c r="H90" s="7">
        <f>K90/I90</f>
        <v/>
      </c>
      <c r="I90" s="7">
        <f>(J90/L90)*100</f>
        <v/>
      </c>
      <c r="J90" s="7">
        <f>L90/O90</f>
        <v/>
      </c>
      <c r="K90" s="7" t="n">
        <v>7.31</v>
      </c>
      <c r="L90" s="7" t="n">
        <v>18122.5</v>
      </c>
      <c r="M90" s="7" t="n">
        <v>4.25</v>
      </c>
      <c r="N90" s="7">
        <f>K90-I90</f>
        <v/>
      </c>
      <c r="O90" s="7" t="n">
        <v>21.78</v>
      </c>
      <c r="P90" s="7" t="n">
        <v>3.88</v>
      </c>
      <c r="Q90" s="7">
        <f>K90-P90</f>
        <v/>
      </c>
      <c r="R90" s="7" t="n">
        <v>104.18</v>
      </c>
      <c r="S90" s="7">
        <f>(O90*T90)</f>
        <v/>
      </c>
      <c r="T90" s="12" t="n">
        <v>6.34</v>
      </c>
      <c r="U90" s="23" t="n">
        <v>11812.2</v>
      </c>
      <c r="V90" s="23" t="n">
        <v>25.7</v>
      </c>
      <c r="W90" s="7">
        <f>U90/V90</f>
        <v/>
      </c>
      <c r="X90" s="7">
        <f>(W90/U90)*100</f>
        <v/>
      </c>
      <c r="Y90" s="23" t="n">
        <v>9397.049999999999</v>
      </c>
      <c r="Z90" s="23" t="n">
        <v>18.56</v>
      </c>
      <c r="AA90" s="7">
        <f>Y90/Z90</f>
        <v/>
      </c>
      <c r="AB90" s="7">
        <f>(AA90/Y90)*100</f>
        <v/>
      </c>
    </row>
    <row r="91">
      <c r="A91" s="14" t="n">
        <v>90</v>
      </c>
      <c r="B91" s="9" t="n">
        <v>44924</v>
      </c>
      <c r="C91" s="7" t="n">
        <v>28320834.65</v>
      </c>
      <c r="D91" s="7">
        <f>C91/E91</f>
        <v/>
      </c>
      <c r="E91" s="7" t="n">
        <v>82.75</v>
      </c>
      <c r="F91" s="7">
        <f>D91/100000</f>
        <v/>
      </c>
      <c r="G91" s="7">
        <f>(F91/DataSheet!$C$9*100)</f>
        <v/>
      </c>
      <c r="H91" s="7">
        <f>K91/I91</f>
        <v/>
      </c>
      <c r="I91" s="7">
        <f>(J91/L91)*100</f>
        <v/>
      </c>
      <c r="J91" s="7">
        <f>L91/O91</f>
        <v/>
      </c>
      <c r="K91" s="7" t="n">
        <v>7.31</v>
      </c>
      <c r="L91" s="7" t="n">
        <v>18191</v>
      </c>
      <c r="M91" s="7" t="n">
        <v>4.27</v>
      </c>
      <c r="N91" s="7">
        <f>K91-I91</f>
        <v/>
      </c>
      <c r="O91" s="7" t="n">
        <v>21.86</v>
      </c>
      <c r="P91" s="7" t="n">
        <v>3.82</v>
      </c>
      <c r="Q91" s="7">
        <f>K91-P91</f>
        <v/>
      </c>
      <c r="R91" s="7" t="n">
        <v>103.58</v>
      </c>
      <c r="S91" s="7">
        <f>(O91*T91)</f>
        <v/>
      </c>
      <c r="T91" s="12" t="n">
        <v>6.31</v>
      </c>
      <c r="U91" s="23" t="n">
        <v>11829.25</v>
      </c>
      <c r="V91" s="23" t="n">
        <v>25.73</v>
      </c>
      <c r="W91" s="7">
        <f>U91/V91</f>
        <v/>
      </c>
      <c r="X91" s="7">
        <f>(W91/U91)*100</f>
        <v/>
      </c>
      <c r="Y91" s="23" t="n">
        <v>9408.35</v>
      </c>
      <c r="Z91" s="23" t="n">
        <v>18.59</v>
      </c>
      <c r="AA91" s="7">
        <f>Y91/Z91</f>
        <v/>
      </c>
      <c r="AB91" s="7">
        <f>(AA91/Y91)*100</f>
        <v/>
      </c>
    </row>
    <row r="92">
      <c r="A92" s="14" t="n">
        <v>91</v>
      </c>
      <c r="B92" s="9" t="n">
        <v>44925</v>
      </c>
      <c r="C92" s="7" t="n">
        <v>28323372.4</v>
      </c>
      <c r="D92" s="7">
        <f>C92/E92</f>
        <v/>
      </c>
      <c r="E92" s="7" t="n">
        <v>82.70999999999999</v>
      </c>
      <c r="F92" s="7">
        <f>D92/100000</f>
        <v/>
      </c>
      <c r="G92" s="7">
        <f>(F92/DataSheet!$C$9*100)</f>
        <v/>
      </c>
      <c r="H92" s="7">
        <f>K92/I92</f>
        <v/>
      </c>
      <c r="I92" s="7">
        <f>(J92/L92)*100</f>
        <v/>
      </c>
      <c r="J92" s="7">
        <f>L92/O92</f>
        <v/>
      </c>
      <c r="K92" s="7" t="n">
        <v>7.32</v>
      </c>
      <c r="L92" s="7" t="n">
        <v>18105.3</v>
      </c>
      <c r="M92" s="7" t="n">
        <v>4.25</v>
      </c>
      <c r="N92" s="7">
        <f>K92-I92</f>
        <v/>
      </c>
      <c r="O92" s="7" t="n">
        <v>21.79</v>
      </c>
      <c r="P92" s="7" t="n">
        <v>3.87</v>
      </c>
      <c r="Q92" s="7">
        <f>K92-P92</f>
        <v/>
      </c>
      <c r="R92" s="7" t="n">
        <v>103.26</v>
      </c>
      <c r="S92" s="7">
        <f>(O92*T92)</f>
        <v/>
      </c>
      <c r="T92" s="12" t="n">
        <v>6.34</v>
      </c>
      <c r="U92" s="23" t="n">
        <v>11885.75</v>
      </c>
      <c r="V92" s="23" t="n">
        <v>26.12</v>
      </c>
      <c r="W92" s="7">
        <f>U92/V92</f>
        <v/>
      </c>
      <c r="X92" s="7">
        <f>(W92/U92)*100</f>
        <v/>
      </c>
      <c r="Y92" s="23" t="n">
        <v>9481.25</v>
      </c>
      <c r="Z92" s="23" t="n">
        <v>19.04</v>
      </c>
      <c r="AA92" s="7">
        <f>Y92/Z92</f>
        <v/>
      </c>
      <c r="AB92" s="7">
        <f>(AA92/Y92)*100</f>
        <v/>
      </c>
    </row>
    <row r="93" customFormat="1" s="61">
      <c r="A93" s="69" t="n">
        <v>92</v>
      </c>
      <c r="B93" s="70" t="n">
        <v>44928</v>
      </c>
      <c r="C93" s="59" t="n">
        <v>28454959.14</v>
      </c>
      <c r="D93" s="59">
        <f>C93/E93</f>
        <v/>
      </c>
      <c r="E93" s="59" t="n">
        <v>82.73999999999999</v>
      </c>
      <c r="F93" s="59">
        <f>D93/100000</f>
        <v/>
      </c>
      <c r="G93" s="59">
        <f>(F93/DataSheet!$C$10*100)</f>
        <v/>
      </c>
      <c r="H93" s="59">
        <f>K93/I93</f>
        <v/>
      </c>
      <c r="I93" s="59">
        <f>(J93/L93)*100</f>
        <v/>
      </c>
      <c r="J93" s="7">
        <f>L93/O93</f>
        <v/>
      </c>
      <c r="K93" s="59" t="n">
        <v>7.34</v>
      </c>
      <c r="L93" s="59" t="n">
        <v>18197.45</v>
      </c>
      <c r="M93" s="59" t="n">
        <v>4.27</v>
      </c>
      <c r="N93" s="59">
        <f>K93-I93</f>
        <v/>
      </c>
      <c r="O93" s="59" t="n">
        <v>21.9</v>
      </c>
      <c r="P93" s="59" t="n">
        <v>3.87</v>
      </c>
      <c r="Q93" s="59">
        <f>K93-P93</f>
        <v/>
      </c>
      <c r="R93" s="59" t="n">
        <v>104.41</v>
      </c>
      <c r="S93" s="7">
        <f>(O93*T93)</f>
        <v/>
      </c>
      <c r="T93" s="12" t="n">
        <v>6.29</v>
      </c>
      <c r="U93" s="60" t="n">
        <v>11970.3</v>
      </c>
      <c r="V93" s="60" t="n">
        <v>26.31</v>
      </c>
      <c r="W93" s="59">
        <f>U93/V93</f>
        <v/>
      </c>
      <c r="X93" s="59">
        <f>(W93/U93)*100</f>
        <v/>
      </c>
      <c r="Y93" s="60" t="n">
        <v>9552.799999999999</v>
      </c>
      <c r="Z93" s="60" t="n">
        <v>19.18</v>
      </c>
      <c r="AA93" s="59">
        <f>Y93/Z93</f>
        <v/>
      </c>
      <c r="AB93" s="59">
        <f>(AA93/Y93)*100</f>
        <v/>
      </c>
    </row>
    <row r="94">
      <c r="A94" s="14" t="n">
        <v>93</v>
      </c>
      <c r="B94" s="9" t="n">
        <v>44929</v>
      </c>
      <c r="C94" s="4" t="n">
        <v>28548825.78</v>
      </c>
      <c r="D94" s="4">
        <f>C94/E94</f>
        <v/>
      </c>
      <c r="E94" s="4" t="n">
        <v>82.77</v>
      </c>
      <c r="F94" s="4">
        <f>D94/100000</f>
        <v/>
      </c>
      <c r="G94" s="7">
        <f>(F94/DataSheet!$C$10*100)</f>
        <v/>
      </c>
      <c r="H94" s="4">
        <f>K94/I94</f>
        <v/>
      </c>
      <c r="I94" s="4">
        <f>(J94/L94)*100</f>
        <v/>
      </c>
      <c r="J94" s="7">
        <f>L94/O94</f>
        <v/>
      </c>
      <c r="K94" s="4" t="n">
        <v>7.32</v>
      </c>
      <c r="L94" s="4" t="n">
        <v>18232.55</v>
      </c>
      <c r="M94" s="4" t="n">
        <v>4.28</v>
      </c>
      <c r="N94" s="4">
        <f>K94-I94</f>
        <v/>
      </c>
      <c r="O94" s="4" t="n">
        <v>21.94</v>
      </c>
      <c r="P94" s="4" t="n">
        <v>3.75</v>
      </c>
      <c r="Q94" s="4">
        <f>K94-P94</f>
        <v/>
      </c>
      <c r="R94" s="4" t="n">
        <v>104.31</v>
      </c>
      <c r="S94" s="7">
        <f>(O94*T94)</f>
        <v/>
      </c>
      <c r="T94" s="12" t="n">
        <v>6.3</v>
      </c>
      <c r="U94" s="23" t="n">
        <v>11994.4</v>
      </c>
      <c r="V94" s="23" t="n">
        <v>26.36</v>
      </c>
      <c r="W94" s="7">
        <f>U94/V94</f>
        <v/>
      </c>
      <c r="X94" s="7">
        <f>(W94/U94)*100</f>
        <v/>
      </c>
      <c r="Y94" s="23" t="n">
        <v>9566.549999999999</v>
      </c>
      <c r="Z94" s="23" t="n">
        <v>19.21</v>
      </c>
      <c r="AA94" s="7">
        <f>Y94/Z94</f>
        <v/>
      </c>
      <c r="AB94" s="7">
        <f>(AA94/Y94)*100</f>
        <v/>
      </c>
    </row>
    <row r="95">
      <c r="A95" s="14" t="n">
        <v>94</v>
      </c>
      <c r="B95" s="9" t="n">
        <v>44930</v>
      </c>
      <c r="C95" s="4" t="n">
        <v>28257665.92</v>
      </c>
      <c r="D95" s="4">
        <f>C95/E95</f>
        <v/>
      </c>
      <c r="E95" s="4" t="n">
        <v>82.64</v>
      </c>
      <c r="F95" s="4">
        <f>D95/100000</f>
        <v/>
      </c>
      <c r="G95" s="7">
        <f>(F95/DataSheet!$C$10*100)</f>
        <v/>
      </c>
      <c r="H95" s="4">
        <f>K95/I95</f>
        <v/>
      </c>
      <c r="I95" s="4">
        <f>(J95/L95)*100</f>
        <v/>
      </c>
      <c r="J95" s="7">
        <f>L95/O95</f>
        <v/>
      </c>
      <c r="K95" s="4" t="n">
        <v>7.32</v>
      </c>
      <c r="L95" s="4" t="n">
        <v>18042.95</v>
      </c>
      <c r="M95" s="4" t="n">
        <v>4.23</v>
      </c>
      <c r="N95" s="4">
        <f>K95-I95</f>
        <v/>
      </c>
      <c r="O95" s="4" t="n">
        <v>21.71</v>
      </c>
      <c r="P95" s="4" t="n">
        <v>3.69</v>
      </c>
      <c r="Q95" s="4">
        <f>K95-P95</f>
        <v/>
      </c>
      <c r="R95" s="4" t="n">
        <v>104.02</v>
      </c>
      <c r="S95" s="7">
        <f>(O95*T95)</f>
        <v/>
      </c>
      <c r="T95" s="12" t="n">
        <v>6.36</v>
      </c>
      <c r="U95" s="23" t="n">
        <v>11886.95</v>
      </c>
      <c r="V95" s="23" t="n">
        <v>26.12</v>
      </c>
      <c r="W95" s="7">
        <f>U95/V95</f>
        <v/>
      </c>
      <c r="X95" s="7">
        <f>(W95/U95)*100</f>
        <v/>
      </c>
      <c r="Y95" s="23" t="n">
        <v>9480.9</v>
      </c>
      <c r="Z95" s="23" t="n">
        <v>19.04</v>
      </c>
      <c r="AA95" s="7">
        <f>Y95/Z95</f>
        <v/>
      </c>
      <c r="AB95" s="7">
        <f>(AA95/Y95)*100</f>
        <v/>
      </c>
    </row>
    <row r="96">
      <c r="A96" s="14" t="n">
        <v>95</v>
      </c>
      <c r="B96" s="9" t="n">
        <v>44931</v>
      </c>
      <c r="C96" s="4" t="n">
        <v>28279705.52</v>
      </c>
      <c r="D96" s="4">
        <f>C96/E96</f>
        <v/>
      </c>
      <c r="E96" s="4" t="n">
        <v>82.56</v>
      </c>
      <c r="F96" s="4">
        <f>D96/100000</f>
        <v/>
      </c>
      <c r="G96" s="7">
        <f>(F96/DataSheet!$C$10*100)</f>
        <v/>
      </c>
      <c r="H96" s="4">
        <f>K96/I96</f>
        <v/>
      </c>
      <c r="I96" s="4">
        <f>(J96/L96)*100</f>
        <v/>
      </c>
      <c r="J96" s="7">
        <f>L96/O96</f>
        <v/>
      </c>
      <c r="K96" s="4" t="n">
        <v>7.32</v>
      </c>
      <c r="L96" s="4" t="n">
        <v>17992.15</v>
      </c>
      <c r="M96" s="4" t="n">
        <v>4.22</v>
      </c>
      <c r="N96" s="4">
        <f>K96-I96</f>
        <v/>
      </c>
      <c r="O96" s="4" t="n">
        <v>21.65</v>
      </c>
      <c r="P96" s="4" t="n">
        <v>3.72</v>
      </c>
      <c r="Q96" s="4">
        <f>K96-P96</f>
        <v/>
      </c>
      <c r="R96" s="4" t="n">
        <v>104.82</v>
      </c>
      <c r="S96" s="7">
        <f>(O96*T96)</f>
        <v/>
      </c>
      <c r="T96" s="12" t="n">
        <v>6.37</v>
      </c>
      <c r="U96" s="23" t="n">
        <v>11932.85</v>
      </c>
      <c r="V96" s="23" t="n">
        <v>26.22</v>
      </c>
      <c r="W96" s="7">
        <f>U96/V96</f>
        <v/>
      </c>
      <c r="X96" s="7">
        <f>(W96/U96)*100</f>
        <v/>
      </c>
      <c r="Y96" s="23" t="n">
        <v>9479.5</v>
      </c>
      <c r="Z96" s="23" t="n">
        <v>19.03</v>
      </c>
      <c r="AA96" s="7">
        <f>Y96/Z96</f>
        <v/>
      </c>
      <c r="AB96" s="7">
        <f>(AA96/Y96)*100</f>
        <v/>
      </c>
    </row>
    <row r="97">
      <c r="A97" s="14" t="n">
        <v>96</v>
      </c>
      <c r="B97" s="9" t="n">
        <v>44932</v>
      </c>
      <c r="C97" s="4" t="n">
        <v>28057696.47</v>
      </c>
      <c r="D97" s="4">
        <f>C97/E97</f>
        <v/>
      </c>
      <c r="E97" s="4" t="n">
        <v>82.27</v>
      </c>
      <c r="F97" s="4">
        <f>D97/100000</f>
        <v/>
      </c>
      <c r="G97" s="7">
        <f>(F97/DataSheet!$C$10*100)</f>
        <v/>
      </c>
      <c r="H97" s="4">
        <f>K97/I97</f>
        <v/>
      </c>
      <c r="I97" s="4">
        <f>(J97/L97)*100</f>
        <v/>
      </c>
      <c r="J97" s="7">
        <f>L97/O97</f>
        <v/>
      </c>
      <c r="K97" s="4" t="n">
        <v>7.37</v>
      </c>
      <c r="L97" s="4" t="n">
        <v>17859.45</v>
      </c>
      <c r="M97" s="4" t="n">
        <v>4.19</v>
      </c>
      <c r="N97" s="4">
        <f>K97-I97</f>
        <v/>
      </c>
      <c r="O97" s="4" t="n">
        <v>21.49</v>
      </c>
      <c r="P97" s="4" t="n">
        <v>3.56</v>
      </c>
      <c r="Q97" s="4">
        <f>K97-P97</f>
        <v/>
      </c>
      <c r="R97" s="4" t="n">
        <v>103.64</v>
      </c>
      <c r="S97" s="7">
        <f>(O97*T97)</f>
        <v/>
      </c>
      <c r="T97" s="12" t="n">
        <v>6.37</v>
      </c>
      <c r="U97" s="23" t="n">
        <v>11850.6</v>
      </c>
      <c r="V97" s="23" t="n">
        <v>26.04</v>
      </c>
      <c r="W97" s="7">
        <f>U97/V97</f>
        <v/>
      </c>
      <c r="X97" s="7">
        <f>(W97/U97)*100</f>
        <v/>
      </c>
      <c r="Y97" s="23" t="n">
        <v>9406.75</v>
      </c>
      <c r="Z97" s="23" t="n">
        <v>18.89</v>
      </c>
      <c r="AA97" s="7">
        <f>Y97/Z97</f>
        <v/>
      </c>
      <c r="AB97" s="7">
        <f>(AA97/Y97)*100</f>
        <v/>
      </c>
    </row>
    <row r="98">
      <c r="A98" s="14" t="n">
        <v>97</v>
      </c>
      <c r="B98" s="8" t="n">
        <v>44935</v>
      </c>
      <c r="C98" s="4" t="n">
        <v>28374278.26</v>
      </c>
      <c r="D98" s="4">
        <f>C98/E98</f>
        <v/>
      </c>
      <c r="E98" s="4" t="n">
        <v>82.17</v>
      </c>
      <c r="F98" s="4">
        <f>D98/100000</f>
        <v/>
      </c>
      <c r="G98" s="7">
        <f>(F98/DataSheet!$C$10*100)</f>
        <v/>
      </c>
      <c r="H98" s="4">
        <f>K98/I98</f>
        <v/>
      </c>
      <c r="I98" s="4">
        <f>(J98/L98)*100</f>
        <v/>
      </c>
      <c r="J98" s="7">
        <f>L98/O98</f>
        <v/>
      </c>
      <c r="K98" s="4" t="n">
        <v>7.34</v>
      </c>
      <c r="L98" s="4" t="n">
        <v>18101.2</v>
      </c>
      <c r="M98" s="4" t="n">
        <v>4.25</v>
      </c>
      <c r="N98" s="4">
        <f>K98-I98</f>
        <v/>
      </c>
      <c r="O98" s="4" t="n">
        <v>21.78</v>
      </c>
      <c r="P98" s="4" t="n">
        <v>3.52</v>
      </c>
      <c r="Q98" s="4">
        <f>K98-P98</f>
        <v/>
      </c>
      <c r="R98" s="4" t="n">
        <v>102.73</v>
      </c>
      <c r="S98" s="7">
        <f>(O98*T98)</f>
        <v/>
      </c>
      <c r="T98" s="12" t="n">
        <v>6.38</v>
      </c>
      <c r="U98" s="23" t="n">
        <v>11948.9</v>
      </c>
      <c r="V98" s="23" t="n">
        <v>26.26</v>
      </c>
      <c r="W98" s="7">
        <f>U98/V98</f>
        <v/>
      </c>
      <c r="X98" s="7">
        <f>(W98/U98)*100</f>
        <v/>
      </c>
      <c r="Y98" s="23" t="n">
        <v>9444.15</v>
      </c>
      <c r="Z98" s="23" t="n">
        <v>18.96</v>
      </c>
      <c r="AA98" s="7">
        <f>Y98/Z98</f>
        <v/>
      </c>
      <c r="AB98" s="7">
        <f>(AA98/Y98)*100</f>
        <v/>
      </c>
    </row>
    <row r="99">
      <c r="A99" s="14" t="n">
        <v>98</v>
      </c>
      <c r="B99" s="8" t="n">
        <v>44936</v>
      </c>
      <c r="C99" s="4" t="n">
        <v>28164222.44</v>
      </c>
      <c r="D99" s="4">
        <f>C99/E99</f>
        <v/>
      </c>
      <c r="E99" s="4" t="n">
        <v>81.59999999999999</v>
      </c>
      <c r="F99" s="4">
        <f>D99/100000</f>
        <v/>
      </c>
      <c r="G99" s="7">
        <f>(F99/DataSheet!$C$10*100)</f>
        <v/>
      </c>
      <c r="H99" s="4">
        <f>K99/I99</f>
        <v/>
      </c>
      <c r="I99" s="4">
        <f>(J99/L99)*100</f>
        <v/>
      </c>
      <c r="J99" s="7">
        <f>L99/O99</f>
        <v/>
      </c>
      <c r="K99" s="4" t="n">
        <v>7.31</v>
      </c>
      <c r="L99" s="4" t="n">
        <v>17914.15</v>
      </c>
      <c r="M99" s="4" t="n">
        <v>4.2</v>
      </c>
      <c r="N99" s="4">
        <f>K99-I99</f>
        <v/>
      </c>
      <c r="O99" s="4" t="n">
        <v>21.56</v>
      </c>
      <c r="P99" s="4" t="n">
        <v>3.61</v>
      </c>
      <c r="Q99" s="4">
        <f>K99-P99</f>
        <v/>
      </c>
      <c r="R99" s="4" t="n">
        <v>102.98</v>
      </c>
      <c r="S99" s="7">
        <f>(O99*T99)</f>
        <v/>
      </c>
      <c r="T99" s="12" t="n">
        <v>6.38</v>
      </c>
      <c r="U99" s="23" t="n">
        <v>11899.55</v>
      </c>
      <c r="V99" s="23" t="n">
        <v>26.15</v>
      </c>
      <c r="W99" s="7">
        <f>U99/V99</f>
        <v/>
      </c>
      <c r="X99" s="7">
        <f>(W99/U99)*100</f>
        <v/>
      </c>
      <c r="Y99" s="23" t="n">
        <v>9398</v>
      </c>
      <c r="Z99" s="23" t="n">
        <v>18.87</v>
      </c>
      <c r="AA99" s="7">
        <f>Y99/Z99</f>
        <v/>
      </c>
      <c r="AB99" s="7">
        <f>(AA99/Y99)*100</f>
        <v/>
      </c>
    </row>
    <row r="100">
      <c r="A100" s="14" t="n">
        <v>99</v>
      </c>
      <c r="B100" s="8" t="n">
        <v>44937</v>
      </c>
      <c r="C100" s="4" t="n">
        <v>28116864.29</v>
      </c>
      <c r="D100" s="4">
        <f>C100/E100</f>
        <v/>
      </c>
      <c r="E100" s="4" t="n">
        <v>81.63</v>
      </c>
      <c r="F100" s="4">
        <f>D100/100000</f>
        <v/>
      </c>
      <c r="G100" s="7">
        <f>(F100/DataSheet!$C$10*100)</f>
        <v/>
      </c>
      <c r="H100" s="4">
        <f>K100/I100</f>
        <v/>
      </c>
      <c r="I100" s="4">
        <f>(J100/L100)*100</f>
        <v/>
      </c>
      <c r="J100" s="7">
        <f>L100/O100</f>
        <v/>
      </c>
      <c r="K100" s="4" t="n">
        <v>7.29</v>
      </c>
      <c r="L100" s="4" t="n">
        <v>17895.7</v>
      </c>
      <c r="M100" s="4" t="n">
        <v>4.2</v>
      </c>
      <c r="N100" s="4">
        <f>K100-I100</f>
        <v/>
      </c>
      <c r="O100" s="4" t="n">
        <v>21.52</v>
      </c>
      <c r="P100" s="4" t="n">
        <v>3.54</v>
      </c>
      <c r="Q100" s="4">
        <f>K100-P100</f>
        <v/>
      </c>
      <c r="R100" s="4" t="n">
        <v>102.92</v>
      </c>
      <c r="S100" s="7">
        <f>(O100*T100)</f>
        <v/>
      </c>
      <c r="T100" s="12" t="n">
        <v>6.4</v>
      </c>
      <c r="U100" s="23" t="n">
        <v>11862.85</v>
      </c>
      <c r="V100" s="23" t="n">
        <v>26.07</v>
      </c>
      <c r="W100" s="7">
        <f>U100/V100</f>
        <v/>
      </c>
      <c r="X100" s="7">
        <f>(W100/U100)*100</f>
        <v/>
      </c>
      <c r="Y100" s="23" t="n">
        <v>9403.200000000001</v>
      </c>
      <c r="Z100" s="23" t="n">
        <v>18.88</v>
      </c>
      <c r="AA100" s="7">
        <f>Y100/Z100</f>
        <v/>
      </c>
      <c r="AB100" s="7">
        <f>(AA100/Y100)*100</f>
        <v/>
      </c>
    </row>
    <row r="101">
      <c r="A101" s="14" t="n">
        <v>100</v>
      </c>
      <c r="B101" s="8" t="n">
        <v>44938</v>
      </c>
      <c r="C101" s="4" t="n">
        <v>28079394.95</v>
      </c>
      <c r="D101" s="4">
        <f>C101/E101</f>
        <v/>
      </c>
      <c r="E101" s="4" t="n">
        <v>81.09999999999999</v>
      </c>
      <c r="F101" s="4">
        <f>D101/100000</f>
        <v/>
      </c>
      <c r="G101" s="7">
        <f>(F101/DataSheet!$C$10*100)</f>
        <v/>
      </c>
      <c r="H101" s="4">
        <f>K101/I101</f>
        <v/>
      </c>
      <c r="I101" s="4">
        <f>(J101/L101)*100</f>
        <v/>
      </c>
      <c r="J101" s="7">
        <f>L101/O101</f>
        <v/>
      </c>
      <c r="K101" s="4" t="n">
        <v>7.28</v>
      </c>
      <c r="L101" s="4" t="n">
        <v>17858.2</v>
      </c>
      <c r="M101" s="4" t="n">
        <v>4.19</v>
      </c>
      <c r="N101" s="4">
        <f>K101-I101</f>
        <v/>
      </c>
      <c r="O101" s="4" t="n">
        <v>21.47</v>
      </c>
      <c r="P101" s="4" t="n">
        <v>3.44</v>
      </c>
      <c r="Q101" s="4">
        <f>K101-P101</f>
        <v/>
      </c>
      <c r="R101" s="4" t="n">
        <v>101.99</v>
      </c>
      <c r="S101" s="7">
        <f>(O101*T101)</f>
        <v/>
      </c>
      <c r="T101" s="12" t="n">
        <v>6.42</v>
      </c>
      <c r="U101" s="23" t="n">
        <v>11836.4</v>
      </c>
      <c r="V101" s="23" t="n">
        <v>26.01</v>
      </c>
      <c r="W101" s="7">
        <f>U101/V101</f>
        <v/>
      </c>
      <c r="X101" s="7">
        <f>(W101/U101)*100</f>
        <v/>
      </c>
      <c r="Y101" s="23" t="n">
        <v>9409.4</v>
      </c>
      <c r="Z101" s="23" t="n">
        <v>18.89</v>
      </c>
      <c r="AA101" s="7">
        <f>Y101/Z101</f>
        <v/>
      </c>
      <c r="AB101" s="7">
        <f>(AA101/Y101)*100</f>
        <v/>
      </c>
    </row>
    <row r="102">
      <c r="A102" s="14" t="n">
        <v>101</v>
      </c>
      <c r="B102" s="8" t="n">
        <v>44939</v>
      </c>
      <c r="C102" s="4" t="n">
        <v>28213564.25</v>
      </c>
      <c r="D102" s="4">
        <f>C102/E102</f>
        <v/>
      </c>
      <c r="E102" s="4" t="n">
        <v>81.28</v>
      </c>
      <c r="F102" s="4">
        <f>D102/100000</f>
        <v/>
      </c>
      <c r="G102" s="7">
        <f>(F102/DataSheet!$C$10*100)</f>
        <v/>
      </c>
      <c r="H102" s="4">
        <f>K102/I102</f>
        <v/>
      </c>
      <c r="I102" s="4">
        <f>(J102/L102)*100</f>
        <v/>
      </c>
      <c r="J102" s="7">
        <f>L102/O102</f>
        <v/>
      </c>
      <c r="K102" s="4" t="n">
        <v>7.29</v>
      </c>
      <c r="L102" s="4" t="n">
        <v>17956.6</v>
      </c>
      <c r="M102" s="4" t="n">
        <v>4.21</v>
      </c>
      <c r="N102" s="4">
        <f>K102-I102</f>
        <v/>
      </c>
      <c r="O102" s="4" t="n">
        <v>21.54</v>
      </c>
      <c r="P102" s="4" t="n">
        <v>3.49</v>
      </c>
      <c r="Q102" s="4">
        <f>K102-P102</f>
        <v/>
      </c>
      <c r="R102" s="4" t="n">
        <v>101.94</v>
      </c>
      <c r="S102" s="7">
        <f>(O102*T102)</f>
        <v/>
      </c>
      <c r="T102" s="12" t="n">
        <v>6.42</v>
      </c>
      <c r="U102" s="23" t="n">
        <v>11830.4</v>
      </c>
      <c r="V102" s="23" t="n">
        <v>26</v>
      </c>
      <c r="W102" s="7">
        <f>U102/V102</f>
        <v/>
      </c>
      <c r="X102" s="7">
        <f>(W102/U102)*100</f>
        <v/>
      </c>
      <c r="Y102" s="23" t="n">
        <v>9436.25</v>
      </c>
      <c r="Z102" s="23" t="n">
        <v>18.94</v>
      </c>
      <c r="AA102" s="7">
        <f>Y102/Z102</f>
        <v/>
      </c>
      <c r="AB102" s="7">
        <f>(AA102/Y102)*100</f>
        <v/>
      </c>
    </row>
    <row r="103">
      <c r="A103" s="14" t="n">
        <v>102</v>
      </c>
      <c r="B103" s="8" t="n">
        <v>44942</v>
      </c>
      <c r="C103" s="4" t="n">
        <v>28147293.2</v>
      </c>
      <c r="D103" s="4">
        <f>C103/E103</f>
        <v/>
      </c>
      <c r="E103" s="4" t="n">
        <v>81.62</v>
      </c>
      <c r="F103" s="4">
        <f>D103/100000</f>
        <v/>
      </c>
      <c r="G103" s="7">
        <f>(F103/DataSheet!$C$10*100)</f>
        <v/>
      </c>
      <c r="H103" s="4">
        <f>K103/I103</f>
        <v/>
      </c>
      <c r="I103" s="4">
        <f>(J103/L103)*100</f>
        <v/>
      </c>
      <c r="J103" s="7">
        <f>L103/O103</f>
        <v/>
      </c>
      <c r="K103" s="4" t="n">
        <v>7.32</v>
      </c>
      <c r="L103" s="4" t="n">
        <v>17894.85</v>
      </c>
      <c r="M103" s="4" t="n">
        <v>4.19</v>
      </c>
      <c r="N103" s="4">
        <f>K103-I103</f>
        <v/>
      </c>
      <c r="O103" s="4" t="n">
        <v>21.34</v>
      </c>
      <c r="P103" s="4" t="n">
        <v>3.52</v>
      </c>
      <c r="Q103" s="4">
        <f>K103-P103</f>
        <v/>
      </c>
      <c r="R103" s="4" t="n">
        <v>101.94</v>
      </c>
      <c r="S103" s="7">
        <f>(O103*T103)</f>
        <v/>
      </c>
      <c r="T103" s="12" t="n">
        <v>6.43</v>
      </c>
      <c r="U103" s="23" t="n">
        <v>11800.3</v>
      </c>
      <c r="V103" s="23" t="n">
        <v>26.16</v>
      </c>
      <c r="W103" s="7">
        <f>U103/V103</f>
        <v/>
      </c>
      <c r="X103" s="7">
        <f>(W103/U103)*100</f>
        <v/>
      </c>
      <c r="Y103" s="23" t="n">
        <v>9431.25</v>
      </c>
      <c r="Z103" s="23" t="n">
        <v>18.93</v>
      </c>
      <c r="AA103" s="7">
        <f>Y103/Z103</f>
        <v/>
      </c>
      <c r="AB103" s="7">
        <f>(AA103/Y103)*100</f>
        <v/>
      </c>
    </row>
    <row r="104">
      <c r="A104" s="14" t="n">
        <v>103</v>
      </c>
      <c r="B104" s="8" t="n">
        <v>44943</v>
      </c>
      <c r="C104" s="4" t="n">
        <v>28272804.64</v>
      </c>
      <c r="D104" s="4">
        <f>C104/E104</f>
        <v/>
      </c>
      <c r="E104" s="4" t="n">
        <v>81.63</v>
      </c>
      <c r="F104" s="4">
        <f>D104/100000</f>
        <v/>
      </c>
      <c r="G104" s="7">
        <f>(F104/DataSheet!$C$10*100)</f>
        <v/>
      </c>
      <c r="H104" s="4">
        <f>K104/I104</f>
        <v/>
      </c>
      <c r="I104" s="4">
        <f>(J104/L104)*100</f>
        <v/>
      </c>
      <c r="J104" s="7">
        <f>L104/O104</f>
        <v/>
      </c>
      <c r="K104" s="4" t="n">
        <v>7.33</v>
      </c>
      <c r="L104" s="4" t="n">
        <v>18053.3</v>
      </c>
      <c r="M104" s="4" t="n">
        <v>4.23</v>
      </c>
      <c r="N104" s="4">
        <f>K104-I104</f>
        <v/>
      </c>
      <c r="O104" s="4" t="n">
        <v>21.53</v>
      </c>
      <c r="P104" s="4" t="n">
        <v>3.54</v>
      </c>
      <c r="Q104" s="4">
        <f>K104-P104</f>
        <v/>
      </c>
      <c r="R104" s="4" t="n">
        <v>102.14</v>
      </c>
      <c r="S104" s="7">
        <f>(O104*T104)</f>
        <v/>
      </c>
      <c r="T104" s="12" t="n">
        <v>6.43</v>
      </c>
      <c r="U104" s="23" t="n">
        <v>11793.6</v>
      </c>
      <c r="V104" s="23" t="n">
        <v>26.03</v>
      </c>
      <c r="W104" s="7">
        <f>U104/V104</f>
        <v/>
      </c>
      <c r="X104" s="7">
        <f>(W104/U104)*100</f>
        <v/>
      </c>
      <c r="Y104" s="23" t="n">
        <v>9417.950000000001</v>
      </c>
      <c r="Z104" s="23" t="n">
        <v>18.87</v>
      </c>
      <c r="AA104" s="7">
        <f>Y104/Z104</f>
        <v/>
      </c>
      <c r="AB104" s="7">
        <f>(AA104/Y104)*100</f>
        <v/>
      </c>
    </row>
    <row r="105">
      <c r="A105" s="14" t="n">
        <v>104</v>
      </c>
      <c r="B105" s="8" t="n">
        <v>44944</v>
      </c>
      <c r="C105" s="4" t="n">
        <v>28363289.33</v>
      </c>
      <c r="D105" s="4">
        <f>C105/E105</f>
        <v/>
      </c>
      <c r="E105" s="4" t="n">
        <v>81.44</v>
      </c>
      <c r="F105" s="4">
        <f>D105/100000</f>
        <v/>
      </c>
      <c r="G105" s="7">
        <f>(F105/DataSheet!$C$10*100)</f>
        <v/>
      </c>
      <c r="H105" s="4">
        <f>K105/I105</f>
        <v/>
      </c>
      <c r="I105" s="4">
        <f>(J105/L105)*100</f>
        <v/>
      </c>
      <c r="J105" s="7">
        <f>L105/O105</f>
        <v/>
      </c>
      <c r="K105" s="4" t="n">
        <v>7.32</v>
      </c>
      <c r="L105" s="4" t="n">
        <v>18165.35</v>
      </c>
      <c r="M105" s="4" t="n">
        <v>4.26</v>
      </c>
      <c r="N105" s="4">
        <f>K105-I105</f>
        <v/>
      </c>
      <c r="O105" s="4" t="n">
        <v>21.67</v>
      </c>
      <c r="P105" s="4" t="n">
        <v>3.37</v>
      </c>
      <c r="Q105" s="4">
        <f>K105-P105</f>
        <v/>
      </c>
      <c r="R105" s="4" t="n">
        <v>102.1</v>
      </c>
      <c r="S105" s="7">
        <f>(O105*T105)</f>
        <v/>
      </c>
      <c r="T105" s="12" t="n">
        <v>6.46</v>
      </c>
      <c r="U105" s="23" t="n">
        <v>11843.7</v>
      </c>
      <c r="V105" s="23" t="n">
        <v>26.14</v>
      </c>
      <c r="W105" s="7">
        <f>U105/V105</f>
        <v/>
      </c>
      <c r="X105" s="7">
        <f>(W105/U105)*100</f>
        <v/>
      </c>
      <c r="Y105" s="23" t="n">
        <v>9424.049999999999</v>
      </c>
      <c r="Z105" s="23" t="n">
        <v>18.95</v>
      </c>
      <c r="AA105" s="7">
        <f>Y105/Z105</f>
        <v/>
      </c>
      <c r="AB105" s="7">
        <f>(AA105/Y105)*100</f>
        <v/>
      </c>
    </row>
    <row r="106">
      <c r="A106" s="14" t="n">
        <v>105</v>
      </c>
      <c r="B106" s="8" t="n">
        <v>44945</v>
      </c>
      <c r="C106" s="4" t="n">
        <v>28269497.64</v>
      </c>
      <c r="D106" s="4">
        <f>C106/E106</f>
        <v/>
      </c>
      <c r="E106" s="4" t="n">
        <v>81.23999999999999</v>
      </c>
      <c r="F106" s="4">
        <f>D106/100000</f>
        <v/>
      </c>
      <c r="G106" s="7">
        <f>(F106/DataSheet!$C$10*100)</f>
        <v/>
      </c>
      <c r="H106" s="4">
        <f>K106/I106</f>
        <v/>
      </c>
      <c r="I106" s="4">
        <f>(J106/L106)*100</f>
        <v/>
      </c>
      <c r="J106" s="7">
        <f>L106/O106</f>
        <v/>
      </c>
      <c r="K106" s="4" t="n">
        <v>7.31</v>
      </c>
      <c r="L106" s="4" t="n">
        <v>18107.85</v>
      </c>
      <c r="M106" s="4" t="n">
        <v>4.24</v>
      </c>
      <c r="N106" s="4">
        <f>K106-I106</f>
        <v/>
      </c>
      <c r="O106" s="4" t="n">
        <v>21.56</v>
      </c>
      <c r="P106" s="4" t="n">
        <v>3.39</v>
      </c>
      <c r="Q106" s="4">
        <f>K106-P106</f>
        <v/>
      </c>
      <c r="R106" s="4" t="n">
        <v>101.83</v>
      </c>
      <c r="S106" s="7">
        <f>(O106*T106)</f>
        <v/>
      </c>
      <c r="T106" s="12" t="n">
        <v>6.43</v>
      </c>
      <c r="U106" s="23" t="n">
        <v>11832.35</v>
      </c>
      <c r="V106" s="23" t="n">
        <v>26.1</v>
      </c>
      <c r="W106" s="7">
        <f>U106/V106</f>
        <v/>
      </c>
      <c r="X106" s="7">
        <f>(W106/U106)*100</f>
        <v/>
      </c>
      <c r="Y106" s="23" t="n">
        <v>9396.9</v>
      </c>
      <c r="Z106" s="23" t="n">
        <v>18.91</v>
      </c>
      <c r="AA106" s="7">
        <f>Y106/Z106</f>
        <v/>
      </c>
      <c r="AB106" s="7">
        <f>(AA106/Y106)*100</f>
        <v/>
      </c>
    </row>
    <row r="107">
      <c r="A107" s="14" t="n">
        <v>106</v>
      </c>
      <c r="B107" s="8" t="n">
        <v>44946</v>
      </c>
      <c r="C107" s="4" t="n">
        <v>28114163.94</v>
      </c>
      <c r="D107" s="4">
        <f>C107/E107</f>
        <v/>
      </c>
      <c r="E107" s="4" t="n">
        <v>80.97</v>
      </c>
      <c r="F107" s="4">
        <f>D107/100000</f>
        <v/>
      </c>
      <c r="G107" s="7">
        <f>(F107/DataSheet!$C$10*100)</f>
        <v/>
      </c>
      <c r="H107" s="4">
        <f>K107/I107</f>
        <v/>
      </c>
      <c r="I107" s="4">
        <f>(J107/L107)*100</f>
        <v/>
      </c>
      <c r="J107" s="7">
        <f>L107/O107</f>
        <v/>
      </c>
      <c r="K107" s="4" t="n">
        <v>7.34</v>
      </c>
      <c r="L107" s="4" t="n">
        <v>18027.65</v>
      </c>
      <c r="M107" s="4" t="n">
        <v>4.23</v>
      </c>
      <c r="N107" s="4">
        <f>K107-I107</f>
        <v/>
      </c>
      <c r="O107" s="4" t="n">
        <v>21.46</v>
      </c>
      <c r="P107" s="4" t="n">
        <v>3.48</v>
      </c>
      <c r="Q107" s="4">
        <f>K107-P107</f>
        <v/>
      </c>
      <c r="R107" s="4" t="n">
        <v>101.78</v>
      </c>
      <c r="S107" s="7">
        <f>(O107*T107)</f>
        <v/>
      </c>
      <c r="T107" s="12" t="n">
        <v>6.45</v>
      </c>
      <c r="U107" s="23" t="n">
        <v>11748.95</v>
      </c>
      <c r="V107" s="23" t="n">
        <v>25.89</v>
      </c>
      <c r="W107" s="7">
        <f>U107/V107</f>
        <v/>
      </c>
      <c r="X107" s="7">
        <f>(W107/U107)*100</f>
        <v/>
      </c>
      <c r="Y107" s="23" t="n">
        <v>9344.950000000001</v>
      </c>
      <c r="Z107" s="23" t="n">
        <v>18.75</v>
      </c>
      <c r="AA107" s="7">
        <f>Y107/Z107</f>
        <v/>
      </c>
      <c r="AB107" s="7">
        <f>(AA107/Y107)*100</f>
        <v/>
      </c>
    </row>
    <row r="108">
      <c r="A108" s="14" t="n">
        <v>107</v>
      </c>
      <c r="B108" s="9" t="n">
        <v>44949</v>
      </c>
      <c r="C108" s="7" t="n">
        <v>28167739.33</v>
      </c>
      <c r="D108" s="7">
        <f>C108/E108</f>
        <v/>
      </c>
      <c r="E108" s="7" t="n">
        <v>81.47</v>
      </c>
      <c r="F108" s="7">
        <f>D108/100000</f>
        <v/>
      </c>
      <c r="G108" s="7">
        <f>(F108/DataSheet!$C$10*100)</f>
        <v/>
      </c>
      <c r="H108" s="7">
        <f>K108/I108</f>
        <v/>
      </c>
      <c r="I108" s="4">
        <f>(J108/L108)*100</f>
        <v/>
      </c>
      <c r="J108" s="7">
        <f>L108/O108</f>
        <v/>
      </c>
      <c r="K108" s="7" t="n">
        <v>7.35</v>
      </c>
      <c r="L108" s="7" t="n">
        <v>18118.55</v>
      </c>
      <c r="M108" s="7" t="n">
        <v>4.25</v>
      </c>
      <c r="N108" s="4">
        <f>K108-I108</f>
        <v/>
      </c>
      <c r="O108" s="7" t="n">
        <v>21.6</v>
      </c>
      <c r="P108" s="7" t="n">
        <v>3.52</v>
      </c>
      <c r="Q108" s="4">
        <f>K108-P108</f>
        <v/>
      </c>
      <c r="R108" s="7" t="n">
        <v>101.91</v>
      </c>
      <c r="S108" s="7">
        <f>(O108*T108)</f>
        <v/>
      </c>
      <c r="T108" s="12" t="n">
        <v>6.43</v>
      </c>
      <c r="U108" s="23" t="n">
        <v>11771.05</v>
      </c>
      <c r="V108" s="23" t="n">
        <v>25.84</v>
      </c>
      <c r="W108" s="7">
        <f>U108/V108</f>
        <v/>
      </c>
      <c r="X108" s="7">
        <f>(W108/U108)*100</f>
        <v/>
      </c>
      <c r="Y108" s="23" t="n">
        <v>9331.9</v>
      </c>
      <c r="Z108" s="23" t="n">
        <v>18.7</v>
      </c>
      <c r="AA108" s="7">
        <f>Y108/Z108</f>
        <v/>
      </c>
      <c r="AB108" s="7">
        <f>(AA108/Y108)*100</f>
        <v/>
      </c>
    </row>
    <row r="109">
      <c r="A109" s="14" t="n">
        <v>108</v>
      </c>
      <c r="B109" s="9" t="n">
        <v>44950</v>
      </c>
      <c r="C109" s="7" t="n">
        <v>28128809.69</v>
      </c>
      <c r="D109" s="7">
        <f>C109/E109</f>
        <v/>
      </c>
      <c r="E109" s="7" t="n">
        <v>81.59</v>
      </c>
      <c r="F109" s="7">
        <f>D109/100000</f>
        <v/>
      </c>
      <c r="G109" s="7">
        <f>(F109/DataSheet!$C$10*100)</f>
        <v/>
      </c>
      <c r="H109" s="7">
        <f>K109/I109</f>
        <v/>
      </c>
      <c r="I109" s="4">
        <f>(J109/L109)*100</f>
        <v/>
      </c>
      <c r="J109" s="7">
        <f>L109/O109</f>
        <v/>
      </c>
      <c r="K109" s="7" t="n">
        <v>7.34</v>
      </c>
      <c r="L109" s="7" t="n">
        <v>18118.3</v>
      </c>
      <c r="M109" s="7" t="n">
        <v>4.25</v>
      </c>
      <c r="N109" s="4">
        <f>K109-I109</f>
        <v/>
      </c>
      <c r="O109" s="7" t="n">
        <v>21.49</v>
      </c>
      <c r="P109" s="7" t="n">
        <v>3.45</v>
      </c>
      <c r="Q109" s="4">
        <f>K109-P109</f>
        <v/>
      </c>
      <c r="R109" s="7" t="n">
        <v>101.67</v>
      </c>
      <c r="S109" s="7">
        <f>(O109*T109)</f>
        <v/>
      </c>
      <c r="T109" s="12" t="n">
        <v>6.42</v>
      </c>
      <c r="U109" s="23" t="n">
        <v>11729.9</v>
      </c>
      <c r="V109" s="23" t="n">
        <v>25.55</v>
      </c>
      <c r="W109" s="7">
        <f>U109/V109</f>
        <v/>
      </c>
      <c r="X109" s="7">
        <f>(W109/U109)*100</f>
        <v/>
      </c>
      <c r="Y109" s="23" t="n">
        <v>9294.450000000001</v>
      </c>
      <c r="Z109" s="23" t="n">
        <v>18.58</v>
      </c>
      <c r="AA109" s="7">
        <f>Y109/Z109</f>
        <v/>
      </c>
      <c r="AB109" s="7">
        <f>(AA109/Y109)*100</f>
        <v/>
      </c>
    </row>
    <row r="110">
      <c r="A110" s="14" t="n">
        <v>109</v>
      </c>
      <c r="B110" s="9" t="n">
        <v>44951</v>
      </c>
      <c r="C110" s="4" t="n">
        <v>27733829.37</v>
      </c>
      <c r="D110" s="4">
        <f>C110/E110</f>
        <v/>
      </c>
      <c r="E110" s="4" t="n">
        <v>81.48999999999999</v>
      </c>
      <c r="F110" s="4">
        <f>D110/100000</f>
        <v/>
      </c>
      <c r="G110" s="7">
        <f>(F110/DataSheet!$C$10*100)</f>
        <v/>
      </c>
      <c r="H110" s="4">
        <f>K110/I110</f>
        <v/>
      </c>
      <c r="I110" s="4">
        <f>(J110/L110)*100</f>
        <v/>
      </c>
      <c r="J110" s="7">
        <f>L110/O110</f>
        <v/>
      </c>
      <c r="K110" s="4" t="n">
        <v>7.34</v>
      </c>
      <c r="L110" s="4" t="n">
        <v>17891.95</v>
      </c>
      <c r="M110" s="4" t="n">
        <v>4.19</v>
      </c>
      <c r="N110" s="4">
        <f>K110-I110</f>
        <v/>
      </c>
      <c r="O110" s="4" t="n">
        <v>21.19</v>
      </c>
      <c r="P110" s="4" t="n">
        <v>3.44</v>
      </c>
      <c r="Q110" s="4">
        <f>K110-P110</f>
        <v/>
      </c>
      <c r="R110" s="4" t="n">
        <v>101.41</v>
      </c>
      <c r="S110" s="7">
        <f>(O110*T110)</f>
        <v/>
      </c>
      <c r="T110" s="12" t="n">
        <v>6.45</v>
      </c>
      <c r="U110" s="23" t="n">
        <v>11583.2</v>
      </c>
      <c r="V110" s="23" t="n">
        <v>25.26</v>
      </c>
      <c r="W110" s="7">
        <f>U110/V110</f>
        <v/>
      </c>
      <c r="X110" s="7">
        <f>(W110/U110)*100</f>
        <v/>
      </c>
      <c r="Y110" s="23" t="n">
        <v>9211.9</v>
      </c>
      <c r="Z110" s="23" t="n">
        <v>18.38</v>
      </c>
      <c r="AA110" s="7">
        <f>Y110/Z110</f>
        <v/>
      </c>
      <c r="AB110" s="7">
        <f>(AA110/Y110)*100</f>
        <v/>
      </c>
    </row>
    <row r="111">
      <c r="A111" s="14" t="n">
        <v>110</v>
      </c>
      <c r="B111" s="8" t="n">
        <v>44953</v>
      </c>
      <c r="C111" s="4" t="n">
        <v>27050860.65</v>
      </c>
      <c r="D111" s="4">
        <f>C111/E111</f>
        <v/>
      </c>
      <c r="E111" s="4" t="n">
        <v>81.51000000000001</v>
      </c>
      <c r="F111" s="4">
        <f>D111/100000</f>
        <v/>
      </c>
      <c r="G111" s="7">
        <f>(F111/DataSheet!$C$10*100)</f>
        <v/>
      </c>
      <c r="H111" s="4">
        <f>K111/I111</f>
        <v/>
      </c>
      <c r="I111" s="4">
        <f>(J111/L111)*100</f>
        <v/>
      </c>
      <c r="J111" s="7">
        <f>L111/O111</f>
        <v/>
      </c>
      <c r="K111" s="4" t="n">
        <v>7.38</v>
      </c>
      <c r="L111" s="4" t="n">
        <v>17604.35</v>
      </c>
      <c r="M111" s="4" t="n">
        <v>4.13</v>
      </c>
      <c r="N111" s="4">
        <f>K111-I111</f>
        <v/>
      </c>
      <c r="O111" s="4" t="n">
        <v>20.7</v>
      </c>
      <c r="P111" s="4" t="n">
        <v>3.5</v>
      </c>
      <c r="Q111" s="4">
        <f>K111-P111</f>
        <v/>
      </c>
      <c r="R111" s="4" t="n">
        <v>101.72</v>
      </c>
      <c r="S111" s="7">
        <f>(O111*T111)</f>
        <v/>
      </c>
      <c r="T111" s="12" t="n">
        <v>6.48</v>
      </c>
      <c r="U111" s="23" t="n">
        <v>11439.6</v>
      </c>
      <c r="V111" s="23" t="n">
        <v>24.88</v>
      </c>
      <c r="W111" s="7">
        <f>U111/V111</f>
        <v/>
      </c>
      <c r="X111" s="7">
        <f>(W111/U111)*100</f>
        <v/>
      </c>
      <c r="Y111" s="23" t="n">
        <v>9043.65</v>
      </c>
      <c r="Z111" s="23" t="n">
        <v>18.06</v>
      </c>
      <c r="AA111" s="7">
        <f>Y111/Z111</f>
        <v/>
      </c>
      <c r="AB111" s="7">
        <f>(AA111/Y111)*100</f>
        <v/>
      </c>
    </row>
    <row r="112">
      <c r="A112" s="14" t="n">
        <v>111</v>
      </c>
      <c r="B112" s="8" t="n">
        <v>44956</v>
      </c>
      <c r="C112" s="4" t="n">
        <v>26928726.69</v>
      </c>
      <c r="D112" s="4">
        <f>C112/E112</f>
        <v/>
      </c>
      <c r="E112" s="4" t="n">
        <v>81.52</v>
      </c>
      <c r="F112" s="4">
        <f>D112/100000</f>
        <v/>
      </c>
      <c r="G112" s="7">
        <f>(F112/DataSheet!$C$10*100)</f>
        <v/>
      </c>
      <c r="H112" s="4">
        <f>K112/I112</f>
        <v/>
      </c>
      <c r="I112" s="4">
        <f>(J112/L112)*100</f>
        <v/>
      </c>
      <c r="J112" s="7">
        <f>L112/O112</f>
        <v/>
      </c>
      <c r="K112" s="4" t="n">
        <v>7.4</v>
      </c>
      <c r="L112" s="4" t="n">
        <v>17648.95</v>
      </c>
      <c r="M112" s="4" t="n">
        <v>4.14</v>
      </c>
      <c r="N112" s="4">
        <f>K112-I112</f>
        <v/>
      </c>
      <c r="O112" s="4" t="n">
        <v>20.73</v>
      </c>
      <c r="P112" s="4" t="n">
        <v>3.54</v>
      </c>
      <c r="Q112" s="4">
        <f>K112-P112</f>
        <v/>
      </c>
      <c r="R112" s="4" t="n">
        <v>102.08</v>
      </c>
      <c r="S112" s="7">
        <f>(O112*T112)</f>
        <v/>
      </c>
      <c r="T112" s="12" t="n">
        <v>6.49</v>
      </c>
      <c r="U112" s="23" t="n">
        <v>11422.3</v>
      </c>
      <c r="V112" s="23" t="n">
        <v>24.82</v>
      </c>
      <c r="W112" s="7">
        <f>U112/V112</f>
        <v/>
      </c>
      <c r="X112" s="7">
        <f>(W112/U112)*100</f>
        <v/>
      </c>
      <c r="Y112" s="23" t="n">
        <v>9024.75</v>
      </c>
      <c r="Z112" s="23" t="n">
        <v>17.98</v>
      </c>
      <c r="AA112" s="7">
        <f>Y112/Z112</f>
        <v/>
      </c>
      <c r="AB112" s="7">
        <f>(AA112/Y112)*100</f>
        <v/>
      </c>
    </row>
    <row r="113">
      <c r="A113" s="14" t="n">
        <v>112</v>
      </c>
      <c r="B113" s="8" t="n">
        <v>44957</v>
      </c>
      <c r="C113" s="4" t="n">
        <v>27111145.75</v>
      </c>
      <c r="D113" s="4">
        <f>C113/E113</f>
        <v/>
      </c>
      <c r="E113" s="4" t="n">
        <v>81.73</v>
      </c>
      <c r="F113" s="4">
        <f>D113/100000</f>
        <v/>
      </c>
      <c r="G113" s="7">
        <f>(F113/DataSheet!$C$10*100)</f>
        <v/>
      </c>
      <c r="H113" s="4">
        <f>K113/I113</f>
        <v/>
      </c>
      <c r="I113" s="4">
        <f>(J113/L113)*100</f>
        <v/>
      </c>
      <c r="J113" s="7">
        <f>L113/O113</f>
        <v/>
      </c>
      <c r="K113" s="4" t="n">
        <v>7.34</v>
      </c>
      <c r="L113" s="4" t="n">
        <v>17662.15</v>
      </c>
      <c r="M113" s="4" t="n">
        <v>4.14</v>
      </c>
      <c r="N113" s="4">
        <f>K113-I113</f>
        <v/>
      </c>
      <c r="O113" s="4" t="n">
        <v>20.73</v>
      </c>
      <c r="P113" s="4" t="n">
        <v>3.51</v>
      </c>
      <c r="Q113" s="4">
        <f>K113-P113</f>
        <v/>
      </c>
      <c r="R113" s="4" t="n">
        <v>101.91</v>
      </c>
      <c r="S113" s="7">
        <f>(O113*T113)</f>
        <v/>
      </c>
      <c r="T113" s="12" t="n">
        <v>6.48</v>
      </c>
      <c r="U113" s="23" t="n">
        <v>11596.65</v>
      </c>
      <c r="V113" s="23" t="n">
        <v>25.21</v>
      </c>
      <c r="W113" s="7">
        <f>U113/V113</f>
        <v/>
      </c>
      <c r="X113" s="7">
        <f>(W113/U113)*100</f>
        <v/>
      </c>
      <c r="Y113" s="23" t="n">
        <v>9261.700000000001</v>
      </c>
      <c r="Z113" s="23" t="n">
        <v>18.48</v>
      </c>
      <c r="AA113" s="7">
        <f>Y113/Z113</f>
        <v/>
      </c>
      <c r="AB113" s="7">
        <f>(AA113/Y113)*100</f>
        <v/>
      </c>
    </row>
    <row r="114">
      <c r="A114" s="14" t="n">
        <v>113</v>
      </c>
      <c r="B114" s="8" t="n">
        <v>44958</v>
      </c>
      <c r="C114" s="4" t="n">
        <v>26746400.52</v>
      </c>
      <c r="D114" s="4">
        <f>C114/E114</f>
        <v/>
      </c>
      <c r="E114" s="4" t="n">
        <v>81.73</v>
      </c>
      <c r="F114" s="4">
        <f>D114/100000</f>
        <v/>
      </c>
      <c r="G114" s="7">
        <f>(F114/DataSheet!$C$10*100)</f>
        <v/>
      </c>
      <c r="H114" s="4">
        <f>K114/I114</f>
        <v/>
      </c>
      <c r="I114" s="4">
        <f>(J114/L114)*100</f>
        <v/>
      </c>
      <c r="J114" s="7">
        <f>L114/O114</f>
        <v/>
      </c>
      <c r="K114" s="4" t="n">
        <v>7.27</v>
      </c>
      <c r="L114" s="4" t="n">
        <v>17616.3</v>
      </c>
      <c r="M114" s="4" t="n">
        <v>4.13</v>
      </c>
      <c r="N114" s="4">
        <f>K114-I114</f>
        <v/>
      </c>
      <c r="O114" s="4" t="n">
        <v>20.68</v>
      </c>
      <c r="P114" s="4" t="n">
        <v>3.41</v>
      </c>
      <c r="Q114" s="4">
        <f>K114-P114</f>
        <v/>
      </c>
      <c r="R114" s="4" t="n">
        <v>101.02</v>
      </c>
      <c r="S114" s="7">
        <f>(O114*T114)</f>
        <v/>
      </c>
      <c r="T114" s="12" t="n">
        <v>6.51</v>
      </c>
      <c r="U114" s="23" t="n">
        <v>11497.65</v>
      </c>
      <c r="V114" s="23" t="n">
        <v>25</v>
      </c>
      <c r="W114" s="7">
        <f>U114/V114</f>
        <v/>
      </c>
      <c r="X114" s="7">
        <f>(W114/U114)*100</f>
        <v/>
      </c>
      <c r="Y114" s="23" t="n">
        <v>9155.6</v>
      </c>
      <c r="Z114" s="23" t="n">
        <v>18.27</v>
      </c>
      <c r="AA114" s="7">
        <f>Y114/Z114</f>
        <v/>
      </c>
      <c r="AB114" s="7">
        <f>(AA114/Y114)*100</f>
        <v/>
      </c>
    </row>
    <row r="115">
      <c r="A115" s="14" t="n">
        <v>114</v>
      </c>
      <c r="B115" s="8" t="n">
        <v>44959</v>
      </c>
      <c r="C115" s="4" t="n">
        <v>26661814.81</v>
      </c>
      <c r="D115" s="4">
        <f>C115/E115</f>
        <v/>
      </c>
      <c r="E115" s="4" t="n">
        <v>82.03</v>
      </c>
      <c r="F115" s="4">
        <f>D115/100000</f>
        <v/>
      </c>
      <c r="G115" s="7">
        <f>(F115/DataSheet!$C$10*100)</f>
        <v/>
      </c>
      <c r="H115" s="4">
        <f>K115/I115</f>
        <v/>
      </c>
      <c r="I115" s="4">
        <f>(J115/L115)*100</f>
        <v/>
      </c>
      <c r="J115" s="7">
        <f>L115/O115</f>
        <v/>
      </c>
      <c r="K115" s="4" t="n">
        <v>7.29</v>
      </c>
      <c r="L115" s="4" t="n">
        <v>17610.4</v>
      </c>
      <c r="M115" s="4" t="n">
        <v>4.13</v>
      </c>
      <c r="N115" s="4">
        <f>K115-I115</f>
        <v/>
      </c>
      <c r="O115" s="4" t="n">
        <v>20.59</v>
      </c>
      <c r="P115" s="4" t="n">
        <v>3.4</v>
      </c>
      <c r="Q115" s="4">
        <f>K115-P115</f>
        <v/>
      </c>
      <c r="R115" s="4" t="n">
        <v>101.57</v>
      </c>
      <c r="S115" s="7">
        <f>(O115*T115)</f>
        <v/>
      </c>
      <c r="T115" s="12" t="n">
        <v>6.56</v>
      </c>
      <c r="U115" s="23" t="n">
        <v>11518.05</v>
      </c>
      <c r="V115" s="23" t="n">
        <v>24.78</v>
      </c>
      <c r="W115" s="7">
        <f>U115/V115</f>
        <v/>
      </c>
      <c r="X115" s="7">
        <f>(W115/U115)*100</f>
        <v/>
      </c>
      <c r="Y115" s="23" t="n">
        <v>9195.6</v>
      </c>
      <c r="Z115" s="23" t="n">
        <v>18.24</v>
      </c>
      <c r="AA115" s="7">
        <f>Y115/Z115</f>
        <v/>
      </c>
      <c r="AB115" s="7">
        <f>(AA115/Y115)*100</f>
        <v/>
      </c>
    </row>
    <row r="116">
      <c r="A116" s="14" t="n">
        <v>115</v>
      </c>
      <c r="B116" s="8" t="n">
        <v>44960</v>
      </c>
      <c r="C116" s="4" t="n">
        <v>26765509.93</v>
      </c>
      <c r="D116" s="4">
        <f>C116/E116</f>
        <v/>
      </c>
      <c r="E116" s="4" t="n">
        <v>82.2</v>
      </c>
      <c r="F116" s="4">
        <f>D116/100000</f>
        <v/>
      </c>
      <c r="G116" s="7">
        <f>(F116/DataSheet!$C$10*100)</f>
        <v/>
      </c>
      <c r="H116" s="4">
        <f>K116/I116</f>
        <v/>
      </c>
      <c r="I116" s="4">
        <f>(J116/L116)*100</f>
        <v/>
      </c>
      <c r="J116" s="7">
        <f>L116/O116</f>
        <v/>
      </c>
      <c r="K116" s="4" t="n">
        <v>7.27</v>
      </c>
      <c r="L116" s="4" t="n">
        <v>17854.05</v>
      </c>
      <c r="M116" s="4" t="n">
        <v>4.18</v>
      </c>
      <c r="N116" s="4">
        <f>K116-I116</f>
        <v/>
      </c>
      <c r="O116" s="4" t="n">
        <v>20.86</v>
      </c>
      <c r="P116" s="4" t="n">
        <v>3.51</v>
      </c>
      <c r="Q116" s="4">
        <f>K116-P116</f>
        <v/>
      </c>
      <c r="R116" s="4" t="n">
        <v>102.75</v>
      </c>
      <c r="S116" s="7">
        <f>(O116*T116)</f>
        <v/>
      </c>
      <c r="T116" s="12" t="n">
        <v>6.57</v>
      </c>
      <c r="U116" s="23" t="n">
        <v>11504.7</v>
      </c>
      <c r="V116" s="23" t="n">
        <v>24.67</v>
      </c>
      <c r="W116" s="7">
        <f>U116/V116</f>
        <v/>
      </c>
      <c r="X116" s="7">
        <f>(W116/U116)*100</f>
        <v/>
      </c>
      <c r="Y116" s="23" t="n">
        <v>9161.549999999999</v>
      </c>
      <c r="Z116" s="23" t="n">
        <v>18.13</v>
      </c>
      <c r="AA116" s="7">
        <f>Y116/Z116</f>
        <v/>
      </c>
      <c r="AB116" s="7">
        <f>(AA116/Y116)*100</f>
        <v/>
      </c>
    </row>
    <row r="117">
      <c r="A117" s="14" t="n">
        <v>116</v>
      </c>
      <c r="B117" s="8" t="n">
        <v>44963</v>
      </c>
      <c r="C117" s="7" t="n">
        <v>26741660.66</v>
      </c>
      <c r="D117" s="7">
        <f>C117/E117</f>
        <v/>
      </c>
      <c r="E117" s="7" t="n">
        <v>82.73999999999999</v>
      </c>
      <c r="F117" s="7">
        <f>D117/100000</f>
        <v/>
      </c>
      <c r="G117" s="7">
        <f>(F117/DataSheet!$C$10*100)</f>
        <v/>
      </c>
      <c r="H117" s="7">
        <f>K117/I117</f>
        <v/>
      </c>
      <c r="I117" s="7">
        <f>(J117/L117)*100</f>
        <v/>
      </c>
      <c r="J117" s="7">
        <f>L117/O117</f>
        <v/>
      </c>
      <c r="K117" s="7" t="n">
        <v>7.32</v>
      </c>
      <c r="L117" s="7" t="n">
        <v>17764.6</v>
      </c>
      <c r="M117" s="7" t="n">
        <v>4.16</v>
      </c>
      <c r="N117" s="7">
        <f>K117-I117</f>
        <v/>
      </c>
      <c r="O117" s="7" t="n">
        <v>20.71</v>
      </c>
      <c r="P117" s="7" t="n">
        <v>3.64</v>
      </c>
      <c r="Q117" s="7">
        <f>K117-P117</f>
        <v/>
      </c>
      <c r="R117" s="7" t="n">
        <v>103.49</v>
      </c>
      <c r="S117" s="7">
        <f>(O117*T117)</f>
        <v/>
      </c>
      <c r="T117" s="12" t="n">
        <v>6.54</v>
      </c>
      <c r="U117" s="23" t="n">
        <v>11602.95</v>
      </c>
      <c r="V117" s="23" t="n">
        <v>24.59</v>
      </c>
      <c r="W117" s="7">
        <f>U117/V117</f>
        <v/>
      </c>
      <c r="X117" s="7">
        <f>(W117/U117)*100</f>
        <v/>
      </c>
      <c r="Y117" s="23" t="n">
        <v>9185.15</v>
      </c>
      <c r="Z117" s="23" t="n">
        <v>18.15</v>
      </c>
      <c r="AA117" s="7">
        <f>Y117/Z117</f>
        <v/>
      </c>
      <c r="AB117" s="7">
        <f>(AA117/Y117)*100</f>
        <v/>
      </c>
    </row>
    <row r="118">
      <c r="A118" s="14" t="n">
        <v>117</v>
      </c>
      <c r="B118" s="8" t="n">
        <v>44964</v>
      </c>
      <c r="C118" s="7" t="n">
        <v>26700115.29</v>
      </c>
      <c r="D118" s="7">
        <f>C118/E118</f>
        <v/>
      </c>
      <c r="E118" s="7" t="n">
        <v>82.86</v>
      </c>
      <c r="F118" s="7">
        <f>D118/100000</f>
        <v/>
      </c>
      <c r="G118" s="7">
        <f>(F118/DataSheet!$C$10*100)</f>
        <v/>
      </c>
      <c r="H118" s="7">
        <f>K118/I118</f>
        <v/>
      </c>
      <c r="I118" s="7">
        <f>(J118/L118)*100</f>
        <v/>
      </c>
      <c r="J118" s="7">
        <f>L118/O118</f>
        <v/>
      </c>
      <c r="K118" s="7" t="n">
        <v>7.3</v>
      </c>
      <c r="L118" s="7" t="n">
        <v>17721.5</v>
      </c>
      <c r="M118" s="7" t="n">
        <v>4.15</v>
      </c>
      <c r="N118" s="7">
        <f>K118-I118</f>
        <v/>
      </c>
      <c r="O118" s="7" t="n">
        <v>20.5</v>
      </c>
      <c r="P118" s="7" t="n">
        <v>3.67</v>
      </c>
      <c r="Q118" s="7">
        <f>K118-P118</f>
        <v/>
      </c>
      <c r="R118" s="7" t="n">
        <v>103.29</v>
      </c>
      <c r="S118" s="7">
        <f>(O118*T118)</f>
        <v/>
      </c>
      <c r="T118" s="12" t="n">
        <v>6.56</v>
      </c>
      <c r="U118" s="23" t="n">
        <v>11601.6</v>
      </c>
      <c r="V118" s="23" t="n">
        <v>24.67</v>
      </c>
      <c r="W118" s="7">
        <f>U118/V118</f>
        <v/>
      </c>
      <c r="X118" s="7">
        <f>(W118/U118)*100</f>
        <v/>
      </c>
      <c r="Y118" s="23" t="n">
        <v>9151.35</v>
      </c>
      <c r="Z118" s="23" t="n">
        <v>18.01</v>
      </c>
      <c r="AA118" s="7">
        <f>Y118/Z118</f>
        <v/>
      </c>
      <c r="AB118" s="7">
        <f>(AA118/Y118)*100</f>
        <v/>
      </c>
    </row>
    <row r="119">
      <c r="A119" s="14" t="n">
        <v>118</v>
      </c>
      <c r="B119" s="8" t="n">
        <v>44965</v>
      </c>
      <c r="C119" s="7" t="n">
        <v>26957063.47</v>
      </c>
      <c r="D119" s="7">
        <f>C119/E119</f>
        <v/>
      </c>
      <c r="E119" s="7" t="n">
        <v>82.65000000000001</v>
      </c>
      <c r="F119" s="7">
        <f>D119/100000</f>
        <v/>
      </c>
      <c r="G119" s="7">
        <f>(F119/DataSheet!$C$10*100)</f>
        <v/>
      </c>
      <c r="H119" s="7">
        <f>K119/I119</f>
        <v/>
      </c>
      <c r="I119" s="7">
        <f>(J119/L119)*100</f>
        <v/>
      </c>
      <c r="J119" s="7">
        <f>L119/O119</f>
        <v/>
      </c>
      <c r="K119" s="7" t="n">
        <v>7.34</v>
      </c>
      <c r="L119" s="7" t="n">
        <v>17871.7</v>
      </c>
      <c r="M119" s="7" t="n">
        <v>4.19</v>
      </c>
      <c r="N119" s="7">
        <f>K119-I119</f>
        <v/>
      </c>
      <c r="O119" s="7" t="n">
        <v>21.1</v>
      </c>
      <c r="P119" s="7" t="n">
        <v>3.61</v>
      </c>
      <c r="Q119" s="7">
        <f>K119-P119</f>
        <v/>
      </c>
      <c r="R119" s="7" t="n">
        <v>103.27</v>
      </c>
      <c r="S119" s="7">
        <f>(O119*T119)</f>
        <v/>
      </c>
      <c r="T119" s="12" t="n">
        <v>6.58</v>
      </c>
      <c r="U119" s="23" t="n">
        <v>11699.35</v>
      </c>
      <c r="V119" s="23" t="n">
        <v>24.91</v>
      </c>
      <c r="W119" s="7">
        <f>U119/V119</f>
        <v/>
      </c>
      <c r="X119" s="7">
        <f>(W119/U119)*100</f>
        <v/>
      </c>
      <c r="Y119" s="23" t="n">
        <v>9222.15</v>
      </c>
      <c r="Z119" s="23" t="n">
        <v>18.13</v>
      </c>
      <c r="AA119" s="7">
        <f>Y119/Z119</f>
        <v/>
      </c>
      <c r="AB119" s="7">
        <f>(AA119/Y119)*100</f>
        <v/>
      </c>
    </row>
    <row r="120">
      <c r="A120" s="14" t="n">
        <v>119</v>
      </c>
      <c r="B120" s="8" t="n">
        <v>44966</v>
      </c>
      <c r="C120" s="7" t="n">
        <v>26930932.71</v>
      </c>
      <c r="D120" s="7">
        <f>C120/E120</f>
        <v/>
      </c>
      <c r="E120" s="7" t="n">
        <v>82.51000000000001</v>
      </c>
      <c r="F120" s="7">
        <f>D120/100000</f>
        <v/>
      </c>
      <c r="G120" s="7">
        <f>(F120/DataSheet!$C$10*100)</f>
        <v/>
      </c>
      <c r="H120" s="7">
        <f>K120/I120</f>
        <v/>
      </c>
      <c r="I120" s="7">
        <f>(J120/L120)*100</f>
        <v/>
      </c>
      <c r="J120" s="7">
        <f>L120/O120</f>
        <v/>
      </c>
      <c r="K120" s="7" t="n">
        <v>7.34</v>
      </c>
      <c r="L120" s="7" t="n">
        <v>17893.45</v>
      </c>
      <c r="M120" s="7" t="n">
        <v>4.19</v>
      </c>
      <c r="N120" s="7">
        <f>K120-I120</f>
        <v/>
      </c>
      <c r="O120" s="7" t="n">
        <v>21.11</v>
      </c>
      <c r="P120" s="7" t="n">
        <v>3.66</v>
      </c>
      <c r="Q120" s="7">
        <f>K120-P120</f>
        <v/>
      </c>
      <c r="R120" s="7" t="n">
        <v>103.1</v>
      </c>
      <c r="S120" s="7">
        <f>(O120*T120)</f>
        <v/>
      </c>
      <c r="T120" s="12" t="n">
        <v>6.69</v>
      </c>
      <c r="U120" s="23" t="n">
        <v>11709.45</v>
      </c>
      <c r="V120" s="23" t="n">
        <v>24.92</v>
      </c>
      <c r="W120" s="7">
        <f>U120/V120</f>
        <v/>
      </c>
      <c r="X120" s="7">
        <f>(W120/U120)*100</f>
        <v/>
      </c>
      <c r="Y120" s="23" t="n">
        <v>9198.85</v>
      </c>
      <c r="Z120" s="23" t="n">
        <v>18.1</v>
      </c>
      <c r="AA120" s="7">
        <f>Y120/Z120</f>
        <v/>
      </c>
      <c r="AB120" s="7">
        <f>(AA120/Y120)*100</f>
        <v/>
      </c>
    </row>
    <row r="121">
      <c r="A121" s="14" t="n">
        <v>120</v>
      </c>
      <c r="B121" s="8" t="n">
        <v>44967</v>
      </c>
      <c r="C121" s="7" t="n">
        <v>26915279.02</v>
      </c>
      <c r="D121" s="7">
        <f>C121/E121</f>
        <v/>
      </c>
      <c r="E121" s="7" t="n">
        <v>82.51000000000001</v>
      </c>
      <c r="F121" s="7">
        <f>D121/100000</f>
        <v/>
      </c>
      <c r="G121" s="7">
        <f>(F121/DataSheet!$C$10*100)</f>
        <v/>
      </c>
      <c r="H121" s="7">
        <f>K121/I121</f>
        <v/>
      </c>
      <c r="I121" s="7">
        <f>(J121/L121)*100</f>
        <v/>
      </c>
      <c r="J121" s="7">
        <f>L121/O121</f>
        <v/>
      </c>
      <c r="K121" s="7" t="n">
        <v>7.36</v>
      </c>
      <c r="L121" s="7" t="n">
        <v>17856.5</v>
      </c>
      <c r="M121" s="7" t="n">
        <v>4.18</v>
      </c>
      <c r="N121" s="7">
        <f>K121-I121</f>
        <v/>
      </c>
      <c r="O121" s="7" t="n">
        <v>21.06</v>
      </c>
      <c r="P121" s="7" t="n">
        <v>3.74</v>
      </c>
      <c r="Q121" s="7">
        <f>K121-P121</f>
        <v/>
      </c>
      <c r="R121" s="7" t="n">
        <v>103.53</v>
      </c>
      <c r="S121" s="7">
        <f>(O121*T121)</f>
        <v/>
      </c>
      <c r="T121" s="12" t="n">
        <v>6.69</v>
      </c>
      <c r="U121" s="23" t="n">
        <v>11738.3</v>
      </c>
      <c r="V121" s="23" t="n">
        <v>24.91</v>
      </c>
      <c r="W121" s="7">
        <f>U121/V121</f>
        <v/>
      </c>
      <c r="X121" s="7">
        <f>(W121/U121)*100</f>
        <v/>
      </c>
      <c r="Y121" s="23" t="n">
        <v>9243.6</v>
      </c>
      <c r="Z121" s="23" t="n">
        <v>18.15</v>
      </c>
      <c r="AA121" s="7">
        <f>Y121/Z121</f>
        <v/>
      </c>
      <c r="AB121" s="7">
        <f>(AA121/Y121)*100</f>
        <v/>
      </c>
    </row>
    <row r="122">
      <c r="A122" s="14" t="n">
        <v>121</v>
      </c>
      <c r="B122" s="8" t="n">
        <v>44970</v>
      </c>
      <c r="C122" s="7" t="n">
        <v>26664344.36</v>
      </c>
      <c r="D122" s="7">
        <f>C122/E122</f>
        <v/>
      </c>
      <c r="E122" s="7" t="n">
        <v>82.59</v>
      </c>
      <c r="F122" s="7">
        <f>D122/100000</f>
        <v/>
      </c>
      <c r="G122" s="7">
        <f>(F122/DataSheet!$C$10*100)</f>
        <v/>
      </c>
      <c r="H122" s="7">
        <f>K122/I122</f>
        <v/>
      </c>
      <c r="I122" s="7">
        <f>(J122/L122)*100</f>
        <v/>
      </c>
      <c r="J122" s="7">
        <f>L122/O122</f>
        <v/>
      </c>
      <c r="K122" s="7" t="n">
        <v>7.36</v>
      </c>
      <c r="L122" s="7" t="n">
        <v>17770.9</v>
      </c>
      <c r="M122" s="7" t="n">
        <v>4.16</v>
      </c>
      <c r="N122" s="7">
        <f>K122-I122</f>
        <v/>
      </c>
      <c r="O122" s="7" t="n">
        <v>21.05</v>
      </c>
      <c r="P122" s="7" t="n">
        <v>3.7</v>
      </c>
      <c r="Q122" s="7">
        <f>K122-P122</f>
        <v/>
      </c>
      <c r="R122" s="7" t="n">
        <v>103.24</v>
      </c>
      <c r="S122" s="7">
        <f>(O122*T122)</f>
        <v/>
      </c>
      <c r="T122" s="12" t="n">
        <v>6.68</v>
      </c>
      <c r="U122" s="23" t="n">
        <v>11584.95</v>
      </c>
      <c r="V122" s="23" t="n">
        <v>24.81</v>
      </c>
      <c r="W122" s="7">
        <f>U122/V122</f>
        <v/>
      </c>
      <c r="X122" s="7">
        <f>(W122/U122)*100</f>
        <v/>
      </c>
      <c r="Y122" s="23" t="n">
        <v>9133.700000000001</v>
      </c>
      <c r="Z122" s="23" t="n">
        <v>17.87</v>
      </c>
      <c r="AA122" s="7">
        <f>Y122/Z122</f>
        <v/>
      </c>
      <c r="AB122" s="7">
        <f>(AA122/Y122)*100</f>
        <v/>
      </c>
    </row>
    <row r="123">
      <c r="A123" s="14" t="n">
        <v>122</v>
      </c>
      <c r="B123" s="8" t="n">
        <v>44971</v>
      </c>
      <c r="C123" s="7" t="n">
        <v>26694006.67</v>
      </c>
      <c r="D123" s="7">
        <f>C123/E123</f>
        <v/>
      </c>
      <c r="E123" s="7" t="n">
        <v>82.91</v>
      </c>
      <c r="F123" s="7">
        <f>D123/100000</f>
        <v/>
      </c>
      <c r="G123" s="7">
        <f>(F123/DataSheet!$C$10*100)</f>
        <v/>
      </c>
      <c r="H123" s="7">
        <f>K123/I123</f>
        <v/>
      </c>
      <c r="I123" s="7">
        <f>(J123/L123)*100</f>
        <v/>
      </c>
      <c r="J123" s="7">
        <f>L123/O123</f>
        <v/>
      </c>
      <c r="K123" s="7" t="n">
        <v>7.37</v>
      </c>
      <c r="L123" s="7" t="n">
        <v>17929.85</v>
      </c>
      <c r="M123" s="7" t="n">
        <v>4.2</v>
      </c>
      <c r="N123" s="7">
        <f>K123-I123</f>
        <v/>
      </c>
      <c r="O123" s="7" t="n">
        <v>21.21</v>
      </c>
      <c r="P123" s="7" t="n">
        <v>3.75</v>
      </c>
      <c r="Q123" s="7">
        <f>K123-P123</f>
        <v/>
      </c>
      <c r="R123" s="7" t="n">
        <v>103.12</v>
      </c>
      <c r="S123" s="7">
        <f>(O123*T123)</f>
        <v/>
      </c>
      <c r="T123" s="12" t="n">
        <v>6.7</v>
      </c>
      <c r="U123" s="23" t="n">
        <v>11535</v>
      </c>
      <c r="V123" s="23" t="n">
        <v>24.78</v>
      </c>
      <c r="W123" s="7">
        <f>U123/V123</f>
        <v/>
      </c>
      <c r="X123" s="7">
        <f>(W123/U123)*100</f>
        <v/>
      </c>
      <c r="Y123" s="23" t="n">
        <v>9085.450000000001</v>
      </c>
      <c r="Z123" s="23" t="n">
        <v>17.76</v>
      </c>
      <c r="AA123" s="7">
        <f>Y123/Z123</f>
        <v/>
      </c>
      <c r="AB123" s="7">
        <f>(AA123/Y123)*100</f>
        <v/>
      </c>
    </row>
    <row r="124">
      <c r="A124" s="14" t="n">
        <v>123</v>
      </c>
      <c r="B124" s="8" t="n">
        <v>44972</v>
      </c>
      <c r="C124" s="7" t="n">
        <v>26818616</v>
      </c>
      <c r="D124" s="7">
        <f>C124/E124</f>
        <v/>
      </c>
      <c r="E124" s="7" t="n">
        <v>82.75</v>
      </c>
      <c r="F124" s="7">
        <f>D124/100000</f>
        <v/>
      </c>
      <c r="G124" s="7">
        <f>(F124/DataSheet!$C$10*100)</f>
        <v/>
      </c>
      <c r="H124" s="7">
        <f>K124/I124</f>
        <v/>
      </c>
      <c r="I124" s="7">
        <f>(J124/L124)*100</f>
        <v/>
      </c>
      <c r="J124" s="7">
        <f>L124/O124</f>
        <v/>
      </c>
      <c r="K124" s="7" t="n">
        <v>7.34</v>
      </c>
      <c r="L124" s="7" t="n">
        <v>18015.85</v>
      </c>
      <c r="M124" s="7" t="n">
        <v>4.22</v>
      </c>
      <c r="N124" s="7">
        <f>K124-I124</f>
        <v/>
      </c>
      <c r="O124" s="7" t="n">
        <v>21.31</v>
      </c>
      <c r="P124" s="7" t="n">
        <v>3.8</v>
      </c>
      <c r="Q124" s="7">
        <f>K124-P124</f>
        <v/>
      </c>
      <c r="R124" s="7" t="n">
        <v>103.83</v>
      </c>
      <c r="S124" s="7">
        <f>(O124*T124)</f>
        <v/>
      </c>
      <c r="T124" s="12" t="n">
        <v>6.72</v>
      </c>
      <c r="U124" s="23" t="n">
        <v>11590.35</v>
      </c>
      <c r="V124" s="23" t="n">
        <v>25.04</v>
      </c>
      <c r="W124" s="7">
        <f>U124/V124</f>
        <v/>
      </c>
      <c r="X124" s="7">
        <f>(W124/U124)*100</f>
        <v/>
      </c>
      <c r="Y124" s="23" t="n">
        <v>9121.450000000001</v>
      </c>
      <c r="Z124" s="23" t="n">
        <v>17.88</v>
      </c>
      <c r="AA124" s="7">
        <f>Y124/Z124</f>
        <v/>
      </c>
      <c r="AB124" s="7">
        <f>(AA124/Y124)*100</f>
        <v/>
      </c>
    </row>
    <row r="125">
      <c r="A125" s="14" t="n">
        <v>124</v>
      </c>
      <c r="B125" s="8" t="n">
        <v>44973</v>
      </c>
      <c r="C125" s="7" t="n">
        <v>26922333.53</v>
      </c>
      <c r="D125" s="7">
        <f>C125/E125</f>
        <v/>
      </c>
      <c r="E125" s="7" t="n">
        <v>82.70999999999999</v>
      </c>
      <c r="F125" s="7">
        <f>D125/100000</f>
        <v/>
      </c>
      <c r="G125" s="7">
        <f>(F125/DataSheet!$C$10*100)</f>
        <v/>
      </c>
      <c r="H125" s="7">
        <f>K125/I125</f>
        <v/>
      </c>
      <c r="I125" s="7">
        <f>(J125/L125)*100</f>
        <v/>
      </c>
      <c r="J125" s="7">
        <f>L125/O125</f>
        <v/>
      </c>
      <c r="K125" s="7" t="n">
        <v>7.34</v>
      </c>
      <c r="L125" s="7" t="n">
        <v>18035.85</v>
      </c>
      <c r="M125" s="7" t="n">
        <v>4.23</v>
      </c>
      <c r="N125" s="7">
        <f>K125-I125</f>
        <v/>
      </c>
      <c r="O125" s="7" t="n">
        <v>21.26</v>
      </c>
      <c r="P125" s="7" t="n">
        <v>3.86</v>
      </c>
      <c r="Q125" s="7">
        <f>K125-P125</f>
        <v/>
      </c>
      <c r="R125" s="7" t="n">
        <v>103.79</v>
      </c>
      <c r="S125" s="7">
        <f>(O125*T125)</f>
        <v/>
      </c>
      <c r="T125" s="12" t="n">
        <v>6.75</v>
      </c>
      <c r="U125" s="23" t="n">
        <v>11679.2</v>
      </c>
      <c r="V125" s="23" t="n">
        <v>25.26</v>
      </c>
      <c r="W125" s="7">
        <f>U125/V125</f>
        <v/>
      </c>
      <c r="X125" s="7">
        <f>(W125/U125)*100</f>
        <v/>
      </c>
      <c r="Y125" s="23" t="n">
        <v>9194.35</v>
      </c>
      <c r="Z125" s="23" t="n">
        <v>18.11</v>
      </c>
      <c r="AA125" s="7">
        <f>Y125/Z125</f>
        <v/>
      </c>
      <c r="AB125" s="7">
        <f>(AA125/Y125)*100</f>
        <v/>
      </c>
    </row>
    <row r="126">
      <c r="A126" s="14" t="n">
        <v>125</v>
      </c>
      <c r="B126" s="8" t="n">
        <v>44974</v>
      </c>
      <c r="C126" s="7" t="n">
        <v>26785333.57</v>
      </c>
      <c r="D126" s="7">
        <f>C126/E126</f>
        <v/>
      </c>
      <c r="E126" s="7" t="n">
        <v>82.75</v>
      </c>
      <c r="F126" s="7">
        <f>D126/100000</f>
        <v/>
      </c>
      <c r="G126" s="7">
        <f>(F126/DataSheet!$C$10*100)</f>
        <v/>
      </c>
      <c r="H126" s="7">
        <f>K126/I126</f>
        <v/>
      </c>
      <c r="I126" s="7">
        <f>(J126/L126)*100</f>
        <v/>
      </c>
      <c r="J126" s="7">
        <f>L126/O126</f>
        <v/>
      </c>
      <c r="K126" s="7" t="n">
        <v>7.38</v>
      </c>
      <c r="L126" s="7" t="n">
        <v>17944.2</v>
      </c>
      <c r="M126" s="7" t="n">
        <v>4.2</v>
      </c>
      <c r="N126" s="7">
        <f>K126-I126</f>
        <v/>
      </c>
      <c r="O126" s="7" t="n">
        <v>21.15</v>
      </c>
      <c r="P126" s="7" t="n">
        <v>3.81</v>
      </c>
      <c r="Q126" s="7">
        <f>K126-P126</f>
        <v/>
      </c>
      <c r="R126" s="7" t="n">
        <v>103.78</v>
      </c>
      <c r="S126" s="7">
        <f>(O126*T126)</f>
        <v/>
      </c>
      <c r="T126" s="12" t="n">
        <v>6.79</v>
      </c>
      <c r="U126" s="23" t="n">
        <v>11605.65</v>
      </c>
      <c r="V126" s="23" t="n">
        <v>24.42</v>
      </c>
      <c r="W126" s="7">
        <f>U126/V126</f>
        <v/>
      </c>
      <c r="X126" s="7">
        <f>(W126/U126)*100</f>
        <v/>
      </c>
      <c r="Y126" s="23" t="n">
        <v>9162.4</v>
      </c>
      <c r="Z126" s="23" t="n">
        <v>18.26</v>
      </c>
      <c r="AA126" s="7">
        <f>Y126/Z126</f>
        <v/>
      </c>
      <c r="AB126" s="7">
        <f>(AA126/Y126)*100</f>
        <v/>
      </c>
    </row>
    <row r="127">
      <c r="A127" s="14" t="n">
        <v>126</v>
      </c>
      <c r="B127" s="8" t="n">
        <v>44977</v>
      </c>
      <c r="C127" s="7" t="n">
        <v>26684476.87</v>
      </c>
      <c r="D127" s="7">
        <f>C127/E127</f>
        <v/>
      </c>
      <c r="E127" s="7" t="n">
        <v>82.69</v>
      </c>
      <c r="F127" s="7">
        <f>D127/100000</f>
        <v/>
      </c>
      <c r="G127" s="7">
        <f>(F127/DataSheet!$C$10*100)</f>
        <v/>
      </c>
      <c r="H127" s="7">
        <f>K127/I127</f>
        <v/>
      </c>
      <c r="I127" s="7">
        <f>(J127/L127)*100</f>
        <v/>
      </c>
      <c r="J127" s="7">
        <f>L127/O127</f>
        <v/>
      </c>
      <c r="K127" s="7" t="n">
        <v>7.37</v>
      </c>
      <c r="L127" s="7" t="n">
        <v>17844.6</v>
      </c>
      <c r="M127" s="7" t="n">
        <v>4.18</v>
      </c>
      <c r="N127" s="7">
        <f>K127-I127</f>
        <v/>
      </c>
      <c r="O127" s="7" t="n">
        <v>21.04</v>
      </c>
      <c r="P127" s="7" t="n">
        <v>3.85</v>
      </c>
      <c r="Q127" s="7">
        <f>K127-P127</f>
        <v/>
      </c>
      <c r="R127" s="7" t="n">
        <v>103.78</v>
      </c>
      <c r="S127" s="7">
        <f>(O127*T127)</f>
        <v/>
      </c>
      <c r="T127" s="12" t="n">
        <v>6.78</v>
      </c>
      <c r="U127" s="23" t="n">
        <v>11606.15</v>
      </c>
      <c r="V127" s="23" t="n">
        <v>24.31</v>
      </c>
      <c r="W127" s="7">
        <f>U127/V127</f>
        <v/>
      </c>
      <c r="X127" s="7">
        <f>(W127/U127)*100</f>
        <v/>
      </c>
      <c r="Y127" s="23" t="n">
        <v>9133.15</v>
      </c>
      <c r="Z127" s="23" t="n">
        <v>18.2</v>
      </c>
      <c r="AA127" s="7">
        <f>Y127/Z127</f>
        <v/>
      </c>
      <c r="AB127" s="7">
        <f>(AA127/Y127)*100</f>
        <v/>
      </c>
    </row>
    <row r="128">
      <c r="A128" s="14" t="n">
        <v>127</v>
      </c>
      <c r="B128" s="8" t="n">
        <v>44978</v>
      </c>
      <c r="C128" s="7" t="n">
        <v>26617539.13</v>
      </c>
      <c r="D128" s="7">
        <f>C128/E128</f>
        <v/>
      </c>
      <c r="E128" s="7" t="n">
        <v>82.86</v>
      </c>
      <c r="F128" s="7">
        <f>D128/100000</f>
        <v/>
      </c>
      <c r="G128" s="7">
        <f>(F128/DataSheet!$C$10*100)</f>
        <v/>
      </c>
      <c r="H128" s="7">
        <f>K128/I128</f>
        <v/>
      </c>
      <c r="I128" s="7">
        <f>(J128/L128)*100</f>
        <v/>
      </c>
      <c r="J128" s="7">
        <f>L128/O128</f>
        <v/>
      </c>
      <c r="K128" s="7" t="n">
        <v>7.39</v>
      </c>
      <c r="L128" s="7" t="n">
        <v>17826.7</v>
      </c>
      <c r="M128" s="7" t="n">
        <v>4.18</v>
      </c>
      <c r="N128" s="7">
        <f>K128-I128</f>
        <v/>
      </c>
      <c r="O128" s="7" t="n">
        <v>21.01</v>
      </c>
      <c r="P128" s="7" t="n">
        <v>3.95</v>
      </c>
      <c r="Q128" s="7">
        <f>K128-P128</f>
        <v/>
      </c>
      <c r="R128" s="7" t="n">
        <v>104.11</v>
      </c>
      <c r="S128" s="7">
        <f>(O128*T128)</f>
        <v/>
      </c>
      <c r="T128" s="12" t="n">
        <v>6.8</v>
      </c>
      <c r="U128" s="23" t="n">
        <v>11575.1</v>
      </c>
      <c r="V128" s="23" t="n">
        <v>24.25</v>
      </c>
      <c r="W128" s="7">
        <f>U128/V128</f>
        <v/>
      </c>
      <c r="X128" s="7">
        <f>(W128/U128)*100</f>
        <v/>
      </c>
      <c r="Y128" s="23" t="n">
        <v>9101.25</v>
      </c>
      <c r="Z128" s="23" t="n">
        <v>18.14</v>
      </c>
      <c r="AA128" s="7">
        <f>Y128/Z128</f>
        <v/>
      </c>
      <c r="AB128" s="7">
        <f>(AA128/Y128)*100</f>
        <v/>
      </c>
    </row>
    <row r="129">
      <c r="A129" s="14" t="n">
        <v>128</v>
      </c>
      <c r="B129" s="8" t="n">
        <v>44979</v>
      </c>
      <c r="C129" s="7" t="n">
        <v>26357865.24</v>
      </c>
      <c r="D129" s="7">
        <f>C129/E129</f>
        <v/>
      </c>
      <c r="E129" s="7" t="n">
        <v>82.83</v>
      </c>
      <c r="F129" s="7">
        <f>D129/100000</f>
        <v/>
      </c>
      <c r="G129" s="7">
        <f>(F129/DataSheet!$C$10*100)</f>
        <v/>
      </c>
      <c r="H129" s="7">
        <f>K129/I129</f>
        <v/>
      </c>
      <c r="I129" s="7">
        <f>(J129/L129)*100</f>
        <v/>
      </c>
      <c r="J129" s="7">
        <f>L129/O129</f>
        <v/>
      </c>
      <c r="K129" s="7" t="n">
        <v>7.42</v>
      </c>
      <c r="L129" s="7" t="n">
        <v>17554.3</v>
      </c>
      <c r="M129" s="7" t="n">
        <v>4.11</v>
      </c>
      <c r="N129" s="7">
        <f>K129-I129</f>
        <v/>
      </c>
      <c r="O129" s="7" t="n">
        <v>20.69</v>
      </c>
      <c r="P129" s="7" t="n">
        <v>3.92</v>
      </c>
      <c r="Q129" s="7">
        <f>K129-P129</f>
        <v/>
      </c>
      <c r="R129" s="7" t="n">
        <v>104.52</v>
      </c>
      <c r="S129" s="7">
        <f>(O129*T129)</f>
        <v/>
      </c>
      <c r="T129" s="12" t="n">
        <v>6.82</v>
      </c>
      <c r="U129" s="23" t="n">
        <v>11459.2</v>
      </c>
      <c r="V129" s="23" t="n">
        <v>24</v>
      </c>
      <c r="W129" s="7">
        <f>U129/V129</f>
        <v/>
      </c>
      <c r="X129" s="7">
        <f>(W129/U129)*100</f>
        <v/>
      </c>
      <c r="Y129" s="23" t="n">
        <v>8998.4</v>
      </c>
      <c r="Z129" s="23" t="n">
        <v>17.94</v>
      </c>
      <c r="AA129" s="7">
        <f>Y129/Z129</f>
        <v/>
      </c>
      <c r="AB129" s="7">
        <f>(AA129/Y129)*100</f>
        <v/>
      </c>
    </row>
    <row r="130">
      <c r="A130" s="14" t="n">
        <v>129</v>
      </c>
      <c r="B130" s="8" t="n">
        <v>44980</v>
      </c>
      <c r="C130" s="7" t="n">
        <v>26175144.27</v>
      </c>
      <c r="D130" s="7">
        <f>C130/E130</f>
        <v/>
      </c>
      <c r="E130" s="7" t="n">
        <v>82.73999999999999</v>
      </c>
      <c r="F130" s="7">
        <f>D130/100000</f>
        <v/>
      </c>
      <c r="G130" s="7">
        <f>(F130/DataSheet!$C$10*100)</f>
        <v/>
      </c>
      <c r="H130" s="7">
        <f>K130/I130</f>
        <v/>
      </c>
      <c r="I130" s="7">
        <f>(J130/L130)*100</f>
        <v/>
      </c>
      <c r="J130" s="7">
        <f>L130/O130</f>
        <v/>
      </c>
      <c r="K130" s="7" t="n">
        <v>7.39</v>
      </c>
      <c r="L130" s="7" t="n">
        <v>17511.25</v>
      </c>
      <c r="M130" s="7" t="n">
        <v>4.1</v>
      </c>
      <c r="N130" s="7">
        <f>K130-I130</f>
        <v/>
      </c>
      <c r="O130" s="7" t="n">
        <v>20.64</v>
      </c>
      <c r="P130" s="7" t="n">
        <v>3.89</v>
      </c>
      <c r="Q130" s="7">
        <f>K130-P130</f>
        <v/>
      </c>
      <c r="R130" s="7" t="n">
        <v>104.55</v>
      </c>
      <c r="S130" s="7">
        <f>(O130*T130)</f>
        <v/>
      </c>
      <c r="T130" s="12" t="n">
        <v>6.86</v>
      </c>
      <c r="U130" s="23" t="n">
        <v>11431.25</v>
      </c>
      <c r="V130" s="23" t="n">
        <v>23.94</v>
      </c>
      <c r="W130" s="7">
        <f>U130/V130</f>
        <v/>
      </c>
      <c r="X130" s="7">
        <f>(W130/U130)*100</f>
        <v/>
      </c>
      <c r="Y130" s="23" t="n">
        <v>9014.799999999999</v>
      </c>
      <c r="Z130" s="23" t="n">
        <v>17.97</v>
      </c>
      <c r="AA130" s="7">
        <f>Y130/Z130</f>
        <v/>
      </c>
      <c r="AB130" s="7">
        <f>(AA130/Y130)*100</f>
        <v/>
      </c>
    </row>
    <row r="131">
      <c r="A131" s="14" t="n">
        <v>130</v>
      </c>
      <c r="B131" s="8" t="n">
        <v>44981</v>
      </c>
      <c r="C131" s="4" t="n">
        <v>26094987.69</v>
      </c>
      <c r="D131" s="4">
        <f>C131/E131</f>
        <v/>
      </c>
      <c r="E131" s="4" t="n">
        <v>82.89</v>
      </c>
      <c r="F131" s="4">
        <f>D131/100000</f>
        <v/>
      </c>
      <c r="G131" s="7">
        <f>(F131/DataSheet!$C$10*100)</f>
        <v/>
      </c>
      <c r="H131" s="4">
        <f>K131/I131</f>
        <v/>
      </c>
      <c r="I131" s="4">
        <f>(J131/L131)*100</f>
        <v/>
      </c>
      <c r="J131" s="7">
        <f>L131/O131</f>
        <v/>
      </c>
      <c r="K131" s="4" t="n">
        <v>7.41</v>
      </c>
      <c r="L131" s="4" t="n">
        <v>17465.8</v>
      </c>
      <c r="M131" s="4" t="n">
        <v>4.09</v>
      </c>
      <c r="N131" s="4">
        <f>K131-I131</f>
        <v/>
      </c>
      <c r="O131" s="4" t="n">
        <v>20.58</v>
      </c>
      <c r="P131" s="4" t="n">
        <v>3.94</v>
      </c>
      <c r="Q131" s="7">
        <f>K131-P131</f>
        <v/>
      </c>
      <c r="R131" s="4" t="n">
        <v>105.15</v>
      </c>
      <c r="S131" s="7">
        <f>(O131*T131)</f>
        <v/>
      </c>
      <c r="T131" s="12" t="n">
        <v>6.91</v>
      </c>
      <c r="U131" s="23" t="n">
        <v>11403.35</v>
      </c>
      <c r="V131" s="23" t="n">
        <v>23.87</v>
      </c>
      <c r="W131" s="7">
        <f>U131/V131</f>
        <v/>
      </c>
      <c r="X131" s="7">
        <f>(W131/U131)*100</f>
        <v/>
      </c>
      <c r="Y131" s="23" t="n">
        <v>8999.1</v>
      </c>
      <c r="Z131" s="23" t="n">
        <v>17.92</v>
      </c>
      <c r="AA131" s="7">
        <f>Y131/Z131</f>
        <v/>
      </c>
      <c r="AB131" s="7">
        <f>(AA131/Y131)*100</f>
        <v/>
      </c>
    </row>
    <row r="132">
      <c r="A132" s="14" t="n">
        <v>131</v>
      </c>
      <c r="B132" s="8" t="n">
        <v>44984</v>
      </c>
      <c r="C132" s="4" t="n">
        <v>25877397.68</v>
      </c>
      <c r="D132" s="4">
        <f>C132/E132</f>
        <v/>
      </c>
      <c r="E132" s="4" t="n">
        <v>82.65000000000001</v>
      </c>
      <c r="F132" s="4">
        <f>D132/100000</f>
        <v/>
      </c>
      <c r="G132" s="7">
        <f>(F132/DataSheet!$C$10*100)</f>
        <v/>
      </c>
      <c r="H132" s="4">
        <f>K132/I132</f>
        <v/>
      </c>
      <c r="I132" s="4">
        <f>(J132/L132)*100</f>
        <v/>
      </c>
      <c r="J132" s="7">
        <f>L132/O132</f>
        <v/>
      </c>
      <c r="K132" s="4" t="n">
        <v>7.44</v>
      </c>
      <c r="L132" s="4" t="n">
        <v>17392.7</v>
      </c>
      <c r="M132" s="4" t="n">
        <v>4.07</v>
      </c>
      <c r="N132" s="4">
        <f>K132-I132</f>
        <v/>
      </c>
      <c r="O132" s="4" t="n">
        <v>20.49</v>
      </c>
      <c r="P132" s="4" t="n">
        <v>3.92</v>
      </c>
      <c r="Q132" s="7">
        <f>K132-P132</f>
        <v/>
      </c>
      <c r="R132" s="4" t="n">
        <v>104.6</v>
      </c>
      <c r="S132" s="7">
        <f>(O132*T132)</f>
        <v/>
      </c>
      <c r="T132" s="12" t="n">
        <v>6.9</v>
      </c>
      <c r="U132" s="23" t="n">
        <v>11339.85</v>
      </c>
      <c r="V132" s="23" t="n">
        <v>23.74</v>
      </c>
      <c r="W132" s="7">
        <f>U132/V132</f>
        <v/>
      </c>
      <c r="X132" s="7">
        <f>(W132/U132)*100</f>
        <v/>
      </c>
      <c r="Y132" s="23" t="n">
        <v>8893.299999999999</v>
      </c>
      <c r="Z132" s="23" t="n">
        <v>17.71</v>
      </c>
      <c r="AA132" s="7">
        <f>Y132/Z132</f>
        <v/>
      </c>
      <c r="AB132" s="7">
        <f>(AA132/Y132)*100</f>
        <v/>
      </c>
    </row>
    <row r="133">
      <c r="A133" s="14" t="n">
        <v>132</v>
      </c>
      <c r="B133" s="8" t="n">
        <v>44985</v>
      </c>
      <c r="C133" s="4" t="n">
        <v>25868361.12</v>
      </c>
      <c r="D133" s="4">
        <f>C133/E133</f>
        <v/>
      </c>
      <c r="E133" s="4" t="n">
        <v>82.64</v>
      </c>
      <c r="F133" s="4">
        <f>D133/100000</f>
        <v/>
      </c>
      <c r="G133" s="7">
        <f>(F133/DataSheet!$C$10*100)</f>
        <v/>
      </c>
      <c r="H133" s="4">
        <f>K133/I133</f>
        <v/>
      </c>
      <c r="I133" s="4">
        <f>(J133/L133)*100</f>
        <v/>
      </c>
      <c r="J133" s="7">
        <f>L133/O133</f>
        <v/>
      </c>
      <c r="K133" s="4" t="n">
        <v>7.45</v>
      </c>
      <c r="L133" s="4" t="n">
        <v>17303.95</v>
      </c>
      <c r="M133" s="4" t="n">
        <v>4.05</v>
      </c>
      <c r="N133" s="4">
        <f>K133-I133</f>
        <v/>
      </c>
      <c r="O133" s="4" t="n">
        <v>20.39</v>
      </c>
      <c r="P133" s="4" t="n">
        <v>3.93</v>
      </c>
      <c r="Q133" s="7">
        <f>K133-P133</f>
        <v/>
      </c>
      <c r="R133" s="4" t="n">
        <v>104.93</v>
      </c>
      <c r="S133" s="7">
        <f>(O133*T133)</f>
        <v/>
      </c>
      <c r="T133" s="12" t="n">
        <v>6.91</v>
      </c>
      <c r="U133" s="23" t="n">
        <v>11411.25</v>
      </c>
      <c r="V133" s="23" t="n">
        <v>23.88</v>
      </c>
      <c r="W133" s="7">
        <f>U133/V133</f>
        <v/>
      </c>
      <c r="X133" s="7">
        <f>(W133/U133)*100</f>
        <v/>
      </c>
      <c r="Y133" s="23" t="n">
        <v>8924.15</v>
      </c>
      <c r="Z133" s="23" t="n">
        <v>17.77</v>
      </c>
      <c r="AA133" s="7">
        <f>Y133/Z133</f>
        <v/>
      </c>
      <c r="AB133" s="7">
        <f>(AA133/Y133)*100</f>
        <v/>
      </c>
    </row>
    <row r="134">
      <c r="A134" s="14" t="n">
        <v>133</v>
      </c>
      <c r="B134" s="8" t="n">
        <v>44986</v>
      </c>
      <c r="C134" s="4" t="n">
        <v>26188931.89</v>
      </c>
      <c r="D134" s="4">
        <f>C134/E134</f>
        <v/>
      </c>
      <c r="E134" s="4" t="n">
        <v>82.43000000000001</v>
      </c>
      <c r="F134" s="4">
        <f>D134/100000</f>
        <v/>
      </c>
      <c r="G134" s="7">
        <f>(F134/DataSheet!$C$10*100)</f>
        <v/>
      </c>
      <c r="H134" s="4">
        <f>K134/I134</f>
        <v/>
      </c>
      <c r="I134" s="4">
        <f>(J134/L134)*100</f>
        <v/>
      </c>
      <c r="J134" s="7">
        <f>L134/O134</f>
        <v/>
      </c>
      <c r="K134" s="4" t="n">
        <v>7.45</v>
      </c>
      <c r="L134" s="4" t="n">
        <v>17450.9</v>
      </c>
      <c r="M134" s="4" t="n">
        <v>4.09</v>
      </c>
      <c r="N134" s="4">
        <f>K134-I134</f>
        <v/>
      </c>
      <c r="O134" s="4" t="n">
        <v>20.56</v>
      </c>
      <c r="P134" s="4" t="n">
        <v>3.99</v>
      </c>
      <c r="Q134" s="7">
        <f>K134-P134</f>
        <v/>
      </c>
      <c r="R134" s="4" t="n">
        <v>104.43</v>
      </c>
      <c r="S134" s="7">
        <f>(O134*T134)</f>
        <v/>
      </c>
      <c r="T134" s="12" t="n">
        <v>6.94</v>
      </c>
      <c r="U134" s="23" t="n">
        <v>11572.2</v>
      </c>
      <c r="V134" s="23" t="n">
        <v>24.22</v>
      </c>
      <c r="W134" s="7">
        <f>U134/V134</f>
        <v/>
      </c>
      <c r="X134" s="7">
        <f>(W134/U134)*100</f>
        <v/>
      </c>
      <c r="Y134" s="23" t="n">
        <v>9035.049999999999</v>
      </c>
      <c r="Z134" s="23" t="n">
        <v>17.99</v>
      </c>
      <c r="AA134" s="7">
        <f>Y134/Z134</f>
        <v/>
      </c>
      <c r="AB134" s="7">
        <f>(AA134/Y134)*100</f>
        <v/>
      </c>
    </row>
    <row r="135">
      <c r="A135" s="14" t="n">
        <v>134</v>
      </c>
      <c r="B135" s="8" t="n">
        <v>44987</v>
      </c>
      <c r="C135" s="4" t="n">
        <v>26093404.38</v>
      </c>
      <c r="D135" s="4">
        <f>C135/E135</f>
        <v/>
      </c>
      <c r="E135" s="4" t="n">
        <v>82.34999999999999</v>
      </c>
      <c r="F135" s="4">
        <f>D135/100000</f>
        <v/>
      </c>
      <c r="G135" s="7">
        <f>(F135/DataSheet!$C$10*100)</f>
        <v/>
      </c>
      <c r="H135" s="4">
        <f>K135/I135</f>
        <v/>
      </c>
      <c r="I135" s="4">
        <f>(J135/L135)*100</f>
        <v/>
      </c>
      <c r="J135" s="7">
        <f>L135/O135</f>
        <v/>
      </c>
      <c r="K135" s="4" t="n">
        <v>7.43</v>
      </c>
      <c r="L135" s="4" t="n">
        <v>17321.9</v>
      </c>
      <c r="M135" s="4" t="n">
        <v>4.06</v>
      </c>
      <c r="N135" s="4">
        <f>K135-I135</f>
        <v/>
      </c>
      <c r="O135" s="4" t="n">
        <v>20.41</v>
      </c>
      <c r="P135" s="4" t="n">
        <v>4.06</v>
      </c>
      <c r="Q135" s="7">
        <f>K135-P135</f>
        <v/>
      </c>
      <c r="R135" s="4" t="n">
        <v>104.99</v>
      </c>
      <c r="S135" s="7">
        <f>(O135*T135)</f>
        <v/>
      </c>
      <c r="T135" s="12" t="n">
        <v>6.94</v>
      </c>
      <c r="U135" s="23" t="n">
        <v>11547.05</v>
      </c>
      <c r="V135" s="23" t="n">
        <v>24.17</v>
      </c>
      <c r="W135" s="7">
        <f>U135/V135</f>
        <v/>
      </c>
      <c r="X135" s="7">
        <f>(W135/U135)*100</f>
        <v/>
      </c>
      <c r="Y135" s="23" t="n">
        <v>9027.1</v>
      </c>
      <c r="Z135" s="23" t="n">
        <v>17.93</v>
      </c>
      <c r="AA135" s="7">
        <f>Y135/Z135</f>
        <v/>
      </c>
      <c r="AB135" s="7">
        <f>(AA135/Y135)*100</f>
        <v/>
      </c>
    </row>
    <row r="136">
      <c r="A136" s="14" t="n">
        <v>135</v>
      </c>
      <c r="B136" s="8" t="n">
        <v>44988</v>
      </c>
      <c r="C136" s="7" t="n">
        <v>26437737.79</v>
      </c>
      <c r="D136" s="7">
        <f>C136/E136</f>
        <v/>
      </c>
      <c r="E136" s="7" t="n">
        <v>81.68000000000001</v>
      </c>
      <c r="F136" s="7">
        <f>D136/100000</f>
        <v/>
      </c>
      <c r="G136" s="7">
        <f>(F136/DataSheet!$C$10*100)</f>
        <v/>
      </c>
      <c r="H136" s="7">
        <f>K136/I136</f>
        <v/>
      </c>
      <c r="I136" s="7">
        <f>(J136/L136)*100</f>
        <v/>
      </c>
      <c r="J136" s="7">
        <f>L136/O136</f>
        <v/>
      </c>
      <c r="K136" s="7" t="n">
        <v>7.41</v>
      </c>
      <c r="L136" s="7" t="n">
        <v>17594.35</v>
      </c>
      <c r="M136" s="7" t="n">
        <v>4.12</v>
      </c>
      <c r="N136" s="7">
        <f>K136-I136</f>
        <v/>
      </c>
      <c r="O136" s="7" t="n">
        <v>20.73</v>
      </c>
      <c r="P136" s="7" t="n">
        <v>3.95</v>
      </c>
      <c r="Q136" s="7">
        <f>K136-P136</f>
        <v/>
      </c>
      <c r="R136" s="7" t="n">
        <v>104.48</v>
      </c>
      <c r="S136" s="7">
        <f>(O136*T136)</f>
        <v/>
      </c>
      <c r="T136" s="12" t="n">
        <v>6.95</v>
      </c>
      <c r="U136" s="23" t="n">
        <v>11605.2</v>
      </c>
      <c r="V136" s="23" t="n">
        <v>24.29</v>
      </c>
      <c r="W136" s="7">
        <f>U136/V136</f>
        <v/>
      </c>
      <c r="X136" s="7">
        <f>(W136/U136)*100</f>
        <v/>
      </c>
      <c r="Y136" s="23" t="n">
        <v>9090.65</v>
      </c>
      <c r="Z136" s="23" t="n">
        <v>18.06</v>
      </c>
      <c r="AA136" s="7">
        <f>Y136/Z136</f>
        <v/>
      </c>
      <c r="AB136" s="7">
        <f>(AA136/Y136)*100</f>
        <v/>
      </c>
    </row>
    <row r="137">
      <c r="A137" s="14" t="n">
        <v>136</v>
      </c>
      <c r="B137" s="8" t="n">
        <v>44991</v>
      </c>
      <c r="C137" s="4" t="n">
        <v>26633874.88</v>
      </c>
      <c r="D137" s="4">
        <f>C137/E137</f>
        <v/>
      </c>
      <c r="E137" s="4" t="n">
        <v>81.81</v>
      </c>
      <c r="F137" s="4">
        <f>D137/100000</f>
        <v/>
      </c>
      <c r="G137" s="7">
        <f>(F137/DataSheet!$C$10*100)</f>
        <v/>
      </c>
      <c r="H137" s="4">
        <f>K137/I137</f>
        <v/>
      </c>
      <c r="I137" s="4">
        <f>(J137/L137)*100</f>
        <v/>
      </c>
      <c r="J137" s="7">
        <f>L137/O137</f>
        <v/>
      </c>
      <c r="K137" s="4" t="n">
        <v>7.41</v>
      </c>
      <c r="L137" s="4" t="n">
        <v>17711.45</v>
      </c>
      <c r="M137" s="4" t="n">
        <v>4.15</v>
      </c>
      <c r="N137" s="4">
        <f>K137-I137</f>
        <v/>
      </c>
      <c r="O137" s="4" t="n">
        <v>20.87</v>
      </c>
      <c r="P137" s="4" t="n">
        <v>3.96</v>
      </c>
      <c r="Q137" s="7">
        <f>K137-P137</f>
        <v/>
      </c>
      <c r="R137" s="4" t="n">
        <v>104.24</v>
      </c>
      <c r="S137" s="7">
        <f>(O137*T137)</f>
        <v/>
      </c>
      <c r="T137" s="12" t="n">
        <v>6.92</v>
      </c>
      <c r="U137" s="23" t="n">
        <v>11686.9</v>
      </c>
      <c r="V137" s="23" t="n">
        <v>24.46</v>
      </c>
      <c r="W137" s="7">
        <f>U137/V137</f>
        <v/>
      </c>
      <c r="X137" s="7">
        <f>(W137/U137)*100</f>
        <v/>
      </c>
      <c r="Y137" s="23" t="n">
        <v>9184.1</v>
      </c>
      <c r="Z137" s="23" t="n">
        <v>18.24</v>
      </c>
      <c r="AA137" s="7">
        <f>Y137/Z137</f>
        <v/>
      </c>
      <c r="AB137" s="7">
        <f>(AA137/Y137)*100</f>
        <v/>
      </c>
    </row>
    <row r="138">
      <c r="A138" s="14" t="n">
        <v>137</v>
      </c>
      <c r="B138" s="8" t="n">
        <v>44993</v>
      </c>
      <c r="C138" s="4" t="n">
        <v>26721005.23</v>
      </c>
      <c r="D138" s="4">
        <f>C138/E138</f>
        <v/>
      </c>
      <c r="E138" s="4" t="n">
        <v>81.95</v>
      </c>
      <c r="F138" s="4">
        <f>D138/100000</f>
        <v/>
      </c>
      <c r="G138" s="7">
        <f>(F138/DataSheet!$C$10*100)</f>
        <v/>
      </c>
      <c r="H138" s="4">
        <f>K138/I138</f>
        <v/>
      </c>
      <c r="I138" s="4">
        <f>(J138/L138)*100</f>
        <v/>
      </c>
      <c r="J138" s="7">
        <f>L138/O138</f>
        <v/>
      </c>
      <c r="K138" s="4" t="n">
        <v>7.45</v>
      </c>
      <c r="L138" s="4" t="n">
        <v>17754.4</v>
      </c>
      <c r="M138" s="4" t="n">
        <v>4.16</v>
      </c>
      <c r="N138" s="4">
        <f>K138-I138</f>
        <v/>
      </c>
      <c r="O138" s="4" t="n">
        <v>20.92</v>
      </c>
      <c r="P138" s="4" t="n">
        <v>3.98</v>
      </c>
      <c r="Q138" s="7">
        <f>K138-P138</f>
        <v/>
      </c>
      <c r="R138" s="4" t="n">
        <v>105.63</v>
      </c>
      <c r="S138" s="7">
        <f>(O138*T138)</f>
        <v/>
      </c>
      <c r="T138" s="12" t="n">
        <v>6.95</v>
      </c>
      <c r="U138" s="23" t="n">
        <v>11724.6</v>
      </c>
      <c r="V138" s="23" t="n">
        <v>24.54</v>
      </c>
      <c r="W138" s="7">
        <f>U138/V138</f>
        <v/>
      </c>
      <c r="X138" s="7">
        <f>(W138/U138)*100</f>
        <v/>
      </c>
      <c r="Y138" s="23" t="n">
        <v>9208.75</v>
      </c>
      <c r="Z138" s="23" t="n">
        <v>18.29</v>
      </c>
      <c r="AA138" s="7">
        <f>Y138/Z138</f>
        <v/>
      </c>
      <c r="AB138" s="7">
        <f>(AA138/Y138)*100</f>
        <v/>
      </c>
    </row>
    <row r="139">
      <c r="A139" s="14" t="n">
        <v>138</v>
      </c>
      <c r="B139" s="8" t="n">
        <v>44994</v>
      </c>
      <c r="C139" s="4" t="n">
        <v>26536568.51</v>
      </c>
      <c r="D139" s="4">
        <f>C139/E139</f>
        <v/>
      </c>
      <c r="E139" s="4" t="n">
        <v>82.02</v>
      </c>
      <c r="F139" s="4">
        <f>D139/100000</f>
        <v/>
      </c>
      <c r="G139" s="7">
        <f>(F139/DataSheet!$C$10*100)</f>
        <v/>
      </c>
      <c r="H139" s="4">
        <f>K139/I139</f>
        <v/>
      </c>
      <c r="I139" s="4">
        <f>(J139/L139)*100</f>
        <v/>
      </c>
      <c r="J139" s="7">
        <f>L139/O139</f>
        <v/>
      </c>
      <c r="K139" s="4" t="n">
        <v>7.44</v>
      </c>
      <c r="L139" s="4" t="n">
        <v>17589.6</v>
      </c>
      <c r="M139" s="4" t="n">
        <v>4.12</v>
      </c>
      <c r="N139" s="4">
        <f>K139-I139</f>
        <v/>
      </c>
      <c r="O139" s="4" t="n">
        <v>20.73</v>
      </c>
      <c r="P139" s="4" t="n">
        <v>3.9</v>
      </c>
      <c r="Q139" s="7">
        <f>K139-P139</f>
        <v/>
      </c>
      <c r="R139" s="4" t="n">
        <v>105.3</v>
      </c>
      <c r="S139" s="7">
        <f>(O139*T139)</f>
        <v/>
      </c>
      <c r="T139" s="12" t="n">
        <v>6.97</v>
      </c>
      <c r="U139" s="23" t="n">
        <v>11660</v>
      </c>
      <c r="V139" s="23" t="n">
        <v>24.41</v>
      </c>
      <c r="W139" s="7">
        <f>U139/V139</f>
        <v/>
      </c>
      <c r="X139" s="7">
        <f>(W139/U139)*100</f>
        <v/>
      </c>
      <c r="Y139" s="23" t="n">
        <v>9178.200000000001</v>
      </c>
      <c r="Z139" s="23" t="n">
        <v>18.23</v>
      </c>
      <c r="AA139" s="7">
        <f>Y139/Z139</f>
        <v/>
      </c>
      <c r="AB139" s="7">
        <f>(AA139/Y139)*100</f>
        <v/>
      </c>
    </row>
    <row r="140">
      <c r="A140" s="14" t="n">
        <v>139</v>
      </c>
      <c r="B140" s="8" t="n">
        <v>44995</v>
      </c>
      <c r="C140" s="4" t="n">
        <v>26402869.56</v>
      </c>
      <c r="D140" s="4">
        <f>C140/E140</f>
        <v/>
      </c>
      <c r="E140" s="4" t="n">
        <v>81.95999999999999</v>
      </c>
      <c r="F140" s="4">
        <f>D140/100000</f>
        <v/>
      </c>
      <c r="G140" s="7">
        <f>(F140/DataSheet!$C$10*100)</f>
        <v/>
      </c>
      <c r="H140" s="4">
        <f>K140/I140</f>
        <v/>
      </c>
      <c r="I140" s="4">
        <f>(J140/L140)*100</f>
        <v/>
      </c>
      <c r="J140" s="7">
        <f>L140/O140</f>
        <v/>
      </c>
      <c r="K140" s="4" t="n">
        <v>7.42</v>
      </c>
      <c r="L140" s="4" t="n">
        <v>17412.9</v>
      </c>
      <c r="M140" s="4" t="n">
        <v>4.08</v>
      </c>
      <c r="N140" s="4">
        <f>K140-I140</f>
        <v/>
      </c>
      <c r="O140" s="4" t="n">
        <v>20.52</v>
      </c>
      <c r="P140" s="4" t="n">
        <v>3.7</v>
      </c>
      <c r="Q140" s="7">
        <f>K140-P140</f>
        <v/>
      </c>
      <c r="R140" s="4" t="n">
        <v>104.55</v>
      </c>
      <c r="S140" s="7">
        <f>(O140*T140)</f>
        <v/>
      </c>
      <c r="T140" s="12" t="n">
        <v>6.9</v>
      </c>
      <c r="U140" s="23" t="n">
        <v>11582.15</v>
      </c>
      <c r="V140" s="23" t="n">
        <v>24.24</v>
      </c>
      <c r="W140" s="7">
        <f>U140/V140</f>
        <v/>
      </c>
      <c r="X140" s="7">
        <f>(W140/U140)*100</f>
        <v/>
      </c>
      <c r="Y140" s="23" t="n">
        <v>9112.4</v>
      </c>
      <c r="Z140" s="23" t="n">
        <v>18.1</v>
      </c>
      <c r="AA140" s="7">
        <f>Y140/Z140</f>
        <v/>
      </c>
      <c r="AB140" s="7">
        <f>(AA140/Y140)*100</f>
        <v/>
      </c>
    </row>
    <row r="141">
      <c r="A141" s="14" t="n">
        <v>140</v>
      </c>
      <c r="B141" s="8" t="n">
        <v>44998</v>
      </c>
      <c r="C141" s="4" t="n">
        <v>25959096.38</v>
      </c>
      <c r="D141" s="4">
        <f>C141/E141</f>
        <v/>
      </c>
      <c r="E141" s="4" t="n">
        <v>82.23</v>
      </c>
      <c r="F141" s="4">
        <f>D141/100000</f>
        <v/>
      </c>
      <c r="G141" s="7">
        <f>(F141/DataSheet!$C$10*100)</f>
        <v/>
      </c>
      <c r="H141" s="4">
        <f>K141/I141</f>
        <v/>
      </c>
      <c r="I141" s="4">
        <f>(J141/L141)*100</f>
        <v/>
      </c>
      <c r="J141" s="7">
        <f>L141/O141</f>
        <v/>
      </c>
      <c r="K141" s="4" t="n">
        <v>7.36</v>
      </c>
      <c r="L141" s="4" t="n">
        <v>17154.3</v>
      </c>
      <c r="M141" s="4" t="n">
        <v>4.02</v>
      </c>
      <c r="N141" s="4">
        <f>K141-I141</f>
        <v/>
      </c>
      <c r="O141" s="4" t="n">
        <v>20.21</v>
      </c>
      <c r="P141" s="4" t="n">
        <v>3.54</v>
      </c>
      <c r="Q141" s="7">
        <f>K141-P141</f>
        <v/>
      </c>
      <c r="R141" s="4" t="n">
        <v>103.71</v>
      </c>
      <c r="S141" s="7">
        <f>(O141*T141)</f>
        <v/>
      </c>
      <c r="T141" s="12" t="n">
        <v>6.87</v>
      </c>
      <c r="U141" s="23" t="n">
        <v>11375.2</v>
      </c>
      <c r="V141" s="23" t="n">
        <v>23.81</v>
      </c>
      <c r="W141" s="7">
        <f>U141/V141</f>
        <v/>
      </c>
      <c r="X141" s="7">
        <f>(W141/U141)*100</f>
        <v/>
      </c>
      <c r="Y141" s="23" t="n">
        <v>8922.799999999999</v>
      </c>
      <c r="Z141" s="23" t="n">
        <v>17.72</v>
      </c>
      <c r="AA141" s="7">
        <f>Y141/Z141</f>
        <v/>
      </c>
      <c r="AB141" s="7">
        <f>(AA141/Y141)*100</f>
        <v/>
      </c>
    </row>
    <row r="142">
      <c r="A142" s="14" t="n">
        <v>141</v>
      </c>
      <c r="B142" s="8" t="n">
        <v>44999</v>
      </c>
      <c r="C142" s="4" t="n">
        <v>25743073.08</v>
      </c>
      <c r="D142" s="4">
        <f>C142/E142</f>
        <v/>
      </c>
      <c r="E142" s="4" t="n">
        <v>82.23999999999999</v>
      </c>
      <c r="F142" s="4">
        <f>D142/100000</f>
        <v/>
      </c>
      <c r="G142" s="7">
        <f>(F142/DataSheet!$C$10*100)</f>
        <v/>
      </c>
      <c r="H142" s="4">
        <f>K142/I142</f>
        <v/>
      </c>
      <c r="I142" s="4">
        <f>(J142/L142)*100</f>
        <v/>
      </c>
      <c r="J142" s="7">
        <f>L142/O142</f>
        <v/>
      </c>
      <c r="K142" s="4" t="n">
        <v>7.37</v>
      </c>
      <c r="L142" s="4" t="n">
        <v>17043.3</v>
      </c>
      <c r="M142" s="4" t="n">
        <v>3.99</v>
      </c>
      <c r="N142" s="4">
        <f>K142-I142</f>
        <v/>
      </c>
      <c r="O142" s="4" t="n">
        <v>20.08</v>
      </c>
      <c r="P142" s="4" t="n">
        <v>3.68</v>
      </c>
      <c r="Q142" s="7">
        <f>K142-P142</f>
        <v/>
      </c>
      <c r="R142" s="4" t="n">
        <v>103.21</v>
      </c>
      <c r="S142" s="7">
        <f>(O142*T142)</f>
        <v/>
      </c>
      <c r="T142" s="12" t="n">
        <v>6.9</v>
      </c>
      <c r="U142" s="23" t="n">
        <v>11304.7</v>
      </c>
      <c r="V142" s="23" t="n">
        <v>23.66</v>
      </c>
      <c r="W142" s="7">
        <f>U142/V142</f>
        <v/>
      </c>
      <c r="X142" s="7">
        <f>(W142/U142)*100</f>
        <v/>
      </c>
      <c r="Y142" s="23" t="n">
        <v>8843</v>
      </c>
      <c r="Z142" s="23" t="n">
        <v>17.57</v>
      </c>
      <c r="AA142" s="7">
        <f>Y142/Z142</f>
        <v/>
      </c>
      <c r="AB142" s="7">
        <f>(AA142/Y142)*100</f>
        <v/>
      </c>
    </row>
    <row r="143">
      <c r="A143" s="14" t="n">
        <v>142</v>
      </c>
      <c r="B143" s="8" t="n">
        <v>45000</v>
      </c>
      <c r="C143" s="4" t="n">
        <v>25697974.78</v>
      </c>
      <c r="D143" s="4">
        <f>C143/E143</f>
        <v/>
      </c>
      <c r="E143" s="4" t="n">
        <v>82.88</v>
      </c>
      <c r="F143" s="4">
        <f>D143/100000</f>
        <v/>
      </c>
      <c r="G143" s="7">
        <f>(F143/DataSheet!$C$10*100)</f>
        <v/>
      </c>
      <c r="H143" s="4">
        <f>K143/I143</f>
        <v/>
      </c>
      <c r="I143" s="4">
        <f>(J143/L143)*100</f>
        <v/>
      </c>
      <c r="J143" s="7">
        <f>L143/O143</f>
        <v/>
      </c>
      <c r="K143" s="4" t="n">
        <v>7.36</v>
      </c>
      <c r="L143" s="4" t="n">
        <v>16972.15</v>
      </c>
      <c r="M143" s="4" t="n">
        <v>3.97</v>
      </c>
      <c r="N143" s="4">
        <f>K143-I143</f>
        <v/>
      </c>
      <c r="O143" s="4" t="n">
        <v>20</v>
      </c>
      <c r="P143" s="4" t="n">
        <v>3.46</v>
      </c>
      <c r="Q143" s="7">
        <f>K143-P143</f>
        <v/>
      </c>
      <c r="R143" s="4" t="n">
        <v>104.27</v>
      </c>
      <c r="S143" s="7">
        <f>(O143*T143)</f>
        <v/>
      </c>
      <c r="T143" s="12" t="n">
        <v>6.87</v>
      </c>
      <c r="U143" s="23" t="n">
        <v>11308.8</v>
      </c>
      <c r="V143" s="23" t="n">
        <v>23.67</v>
      </c>
      <c r="W143" s="7">
        <f>U143/V143</f>
        <v/>
      </c>
      <c r="X143" s="7">
        <f>(W143/U143)*100</f>
        <v/>
      </c>
      <c r="Y143" s="23" t="n">
        <v>8859.200000000001</v>
      </c>
      <c r="Z143" s="23" t="n">
        <v>17.6</v>
      </c>
      <c r="AA143" s="7">
        <f>Y143/Z143</f>
        <v/>
      </c>
      <c r="AB143" s="7">
        <f>(AA143/Y143)*100</f>
        <v/>
      </c>
    </row>
    <row r="144">
      <c r="A144" s="14" t="n">
        <v>143</v>
      </c>
      <c r="B144" s="8" t="n">
        <v>45001</v>
      </c>
      <c r="C144" s="4" t="n">
        <v>25708611.52</v>
      </c>
      <c r="D144" s="4">
        <f>C144/E144</f>
        <v/>
      </c>
      <c r="E144" s="4" t="n">
        <v>82.62</v>
      </c>
      <c r="F144" s="4">
        <f>D144/100000</f>
        <v/>
      </c>
      <c r="G144" s="7">
        <f>(F144/DataSheet!$C$10*100)</f>
        <v/>
      </c>
      <c r="H144" s="4">
        <f>K144/I144</f>
        <v/>
      </c>
      <c r="I144" s="4">
        <f>(J144/L144)*100</f>
        <v/>
      </c>
      <c r="J144" s="7">
        <f>L144/O144</f>
        <v/>
      </c>
      <c r="K144" s="4" t="n">
        <v>7.35</v>
      </c>
      <c r="L144" s="4" t="n">
        <v>16985.6</v>
      </c>
      <c r="M144" s="4" t="n">
        <v>3.98</v>
      </c>
      <c r="N144" s="4">
        <f>K144-I144</f>
        <v/>
      </c>
      <c r="O144" s="4" t="n">
        <v>20.01</v>
      </c>
      <c r="P144" s="4" t="n">
        <v>3.57</v>
      </c>
      <c r="Q144" s="7">
        <f>K144-P144</f>
        <v/>
      </c>
      <c r="R144" s="4" t="n">
        <v>104.09</v>
      </c>
      <c r="S144" s="7">
        <f>(O144*T144)</f>
        <v/>
      </c>
      <c r="T144" s="12" t="n">
        <v>6.81</v>
      </c>
      <c r="U144" s="23" t="n">
        <v>11305.2</v>
      </c>
      <c r="V144" s="23" t="n">
        <v>23.66</v>
      </c>
      <c r="W144" s="7">
        <f>U144/V144</f>
        <v/>
      </c>
      <c r="X144" s="7">
        <f>(W144/U144)*100</f>
        <v/>
      </c>
      <c r="Y144" s="23" t="n">
        <v>8797.299999999999</v>
      </c>
      <c r="Z144" s="23" t="n">
        <v>17.48</v>
      </c>
      <c r="AA144" s="7">
        <f>Y144/Z144</f>
        <v/>
      </c>
      <c r="AB144" s="7">
        <f>(AA144/Y144)*100</f>
        <v/>
      </c>
    </row>
    <row r="145">
      <c r="A145" s="14" t="n">
        <v>144</v>
      </c>
      <c r="B145" s="8" t="n">
        <v>45002</v>
      </c>
      <c r="C145" s="4" t="n">
        <v>25858831.17</v>
      </c>
      <c r="D145" s="4">
        <f>C145/E145</f>
        <v/>
      </c>
      <c r="E145" s="4" t="n">
        <v>82.52</v>
      </c>
      <c r="F145" s="4">
        <f>D145/100000</f>
        <v/>
      </c>
      <c r="G145" s="7">
        <f>(F145/DataSheet!$C$10*100)</f>
        <v/>
      </c>
      <c r="H145" s="4">
        <f>K145/I145</f>
        <v/>
      </c>
      <c r="I145" s="4">
        <f>(J145/L145)*100</f>
        <v/>
      </c>
      <c r="J145" s="7">
        <f>L145/O145</f>
        <v/>
      </c>
      <c r="K145" s="4" t="n">
        <v>7.35</v>
      </c>
      <c r="L145" s="4" t="n">
        <v>17100.05</v>
      </c>
      <c r="M145" s="4" t="n">
        <v>4</v>
      </c>
      <c r="N145" s="4">
        <f>K145-I145</f>
        <v/>
      </c>
      <c r="O145" s="4" t="n">
        <v>20.15</v>
      </c>
      <c r="P145" s="4" t="n">
        <v>3.43</v>
      </c>
      <c r="Q145" s="7">
        <f>K145-P145</f>
        <v/>
      </c>
      <c r="R145" s="4" t="n">
        <v>103.36</v>
      </c>
      <c r="S145" s="7">
        <f>(O145*T145)</f>
        <v/>
      </c>
      <c r="T145" s="12" t="n">
        <v>6.81</v>
      </c>
      <c r="U145" s="23" t="n">
        <v>11354.25</v>
      </c>
      <c r="V145" s="23" t="n">
        <v>23.77</v>
      </c>
      <c r="W145" s="7">
        <f>U145/V145</f>
        <v/>
      </c>
      <c r="X145" s="7">
        <f>(W145/U145)*100</f>
        <v/>
      </c>
      <c r="Y145" s="23" t="n">
        <v>8855.6</v>
      </c>
      <c r="Z145" s="23" t="n">
        <v>17.59</v>
      </c>
      <c r="AA145" s="7">
        <f>Y145/Z145</f>
        <v/>
      </c>
      <c r="AB145" s="7">
        <f>(AA145/Y145)*100</f>
        <v/>
      </c>
    </row>
    <row r="146">
      <c r="A146" s="14" t="n">
        <v>145</v>
      </c>
      <c r="B146" s="8" t="n">
        <v>45005</v>
      </c>
      <c r="C146" s="4" t="n">
        <v>25644938</v>
      </c>
      <c r="D146" s="4">
        <f>C146/E146</f>
        <v/>
      </c>
      <c r="E146" s="4" t="n">
        <v>82.51000000000001</v>
      </c>
      <c r="F146" s="4">
        <f>D146/100000</f>
        <v/>
      </c>
      <c r="G146" s="7">
        <f>(F146/DataSheet!$C$10*100)</f>
        <v/>
      </c>
      <c r="H146" s="4">
        <f>K146/I146</f>
        <v/>
      </c>
      <c r="I146" s="4">
        <f>(J146/L146)*100</f>
        <v/>
      </c>
      <c r="J146" s="7">
        <f>L146/O146</f>
        <v/>
      </c>
      <c r="K146" s="4" t="n">
        <v>7.33</v>
      </c>
      <c r="L146" s="4" t="n">
        <v>16988.4</v>
      </c>
      <c r="M146" s="4" t="n">
        <v>3.98</v>
      </c>
      <c r="N146" s="4">
        <f>K146-I146</f>
        <v/>
      </c>
      <c r="O146" s="4" t="n">
        <v>20.02</v>
      </c>
      <c r="P146" s="4" t="n">
        <v>3.48</v>
      </c>
      <c r="Q146" s="7">
        <f>K146-P146</f>
        <v/>
      </c>
      <c r="R146" s="4" t="n">
        <v>102.93</v>
      </c>
      <c r="S146" s="7">
        <f>(O146*T146)</f>
        <v/>
      </c>
      <c r="T146" s="12" t="n">
        <v>6.81</v>
      </c>
      <c r="U146" s="23" t="n">
        <v>11245.6</v>
      </c>
      <c r="V146" s="23" t="n">
        <v>23.54</v>
      </c>
      <c r="W146" s="7">
        <f>U146/V146</f>
        <v/>
      </c>
      <c r="X146" s="7">
        <f>(W146/U146)*100</f>
        <v/>
      </c>
      <c r="Y146" s="23" t="n">
        <v>8779.799999999999</v>
      </c>
      <c r="Z146" s="23" t="n">
        <v>17.44</v>
      </c>
      <c r="AA146" s="7">
        <f>Y146/Z146</f>
        <v/>
      </c>
      <c r="AB146" s="7">
        <f>(AA146/Y146)*100</f>
        <v/>
      </c>
    </row>
    <row r="147">
      <c r="A147" s="14" t="n">
        <v>146</v>
      </c>
      <c r="B147" s="8" t="n">
        <v>45006</v>
      </c>
      <c r="C147" s="4" t="n">
        <v>25795566.99</v>
      </c>
      <c r="D147" s="4">
        <f>C147/E147</f>
        <v/>
      </c>
      <c r="E147" s="4" t="n">
        <v>82.67</v>
      </c>
      <c r="F147" s="4">
        <f>D147/100000</f>
        <v/>
      </c>
      <c r="G147" s="7">
        <f>(F147/DataSheet!$C$10*100)</f>
        <v/>
      </c>
      <c r="H147" s="4">
        <f>K147/I147</f>
        <v/>
      </c>
      <c r="I147" s="4">
        <f>(J147/L147)*100</f>
        <v/>
      </c>
      <c r="J147" s="7">
        <f>L147/O147</f>
        <v/>
      </c>
      <c r="K147" s="4" t="n">
        <v>7.35</v>
      </c>
      <c r="L147" s="4" t="n">
        <v>17107.5</v>
      </c>
      <c r="M147" s="4" t="n">
        <v>4.01</v>
      </c>
      <c r="N147" s="4">
        <f>K147-I147</f>
        <v/>
      </c>
      <c r="O147" s="4" t="n">
        <v>20.16</v>
      </c>
      <c r="P147" s="4" t="n">
        <v>3.6</v>
      </c>
      <c r="Q147" s="7">
        <f>K147-P147</f>
        <v/>
      </c>
      <c r="R147" s="4" t="n">
        <v>102.89</v>
      </c>
      <c r="S147" s="7">
        <f>(O147*T147)</f>
        <v/>
      </c>
      <c r="T147" s="12" t="n">
        <v>6.78</v>
      </c>
      <c r="U147" s="23" t="n">
        <v>11308.1</v>
      </c>
      <c r="V147" s="23" t="n">
        <v>23.67</v>
      </c>
      <c r="W147" s="7">
        <f>U147/V147</f>
        <v/>
      </c>
      <c r="X147" s="7">
        <f>(W147/U147)*100</f>
        <v/>
      </c>
      <c r="Y147" s="23" t="n">
        <v>8820.25</v>
      </c>
      <c r="Z147" s="23" t="n">
        <v>17.52</v>
      </c>
      <c r="AA147" s="7">
        <f>Y147/Z147</f>
        <v/>
      </c>
      <c r="AB147" s="7">
        <f>(AA147/Y147)*100</f>
        <v/>
      </c>
    </row>
    <row r="148">
      <c r="A148" s="14" t="n">
        <v>147</v>
      </c>
      <c r="B148" s="8" t="n">
        <v>45007</v>
      </c>
      <c r="C148" s="4" t="n">
        <v>25904836.19</v>
      </c>
      <c r="D148" s="4">
        <f>C148/E148</f>
        <v/>
      </c>
      <c r="E148" s="4" t="n">
        <v>82.5</v>
      </c>
      <c r="F148" s="4">
        <f>D148/100000</f>
        <v/>
      </c>
      <c r="G148" s="7">
        <f>(F148/DataSheet!$C$10*100)</f>
        <v/>
      </c>
      <c r="H148" s="4">
        <f>K148/I148</f>
        <v/>
      </c>
      <c r="I148" s="4">
        <f>(J148/L148)*100</f>
        <v/>
      </c>
      <c r="J148" s="7">
        <f>L148/O148</f>
        <v/>
      </c>
      <c r="K148" s="4" t="n">
        <v>7.35</v>
      </c>
      <c r="L148" s="4" t="n">
        <v>17151.9</v>
      </c>
      <c r="M148" s="4" t="n">
        <v>4.02</v>
      </c>
      <c r="N148" s="4">
        <f>K148-I148</f>
        <v/>
      </c>
      <c r="O148" s="4" t="n">
        <v>20.21</v>
      </c>
      <c r="P148" s="4" t="n">
        <v>3.45</v>
      </c>
      <c r="Q148" s="7">
        <f>K148-P148</f>
        <v/>
      </c>
      <c r="R148" s="4" t="n">
        <v>101.97</v>
      </c>
      <c r="S148" s="7">
        <f>(O148*T148)</f>
        <v/>
      </c>
      <c r="T148" s="12" t="n">
        <v>6.78</v>
      </c>
      <c r="U148" s="23" t="n">
        <v>11339.2</v>
      </c>
      <c r="V148" s="23" t="n">
        <v>23.73</v>
      </c>
      <c r="W148" s="7">
        <f>U148/V148</f>
        <v/>
      </c>
      <c r="X148" s="7">
        <f>(W148/U148)*100</f>
        <v/>
      </c>
      <c r="Y148" s="23" t="n">
        <v>8869.450000000001</v>
      </c>
      <c r="Z148" s="23" t="n">
        <v>17.62</v>
      </c>
      <c r="AA148" s="7">
        <f>Y148/Z148</f>
        <v/>
      </c>
      <c r="AB148" s="7">
        <f>(AA148/Y148)*100</f>
        <v/>
      </c>
    </row>
    <row r="149">
      <c r="A149" s="14" t="n">
        <v>148</v>
      </c>
      <c r="B149" s="8" t="n">
        <v>45008</v>
      </c>
      <c r="C149" s="4" t="n">
        <v>25820157.54</v>
      </c>
      <c r="D149" s="4">
        <f>C149/E149</f>
        <v/>
      </c>
      <c r="E149" s="4" t="n">
        <v>82.23</v>
      </c>
      <c r="F149" s="4">
        <f>D149/100000</f>
        <v/>
      </c>
      <c r="G149" s="7">
        <f>(F149/DataSheet!$C$10*100)</f>
        <v/>
      </c>
      <c r="H149" s="4">
        <f>K149/I149</f>
        <v/>
      </c>
      <c r="I149" s="4">
        <f>(J149/L149)*100</f>
        <v/>
      </c>
      <c r="J149" s="7">
        <f>L149/O149</f>
        <v/>
      </c>
      <c r="K149" s="4" t="n">
        <v>7.34</v>
      </c>
      <c r="L149" s="4" t="n">
        <v>17076.9</v>
      </c>
      <c r="M149" s="4" t="n">
        <v>4</v>
      </c>
      <c r="N149" s="4">
        <f>K149-I149</f>
        <v/>
      </c>
      <c r="O149" s="4" t="n">
        <v>20.12</v>
      </c>
      <c r="P149" s="4" t="n">
        <v>3.41</v>
      </c>
      <c r="Q149" s="7">
        <f>K149-P149</f>
        <v/>
      </c>
      <c r="R149" s="4" t="n">
        <v>102.2</v>
      </c>
      <c r="S149" s="7">
        <f>(O149*T149)</f>
        <v/>
      </c>
      <c r="T149" s="12" t="n">
        <v>6.78</v>
      </c>
      <c r="U149" s="23" t="n">
        <v>11295.8</v>
      </c>
      <c r="V149" s="23" t="n">
        <v>23.64</v>
      </c>
      <c r="W149" s="7">
        <f>U149/V149</f>
        <v/>
      </c>
      <c r="X149" s="7">
        <f>(W149/U149)*100</f>
        <v/>
      </c>
      <c r="Y149" s="23" t="n">
        <v>8842.299999999999</v>
      </c>
      <c r="Z149" s="23" t="n">
        <v>17.56</v>
      </c>
      <c r="AA149" s="7">
        <f>Y149/Z149</f>
        <v/>
      </c>
      <c r="AB149" s="7">
        <f>(AA149/Y149)*100</f>
        <v/>
      </c>
    </row>
    <row r="150">
      <c r="A150" s="14" t="n">
        <v>149</v>
      </c>
      <c r="B150" s="8" t="n">
        <v>45009</v>
      </c>
      <c r="C150" s="4" t="n">
        <v>25564724.41</v>
      </c>
      <c r="D150" s="4">
        <f>C150/E150</f>
        <v/>
      </c>
      <c r="E150" s="4" t="n">
        <v>82.33</v>
      </c>
      <c r="F150" s="4">
        <f>D150/100000</f>
        <v/>
      </c>
      <c r="G150" s="7">
        <f>(F150/DataSheet!$C$10*100)</f>
        <v/>
      </c>
      <c r="H150" s="4">
        <f>K150/I150</f>
        <v/>
      </c>
      <c r="I150" s="4">
        <f>(J150/L150)*100</f>
        <v/>
      </c>
      <c r="J150" s="7">
        <f>L150/O150</f>
        <v/>
      </c>
      <c r="K150" s="4" t="n">
        <v>7.31</v>
      </c>
      <c r="L150" s="4" t="n">
        <v>16945.05</v>
      </c>
      <c r="M150" s="4" t="n">
        <v>3.97</v>
      </c>
      <c r="N150" s="4">
        <f>K150-I150</f>
        <v/>
      </c>
      <c r="O150" s="4" t="n">
        <v>19.97</v>
      </c>
      <c r="P150" s="4" t="n">
        <v>3.37</v>
      </c>
      <c r="Q150" s="7">
        <f>K150-P150</f>
        <v/>
      </c>
      <c r="R150" s="4" t="n">
        <v>102.76</v>
      </c>
      <c r="S150" s="7">
        <f>(O150*T150)</f>
        <v/>
      </c>
      <c r="T150" s="12" t="n">
        <v>6.76</v>
      </c>
      <c r="U150" s="23" t="n">
        <v>11164.65</v>
      </c>
      <c r="V150" s="23" t="n">
        <v>23.37</v>
      </c>
      <c r="W150" s="7">
        <f>U150/V150</f>
        <v/>
      </c>
      <c r="X150" s="7">
        <f>(W150/U150)*100</f>
        <v/>
      </c>
      <c r="Y150" s="23" t="n">
        <v>8707.950000000001</v>
      </c>
      <c r="Z150" s="23" t="n">
        <v>17.3</v>
      </c>
      <c r="AA150" s="7">
        <f>Y150/Z150</f>
        <v/>
      </c>
      <c r="AB150" s="7">
        <f>(AA150/Y150)*100</f>
        <v/>
      </c>
    </row>
    <row r="151">
      <c r="A151" s="14" t="n">
        <v>150</v>
      </c>
      <c r="B151" s="8" t="n">
        <v>45012</v>
      </c>
      <c r="C151" s="4" t="n">
        <v>25359102</v>
      </c>
      <c r="D151" s="4">
        <f>C151/E151</f>
        <v/>
      </c>
      <c r="E151" s="4" t="n">
        <v>82.37</v>
      </c>
      <c r="F151" s="4">
        <f>D151/100000</f>
        <v/>
      </c>
      <c r="G151" s="7">
        <f>(F151/DataSheet!$C$10*100)</f>
        <v/>
      </c>
      <c r="H151" s="4">
        <f>K151/I151</f>
        <v/>
      </c>
      <c r="I151" s="4">
        <f>(J151/L151)*100</f>
        <v/>
      </c>
      <c r="J151" s="7">
        <f>L151/O151</f>
        <v/>
      </c>
      <c r="K151" s="4" t="n">
        <v>7.3</v>
      </c>
      <c r="L151" s="4" t="n">
        <v>16985.7</v>
      </c>
      <c r="M151" s="4" t="n">
        <v>4</v>
      </c>
      <c r="N151" s="4">
        <f>K151-I151</f>
        <v/>
      </c>
      <c r="O151" s="4" t="n">
        <v>20</v>
      </c>
      <c r="P151" s="4" t="n">
        <v>3.47</v>
      </c>
      <c r="Q151" s="7">
        <f>K151-P151</f>
        <v/>
      </c>
      <c r="R151" s="4" t="n">
        <v>102.69</v>
      </c>
      <c r="S151" s="7">
        <f>(O151*T151)</f>
        <v/>
      </c>
      <c r="T151" s="12" t="n">
        <v>6.78</v>
      </c>
      <c r="U151" s="23" t="n">
        <v>11102.1</v>
      </c>
      <c r="V151" s="23" t="n">
        <v>23.23</v>
      </c>
      <c r="W151" s="7">
        <f>U151/V151</f>
        <v/>
      </c>
      <c r="X151" s="7">
        <f>(W151/U151)*100</f>
        <v/>
      </c>
      <c r="Y151" s="23" t="n">
        <v>8577.75</v>
      </c>
      <c r="Z151" s="23" t="n">
        <v>17.04</v>
      </c>
      <c r="AA151" s="7">
        <f>Y151/Z151</f>
        <v/>
      </c>
      <c r="AB151" s="7">
        <f>(AA151/Y151)*100</f>
        <v/>
      </c>
    </row>
    <row r="152">
      <c r="A152" s="14" t="n">
        <v>151</v>
      </c>
      <c r="B152" s="8" t="n">
        <v>45013</v>
      </c>
      <c r="C152" s="4" t="n">
        <v>25301383.41</v>
      </c>
      <c r="D152" s="4">
        <f>C152/E152</f>
        <v/>
      </c>
      <c r="E152" s="4" t="n">
        <v>82.17</v>
      </c>
      <c r="F152" s="4">
        <f>D152/100000</f>
        <v/>
      </c>
      <c r="G152" s="7">
        <f>(F152/DataSheet!$C$10*100)</f>
        <v/>
      </c>
      <c r="H152" s="4">
        <f>K152/I152</f>
        <v/>
      </c>
      <c r="I152" s="4">
        <f>(J152/L152)*100</f>
        <v/>
      </c>
      <c r="J152" s="7">
        <f>L152/O152</f>
        <v/>
      </c>
      <c r="K152" s="4" t="n">
        <v>7.32</v>
      </c>
      <c r="L152" s="4" t="n">
        <v>16951.7</v>
      </c>
      <c r="M152" s="4" t="n">
        <v>3.97</v>
      </c>
      <c r="N152" s="4">
        <f>K152-I152</f>
        <v/>
      </c>
      <c r="O152" s="4" t="n">
        <v>19.97</v>
      </c>
      <c r="P152" s="4" t="n">
        <v>3.57</v>
      </c>
      <c r="Q152" s="7">
        <f>K152-P152</f>
        <v/>
      </c>
      <c r="R152" s="4" t="n">
        <v>102.1</v>
      </c>
      <c r="S152" s="7">
        <f>(O152*T152)</f>
        <v/>
      </c>
      <c r="T152" s="12" t="n">
        <v>7.03</v>
      </c>
      <c r="U152" s="23" t="n">
        <v>11065.65</v>
      </c>
      <c r="V152" s="23" t="n">
        <v>23.16</v>
      </c>
      <c r="W152" s="7">
        <f>U152/V152</f>
        <v/>
      </c>
      <c r="X152" s="7">
        <f>(W152/U152)*100</f>
        <v/>
      </c>
      <c r="Y152" s="23" t="n">
        <v>8509.9</v>
      </c>
      <c r="Z152" s="23" t="n">
        <v>16.9</v>
      </c>
      <c r="AA152" s="7">
        <f>Y152/Z152</f>
        <v/>
      </c>
      <c r="AB152" s="7">
        <f>(AA152/Y152)*100</f>
        <v/>
      </c>
    </row>
    <row r="153">
      <c r="A153" s="14" t="n">
        <v>152</v>
      </c>
      <c r="B153" s="8" t="n">
        <v>45014</v>
      </c>
      <c r="C153" s="4" t="n">
        <v>25576707.37</v>
      </c>
      <c r="D153" s="4">
        <f>C153/E153</f>
        <v/>
      </c>
      <c r="E153" s="4" t="n">
        <v>82.31999999999999</v>
      </c>
      <c r="F153" s="4">
        <f>D153/100000</f>
        <v/>
      </c>
      <c r="G153" s="7">
        <f>(F153/DataSheet!$C$10*100)</f>
        <v/>
      </c>
      <c r="H153" s="4">
        <f>K153/I153</f>
        <v/>
      </c>
      <c r="I153" s="4">
        <f>(J153/L153)*100</f>
        <v/>
      </c>
      <c r="J153" s="7">
        <f>L153/O153</f>
        <v/>
      </c>
      <c r="K153" s="4" t="n">
        <v>7.29</v>
      </c>
      <c r="L153" s="4" t="n">
        <v>17080.7</v>
      </c>
      <c r="M153" s="4" t="n">
        <v>4</v>
      </c>
      <c r="N153" s="4">
        <f>K153-I153</f>
        <v/>
      </c>
      <c r="O153" s="4" t="n">
        <v>20.13</v>
      </c>
      <c r="P153" s="4" t="n">
        <v>3.59</v>
      </c>
      <c r="Q153" s="7">
        <f>K153-P153</f>
        <v/>
      </c>
      <c r="R153" s="4" t="n">
        <v>102.31</v>
      </c>
      <c r="S153" s="7">
        <f>(O153*T153)</f>
        <v/>
      </c>
      <c r="T153" s="12" t="n">
        <v>7.18</v>
      </c>
      <c r="U153" s="23" t="n">
        <v>11250.7</v>
      </c>
      <c r="V153" s="23" t="n">
        <v>23.54</v>
      </c>
      <c r="W153" s="7">
        <f>U153/V153</f>
        <v/>
      </c>
      <c r="X153" s="7">
        <f>(W153/U153)*100</f>
        <v/>
      </c>
      <c r="Y153" s="23" t="n">
        <v>8654.9</v>
      </c>
      <c r="Z153" s="23" t="n">
        <v>17.19</v>
      </c>
      <c r="AA153" s="7">
        <f>Y153/Z153</f>
        <v/>
      </c>
      <c r="AB153" s="7">
        <f>(AA153/Y153)*100</f>
        <v/>
      </c>
    </row>
    <row r="154">
      <c r="A154" s="14" t="n">
        <v>153</v>
      </c>
      <c r="B154" s="8" t="n">
        <v>45016</v>
      </c>
      <c r="C154" s="4" t="n">
        <v>25828863.53</v>
      </c>
      <c r="D154" s="4">
        <f>C154/E154</f>
        <v/>
      </c>
      <c r="E154" s="4" t="n">
        <v>82.16</v>
      </c>
      <c r="F154" s="4">
        <f>D154/100000</f>
        <v/>
      </c>
      <c r="G154" s="7">
        <f>(F154/DataSheet!$C$10*100)</f>
        <v/>
      </c>
      <c r="H154" s="4">
        <f>K154/I154</f>
        <v/>
      </c>
      <c r="I154" s="4">
        <f>(J154/L154)*100</f>
        <v/>
      </c>
      <c r="J154" s="7">
        <f>L154/O154</f>
        <v/>
      </c>
      <c r="K154" s="4" t="n">
        <v>7.31</v>
      </c>
      <c r="L154" s="4" t="n">
        <v>17359.75</v>
      </c>
      <c r="M154" s="4" t="n">
        <v>4.05</v>
      </c>
      <c r="N154" s="4">
        <f>K154-I154</f>
        <v/>
      </c>
      <c r="O154" s="4" t="n">
        <v>20.44</v>
      </c>
      <c r="P154" s="4" t="n">
        <v>3.47</v>
      </c>
      <c r="Q154" s="7">
        <f>K154-P154</f>
        <v/>
      </c>
      <c r="R154" s="4" t="n">
        <v>102.18</v>
      </c>
      <c r="S154" s="7">
        <f>(O154*T154)</f>
        <v/>
      </c>
      <c r="T154" s="12" t="n">
        <v>7.03</v>
      </c>
      <c r="U154" s="23" t="n">
        <v>11352.25</v>
      </c>
      <c r="V154" s="23" t="n">
        <v>23.47</v>
      </c>
      <c r="W154" s="7">
        <f>U154/V154</f>
        <v/>
      </c>
      <c r="X154" s="7">
        <f>(W154/U154)*100</f>
        <v/>
      </c>
      <c r="Y154" s="23" t="n">
        <v>8787.9</v>
      </c>
      <c r="Z154" s="23" t="n">
        <v>16.94</v>
      </c>
      <c r="AA154" s="7">
        <f>Y154/Z154</f>
        <v/>
      </c>
      <c r="AB154" s="7">
        <f>(AA154/Y154)*100</f>
        <v/>
      </c>
    </row>
    <row r="155">
      <c r="A155" s="14" t="n">
        <v>154</v>
      </c>
      <c r="B155" s="8" t="n">
        <v>45019</v>
      </c>
      <c r="C155" s="4" t="n">
        <v>25981915.61</v>
      </c>
      <c r="D155" s="4">
        <f>C155/E155</f>
        <v/>
      </c>
      <c r="E155" s="4" t="n">
        <v>82.19</v>
      </c>
      <c r="F155" s="4">
        <f>D155/100000</f>
        <v/>
      </c>
      <c r="G155" s="7">
        <f>(F155/DataSheet!$C$10*100)</f>
        <v/>
      </c>
      <c r="H155" s="4">
        <f>K155/I155</f>
        <v/>
      </c>
      <c r="I155" s="4">
        <f>(J155/L155)*100</f>
        <v/>
      </c>
      <c r="J155" s="7">
        <f>L155/O155</f>
        <v/>
      </c>
      <c r="K155" s="4" t="n">
        <v>7.31</v>
      </c>
      <c r="L155" s="4" t="n">
        <v>17398.05</v>
      </c>
      <c r="M155" s="4" t="n">
        <v>4.06</v>
      </c>
      <c r="N155" s="4">
        <f>K155-I155</f>
        <v/>
      </c>
      <c r="O155" s="4" t="n">
        <v>20.48</v>
      </c>
      <c r="P155" s="4" t="n">
        <v>3.41</v>
      </c>
      <c r="Q155" s="7">
        <f>K155-P155</f>
        <v/>
      </c>
      <c r="R155" s="4" t="n">
        <v>101.78</v>
      </c>
      <c r="S155" s="7">
        <f>(O155*T155)</f>
        <v/>
      </c>
      <c r="T155" s="12" t="n">
        <v>6.9</v>
      </c>
      <c r="U155" s="23" t="n">
        <v>11404.35</v>
      </c>
      <c r="V155" s="23" t="n">
        <v>23.58</v>
      </c>
      <c r="W155" s="7">
        <f>U155/V155</f>
        <v/>
      </c>
      <c r="X155" s="7">
        <f>(W155/U155)*100</f>
        <v/>
      </c>
      <c r="Y155" s="23" t="n">
        <v>8857.299999999999</v>
      </c>
      <c r="Z155" s="23" t="n">
        <v>17.07</v>
      </c>
      <c r="AA155" s="7">
        <f>Y155/Z155</f>
        <v/>
      </c>
      <c r="AB155" s="7">
        <f>(AA155/Y155)*100</f>
        <v/>
      </c>
    </row>
    <row r="156">
      <c r="A156" s="14" t="n">
        <v>155</v>
      </c>
      <c r="B156" s="8" t="n">
        <v>45021</v>
      </c>
      <c r="C156" s="4" t="n">
        <v>26161744.23</v>
      </c>
      <c r="D156" s="4">
        <f>C156/E156</f>
        <v/>
      </c>
      <c r="E156" s="4" t="n">
        <v>82.09</v>
      </c>
      <c r="F156" s="4">
        <f>D156/100000</f>
        <v/>
      </c>
      <c r="G156" s="7">
        <f>(F156/DataSheet!$C$10*100)</f>
        <v/>
      </c>
      <c r="H156" s="4">
        <f>K156/I156</f>
        <v/>
      </c>
      <c r="I156" s="4">
        <f>(J156/L156)*100</f>
        <v/>
      </c>
      <c r="J156" s="7">
        <f>L156/O156</f>
        <v/>
      </c>
      <c r="K156" s="4" t="n">
        <v>7.27</v>
      </c>
      <c r="L156" s="4" t="n">
        <v>17557.05</v>
      </c>
      <c r="M156" s="4" t="n">
        <v>4.1</v>
      </c>
      <c r="N156" s="4">
        <f>K156-I156</f>
        <v/>
      </c>
      <c r="O156" s="4" t="n">
        <v>20.67</v>
      </c>
      <c r="P156" s="4" t="n">
        <v>3.3</v>
      </c>
      <c r="Q156" s="7">
        <f>K156-P156</f>
        <v/>
      </c>
      <c r="R156" s="4" t="n">
        <v>101.54</v>
      </c>
      <c r="S156" s="7">
        <f>(O156*T156)</f>
        <v/>
      </c>
      <c r="T156" s="12" t="n">
        <v>6.83</v>
      </c>
      <c r="U156" s="23" t="n">
        <v>11415.75</v>
      </c>
      <c r="V156" s="23" t="n">
        <v>23.61</v>
      </c>
      <c r="W156" s="7">
        <f>U156/V156</f>
        <v/>
      </c>
      <c r="X156" s="7">
        <f>(W156/U156)*100</f>
        <v/>
      </c>
      <c r="Y156" s="23" t="n">
        <v>8916.9</v>
      </c>
      <c r="Z156" s="23" t="n">
        <v>17.2</v>
      </c>
      <c r="AA156" s="7">
        <f>Y156/Z156</f>
        <v/>
      </c>
      <c r="AB156" s="7">
        <f>(AA156/Y156)*100</f>
        <v/>
      </c>
    </row>
    <row r="157">
      <c r="A157" s="14" t="n">
        <v>156</v>
      </c>
      <c r="B157" s="8" t="n">
        <v>45022</v>
      </c>
      <c r="C157" s="4" t="n">
        <v>26265589.79</v>
      </c>
      <c r="D157" s="4">
        <f>C157/E157</f>
        <v/>
      </c>
      <c r="E157" s="4" t="n">
        <v>81.92</v>
      </c>
      <c r="F157" s="4">
        <f>D157/100000</f>
        <v/>
      </c>
      <c r="G157" s="7">
        <f>(F157/DataSheet!$C$10*100)</f>
        <v/>
      </c>
      <c r="H157" s="4">
        <f>K157/I157</f>
        <v/>
      </c>
      <c r="I157" s="4">
        <f>(J157/L157)*100</f>
        <v/>
      </c>
      <c r="J157" s="7">
        <f>L157/O157</f>
        <v/>
      </c>
      <c r="K157" s="4" t="n">
        <v>7.21</v>
      </c>
      <c r="L157" s="4" t="n">
        <v>17599.15</v>
      </c>
      <c r="M157" s="4" t="n">
        <v>4.12</v>
      </c>
      <c r="N157" s="4">
        <f>K157-I157</f>
        <v/>
      </c>
      <c r="O157" s="4" t="n">
        <v>20.72</v>
      </c>
      <c r="P157" s="4" t="n">
        <v>3.3</v>
      </c>
      <c r="Q157" s="7">
        <f>K157-P157</f>
        <v/>
      </c>
      <c r="R157" s="4" t="n">
        <v>101.51</v>
      </c>
      <c r="S157" s="7">
        <f>(O157*T157)</f>
        <v/>
      </c>
      <c r="T157" s="12" t="n">
        <v>6.78</v>
      </c>
      <c r="U157" s="23" t="n">
        <v>11491.2</v>
      </c>
      <c r="V157" s="23" t="n">
        <v>23.76</v>
      </c>
      <c r="W157" s="7">
        <f>U157/V157</f>
        <v/>
      </c>
      <c r="X157" s="7">
        <f>(W157/U157)*100</f>
        <v/>
      </c>
      <c r="Y157" s="23" t="n">
        <v>8983.15</v>
      </c>
      <c r="Z157" s="23" t="n">
        <v>17.33</v>
      </c>
      <c r="AA157" s="7">
        <f>Y157/Z157</f>
        <v/>
      </c>
      <c r="AB157" s="7">
        <f>(AA157/Y157)*100</f>
        <v/>
      </c>
    </row>
    <row r="158">
      <c r="A158" s="14" t="n">
        <v>157</v>
      </c>
      <c r="B158" s="8" t="n">
        <v>45026</v>
      </c>
      <c r="C158" s="4" t="n">
        <v>26341480.46</v>
      </c>
      <c r="D158" s="4">
        <f>C158/E158</f>
        <v/>
      </c>
      <c r="E158" s="4" t="n">
        <v>81.98</v>
      </c>
      <c r="F158" s="4">
        <f>D158/100000</f>
        <v/>
      </c>
      <c r="G158" s="7">
        <f>(F158/DataSheet!$C$10*100)</f>
        <v/>
      </c>
      <c r="H158" s="4">
        <f>K158/I158</f>
        <v/>
      </c>
      <c r="I158" s="4">
        <f>(J158/L158)*100</f>
        <v/>
      </c>
      <c r="J158" s="7">
        <f>L158/O158</f>
        <v/>
      </c>
      <c r="K158" s="4" t="n">
        <v>7.22</v>
      </c>
      <c r="L158" s="4" t="n">
        <v>17624.05</v>
      </c>
      <c r="M158" s="4" t="n">
        <v>4.13</v>
      </c>
      <c r="N158" s="4">
        <f>K158-I158</f>
        <v/>
      </c>
      <c r="O158" s="4" t="n">
        <v>20.75</v>
      </c>
      <c r="P158" s="4" t="n">
        <v>3.41</v>
      </c>
      <c r="Q158" s="7">
        <f>K158-P158</f>
        <v/>
      </c>
      <c r="R158" s="4" t="n">
        <v>102.22</v>
      </c>
      <c r="S158" s="7">
        <f>(O158*T158)</f>
        <v/>
      </c>
      <c r="T158" s="12" t="n">
        <v>6.75</v>
      </c>
      <c r="U158" s="23" t="n">
        <v>11532.85</v>
      </c>
      <c r="V158" s="23" t="n">
        <v>23.85</v>
      </c>
      <c r="W158" s="7">
        <f>U158/V158</f>
        <v/>
      </c>
      <c r="X158" s="7">
        <f>(W158/U158)*100</f>
        <v/>
      </c>
      <c r="Y158" s="23" t="n">
        <v>8998.700000000001</v>
      </c>
      <c r="Z158" s="23" t="n">
        <v>17.36</v>
      </c>
      <c r="AA158" s="7">
        <f>Y158/Z158</f>
        <v/>
      </c>
      <c r="AB158" s="7">
        <f>(AA158/Y158)*100</f>
        <v/>
      </c>
    </row>
    <row r="159">
      <c r="A159" s="14" t="n">
        <v>158</v>
      </c>
      <c r="B159" s="8" t="n">
        <v>45027</v>
      </c>
      <c r="C159" s="4" t="n">
        <v>26478054.34</v>
      </c>
      <c r="D159" s="4">
        <f>C159/E159</f>
        <v/>
      </c>
      <c r="E159" s="4" t="n">
        <v>82.04000000000001</v>
      </c>
      <c r="F159" s="4">
        <f>D159/100000</f>
        <v/>
      </c>
      <c r="G159" s="7">
        <f>(F159/DataSheet!$C$10*100)</f>
        <v/>
      </c>
      <c r="H159" s="4">
        <f>K159/I159</f>
        <v/>
      </c>
      <c r="I159" s="4">
        <f>(J159/L159)*100</f>
        <v/>
      </c>
      <c r="J159" s="7">
        <f>L159/O159</f>
        <v/>
      </c>
      <c r="K159" s="4" t="n">
        <v>7.22</v>
      </c>
      <c r="L159" s="4" t="n">
        <v>17722.3</v>
      </c>
      <c r="M159" s="4" t="n">
        <v>4.15</v>
      </c>
      <c r="N159" s="4">
        <f>K159-I159</f>
        <v/>
      </c>
      <c r="O159" s="4" t="n">
        <v>20.86</v>
      </c>
      <c r="P159" s="4" t="n">
        <v>3.43</v>
      </c>
      <c r="Q159" s="7">
        <f>K159-P159</f>
        <v/>
      </c>
      <c r="R159" s="4" t="n">
        <v>101.88</v>
      </c>
      <c r="S159" s="7">
        <f>(O159*T159)</f>
        <v/>
      </c>
      <c r="T159" s="12" t="n">
        <v>6.7</v>
      </c>
      <c r="U159" s="23" t="n">
        <v>11582.8</v>
      </c>
      <c r="V159" s="23" t="n">
        <v>23.95</v>
      </c>
      <c r="W159" s="7">
        <f>U159/V159</f>
        <v/>
      </c>
      <c r="X159" s="7">
        <f>(W159/U159)*100</f>
        <v/>
      </c>
      <c r="Y159" s="23" t="n">
        <v>9040.049999999999</v>
      </c>
      <c r="Z159" s="23" t="n">
        <v>17.44</v>
      </c>
      <c r="AA159" s="7">
        <f>Y159/Z159</f>
        <v/>
      </c>
      <c r="AB159" s="7">
        <f>(AA159/Y159)*100</f>
        <v/>
      </c>
    </row>
    <row r="160">
      <c r="A160" s="14" t="n">
        <v>159</v>
      </c>
      <c r="B160" s="8" t="n">
        <v>45028</v>
      </c>
      <c r="C160" s="4" t="n">
        <v>26594725.69</v>
      </c>
      <c r="D160" s="4">
        <f>C160/E160</f>
        <v/>
      </c>
      <c r="E160" s="4" t="n">
        <v>81.93000000000001</v>
      </c>
      <c r="F160" s="4">
        <f>D160/100000</f>
        <v/>
      </c>
      <c r="G160" s="7">
        <f>(F160/DataSheet!$C$10*100)</f>
        <v/>
      </c>
      <c r="H160" s="4">
        <f>K160/I160</f>
        <v/>
      </c>
      <c r="I160" s="4">
        <f>(J160/L160)*100</f>
        <v/>
      </c>
      <c r="J160" s="7">
        <f>L160/O160</f>
        <v/>
      </c>
      <c r="K160" s="4" t="n">
        <v>7.21</v>
      </c>
      <c r="L160" s="4" t="n">
        <v>17812.4</v>
      </c>
      <c r="M160" s="4" t="n">
        <v>4.17</v>
      </c>
      <c r="N160" s="4">
        <f>K160-I160</f>
        <v/>
      </c>
      <c r="O160" s="4" t="n">
        <v>20.97</v>
      </c>
      <c r="P160" s="4" t="n">
        <v>3.4</v>
      </c>
      <c r="Q160" s="7">
        <f>K160-P160</f>
        <v/>
      </c>
      <c r="R160" s="4" t="n">
        <v>101.17</v>
      </c>
      <c r="S160" s="7">
        <f>(O160*T160)</f>
        <v/>
      </c>
      <c r="T160" s="12" t="n">
        <v>6.68</v>
      </c>
      <c r="U160" s="23" t="n">
        <v>11652.3</v>
      </c>
      <c r="V160" s="23" t="n">
        <v>24.09</v>
      </c>
      <c r="W160" s="7">
        <f>U160/V160</f>
        <v/>
      </c>
      <c r="X160" s="7">
        <f>(W160/U160)*100</f>
        <v/>
      </c>
      <c r="Y160" s="23" t="n">
        <v>9074.5</v>
      </c>
      <c r="Z160" s="23" t="n">
        <v>17.5</v>
      </c>
      <c r="AA160" s="7">
        <f>Y160/Z160</f>
        <v/>
      </c>
      <c r="AB160" s="7">
        <f>(AA160/Y160)*100</f>
        <v/>
      </c>
    </row>
    <row r="161">
      <c r="A161" s="14" t="n">
        <v>160</v>
      </c>
      <c r="B161" s="8" t="n">
        <v>45029</v>
      </c>
      <c r="C161" s="4" t="n">
        <v>26632065.83</v>
      </c>
      <c r="D161" s="4">
        <f>C161/E161</f>
        <v/>
      </c>
      <c r="E161" s="4" t="n">
        <v>81.65000000000001</v>
      </c>
      <c r="F161" s="4">
        <f>D161/100000</f>
        <v/>
      </c>
      <c r="G161" s="7">
        <f>(F161/DataSheet!$C$10*100)</f>
        <v/>
      </c>
      <c r="H161" s="4">
        <f>K161/I161</f>
        <v/>
      </c>
      <c r="I161" s="4">
        <f>(J161/L161)*100</f>
        <v/>
      </c>
      <c r="J161" s="7">
        <f>L161/O161</f>
        <v/>
      </c>
      <c r="K161" s="4" t="n">
        <v>7.22</v>
      </c>
      <c r="L161" s="4" t="n">
        <v>17828</v>
      </c>
      <c r="M161" s="4" t="n">
        <v>4.17</v>
      </c>
      <c r="N161" s="4">
        <f>K161-I161</f>
        <v/>
      </c>
      <c r="O161" s="4" t="n">
        <v>20.99</v>
      </c>
      <c r="P161" s="4" t="n">
        <v>3.44</v>
      </c>
      <c r="Q161" s="7">
        <f>K161-P161</f>
        <v/>
      </c>
      <c r="R161" s="4" t="n">
        <v>100.7</v>
      </c>
      <c r="S161" s="7">
        <f>(O161*T161)</f>
        <v/>
      </c>
      <c r="T161" s="12" t="n">
        <v>6.73</v>
      </c>
      <c r="U161" s="23" t="n">
        <v>11671.2</v>
      </c>
      <c r="V161" s="23" t="n">
        <v>24.13</v>
      </c>
      <c r="W161" s="7">
        <f>U161/V161</f>
        <v/>
      </c>
      <c r="X161" s="7">
        <f>(W161/U161)*100</f>
        <v/>
      </c>
      <c r="Y161" s="23" t="n">
        <v>9102.5</v>
      </c>
      <c r="Z161" s="23" t="n">
        <v>17.56</v>
      </c>
      <c r="AA161" s="7">
        <f>Y161/Z161</f>
        <v/>
      </c>
      <c r="AB161" s="7">
        <f>(AA161/Y161)*100</f>
        <v/>
      </c>
    </row>
    <row r="162">
      <c r="A162" s="14" t="n">
        <v>161</v>
      </c>
      <c r="B162" s="8" t="n">
        <v>45033</v>
      </c>
      <c r="C162" s="4" t="n">
        <v>26616826.3</v>
      </c>
      <c r="D162" s="4">
        <f>C162/E162</f>
        <v/>
      </c>
      <c r="E162" s="4" t="n">
        <v>82</v>
      </c>
      <c r="F162" s="4">
        <f>D162/100000</f>
        <v/>
      </c>
      <c r="G162" s="7">
        <f>(F162/DataSheet!$C$10*100)</f>
        <v/>
      </c>
      <c r="H162" s="4">
        <f>K162/I162</f>
        <v/>
      </c>
      <c r="I162" s="4">
        <f>(J162/L162)*100</f>
        <v/>
      </c>
      <c r="J162" s="7">
        <f>L162/O162</f>
        <v/>
      </c>
      <c r="K162" s="4" t="n">
        <v>7.24</v>
      </c>
      <c r="L162" s="4" t="n">
        <v>17706.85</v>
      </c>
      <c r="M162" s="4" t="n">
        <v>4.14</v>
      </c>
      <c r="N162" s="4">
        <f>K162-I162</f>
        <v/>
      </c>
      <c r="O162" s="4" t="n">
        <v>20.82</v>
      </c>
      <c r="P162" s="4" t="n">
        <v>3.6</v>
      </c>
      <c r="Q162" s="7">
        <f>K162-P162</f>
        <v/>
      </c>
      <c r="R162" s="4" t="n">
        <v>101.79</v>
      </c>
      <c r="S162" s="7">
        <f>(O162*T162)</f>
        <v/>
      </c>
      <c r="T162" s="12" t="n">
        <v>6.72</v>
      </c>
      <c r="U162" s="23" t="n">
        <v>11714.45</v>
      </c>
      <c r="V162" s="23" t="n">
        <v>24.22</v>
      </c>
      <c r="W162" s="7">
        <f>U162/V162</f>
        <v/>
      </c>
      <c r="X162" s="7">
        <f>(W162/U162)*100</f>
        <v/>
      </c>
      <c r="Y162" s="23" t="n">
        <v>9116.799999999999</v>
      </c>
      <c r="Z162" s="23" t="n">
        <v>17.59</v>
      </c>
      <c r="AA162" s="7">
        <f>Y162/Z162</f>
        <v/>
      </c>
      <c r="AB162" s="7">
        <f>(AA162/Y162)*100</f>
        <v/>
      </c>
    </row>
    <row r="163">
      <c r="A163" s="14" t="n">
        <v>162</v>
      </c>
      <c r="B163" s="8" t="n">
        <v>45034</v>
      </c>
      <c r="C163" s="4" t="n">
        <v>26625115.99</v>
      </c>
      <c r="D163" s="4">
        <f>C163/E163</f>
        <v/>
      </c>
      <c r="E163" s="4" t="n">
        <v>82.08</v>
      </c>
      <c r="F163" s="4">
        <f>D163/100000</f>
        <v/>
      </c>
      <c r="G163" s="7">
        <f>(F163/DataSheet!$C$10*100)</f>
        <v/>
      </c>
      <c r="H163" s="4">
        <f>K163/I163</f>
        <v/>
      </c>
      <c r="I163" s="4">
        <f>(J163/L163)*100</f>
        <v/>
      </c>
      <c r="J163" s="7">
        <f>L163/O163</f>
        <v/>
      </c>
      <c r="K163" s="4" t="n">
        <v>7.22</v>
      </c>
      <c r="L163" s="4" t="n">
        <v>17660.15</v>
      </c>
      <c r="M163" s="4" t="n">
        <v>4.13</v>
      </c>
      <c r="N163" s="4">
        <f>K163-I163</f>
        <v/>
      </c>
      <c r="O163" s="4" t="n">
        <v>20.65</v>
      </c>
      <c r="P163" s="4" t="n">
        <v>3.57</v>
      </c>
      <c r="Q163" s="7">
        <f>K163-P163</f>
        <v/>
      </c>
      <c r="R163" s="4" t="n">
        <v>101.44</v>
      </c>
      <c r="S163" s="7">
        <f>(O163*T163)</f>
        <v/>
      </c>
      <c r="T163" s="12" t="n">
        <v>6.73</v>
      </c>
      <c r="U163" s="23" t="n">
        <v>11783.35</v>
      </c>
      <c r="V163" s="23" t="n">
        <v>24.37</v>
      </c>
      <c r="W163" s="7">
        <f>U163/V163</f>
        <v/>
      </c>
      <c r="X163" s="7">
        <f>(W163/U163)*100</f>
        <v/>
      </c>
      <c r="Y163" s="23" t="n">
        <v>9123.35</v>
      </c>
      <c r="Z163" s="23" t="n">
        <v>17.6</v>
      </c>
      <c r="AA163" s="7">
        <f>Y163/Z163</f>
        <v/>
      </c>
      <c r="AB163" s="7">
        <f>(AA163/Y163)*100</f>
        <v/>
      </c>
    </row>
    <row r="164">
      <c r="A164" s="14" t="n">
        <v>163</v>
      </c>
      <c r="B164" s="8" t="n">
        <v>45035</v>
      </c>
      <c r="C164" s="4" t="n">
        <v>26553982.36</v>
      </c>
      <c r="D164" s="4">
        <f>C164/E164</f>
        <v/>
      </c>
      <c r="E164" s="4" t="n">
        <v>82.26000000000001</v>
      </c>
      <c r="F164" s="4">
        <f>D164/100000</f>
        <v/>
      </c>
      <c r="G164" s="7">
        <f>(F164/DataSheet!$C$10*100)</f>
        <v/>
      </c>
      <c r="H164" s="4">
        <f>K164/I164</f>
        <v/>
      </c>
      <c r="I164" s="4">
        <f>(J164/L164)*100</f>
        <v/>
      </c>
      <c r="J164" s="7">
        <f>L164/O164</f>
        <v/>
      </c>
      <c r="K164" s="4" t="n">
        <v>7.22</v>
      </c>
      <c r="L164" s="4" t="n">
        <v>17618.75</v>
      </c>
      <c r="M164" s="4" t="n">
        <v>4.12</v>
      </c>
      <c r="N164" s="4">
        <f>K164-I164</f>
        <v/>
      </c>
      <c r="O164" s="4" t="n">
        <v>20.6</v>
      </c>
      <c r="P164" s="4" t="n">
        <v>3.59</v>
      </c>
      <c r="Q164" s="7">
        <f>K164-P164</f>
        <v/>
      </c>
      <c r="R164" s="4" t="n">
        <v>101.66</v>
      </c>
      <c r="S164" s="7">
        <f>(O164*T164)</f>
        <v/>
      </c>
      <c r="T164" s="12" t="n">
        <v>6.73</v>
      </c>
      <c r="U164" s="23" t="n">
        <v>11763.95</v>
      </c>
      <c r="V164" s="23" t="n">
        <v>24.33</v>
      </c>
      <c r="W164" s="7">
        <f>U164/V164</f>
        <v/>
      </c>
      <c r="X164" s="7">
        <f>(W164/U164)*100</f>
        <v/>
      </c>
      <c r="Y164" s="23" t="n">
        <v>9123.4</v>
      </c>
      <c r="Z164" s="23" t="n">
        <v>17.59</v>
      </c>
      <c r="AA164" s="7">
        <f>Y164/Z164</f>
        <v/>
      </c>
      <c r="AB164" s="7">
        <f>(AA164/Y164)*100</f>
        <v/>
      </c>
    </row>
    <row r="165">
      <c r="A165" s="14" t="n">
        <v>164</v>
      </c>
      <c r="B165" s="8" t="n">
        <v>45036</v>
      </c>
      <c r="C165" s="4" t="n">
        <v>26565903.83</v>
      </c>
      <c r="D165" s="4">
        <f>C165/E165</f>
        <v/>
      </c>
      <c r="E165" s="4" t="n">
        <v>82.12</v>
      </c>
      <c r="F165" s="4">
        <f>D165/100000</f>
        <v/>
      </c>
      <c r="G165" s="7">
        <f>(F165/DataSheet!$C$10*100)</f>
        <v/>
      </c>
      <c r="H165" s="4">
        <f>K165/I165</f>
        <v/>
      </c>
      <c r="I165" s="4">
        <f>(J165/L165)*100</f>
        <v/>
      </c>
      <c r="J165" s="7">
        <f>L165/O165</f>
        <v/>
      </c>
      <c r="K165" s="4" t="n">
        <v>7.22</v>
      </c>
      <c r="L165" s="4" t="n">
        <v>17624.45</v>
      </c>
      <c r="M165" s="4" t="n">
        <v>4.13</v>
      </c>
      <c r="N165" s="4">
        <f>K165-I165</f>
        <v/>
      </c>
      <c r="O165" s="4" t="n">
        <v>20.61</v>
      </c>
      <c r="P165" s="4" t="n">
        <v>3.53</v>
      </c>
      <c r="Q165" s="7">
        <f>K165-P165</f>
        <v/>
      </c>
      <c r="R165" s="4" t="n">
        <v>101.56</v>
      </c>
      <c r="S165" s="7">
        <f>(O165*T165)</f>
        <v/>
      </c>
      <c r="T165" s="12" t="n">
        <v>6.78</v>
      </c>
      <c r="U165" s="23" t="n">
        <v>11755.95</v>
      </c>
      <c r="V165" s="23" t="n">
        <v>24.31</v>
      </c>
      <c r="W165" s="7">
        <f>U165/V165</f>
        <v/>
      </c>
      <c r="X165" s="7">
        <f>(W165/U165)*100</f>
        <v/>
      </c>
      <c r="Y165" s="23" t="n">
        <v>9148.299999999999</v>
      </c>
      <c r="Z165" s="23" t="n">
        <v>17.68</v>
      </c>
      <c r="AA165" s="7">
        <f>Y165/Z165</f>
        <v/>
      </c>
      <c r="AB165" s="7">
        <f>(AA165/Y165)*100</f>
        <v/>
      </c>
    </row>
    <row r="166">
      <c r="A166" s="14" t="n">
        <v>165</v>
      </c>
      <c r="B166" s="8" t="n">
        <v>45037</v>
      </c>
      <c r="C166" s="4" t="n">
        <v>26529050.19</v>
      </c>
      <c r="D166" s="4">
        <f>C166/E166</f>
        <v/>
      </c>
      <c r="E166" s="4" t="n">
        <v>82.03</v>
      </c>
      <c r="F166" s="4">
        <f>D166/100000</f>
        <v/>
      </c>
      <c r="G166" s="7">
        <f>(F166/DataSheet!$C$10*100)</f>
        <v/>
      </c>
      <c r="H166" s="4">
        <f>K166/I166</f>
        <v/>
      </c>
      <c r="I166" s="4">
        <f>(J166/L166)*100</f>
        <v/>
      </c>
      <c r="J166" s="7">
        <f>L166/O166</f>
        <v/>
      </c>
      <c r="K166" s="4" t="n">
        <v>7.18</v>
      </c>
      <c r="L166" s="4" t="n">
        <v>17624.05</v>
      </c>
      <c r="M166" s="4" t="n">
        <v>4.13</v>
      </c>
      <c r="N166" s="4">
        <f>K166-I166</f>
        <v/>
      </c>
      <c r="O166" s="4" t="n">
        <v>20.61</v>
      </c>
      <c r="P166" s="4" t="n">
        <v>3.56</v>
      </c>
      <c r="Q166" s="7">
        <f>K166-P166</f>
        <v/>
      </c>
      <c r="R166" s="4" t="n">
        <v>101.55</v>
      </c>
      <c r="S166" s="7">
        <f>(O166*T166)</f>
        <v/>
      </c>
      <c r="T166" s="12" t="n">
        <v>6.78</v>
      </c>
      <c r="U166" s="23" t="n">
        <v>11707.55</v>
      </c>
      <c r="V166" s="23" t="n">
        <v>24.22</v>
      </c>
      <c r="W166" s="7">
        <f>U166/V166</f>
        <v/>
      </c>
      <c r="X166" s="7">
        <f>(W166/U166)*100</f>
        <v/>
      </c>
      <c r="Y166" s="23" t="n">
        <v>9130.799999999999</v>
      </c>
      <c r="Z166" s="23" t="n">
        <v>17.65</v>
      </c>
      <c r="AA166" s="7">
        <f>Y166/Z166</f>
        <v/>
      </c>
      <c r="AB166" s="7">
        <f>(AA166/Y166)*100</f>
        <v/>
      </c>
    </row>
    <row r="167">
      <c r="A167" s="14" t="n">
        <v>166</v>
      </c>
      <c r="B167" s="8" t="n">
        <v>45040</v>
      </c>
      <c r="C167" s="4" t="n">
        <v>26656946.52</v>
      </c>
      <c r="D167" s="4">
        <f>C167/E167</f>
        <v/>
      </c>
      <c r="E167" s="4" t="n">
        <v>81.95</v>
      </c>
      <c r="F167" s="4">
        <f>D167/100000</f>
        <v/>
      </c>
      <c r="G167" s="7">
        <f>(F167/DataSheet!$C$10*100)</f>
        <v/>
      </c>
      <c r="H167" s="4">
        <f>K167/I167</f>
        <v/>
      </c>
      <c r="I167" s="4">
        <f>(J167/L167)*100</f>
        <v/>
      </c>
      <c r="J167" s="7">
        <f>L167/O167</f>
        <v/>
      </c>
      <c r="K167" s="4" t="n">
        <v>7.11</v>
      </c>
      <c r="L167" s="4" t="n">
        <v>17743.4</v>
      </c>
      <c r="M167" s="4" t="n">
        <v>4.15</v>
      </c>
      <c r="N167" s="4">
        <f>K167-I167</f>
        <v/>
      </c>
      <c r="O167" s="4" t="n">
        <v>20.74</v>
      </c>
      <c r="P167" s="4" t="n">
        <v>3.49</v>
      </c>
      <c r="Q167" s="7">
        <f>K167-P167</f>
        <v/>
      </c>
      <c r="R167" s="4" t="n">
        <v>101.07</v>
      </c>
      <c r="S167" s="7">
        <f>(O167*T167)</f>
        <v/>
      </c>
      <c r="T167" s="12" t="n">
        <v>6.75</v>
      </c>
      <c r="U167" s="23" t="n">
        <v>11738.6</v>
      </c>
      <c r="V167" s="23" t="n">
        <v>24.28</v>
      </c>
      <c r="W167" s="7">
        <f>U167/V167</f>
        <v/>
      </c>
      <c r="X167" s="7">
        <f>(W167/U167)*100</f>
        <v/>
      </c>
      <c r="Y167" s="23" t="n">
        <v>9174.1</v>
      </c>
      <c r="Z167" s="23" t="n">
        <v>17.76</v>
      </c>
      <c r="AA167" s="7">
        <f>Y167/Z167</f>
        <v/>
      </c>
      <c r="AB167" s="7">
        <f>(AA167/Y167)*100</f>
        <v/>
      </c>
    </row>
    <row r="168">
      <c r="A168" s="14" t="n">
        <v>167</v>
      </c>
      <c r="B168" s="8" t="n">
        <v>45041</v>
      </c>
      <c r="C168" s="4" t="n">
        <v>26734894.24</v>
      </c>
      <c r="D168" s="4">
        <f>C168/E168</f>
        <v/>
      </c>
      <c r="E168" s="4" t="n">
        <v>81.95999999999999</v>
      </c>
      <c r="F168" s="4">
        <f>D168/100000</f>
        <v/>
      </c>
      <c r="G168" s="7">
        <f>(F168/DataSheet!$C$10*100)</f>
        <v/>
      </c>
      <c r="H168" s="4">
        <f>K168/I168</f>
        <v/>
      </c>
      <c r="I168" s="4">
        <f>(J168/L168)*100</f>
        <v/>
      </c>
      <c r="J168" s="7">
        <f>L168/O168</f>
        <v/>
      </c>
      <c r="K168" s="4" t="n">
        <v>7.11</v>
      </c>
      <c r="L168" s="4" t="n">
        <v>17769.25</v>
      </c>
      <c r="M168" s="4" t="n">
        <v>4.16</v>
      </c>
      <c r="N168" s="4">
        <f>K168-I168</f>
        <v/>
      </c>
      <c r="O168" s="4" t="n">
        <v>20.56</v>
      </c>
      <c r="P168" s="4" t="n">
        <v>3.4</v>
      </c>
      <c r="Q168" s="7">
        <f>K168-P168</f>
        <v/>
      </c>
      <c r="R168" s="4" t="n">
        <v>101.59</v>
      </c>
      <c r="S168" s="7">
        <f>(O168*T168)</f>
        <v/>
      </c>
      <c r="T168" s="12" t="n">
        <v>6.75</v>
      </c>
      <c r="U168" s="23" t="n">
        <v>11730.6</v>
      </c>
      <c r="V168" s="23" t="n">
        <v>24.28</v>
      </c>
      <c r="W168" s="7">
        <f>U168/V168</f>
        <v/>
      </c>
      <c r="X168" s="7">
        <f>(W168/U168)*100</f>
        <v/>
      </c>
      <c r="Y168" s="23" t="n">
        <v>9205.049999999999</v>
      </c>
      <c r="Z168" s="23" t="n">
        <v>17.81</v>
      </c>
      <c r="AA168" s="7">
        <f>Y168/Z168</f>
        <v/>
      </c>
      <c r="AB168" s="7">
        <f>(AA168/Y168)*100</f>
        <v/>
      </c>
    </row>
    <row r="169">
      <c r="A169" s="14" t="n">
        <v>168</v>
      </c>
      <c r="B169" s="8" t="n">
        <v>45042</v>
      </c>
      <c r="C169" s="4" t="n">
        <v>26806227.49</v>
      </c>
      <c r="D169" s="4">
        <f>C169/E169</f>
        <v/>
      </c>
      <c r="E169" s="4" t="n">
        <v>81.73999999999999</v>
      </c>
      <c r="F169" s="4">
        <f>D169/100000</f>
        <v/>
      </c>
      <c r="G169" s="7">
        <f>(F169/DataSheet!$C$10*100)</f>
        <v/>
      </c>
      <c r="H169" s="4">
        <f>K169/I169</f>
        <v/>
      </c>
      <c r="I169" s="4">
        <f>(J169/L169)*100</f>
        <v/>
      </c>
      <c r="J169" s="7">
        <f>L169/O169</f>
        <v/>
      </c>
      <c r="K169" s="4" t="n">
        <v>7.11</v>
      </c>
      <c r="L169" s="4" t="n">
        <v>17813.6</v>
      </c>
      <c r="M169" s="4" t="n">
        <v>4.17</v>
      </c>
      <c r="N169" s="4">
        <f>K169-I169</f>
        <v/>
      </c>
      <c r="O169" s="4" t="n">
        <v>20.59</v>
      </c>
      <c r="P169" s="4" t="n">
        <v>3.44</v>
      </c>
      <c r="Q169" s="7">
        <f>K169-P169</f>
        <v/>
      </c>
      <c r="R169" s="4" t="n">
        <v>101.2</v>
      </c>
      <c r="S169" s="7">
        <f>(O169*T169)</f>
        <v/>
      </c>
      <c r="T169" s="12" t="n">
        <v>6.82</v>
      </c>
      <c r="U169" s="23" t="n">
        <v>11743.1</v>
      </c>
      <c r="V169" s="23" t="n">
        <v>24.3</v>
      </c>
      <c r="W169" s="7">
        <f>U169/V169</f>
        <v/>
      </c>
      <c r="X169" s="7">
        <f>(W169/U169)*100</f>
        <v/>
      </c>
      <c r="Y169" s="23" t="n">
        <v>9255.549999999999</v>
      </c>
      <c r="Z169" s="23" t="n">
        <v>17.88</v>
      </c>
      <c r="AA169" s="7">
        <f>Y169/Z169</f>
        <v/>
      </c>
      <c r="AB169" s="7">
        <f>(AA169/Y169)*100</f>
        <v/>
      </c>
    </row>
    <row r="170">
      <c r="A170" s="14" t="n">
        <v>169</v>
      </c>
      <c r="B170" s="8" t="n">
        <v>45043</v>
      </c>
      <c r="C170" s="4" t="n">
        <v>26937243.4</v>
      </c>
      <c r="D170" s="4">
        <f>C170/E170</f>
        <v/>
      </c>
      <c r="E170" s="4" t="n">
        <v>81.69</v>
      </c>
      <c r="F170" s="4">
        <f>D170/100000</f>
        <v/>
      </c>
      <c r="G170" s="7">
        <f>(F170/DataSheet!$C$10*100)</f>
        <v/>
      </c>
      <c r="H170" s="4">
        <f>K170/I170</f>
        <v/>
      </c>
      <c r="I170" s="4">
        <f>(J170/L170)*100</f>
        <v/>
      </c>
      <c r="J170" s="7">
        <f>L170/O170</f>
        <v/>
      </c>
      <c r="K170" s="4" t="n">
        <v>7.09</v>
      </c>
      <c r="L170" s="4" t="n">
        <v>17915.05</v>
      </c>
      <c r="M170" s="4" t="n">
        <v>4.19</v>
      </c>
      <c r="N170" s="4">
        <f>K170-I170</f>
        <v/>
      </c>
      <c r="O170" s="4" t="n">
        <v>20.7</v>
      </c>
      <c r="P170" s="4" t="n">
        <v>3.52</v>
      </c>
      <c r="Q170" s="7">
        <f>K170-P170</f>
        <v/>
      </c>
      <c r="R170" s="4" t="n">
        <v>101.25</v>
      </c>
      <c r="S170" s="7">
        <f>(O170*T170)</f>
        <v/>
      </c>
      <c r="T170" s="12" t="n">
        <v>6.83</v>
      </c>
      <c r="U170" s="23" t="n">
        <v>11811.5</v>
      </c>
      <c r="V170" s="23" t="n">
        <v>24.41</v>
      </c>
      <c r="W170" s="7">
        <f>U170/V170</f>
        <v/>
      </c>
      <c r="X170" s="7">
        <f>(W170/U170)*100</f>
        <v/>
      </c>
      <c r="Y170" s="23" t="n">
        <v>9300.85</v>
      </c>
      <c r="Z170" s="23" t="n">
        <v>17.99</v>
      </c>
      <c r="AA170" s="7">
        <f>Y170/Z170</f>
        <v/>
      </c>
      <c r="AB170" s="7">
        <f>(AA170/Y170)*100</f>
        <v/>
      </c>
    </row>
    <row r="171">
      <c r="A171" s="14" t="n">
        <v>170</v>
      </c>
      <c r="B171" s="8" t="n">
        <v>45044</v>
      </c>
      <c r="C171" s="4" t="n">
        <v>27219439.55</v>
      </c>
      <c r="D171" s="4">
        <f>C171/E171</f>
        <v/>
      </c>
      <c r="E171" s="4" t="n">
        <v>81.72</v>
      </c>
      <c r="F171" s="4">
        <f>D171/100000</f>
        <v/>
      </c>
      <c r="G171" s="7">
        <f>(F171/DataSheet!$C$10*100)</f>
        <v/>
      </c>
      <c r="H171" s="4">
        <f>K171/I171</f>
        <v/>
      </c>
      <c r="I171" s="4">
        <f>(J171/L171)*100</f>
        <v/>
      </c>
      <c r="J171" s="7">
        <f>L171/O171</f>
        <v/>
      </c>
      <c r="K171" s="4" t="n">
        <v>7.11</v>
      </c>
      <c r="L171" s="4" t="n">
        <v>18065</v>
      </c>
      <c r="M171" s="4" t="n">
        <v>4.23</v>
      </c>
      <c r="N171" s="4">
        <f>K171-I171</f>
        <v/>
      </c>
      <c r="O171" s="4" t="n">
        <v>20.87</v>
      </c>
      <c r="P171" s="4" t="n">
        <v>3.43</v>
      </c>
      <c r="Q171" s="7">
        <f>K171-P171</f>
        <v/>
      </c>
      <c r="R171" s="4" t="n">
        <v>101.4</v>
      </c>
      <c r="S171" s="7">
        <f>(O171*T171)</f>
        <v/>
      </c>
      <c r="T171" s="12" t="n">
        <v>6.87</v>
      </c>
      <c r="U171" s="23" t="n">
        <v>11943.55</v>
      </c>
      <c r="V171" s="23" t="n">
        <v>24.71</v>
      </c>
      <c r="W171" s="7">
        <f>U171/V171</f>
        <v/>
      </c>
      <c r="X171" s="7">
        <f>(W171/U171)*100</f>
        <v/>
      </c>
      <c r="Y171" s="23" t="n">
        <v>9392.6</v>
      </c>
      <c r="Z171" s="23" t="n">
        <v>18.23</v>
      </c>
      <c r="AA171" s="7">
        <f>Y171/Z171</f>
        <v/>
      </c>
      <c r="AB171" s="7">
        <f>(AA171/Y171)*100</f>
        <v/>
      </c>
    </row>
    <row r="172">
      <c r="A172" s="14" t="n">
        <v>171</v>
      </c>
      <c r="B172" s="8" t="n">
        <v>45048</v>
      </c>
      <c r="C172" s="4" t="n">
        <v>27371348.96</v>
      </c>
      <c r="D172" s="4">
        <f>C172/E172</f>
        <v/>
      </c>
      <c r="E172" s="4" t="n">
        <v>81.75</v>
      </c>
      <c r="F172" s="4">
        <f>D172/100000</f>
        <v/>
      </c>
      <c r="G172" s="7">
        <f>(F172/DataSheet!$C$10*100)</f>
        <v/>
      </c>
      <c r="H172" s="4">
        <f>K172/I172</f>
        <v/>
      </c>
      <c r="I172" s="4">
        <f>(J172/L172)*100</f>
        <v/>
      </c>
      <c r="J172" s="7">
        <f>L172/O172</f>
        <v/>
      </c>
      <c r="K172" s="4" t="n">
        <v>7.1</v>
      </c>
      <c r="L172" s="4" t="n">
        <v>18147.65</v>
      </c>
      <c r="M172" s="4" t="n">
        <v>4.25</v>
      </c>
      <c r="N172" s="4">
        <f>K172-I172</f>
        <v/>
      </c>
      <c r="O172" s="4" t="n">
        <v>20.92</v>
      </c>
      <c r="P172" s="4" t="n">
        <v>3.43</v>
      </c>
      <c r="Q172" s="7">
        <f>K172-P172</f>
        <v/>
      </c>
      <c r="R172" s="4" t="n">
        <v>101.51</v>
      </c>
      <c r="S172" s="7">
        <f>(O172*T172)</f>
        <v/>
      </c>
      <c r="T172" s="12" t="n">
        <v>6.86</v>
      </c>
      <c r="U172" s="23" t="n">
        <v>12037.15</v>
      </c>
      <c r="V172" s="23" t="n">
        <v>24.83</v>
      </c>
      <c r="W172" s="7">
        <f>U172/V172</f>
        <v/>
      </c>
      <c r="X172" s="7">
        <f>(W172/U172)*100</f>
        <v/>
      </c>
      <c r="Y172" s="23" t="n">
        <v>9452.85</v>
      </c>
      <c r="Z172" s="23" t="n">
        <v>18.31</v>
      </c>
      <c r="AA172" s="7">
        <f>Y172/Z172</f>
        <v/>
      </c>
      <c r="AB172" s="7">
        <f>(AA172/Y172)*100</f>
        <v/>
      </c>
    </row>
    <row r="173">
      <c r="A173" s="14" t="n">
        <v>172</v>
      </c>
      <c r="B173" s="8" t="n">
        <v>45049</v>
      </c>
      <c r="C173" s="4" t="n">
        <v>27324627.29</v>
      </c>
      <c r="D173" s="4">
        <f>C173/E173</f>
        <v/>
      </c>
      <c r="E173" s="4" t="n">
        <v>81.75</v>
      </c>
      <c r="F173" s="4">
        <f>D173/100000</f>
        <v/>
      </c>
      <c r="G173" s="7">
        <f>(F173/DataSheet!$C$10*100)</f>
        <v/>
      </c>
      <c r="H173" s="4">
        <f>K173/I173</f>
        <v/>
      </c>
      <c r="I173" s="4">
        <f>(J173/L173)*100</f>
        <v/>
      </c>
      <c r="J173" s="7">
        <f>L173/O173</f>
        <v/>
      </c>
      <c r="K173" s="4" t="n">
        <v>7.01</v>
      </c>
      <c r="L173" s="4" t="n">
        <v>18089.85</v>
      </c>
      <c r="M173" s="4" t="n">
        <v>4.23</v>
      </c>
      <c r="N173" s="4">
        <f>K173-I173</f>
        <v/>
      </c>
      <c r="O173" s="4" t="n">
        <v>21.33</v>
      </c>
      <c r="P173" s="4" t="n">
        <v>3.36</v>
      </c>
      <c r="Q173" s="7">
        <f>K173-P173</f>
        <v/>
      </c>
      <c r="R173" s="4" t="n">
        <v>101.11</v>
      </c>
      <c r="S173" s="7">
        <f>(O173*T173)</f>
        <v/>
      </c>
      <c r="T173" s="12" t="n">
        <v>6.88</v>
      </c>
      <c r="U173" s="23" t="n">
        <v>12066.75</v>
      </c>
      <c r="V173" s="23" t="n">
        <v>24.79</v>
      </c>
      <c r="W173" s="7">
        <f>U173/V173</f>
        <v/>
      </c>
      <c r="X173" s="7">
        <f>(W173/U173)*100</f>
        <v/>
      </c>
      <c r="Y173" s="23" t="n">
        <v>9465.75</v>
      </c>
      <c r="Z173" s="23" t="n">
        <v>18.3</v>
      </c>
      <c r="AA173" s="7">
        <f>Y173/Z173</f>
        <v/>
      </c>
      <c r="AB173" s="7">
        <f>(AA173/Y173)*100</f>
        <v/>
      </c>
    </row>
    <row r="174">
      <c r="A174" s="14" t="n">
        <v>173</v>
      </c>
      <c r="B174" s="8" t="n">
        <v>45050</v>
      </c>
      <c r="C174" s="4" t="n">
        <v>27555683.85</v>
      </c>
      <c r="D174" s="4">
        <f>C174/E174</f>
        <v/>
      </c>
      <c r="E174" s="4" t="n">
        <v>81.70999999999999</v>
      </c>
      <c r="F174" s="4">
        <f>D174/100000</f>
        <v/>
      </c>
      <c r="G174" s="7">
        <f>(F174/DataSheet!$C$10*100)</f>
        <v/>
      </c>
      <c r="H174" s="4">
        <f>K174/I174</f>
        <v/>
      </c>
      <c r="I174" s="4">
        <f>(J174/L174)*100</f>
        <v/>
      </c>
      <c r="J174" s="7">
        <f>L174/O174</f>
        <v/>
      </c>
      <c r="K174" s="4" t="n">
        <v>7.01</v>
      </c>
      <c r="L174" s="4" t="n">
        <v>18255.8</v>
      </c>
      <c r="M174" s="4" t="n">
        <v>4.27</v>
      </c>
      <c r="N174" s="4">
        <f>K174-I174</f>
        <v/>
      </c>
      <c r="O174" s="4" t="n">
        <v>21.85</v>
      </c>
      <c r="P174" s="4" t="n">
        <v>3.36</v>
      </c>
      <c r="Q174" s="7">
        <f>K174-P174</f>
        <v/>
      </c>
      <c r="R174" s="4" t="n">
        <v>101.2</v>
      </c>
      <c r="S174" s="7">
        <f>(O174*T174)</f>
        <v/>
      </c>
      <c r="T174" s="12" t="n">
        <v>6.88</v>
      </c>
      <c r="U174" s="23" t="n">
        <v>12145.5</v>
      </c>
      <c r="V174" s="23" t="n">
        <v>24.95</v>
      </c>
      <c r="W174" s="7">
        <f>U174/V174</f>
        <v/>
      </c>
      <c r="X174" s="7">
        <f>(W174/U174)*100</f>
        <v/>
      </c>
      <c r="Y174" s="23" t="n">
        <v>9546.9</v>
      </c>
      <c r="Z174" s="23" t="n">
        <v>18.48</v>
      </c>
      <c r="AA174" s="7">
        <f>Y174/Z174</f>
        <v/>
      </c>
      <c r="AB174" s="7">
        <f>(AA174/Y174)*100</f>
        <v/>
      </c>
    </row>
    <row r="175">
      <c r="A175" s="14" t="n">
        <v>174</v>
      </c>
      <c r="B175" s="9" t="n">
        <v>45051</v>
      </c>
      <c r="C175" s="7" t="n">
        <v>27412047.57</v>
      </c>
      <c r="D175" s="7">
        <f>C175/E175</f>
        <v/>
      </c>
      <c r="E175" s="7" t="n">
        <v>81.7</v>
      </c>
      <c r="F175" s="7">
        <f>D175/100000</f>
        <v/>
      </c>
      <c r="G175" s="7">
        <f>(F175/DataSheet!$C$10*100)</f>
        <v/>
      </c>
      <c r="H175" s="7">
        <f>K175/I175</f>
        <v/>
      </c>
      <c r="I175" s="7">
        <f>(J175/L175)*100</f>
        <v/>
      </c>
      <c r="J175" s="7">
        <f>L175/O175</f>
        <v/>
      </c>
      <c r="K175" s="7" t="n">
        <v>7.01</v>
      </c>
      <c r="L175" s="7" t="n">
        <v>18069</v>
      </c>
      <c r="M175" s="7" t="n">
        <v>4.23</v>
      </c>
      <c r="N175" s="7">
        <f>K175-I175</f>
        <v/>
      </c>
      <c r="O175" s="7" t="n">
        <v>21.62</v>
      </c>
      <c r="P175" s="7" t="n">
        <v>3.43</v>
      </c>
      <c r="Q175" s="7">
        <f>K175-P175</f>
        <v/>
      </c>
      <c r="R175" s="7" t="n">
        <v>100.99</v>
      </c>
      <c r="S175" s="7">
        <f>(O175*T175)</f>
        <v/>
      </c>
      <c r="T175" s="12" t="n">
        <v>6.88</v>
      </c>
      <c r="U175" s="23" t="n">
        <v>12066.05</v>
      </c>
      <c r="V175" s="23" t="n">
        <v>24.71</v>
      </c>
      <c r="W175" s="7">
        <f>U175/V175</f>
        <v/>
      </c>
      <c r="X175" s="7">
        <f>(W175/U175)*100</f>
        <v/>
      </c>
      <c r="Y175" s="23" t="n">
        <v>9494.25</v>
      </c>
      <c r="Z175" s="23" t="n">
        <v>18.36</v>
      </c>
      <c r="AA175" s="7">
        <f>Y175/Z175</f>
        <v/>
      </c>
      <c r="AB175" s="7">
        <f>(AA175/Y175)*100</f>
        <v/>
      </c>
    </row>
    <row r="176">
      <c r="A176" s="14" t="n">
        <v>175</v>
      </c>
      <c r="B176" s="9" t="n">
        <v>45054</v>
      </c>
      <c r="C176" s="7" t="n">
        <v>27632336.1</v>
      </c>
      <c r="D176" s="7">
        <f>C176/E176</f>
        <v/>
      </c>
      <c r="E176" s="7" t="n">
        <v>81.77</v>
      </c>
      <c r="F176" s="7">
        <f>D176/100000</f>
        <v/>
      </c>
      <c r="G176" s="7">
        <f>(F176/DataSheet!$C$10*100)</f>
        <v/>
      </c>
      <c r="H176" s="7">
        <f>K176/I176</f>
        <v/>
      </c>
      <c r="I176" s="7">
        <f>(J176/L176)*100</f>
        <v/>
      </c>
      <c r="J176" s="7">
        <f>L176/O176</f>
        <v/>
      </c>
      <c r="K176" s="7" t="n">
        <v>7.04</v>
      </c>
      <c r="L176" s="7" t="n">
        <v>18264.4</v>
      </c>
      <c r="M176" s="7" t="n">
        <v>4.28</v>
      </c>
      <c r="N176" s="7">
        <f>K176-I176</f>
        <v/>
      </c>
      <c r="O176" s="7" t="n">
        <v>21.77</v>
      </c>
      <c r="P176" s="7" t="n">
        <v>3.5</v>
      </c>
      <c r="Q176" s="7">
        <f>K176-P176</f>
        <v/>
      </c>
      <c r="R176" s="7" t="n">
        <v>101.15</v>
      </c>
      <c r="S176" s="7">
        <f>(O176*T176)</f>
        <v/>
      </c>
      <c r="T176" s="12" t="n">
        <v>6.91</v>
      </c>
      <c r="U176" s="23" t="n">
        <v>12177.7</v>
      </c>
      <c r="V176" s="23" t="n">
        <v>24.94</v>
      </c>
      <c r="W176" s="7">
        <f>U176/V176</f>
        <v/>
      </c>
      <c r="X176" s="7">
        <f>(W176/U176)*100</f>
        <v/>
      </c>
      <c r="Y176" s="23" t="n">
        <v>9564.4</v>
      </c>
      <c r="Z176" s="23" t="n">
        <v>18.56</v>
      </c>
      <c r="AA176" s="7">
        <f>Y176/Z176</f>
        <v/>
      </c>
      <c r="AB176" s="7">
        <f>(AA176/Y176)*100</f>
        <v/>
      </c>
    </row>
    <row r="177">
      <c r="A177" s="14" t="n">
        <v>176</v>
      </c>
      <c r="B177" s="9" t="n">
        <v>45055</v>
      </c>
      <c r="C177" s="4" t="n">
        <v>27661584.67</v>
      </c>
      <c r="D177" s="4">
        <f>C177/E177</f>
        <v/>
      </c>
      <c r="E177" s="4" t="n">
        <v>82.09999999999999</v>
      </c>
      <c r="F177" s="4">
        <f>D177/100000</f>
        <v/>
      </c>
      <c r="G177" s="7">
        <f>(F177/DataSheet!$C$10*100)</f>
        <v/>
      </c>
      <c r="H177" s="4">
        <f>K177/I177</f>
        <v/>
      </c>
      <c r="I177" s="4">
        <f>(J177/L177)*100</f>
        <v/>
      </c>
      <c r="J177" s="7">
        <f>L177/O177</f>
        <v/>
      </c>
      <c r="K177" s="4" t="n">
        <v>7.04</v>
      </c>
      <c r="L177" s="4" t="n">
        <v>18265.95</v>
      </c>
      <c r="M177" s="4" t="n">
        <v>4.28</v>
      </c>
      <c r="N177" s="4">
        <f>K177-I177</f>
        <v/>
      </c>
      <c r="O177" s="4" t="n">
        <v>21.77</v>
      </c>
      <c r="P177" s="4" t="n">
        <v>3.52</v>
      </c>
      <c r="Q177" s="7">
        <f>K177-P177</f>
        <v/>
      </c>
      <c r="R177" s="4" t="n">
        <v>101.39</v>
      </c>
      <c r="S177" s="7">
        <f>(O177*T177)</f>
        <v/>
      </c>
      <c r="T177" s="12" t="n">
        <v>6.88</v>
      </c>
      <c r="U177" s="23" t="n">
        <v>12184.95</v>
      </c>
      <c r="V177" s="23" t="n">
        <v>24.68</v>
      </c>
      <c r="W177" s="7">
        <f>U177/V177</f>
        <v/>
      </c>
      <c r="X177" s="7">
        <f>(W177/U177)*100</f>
        <v/>
      </c>
      <c r="Y177" s="23" t="n">
        <v>9524</v>
      </c>
      <c r="Z177" s="23" t="n">
        <v>18.5</v>
      </c>
      <c r="AA177" s="7">
        <f>Y177/Z177</f>
        <v/>
      </c>
      <c r="AB177" s="7">
        <f>(AA177/Y177)*100</f>
        <v/>
      </c>
    </row>
    <row r="178">
      <c r="A178" s="14" t="n">
        <v>177</v>
      </c>
      <c r="B178" s="9" t="n">
        <v>45056</v>
      </c>
      <c r="C178" s="4" t="n">
        <v>27742831.09</v>
      </c>
      <c r="D178" s="4">
        <f>C178/E178</f>
        <v/>
      </c>
      <c r="E178" s="4" t="n">
        <v>81.90000000000001</v>
      </c>
      <c r="F178" s="4">
        <f>D178/100000</f>
        <v/>
      </c>
      <c r="G178" s="7">
        <f>(F178/DataSheet!$C$10*100)</f>
        <v/>
      </c>
      <c r="H178" s="4">
        <f>K178/I178</f>
        <v/>
      </c>
      <c r="I178" s="4">
        <f>(J178/L178)*100</f>
        <v/>
      </c>
      <c r="J178" s="7">
        <f>L178/O178</f>
        <v/>
      </c>
      <c r="K178" s="4" t="n">
        <v>7.03</v>
      </c>
      <c r="L178" s="4" t="n">
        <v>18315.1</v>
      </c>
      <c r="M178" s="4" t="n">
        <v>4.29</v>
      </c>
      <c r="N178" s="4">
        <f>K178-I178</f>
        <v/>
      </c>
      <c r="O178" s="4" t="n">
        <v>21.88</v>
      </c>
      <c r="P178" s="4" t="n">
        <v>3.43</v>
      </c>
      <c r="Q178" s="7">
        <f>K178-P178</f>
        <v/>
      </c>
      <c r="R178" s="4" t="n">
        <v>101.26</v>
      </c>
      <c r="S178" s="7">
        <f>(O178*T178)</f>
        <v/>
      </c>
      <c r="T178" s="12" t="n">
        <v>6.95</v>
      </c>
      <c r="U178" s="23" t="n">
        <v>12195.2</v>
      </c>
      <c r="V178" s="23" t="n">
        <v>24.65</v>
      </c>
      <c r="W178" s="7">
        <f>U178/V178</f>
        <v/>
      </c>
      <c r="X178" s="7">
        <f>(W178/U178)*100</f>
        <v/>
      </c>
      <c r="Y178" s="23" t="n">
        <v>9572.35</v>
      </c>
      <c r="Z178" s="23" t="n">
        <v>18.48</v>
      </c>
      <c r="AA178" s="7">
        <f>Y178/Z178</f>
        <v/>
      </c>
      <c r="AB178" s="7">
        <f>(AA178/Y178)*100</f>
        <v/>
      </c>
    </row>
    <row r="179">
      <c r="A179" s="14" t="n">
        <v>178</v>
      </c>
      <c r="B179" s="9" t="n">
        <v>45057</v>
      </c>
      <c r="C179" s="4" t="n">
        <v>27831824.47</v>
      </c>
      <c r="D179" s="4">
        <f>C179/E179</f>
        <v/>
      </c>
      <c r="E179" s="4" t="n">
        <v>82.09</v>
      </c>
      <c r="F179" s="4">
        <f>D179/100000</f>
        <v/>
      </c>
      <c r="G179" s="7">
        <f>(F179/DataSheet!$C$10*100)</f>
        <v/>
      </c>
      <c r="H179" s="4">
        <f>K179/I179</f>
        <v/>
      </c>
      <c r="I179" s="4">
        <f>(J179/L179)*100</f>
        <v/>
      </c>
      <c r="J179" s="7">
        <f>L179/O179</f>
        <v/>
      </c>
      <c r="K179" s="4" t="n">
        <v>7.02</v>
      </c>
      <c r="L179" s="4" t="n">
        <v>18297</v>
      </c>
      <c r="M179" s="4" t="n">
        <v>4.28</v>
      </c>
      <c r="N179" s="4">
        <f>K179-I179</f>
        <v/>
      </c>
      <c r="O179" s="4" t="n">
        <v>21.86</v>
      </c>
      <c r="P179" s="4" t="n">
        <v>3.38</v>
      </c>
      <c r="Q179" s="7">
        <f>K179-P179</f>
        <v/>
      </c>
      <c r="R179" s="4" t="n">
        <v>101.87</v>
      </c>
      <c r="S179" s="7">
        <f>(O179*T179)</f>
        <v/>
      </c>
      <c r="T179" s="12" t="n">
        <v>6.95</v>
      </c>
      <c r="U179" s="23" t="n">
        <v>12232.85</v>
      </c>
      <c r="V179" s="23" t="n">
        <v>24.67</v>
      </c>
      <c r="W179" s="7">
        <f>U179/V179</f>
        <v/>
      </c>
      <c r="X179" s="7">
        <f>(W179/U179)*100</f>
        <v/>
      </c>
      <c r="Y179" s="23" t="n">
        <v>9640.65</v>
      </c>
      <c r="Z179" s="23" t="n">
        <v>18.66</v>
      </c>
      <c r="AA179" s="7">
        <f>Y179/Z179</f>
        <v/>
      </c>
      <c r="AB179" s="7">
        <f>(AA179/Y179)*100</f>
        <v/>
      </c>
    </row>
    <row r="180">
      <c r="A180" s="14" t="n">
        <v>179</v>
      </c>
      <c r="B180" s="9" t="n">
        <v>45058</v>
      </c>
      <c r="C180" s="4" t="n">
        <v>27815282.14</v>
      </c>
      <c r="D180" s="4">
        <f>C180/E180</f>
        <v/>
      </c>
      <c r="E180" s="4" t="n">
        <v>82.17</v>
      </c>
      <c r="F180" s="4">
        <f>D180/100000</f>
        <v/>
      </c>
      <c r="G180" s="7">
        <f>(F180/DataSheet!$C$10*100)</f>
        <v/>
      </c>
      <c r="H180" s="4">
        <f>K180/I180</f>
        <v/>
      </c>
      <c r="I180" s="4">
        <f>(J180/L180)*100</f>
        <v/>
      </c>
      <c r="J180" s="7">
        <f>L180/O180</f>
        <v/>
      </c>
      <c r="K180" s="4" t="n">
        <v>6.99</v>
      </c>
      <c r="L180" s="4" t="n">
        <v>18314.8</v>
      </c>
      <c r="M180" s="4" t="n">
        <v>4.29</v>
      </c>
      <c r="N180" s="4">
        <f>K180-I180</f>
        <v/>
      </c>
      <c r="O180" s="4" t="n">
        <v>21.82</v>
      </c>
      <c r="P180" s="4" t="n">
        <v>3.46</v>
      </c>
      <c r="Q180" s="7">
        <f>K180-P180</f>
        <v/>
      </c>
      <c r="R180" s="4" t="n">
        <v>102.5</v>
      </c>
      <c r="S180" s="7">
        <f>(O180*T180)</f>
        <v/>
      </c>
      <c r="T180" s="12" t="n">
        <v>6.95</v>
      </c>
      <c r="U180" s="23" t="n">
        <v>12196.1</v>
      </c>
      <c r="V180" s="23" t="n">
        <v>24.47</v>
      </c>
      <c r="W180" s="7">
        <f>U180/V180</f>
        <v/>
      </c>
      <c r="X180" s="7">
        <f>(W180/U180)*100</f>
        <v/>
      </c>
      <c r="Y180" s="23" t="n">
        <v>9603.299999999999</v>
      </c>
      <c r="Z180" s="23" t="n">
        <v>18.61</v>
      </c>
      <c r="AA180" s="7">
        <f>Y180/Z180</f>
        <v/>
      </c>
      <c r="AB180" s="7">
        <f>(AA180/Y180)*100</f>
        <v/>
      </c>
    </row>
    <row r="181">
      <c r="A181" s="14" t="n">
        <v>180</v>
      </c>
      <c r="B181" s="9" t="n">
        <v>45061</v>
      </c>
      <c r="C181" s="4" t="n">
        <v>27898273.75</v>
      </c>
      <c r="D181" s="4">
        <f>C181/E181</f>
        <v/>
      </c>
      <c r="E181" s="4" t="n">
        <v>82.23</v>
      </c>
      <c r="F181" s="4">
        <f>D181/100000</f>
        <v/>
      </c>
      <c r="G181" s="7">
        <f>(F181/DataSheet!$C$10*100)</f>
        <v/>
      </c>
      <c r="H181" s="4">
        <f>K181/I181</f>
        <v/>
      </c>
      <c r="I181" s="4">
        <f>(J181/L181)*100</f>
        <v/>
      </c>
      <c r="J181" s="7">
        <f>L181/O181</f>
        <v/>
      </c>
      <c r="K181" s="4" t="n">
        <v>7</v>
      </c>
      <c r="L181" s="4" t="n">
        <v>18398.85</v>
      </c>
      <c r="M181" s="4" t="n">
        <v>4.31</v>
      </c>
      <c r="N181" s="4">
        <f>K181-I181</f>
        <v/>
      </c>
      <c r="O181" s="4" t="n">
        <v>21.92</v>
      </c>
      <c r="P181" s="4" t="n">
        <v>3.5</v>
      </c>
      <c r="Q181" s="7">
        <f>K181-P181</f>
        <v/>
      </c>
      <c r="R181" s="4" t="n">
        <v>102.27</v>
      </c>
      <c r="S181" s="7">
        <f>(O181*T181)</f>
        <v/>
      </c>
      <c r="T181" s="12" t="n">
        <v>6.95</v>
      </c>
      <c r="U181" s="23" t="n">
        <v>12264.65</v>
      </c>
      <c r="V181" s="23" t="n">
        <v>24.6</v>
      </c>
      <c r="W181" s="7">
        <f>U181/V181</f>
        <v/>
      </c>
      <c r="X181" s="7">
        <f>(W181/U181)*100</f>
        <v/>
      </c>
      <c r="Y181" s="23" t="n">
        <v>9673.25</v>
      </c>
      <c r="Z181" s="23" t="n">
        <v>18.75</v>
      </c>
      <c r="AA181" s="7">
        <f>Y181/Z181</f>
        <v/>
      </c>
      <c r="AB181" s="7">
        <f>(AA181/Y181)*100</f>
        <v/>
      </c>
    </row>
    <row r="182">
      <c r="A182" s="14" t="n">
        <v>181</v>
      </c>
      <c r="B182" s="9" t="n">
        <v>45062</v>
      </c>
      <c r="C182" s="4" t="n">
        <v>27847149.09</v>
      </c>
      <c r="D182" s="4">
        <f>C182/E182</f>
        <v/>
      </c>
      <c r="E182" s="4" t="n">
        <v>82.26000000000001</v>
      </c>
      <c r="F182" s="4">
        <f>D182/100000</f>
        <v/>
      </c>
      <c r="G182" s="7">
        <f>(F182/DataSheet!$C$10*100)</f>
        <v/>
      </c>
      <c r="H182" s="4">
        <f>K182/I182</f>
        <v/>
      </c>
      <c r="I182" s="4">
        <f>(J182/L182)*100</f>
        <v/>
      </c>
      <c r="J182" s="7">
        <f>L182/O182</f>
        <v/>
      </c>
      <c r="K182" s="4" t="n">
        <v>6.96</v>
      </c>
      <c r="L182" s="4" t="n">
        <v>18286.5</v>
      </c>
      <c r="M182" s="4" t="n">
        <v>4.28</v>
      </c>
      <c r="N182" s="4">
        <f>K182-I182</f>
        <v/>
      </c>
      <c r="O182" s="4" t="n">
        <v>21.59</v>
      </c>
      <c r="P182" s="4" t="n">
        <v>3.54</v>
      </c>
      <c r="Q182" s="7">
        <f>K182-P182</f>
        <v/>
      </c>
      <c r="R182" s="4" t="n">
        <v>102.4</v>
      </c>
      <c r="S182" s="7">
        <f>(O182*T182)</f>
        <v/>
      </c>
      <c r="T182" s="12" t="n">
        <v>6.91</v>
      </c>
      <c r="U182" s="23" t="n">
        <v>12293.05</v>
      </c>
      <c r="V182" s="23" t="n">
        <v>24.41</v>
      </c>
      <c r="W182" s="7">
        <f>U182/V182</f>
        <v/>
      </c>
      <c r="X182" s="7">
        <f>(W182/U182)*100</f>
        <v/>
      </c>
      <c r="Y182" s="23" t="n">
        <v>9676.950000000001</v>
      </c>
      <c r="Z182" s="23" t="n">
        <v>18.53</v>
      </c>
      <c r="AA182" s="7">
        <f>Y182/Z182</f>
        <v/>
      </c>
      <c r="AB182" s="7">
        <f>(AA182/Y182)*100</f>
        <v/>
      </c>
    </row>
    <row r="183">
      <c r="A183" s="14" t="n">
        <v>182</v>
      </c>
      <c r="B183" s="9" t="n">
        <v>45063</v>
      </c>
      <c r="C183" s="4" t="n">
        <v>27750546.17</v>
      </c>
      <c r="D183" s="4">
        <f>C183/E183</f>
        <v/>
      </c>
      <c r="E183" s="4" t="n">
        <v>82.40000000000001</v>
      </c>
      <c r="F183" s="4">
        <f>D183/100000</f>
        <v/>
      </c>
      <c r="G183" s="7">
        <f>(F183/DataSheet!$C$10*100)</f>
        <v/>
      </c>
      <c r="H183" s="4">
        <f>K183/I183</f>
        <v/>
      </c>
      <c r="I183" s="4">
        <f>(J183/L183)*100</f>
        <v/>
      </c>
      <c r="J183" s="7">
        <f>L183/O183</f>
        <v/>
      </c>
      <c r="K183" s="4" t="n">
        <v>6.97</v>
      </c>
      <c r="L183" s="4" t="n">
        <v>18181.75</v>
      </c>
      <c r="M183" s="4" t="n">
        <v>4.26</v>
      </c>
      <c r="N183" s="4">
        <f>K183-I183</f>
        <v/>
      </c>
      <c r="O183" s="4" t="n">
        <v>21.47</v>
      </c>
      <c r="P183" s="4" t="n">
        <v>3.57</v>
      </c>
      <c r="Q183" s="7">
        <f>K183-P183</f>
        <v/>
      </c>
      <c r="R183" s="4" t="n">
        <v>102.72</v>
      </c>
      <c r="S183" s="7">
        <f>(O183*T183)</f>
        <v/>
      </c>
      <c r="T183" s="12" t="n">
        <v>6.87</v>
      </c>
      <c r="U183" s="23" t="n">
        <v>12284.35</v>
      </c>
      <c r="V183" s="23" t="n">
        <v>24.38</v>
      </c>
      <c r="W183" s="7">
        <f>U183/V183</f>
        <v/>
      </c>
      <c r="X183" s="7">
        <f>(W183/U183)*100</f>
        <v/>
      </c>
      <c r="Y183" s="23" t="n">
        <v>9718.299999999999</v>
      </c>
      <c r="Z183" s="23" t="n">
        <v>18.62</v>
      </c>
      <c r="AA183" s="7">
        <f>Y183/Z183</f>
        <v/>
      </c>
      <c r="AB183" s="7">
        <f>(AA183/Y183)*100</f>
        <v/>
      </c>
    </row>
    <row r="184">
      <c r="A184" s="14" t="n">
        <v>183</v>
      </c>
      <c r="B184" s="9" t="n">
        <v>45064</v>
      </c>
      <c r="C184" s="4" t="n">
        <v>27616396.07</v>
      </c>
      <c r="D184" s="4">
        <f>C184/E184</f>
        <v/>
      </c>
      <c r="E184" s="4" t="n">
        <v>82.72</v>
      </c>
      <c r="F184" s="4">
        <f>D184/100000</f>
        <v/>
      </c>
      <c r="G184" s="7">
        <f>(F184/DataSheet!$C$10*100)</f>
        <v/>
      </c>
      <c r="H184" s="4">
        <f>K184/I184</f>
        <v/>
      </c>
      <c r="I184" s="4">
        <f>(J184/L184)*100</f>
        <v/>
      </c>
      <c r="J184" s="7">
        <f>L184/O184</f>
        <v/>
      </c>
      <c r="K184" s="4" t="n">
        <v>6.98</v>
      </c>
      <c r="L184" s="4" t="n">
        <v>18129.95</v>
      </c>
      <c r="M184" s="4" t="n">
        <v>4.24</v>
      </c>
      <c r="N184" s="4">
        <f>K184-I184</f>
        <v/>
      </c>
      <c r="O184" s="4" t="n">
        <v>21.39</v>
      </c>
      <c r="P184" s="4" t="n">
        <v>3.65</v>
      </c>
      <c r="Q184" s="7">
        <f>K184-P184</f>
        <v/>
      </c>
      <c r="R184" s="4" t="n">
        <v>103.45</v>
      </c>
      <c r="S184" s="7">
        <f>(O184*T184)</f>
        <v/>
      </c>
      <c r="T184" s="12" t="n">
        <v>6.85</v>
      </c>
      <c r="U184" s="23" t="n">
        <v>12213.8</v>
      </c>
      <c r="V184" s="23" t="n">
        <v>24.3</v>
      </c>
      <c r="W184" s="7">
        <f>U184/V184</f>
        <v/>
      </c>
      <c r="X184" s="7">
        <f>(W184/U184)*100</f>
        <v/>
      </c>
      <c r="Y184" s="23" t="n">
        <v>9678.549999999999</v>
      </c>
      <c r="Z184" s="23" t="n">
        <v>18.54</v>
      </c>
      <c r="AA184" s="7">
        <f>Y184/Z184</f>
        <v/>
      </c>
      <c r="AB184" s="7">
        <f>(AA184/Y184)*100</f>
        <v/>
      </c>
    </row>
    <row r="185">
      <c r="A185" s="14" t="n">
        <v>184</v>
      </c>
      <c r="B185" s="9" t="n">
        <v>45065</v>
      </c>
      <c r="C185" s="4" t="n">
        <v>27679004.31</v>
      </c>
      <c r="D185" s="4">
        <f>C185/E185</f>
        <v/>
      </c>
      <c r="E185" s="4" t="n">
        <v>82.87</v>
      </c>
      <c r="F185" s="4">
        <f>D185/100000</f>
        <v/>
      </c>
      <c r="G185" s="7">
        <f>(F185/DataSheet!$C$10*100)</f>
        <v/>
      </c>
      <c r="H185" s="4">
        <f>K185/I185</f>
        <v/>
      </c>
      <c r="I185" s="4">
        <f>(J185/L185)*100</f>
        <v/>
      </c>
      <c r="J185" s="7">
        <f>L185/O185</f>
        <v/>
      </c>
      <c r="K185" s="4" t="n">
        <v>7</v>
      </c>
      <c r="L185" s="4" t="n">
        <v>18203.4</v>
      </c>
      <c r="M185" s="4" t="n">
        <v>4.26</v>
      </c>
      <c r="N185" s="4">
        <f>K185-I185</f>
        <v/>
      </c>
      <c r="O185" s="4" t="n">
        <v>21.48</v>
      </c>
      <c r="P185" s="4" t="n">
        <v>3.68</v>
      </c>
      <c r="Q185" s="7">
        <f>K185-P185</f>
        <v/>
      </c>
      <c r="R185" s="4" t="n">
        <v>103.07</v>
      </c>
      <c r="S185" s="7">
        <f>(O185*T185)</f>
        <v/>
      </c>
      <c r="T185" s="12" t="n">
        <v>6.78</v>
      </c>
      <c r="U185" s="23" t="n">
        <v>12198.45</v>
      </c>
      <c r="V185" s="23" t="n">
        <v>24.15</v>
      </c>
      <c r="W185" s="7">
        <f>U185/V185</f>
        <v/>
      </c>
      <c r="X185" s="7">
        <f>(W185/U185)*100</f>
        <v/>
      </c>
      <c r="Y185" s="23" t="n">
        <v>9674.85</v>
      </c>
      <c r="Z185" s="23" t="n">
        <v>18.52</v>
      </c>
      <c r="AA185" s="7">
        <f>Y185/Z185</f>
        <v/>
      </c>
      <c r="AB185" s="7">
        <f>(AA185/Y185)*100</f>
        <v/>
      </c>
    </row>
    <row r="186">
      <c r="A186" s="14" t="n">
        <v>185</v>
      </c>
      <c r="B186" s="9" t="n">
        <v>45068</v>
      </c>
      <c r="C186" s="4" t="n">
        <v>27888845.46</v>
      </c>
      <c r="D186" s="4">
        <f>C186/E186</f>
        <v/>
      </c>
      <c r="E186" s="4" t="n">
        <v>82.84</v>
      </c>
      <c r="F186" s="4">
        <f>D186/100000</f>
        <v/>
      </c>
      <c r="G186" s="7">
        <f>(F186/DataSheet!$C$10*100)</f>
        <v/>
      </c>
      <c r="H186" s="4">
        <f>K186/I186</f>
        <v/>
      </c>
      <c r="I186" s="4">
        <f>(J186/L186)*100</f>
        <v/>
      </c>
      <c r="J186" s="7">
        <f>L186/O186</f>
        <v/>
      </c>
      <c r="K186" s="4" t="n">
        <v>6.98</v>
      </c>
      <c r="L186" s="4" t="n">
        <v>18314.4</v>
      </c>
      <c r="M186" s="4" t="n">
        <v>4.29</v>
      </c>
      <c r="N186" s="4">
        <f>K186-I186</f>
        <v/>
      </c>
      <c r="O186" s="4" t="n">
        <v>21.36</v>
      </c>
      <c r="P186" s="4" t="n">
        <v>3.71</v>
      </c>
      <c r="Q186" s="7">
        <f>K186-P186</f>
        <v/>
      </c>
      <c r="R186" s="4" t="n">
        <v>103.07</v>
      </c>
      <c r="S186" s="7">
        <f>(O186*T186)</f>
        <v/>
      </c>
      <c r="T186" s="12" t="n">
        <v>6.73</v>
      </c>
      <c r="U186" s="23" t="n">
        <v>12264.65</v>
      </c>
      <c r="V186" s="23" t="n">
        <v>24.29</v>
      </c>
      <c r="W186" s="7">
        <f>U186/V186</f>
        <v/>
      </c>
      <c r="X186" s="7">
        <f>(W186/U186)*100</f>
        <v/>
      </c>
      <c r="Y186" s="23" t="n">
        <v>9713.549999999999</v>
      </c>
      <c r="Z186" s="23" t="n">
        <v>18.65</v>
      </c>
      <c r="AA186" s="7">
        <f>Y186/Z186</f>
        <v/>
      </c>
      <c r="AB186" s="7">
        <f>(AA186/Y186)*100</f>
        <v/>
      </c>
    </row>
    <row r="187">
      <c r="A187" s="14" t="n">
        <v>186</v>
      </c>
      <c r="B187" s="9" t="n">
        <v>45069</v>
      </c>
      <c r="C187" s="4" t="n">
        <v>27996148.26</v>
      </c>
      <c r="D187" s="4">
        <f>C187/E187</f>
        <v/>
      </c>
      <c r="E187" s="4" t="n">
        <v>82.83</v>
      </c>
      <c r="F187" s="4">
        <f>D187/100000</f>
        <v/>
      </c>
      <c r="G187" s="7">
        <f>(F187/DataSheet!$C$10*100)</f>
        <v/>
      </c>
      <c r="H187" s="4">
        <f>K187/I187</f>
        <v/>
      </c>
      <c r="I187" s="4">
        <f>(J187/L187)*100</f>
        <v/>
      </c>
      <c r="J187" s="7">
        <f>L187/O187</f>
        <v/>
      </c>
      <c r="K187" s="4" t="n">
        <v>7.01</v>
      </c>
      <c r="L187" s="4" t="n">
        <v>18348</v>
      </c>
      <c r="M187" s="4" t="n">
        <v>4.29</v>
      </c>
      <c r="N187" s="4">
        <f>K187-I187</f>
        <v/>
      </c>
      <c r="O187" s="4" t="n">
        <v>21.41</v>
      </c>
      <c r="P187" s="4" t="n">
        <v>3.69</v>
      </c>
      <c r="Q187" s="7">
        <f>K187-P187</f>
        <v/>
      </c>
      <c r="R187" s="4" t="n">
        <v>103.38</v>
      </c>
      <c r="S187" s="7">
        <f>(O187*T187)</f>
        <v/>
      </c>
      <c r="T187" s="12" t="n">
        <v>6.78</v>
      </c>
      <c r="U187" s="23" t="n">
        <v>12335.65</v>
      </c>
      <c r="V187" s="23" t="n">
        <v>24.45</v>
      </c>
      <c r="W187" s="7">
        <f>U187/V187</f>
        <v/>
      </c>
      <c r="X187" s="7">
        <f>(W187/U187)*100</f>
        <v/>
      </c>
      <c r="Y187" s="23" t="n">
        <v>9725.450000000001</v>
      </c>
      <c r="Z187" s="23" t="n">
        <v>18.76</v>
      </c>
      <c r="AA187" s="7">
        <f>Y187/Z187</f>
        <v/>
      </c>
      <c r="AB187" s="7">
        <f>(AA187/Y187)*100</f>
        <v/>
      </c>
    </row>
    <row r="188">
      <c r="A188" s="14" t="n">
        <v>187</v>
      </c>
      <c r="B188" s="9" t="n">
        <v>45070</v>
      </c>
      <c r="C188" s="4" t="n">
        <v>27965556.81</v>
      </c>
      <c r="D188" s="4">
        <f>C188/E188</f>
        <v/>
      </c>
      <c r="E188" s="4" t="n">
        <v>82.67</v>
      </c>
      <c r="F188" s="4">
        <f>D188/100000</f>
        <v/>
      </c>
      <c r="G188" s="7">
        <f>(F188/DataSheet!$C$10*100)</f>
        <v/>
      </c>
      <c r="H188" s="4">
        <f>K188/I188</f>
        <v/>
      </c>
      <c r="I188" s="4">
        <f>(J188/L188)*100</f>
        <v/>
      </c>
      <c r="J188" s="7">
        <f>L188/O188</f>
        <v/>
      </c>
      <c r="K188" s="4" t="n">
        <v>6.99</v>
      </c>
      <c r="L188" s="4" t="n">
        <v>18285.4</v>
      </c>
      <c r="M188" s="4" t="n">
        <v>4.28</v>
      </c>
      <c r="N188" s="4">
        <f>K188-I188</f>
        <v/>
      </c>
      <c r="O188" s="4" t="n">
        <v>21.24</v>
      </c>
      <c r="P188" s="4" t="n">
        <v>3.74</v>
      </c>
      <c r="Q188" s="7">
        <f>K188-P188</f>
        <v/>
      </c>
      <c r="R188" s="4" t="n">
        <v>103.79</v>
      </c>
      <c r="S188" s="7">
        <f>(O188*T188)</f>
        <v/>
      </c>
      <c r="T188" s="12" t="n">
        <v>6.77</v>
      </c>
      <c r="U188" s="23" t="n">
        <v>12353.9</v>
      </c>
      <c r="V188" s="23" t="n">
        <v>24.48</v>
      </c>
      <c r="W188" s="7">
        <f>U188/V188</f>
        <v/>
      </c>
      <c r="X188" s="7">
        <f>(W188/U188)*100</f>
        <v/>
      </c>
      <c r="Y188" s="23" t="n">
        <v>9729.5</v>
      </c>
      <c r="Z188" s="23" t="n">
        <v>18.85</v>
      </c>
      <c r="AA188" s="7">
        <f>Y188/Z188</f>
        <v/>
      </c>
      <c r="AB188" s="7">
        <f>(AA188/Y188)*100</f>
        <v/>
      </c>
    </row>
    <row r="189">
      <c r="A189" s="14" t="n">
        <v>188</v>
      </c>
      <c r="B189" s="9" t="n">
        <v>45071</v>
      </c>
      <c r="C189" s="4" t="n">
        <v>28048937.84</v>
      </c>
      <c r="D189" s="4">
        <f>C189/E189</f>
        <v/>
      </c>
      <c r="E189" s="4" t="n">
        <v>82.73</v>
      </c>
      <c r="F189" s="4">
        <f>D189/100000</f>
        <v/>
      </c>
      <c r="G189" s="7">
        <f>(F189/DataSheet!$C$10*100)</f>
        <v/>
      </c>
      <c r="H189" s="4">
        <f>K189/I189</f>
        <v/>
      </c>
      <c r="I189" s="4">
        <f>(J189/L189)*100</f>
        <v/>
      </c>
      <c r="J189" s="7">
        <f>L189/O189</f>
        <v/>
      </c>
      <c r="K189" s="4" t="n">
        <v>7</v>
      </c>
      <c r="L189" s="4" t="n">
        <v>18321.15</v>
      </c>
      <c r="M189" s="4" t="n">
        <v>4.29</v>
      </c>
      <c r="N189" s="4">
        <f>K189-I189</f>
        <v/>
      </c>
      <c r="O189" s="4" t="n">
        <v>21.28</v>
      </c>
      <c r="P189" s="4" t="n">
        <v>3.82</v>
      </c>
      <c r="Q189" s="7">
        <f>K189-P189</f>
        <v/>
      </c>
      <c r="R189" s="4" t="n">
        <v>104.17</v>
      </c>
      <c r="S189" s="7">
        <f>(O189*T189)</f>
        <v/>
      </c>
      <c r="T189" s="12" t="n">
        <v>6.77</v>
      </c>
      <c r="U189" s="23" t="n">
        <v>12392.15</v>
      </c>
      <c r="V189" s="23" t="n">
        <v>24.57</v>
      </c>
      <c r="W189" s="7">
        <f>U189/V189</f>
        <v/>
      </c>
      <c r="X189" s="7">
        <f>(W189/U189)*100</f>
        <v/>
      </c>
      <c r="Y189" s="23" t="n">
        <v>9759.15</v>
      </c>
      <c r="Z189" s="23" t="n">
        <v>18.94</v>
      </c>
      <c r="AA189" s="7">
        <f>Y189/Z189</f>
        <v/>
      </c>
      <c r="AB189" s="7">
        <f>(AA189/Y189)*100</f>
        <v/>
      </c>
    </row>
    <row r="190">
      <c r="A190" s="14" t="n">
        <v>189</v>
      </c>
      <c r="B190" s="9" t="n">
        <v>45072</v>
      </c>
      <c r="C190" s="4" t="n">
        <v>28285398.4</v>
      </c>
      <c r="D190" s="4">
        <f>C190/E190</f>
        <v/>
      </c>
      <c r="E190" s="4" t="n">
        <v>82.5</v>
      </c>
      <c r="F190" s="4">
        <f>D190/100000</f>
        <v/>
      </c>
      <c r="G190" s="7">
        <f>(F190/DataSheet!$C$10*100)</f>
        <v/>
      </c>
      <c r="H190" s="4">
        <f>K190/I190</f>
        <v/>
      </c>
      <c r="I190" s="4">
        <f>(J190/L190)*100</f>
        <v/>
      </c>
      <c r="J190" s="7">
        <f>L190/O190</f>
        <v/>
      </c>
      <c r="K190" s="4" t="n">
        <v>7</v>
      </c>
      <c r="L190" s="4" t="n">
        <v>18499.35</v>
      </c>
      <c r="M190" s="4" t="n">
        <v>4.33</v>
      </c>
      <c r="N190" s="4">
        <f>K190-I190</f>
        <v/>
      </c>
      <c r="O190" s="4" t="n">
        <v>21.54</v>
      </c>
      <c r="P190" s="4" t="n">
        <v>3.81</v>
      </c>
      <c r="Q190" s="7">
        <f>K190-P190</f>
        <v/>
      </c>
      <c r="R190" s="4" t="n">
        <v>104.13</v>
      </c>
      <c r="S190" s="7">
        <f>(O190*T190)</f>
        <v/>
      </c>
      <c r="T190" s="12" t="n">
        <v>6.76</v>
      </c>
      <c r="U190" s="23" t="n">
        <v>12486.85</v>
      </c>
      <c r="V190" s="23" t="n">
        <v>24.69</v>
      </c>
      <c r="W190" s="7">
        <f>U190/V190</f>
        <v/>
      </c>
      <c r="X190" s="7">
        <f>(W190/U190)*100</f>
        <v/>
      </c>
      <c r="Y190" s="23" t="n">
        <v>9804.15</v>
      </c>
      <c r="Z190" s="23" t="n">
        <v>19.12</v>
      </c>
      <c r="AA190" s="7">
        <f>Y190/Z190</f>
        <v/>
      </c>
      <c r="AB190" s="7">
        <f>(AA190/Y190)*100</f>
        <v/>
      </c>
    </row>
    <row r="191">
      <c r="A191" s="14" t="n">
        <v>190</v>
      </c>
      <c r="B191" s="9" t="n">
        <v>45075</v>
      </c>
      <c r="C191" s="4" t="n">
        <v>28392521.03</v>
      </c>
      <c r="D191" s="4">
        <f>C191/E191</f>
        <v/>
      </c>
      <c r="E191" s="4" t="n">
        <v>82.58</v>
      </c>
      <c r="F191" s="4">
        <f>D191/100000</f>
        <v/>
      </c>
      <c r="G191" s="7">
        <f>(F191/DataSheet!$C$10*100)</f>
        <v/>
      </c>
      <c r="H191" s="4">
        <f>K191/I191</f>
        <v/>
      </c>
      <c r="I191" s="4">
        <f>(J191/L191)*100</f>
        <v/>
      </c>
      <c r="J191" s="7">
        <f>L191/O191</f>
        <v/>
      </c>
      <c r="K191" s="4" t="n">
        <v>7.02</v>
      </c>
      <c r="L191" s="4" t="n">
        <v>18598.65</v>
      </c>
      <c r="M191" s="4" t="n">
        <v>4.35</v>
      </c>
      <c r="N191" s="4">
        <f>K191-I191</f>
        <v/>
      </c>
      <c r="O191" s="4" t="n">
        <v>21.65</v>
      </c>
      <c r="P191" s="4" t="n">
        <v>3.76</v>
      </c>
      <c r="Q191" s="7">
        <f>K191-P191</f>
        <v/>
      </c>
      <c r="R191" s="4" t="n">
        <v>104.13</v>
      </c>
      <c r="S191" s="7">
        <f>(O191*T191)</f>
        <v/>
      </c>
      <c r="T191" s="12" t="n">
        <v>6.75</v>
      </c>
      <c r="U191" s="23" t="n">
        <v>12530.7</v>
      </c>
      <c r="V191" s="23" t="n">
        <v>24.79</v>
      </c>
      <c r="W191" s="7">
        <f>U191/V191</f>
        <v/>
      </c>
      <c r="X191" s="7">
        <f>(W191/U191)*100</f>
        <v/>
      </c>
      <c r="Y191" s="23" t="n">
        <v>9831.799999999999</v>
      </c>
      <c r="Z191" s="23" t="n">
        <v>19.19</v>
      </c>
      <c r="AA191" s="7">
        <f>Y191/Z191</f>
        <v/>
      </c>
      <c r="AB191" s="7">
        <f>(AA191/Y191)*100</f>
        <v/>
      </c>
    </row>
    <row r="192">
      <c r="A192" s="14" t="n">
        <v>191</v>
      </c>
      <c r="B192" s="9" t="n">
        <v>45076</v>
      </c>
      <c r="C192" s="7" t="n">
        <v>28407044.74</v>
      </c>
      <c r="D192" s="7">
        <f>C192/E192</f>
        <v/>
      </c>
      <c r="E192" s="7" t="n">
        <v>82.66</v>
      </c>
      <c r="F192" s="7">
        <f>D192/100000</f>
        <v/>
      </c>
      <c r="G192" s="7">
        <f>(F192/DataSheet!$C$10*100)</f>
        <v/>
      </c>
      <c r="H192" s="7">
        <f>K192/I192</f>
        <v/>
      </c>
      <c r="I192" s="7">
        <f>(J192/L192)*100</f>
        <v/>
      </c>
      <c r="J192" s="7">
        <f>L192/O192</f>
        <v/>
      </c>
      <c r="K192" s="7" t="n">
        <v>7.01</v>
      </c>
      <c r="L192" s="7" t="n">
        <v>18633.85</v>
      </c>
      <c r="M192" s="7" t="n">
        <v>4.36</v>
      </c>
      <c r="N192" s="7">
        <f>K192-I192</f>
        <v/>
      </c>
      <c r="O192" s="7" t="n">
        <v>21.7</v>
      </c>
      <c r="P192" s="7" t="n">
        <v>3.69</v>
      </c>
      <c r="Q192" s="7">
        <f>K192-P192</f>
        <v/>
      </c>
      <c r="R192" s="7" t="n">
        <v>104.07</v>
      </c>
      <c r="S192" s="7">
        <f>(O192*T192)</f>
        <v/>
      </c>
      <c r="T192" s="12" t="n">
        <v>6.75</v>
      </c>
      <c r="U192" s="23" t="n">
        <v>12576.6</v>
      </c>
      <c r="V192" s="23" t="n">
        <v>24.89</v>
      </c>
      <c r="W192" s="7">
        <f>U192/V192</f>
        <v/>
      </c>
      <c r="X192" s="7">
        <f>(W192/U192)*100</f>
        <v/>
      </c>
      <c r="Y192" s="23" t="n">
        <v>9836.9</v>
      </c>
      <c r="Z192" s="23" t="n">
        <v>19.35</v>
      </c>
      <c r="AA192" s="7">
        <f>Y192/Z192</f>
        <v/>
      </c>
      <c r="AB192" s="7">
        <f>(AA192/Y192)*100</f>
        <v/>
      </c>
    </row>
    <row r="193">
      <c r="A193" s="14" t="n">
        <v>192</v>
      </c>
      <c r="B193" s="9" t="n">
        <v>45077</v>
      </c>
      <c r="C193" s="7" t="n">
        <v>28390079.81</v>
      </c>
      <c r="D193" s="7">
        <f>C193/E193</f>
        <v/>
      </c>
      <c r="E193" s="7" t="n">
        <v>82.68000000000001</v>
      </c>
      <c r="F193" s="7">
        <f>D193/100000</f>
        <v/>
      </c>
      <c r="G193" s="7">
        <f>(F193/DataSheet!$C$10*100)</f>
        <v/>
      </c>
      <c r="H193" s="7">
        <f>K193/I193</f>
        <v/>
      </c>
      <c r="I193" s="7">
        <f>(J193/L193)*100</f>
        <v/>
      </c>
      <c r="J193" s="7">
        <f>L193/O193</f>
        <v/>
      </c>
      <c r="K193" s="7" t="n">
        <v>6.98</v>
      </c>
      <c r="L193" s="7" t="n">
        <v>18534.4</v>
      </c>
      <c r="M193" s="7" t="n">
        <v>4.33</v>
      </c>
      <c r="N193" s="7">
        <f>K193-I193</f>
        <v/>
      </c>
      <c r="O193" s="7" t="n">
        <v>21.59</v>
      </c>
      <c r="P193" s="7" t="n">
        <v>3.64</v>
      </c>
      <c r="Q193" s="7">
        <f>K193-P193</f>
        <v/>
      </c>
      <c r="R193" s="7" t="n">
        <v>104.24</v>
      </c>
      <c r="S193" s="7">
        <f>(O193*T193)</f>
        <v/>
      </c>
      <c r="T193" s="12" t="n">
        <v>6.77</v>
      </c>
      <c r="U193" s="23" t="n">
        <v>12623.35</v>
      </c>
      <c r="V193" s="23" t="n">
        <v>24.98</v>
      </c>
      <c r="W193" s="7">
        <f>U193/V193</f>
        <v/>
      </c>
      <c r="X193" s="7">
        <f>(W193/U193)*100</f>
        <v/>
      </c>
      <c r="Y193" s="23" t="n">
        <v>9913.4</v>
      </c>
      <c r="Z193" s="23" t="n">
        <v>19.5</v>
      </c>
      <c r="AA193" s="7">
        <f>Y193/Z193</f>
        <v/>
      </c>
      <c r="AB193" s="7">
        <f>(AA193/Y193)*100</f>
        <v/>
      </c>
    </row>
    <row r="194">
      <c r="A194" s="14" t="n">
        <v>193</v>
      </c>
      <c r="B194" s="9" t="n">
        <v>45078</v>
      </c>
      <c r="C194" s="7" t="n">
        <v>28429686.63</v>
      </c>
      <c r="D194" s="7">
        <f>C194/E194</f>
        <v/>
      </c>
      <c r="E194" s="7" t="n">
        <v>82.26000000000001</v>
      </c>
      <c r="F194" s="7">
        <f>D194/100000</f>
        <v/>
      </c>
      <c r="G194" s="7">
        <f>(F194/DataSheet!$C$10*100)</f>
        <v/>
      </c>
      <c r="H194" s="7">
        <f>K194/I194</f>
        <v/>
      </c>
      <c r="I194" s="7">
        <f>(J194/L194)*100</f>
        <v/>
      </c>
      <c r="J194" s="7">
        <f>L194/O194</f>
        <v/>
      </c>
      <c r="K194" s="7" t="n">
        <v>6.97</v>
      </c>
      <c r="L194" s="7" t="n">
        <v>18487.75</v>
      </c>
      <c r="M194" s="7" t="n">
        <v>4.32</v>
      </c>
      <c r="N194" s="7">
        <f>K194-I194</f>
        <v/>
      </c>
      <c r="O194" s="7" t="n">
        <v>21.53</v>
      </c>
      <c r="P194" s="7" t="n">
        <v>3.6</v>
      </c>
      <c r="Q194" s="7">
        <f>K194-P194</f>
        <v/>
      </c>
      <c r="R194" s="7" t="n">
        <v>103.5</v>
      </c>
      <c r="S194" s="7">
        <f>(O194*T194)</f>
        <v/>
      </c>
      <c r="T194" s="12" t="n">
        <v>6.76</v>
      </c>
      <c r="U194" s="23" t="n">
        <v>12647.95</v>
      </c>
      <c r="V194" s="23" t="n">
        <v>24.89</v>
      </c>
      <c r="W194" s="7">
        <f>U194/V194</f>
        <v/>
      </c>
      <c r="X194" s="7">
        <f>(W194/U194)*100</f>
        <v/>
      </c>
      <c r="Y194" s="23" t="n">
        <v>9995.35</v>
      </c>
      <c r="Z194" s="23" t="n">
        <v>19.77</v>
      </c>
      <c r="AA194" s="7">
        <f>Y194/Z194</f>
        <v/>
      </c>
      <c r="AB194" s="7">
        <f>(AA194/Y194)*100</f>
        <v/>
      </c>
    </row>
    <row r="195">
      <c r="A195" s="14" t="n">
        <v>194</v>
      </c>
      <c r="B195" s="9" t="n">
        <v>45079</v>
      </c>
      <c r="C195" s="7" t="n">
        <v>28530920.26</v>
      </c>
      <c r="D195" s="7">
        <f>C195/E195</f>
        <v/>
      </c>
      <c r="E195" s="7" t="n">
        <v>82.38</v>
      </c>
      <c r="F195" s="7">
        <f>D195/100000</f>
        <v/>
      </c>
      <c r="G195" s="7">
        <f>(F195/DataSheet!$C$10*100)</f>
        <v/>
      </c>
      <c r="H195" s="7">
        <f>K195/I195</f>
        <v/>
      </c>
      <c r="I195" s="7">
        <f>(J195/L195)*100</f>
        <v/>
      </c>
      <c r="J195" s="7">
        <f>L195/O195</f>
        <v/>
      </c>
      <c r="K195" s="7" t="n">
        <v>6.98</v>
      </c>
      <c r="L195" s="7" t="n">
        <v>18534.1</v>
      </c>
      <c r="M195" s="7" t="n">
        <v>4.33</v>
      </c>
      <c r="N195" s="7">
        <f>K195-I195</f>
        <v/>
      </c>
      <c r="O195" s="7" t="n">
        <v>21.58</v>
      </c>
      <c r="P195" s="7" t="n">
        <v>3.69</v>
      </c>
      <c r="Q195" s="7">
        <f>K195-P195</f>
        <v/>
      </c>
      <c r="R195" s="7" t="n">
        <v>103.95</v>
      </c>
      <c r="S195" s="7">
        <f>(O195*T195)</f>
        <v/>
      </c>
      <c r="T195" s="12" t="n">
        <v>6.75</v>
      </c>
      <c r="U195" s="23" t="n">
        <v>12705.4</v>
      </c>
      <c r="V195" s="23" t="n">
        <v>25.01</v>
      </c>
      <c r="W195" s="7">
        <f>U195/V195</f>
        <v/>
      </c>
      <c r="X195" s="7">
        <f>(W195/U195)*100</f>
        <v/>
      </c>
      <c r="Y195" s="23" t="n">
        <v>10043.45</v>
      </c>
      <c r="Z195" s="23" t="n">
        <v>20.01</v>
      </c>
      <c r="AA195" s="7">
        <f>Y195/Z195</f>
        <v/>
      </c>
      <c r="AB195" s="7">
        <f>(AA195/Y195)*100</f>
        <v/>
      </c>
    </row>
    <row r="196">
      <c r="A196" s="14" t="n">
        <v>195</v>
      </c>
      <c r="B196" s="9" t="n">
        <v>45082</v>
      </c>
      <c r="C196" s="7" t="n">
        <v>28611305.61</v>
      </c>
      <c r="D196" s="7">
        <f>C196/E196</f>
        <v/>
      </c>
      <c r="E196" s="7" t="n">
        <v>82.52</v>
      </c>
      <c r="F196" s="7">
        <f>D196/100000</f>
        <v/>
      </c>
      <c r="G196" s="7">
        <f>(F196/DataSheet!$C$10*100)</f>
        <v/>
      </c>
      <c r="H196" s="7">
        <f>K196/I196</f>
        <v/>
      </c>
      <c r="I196" s="7">
        <f>(J196/L196)*100</f>
        <v/>
      </c>
      <c r="J196" s="7">
        <f>L196/O196</f>
        <v/>
      </c>
      <c r="K196" s="7" t="n">
        <v>6.99</v>
      </c>
      <c r="L196" s="7" t="n">
        <v>18593.85</v>
      </c>
      <c r="M196" s="7" t="n">
        <v>4.35</v>
      </c>
      <c r="N196" s="7">
        <f>K196-I196</f>
        <v/>
      </c>
      <c r="O196" s="7" t="n">
        <v>21.65</v>
      </c>
      <c r="P196" s="7" t="n">
        <v>3.68</v>
      </c>
      <c r="Q196" s="7">
        <f>K196-P196</f>
        <v/>
      </c>
      <c r="R196" s="7" t="n">
        <v>103.93</v>
      </c>
      <c r="S196" s="7">
        <f>(O196*T196)</f>
        <v/>
      </c>
      <c r="T196" s="12" t="n">
        <v>6.73</v>
      </c>
      <c r="U196" s="23" t="n">
        <v>12743.35</v>
      </c>
      <c r="V196" s="23" t="n">
        <v>25.03</v>
      </c>
      <c r="W196" s="7">
        <f>U196/V196</f>
        <v/>
      </c>
      <c r="X196" s="7">
        <f>(W196/U196)*100</f>
        <v/>
      </c>
      <c r="Y196" s="23" t="n">
        <v>10071.25</v>
      </c>
      <c r="Z196" s="23" t="n">
        <v>20.03</v>
      </c>
      <c r="AA196" s="7">
        <f>Y196/Z196</f>
        <v/>
      </c>
      <c r="AB196" s="7">
        <f>(AA196/Y196)*100</f>
        <v/>
      </c>
    </row>
    <row r="197">
      <c r="A197" s="14" t="n">
        <v>196</v>
      </c>
      <c r="B197" s="9" t="n">
        <v>45083</v>
      </c>
      <c r="C197" s="7" t="n">
        <v>28672011.58</v>
      </c>
      <c r="D197" s="7">
        <f>C197/E197</f>
        <v/>
      </c>
      <c r="E197" s="7" t="n">
        <v>82.51000000000001</v>
      </c>
      <c r="F197" s="7">
        <f>D197/100000</f>
        <v/>
      </c>
      <c r="G197" s="7">
        <f>(F197/DataSheet!$C$10*100)</f>
        <v/>
      </c>
      <c r="H197" s="7">
        <f>K197/I197</f>
        <v/>
      </c>
      <c r="I197" s="7">
        <f>(J197/L197)*100</f>
        <v/>
      </c>
      <c r="J197" s="7">
        <f>L197/O197</f>
        <v/>
      </c>
      <c r="K197" s="7" t="n">
        <v>6.97</v>
      </c>
      <c r="L197" s="7" t="n">
        <v>18599</v>
      </c>
      <c r="M197" s="7" t="n">
        <v>4.35</v>
      </c>
      <c r="N197" s="7">
        <f>K197-I197</f>
        <v/>
      </c>
      <c r="O197" s="7" t="n">
        <v>21.66</v>
      </c>
      <c r="P197" s="7" t="n">
        <v>3.67</v>
      </c>
      <c r="Q197" s="7">
        <f>K197-P197</f>
        <v/>
      </c>
      <c r="R197" s="7" t="n">
        <v>104.07</v>
      </c>
      <c r="S197" s="7">
        <f>(O197*T197)</f>
        <v/>
      </c>
      <c r="T197" s="12" t="n">
        <v>6.75</v>
      </c>
      <c r="U197" s="23" t="n">
        <v>12757.4</v>
      </c>
      <c r="V197" s="23" t="n">
        <v>25.05</v>
      </c>
      <c r="W197" s="7">
        <f>U197/V197</f>
        <v/>
      </c>
      <c r="X197" s="7">
        <f>(W197/U197)*100</f>
        <v/>
      </c>
      <c r="Y197" s="23" t="n">
        <v>10125.7</v>
      </c>
      <c r="Z197" s="23" t="n">
        <v>20.14</v>
      </c>
      <c r="AA197" s="7">
        <f>Y197/Z197</f>
        <v/>
      </c>
      <c r="AB197" s="7">
        <f>(AA197/Y197)*100</f>
        <v/>
      </c>
    </row>
    <row r="198">
      <c r="A198" s="14" t="n">
        <v>197</v>
      </c>
      <c r="B198" s="9" t="n">
        <v>45084</v>
      </c>
      <c r="C198" s="4" t="n">
        <v>28922453.61</v>
      </c>
      <c r="D198" s="4">
        <f>C198/E198</f>
        <v/>
      </c>
      <c r="E198" s="4" t="n">
        <v>82.61</v>
      </c>
      <c r="F198" s="4">
        <f>D198/100000</f>
        <v/>
      </c>
      <c r="G198" s="7">
        <f>(F198/DataSheet!$C$10*100)</f>
        <v/>
      </c>
      <c r="H198" s="7">
        <f>K198/I198</f>
        <v/>
      </c>
      <c r="I198" s="7">
        <f>(J198/L198)*100</f>
        <v/>
      </c>
      <c r="J198" s="7">
        <f>L198/O198</f>
        <v/>
      </c>
      <c r="K198" s="7" t="n">
        <v>6.98</v>
      </c>
      <c r="L198" s="7" t="n">
        <v>18726.4</v>
      </c>
      <c r="M198" s="7" t="n">
        <v>4.38</v>
      </c>
      <c r="N198" s="7">
        <f>K198-I198</f>
        <v/>
      </c>
      <c r="O198" s="7" t="n">
        <v>21.81</v>
      </c>
      <c r="P198" s="7" t="n">
        <v>3.78</v>
      </c>
      <c r="Q198" s="7">
        <f>K198-P198</f>
        <v/>
      </c>
      <c r="R198" s="7" t="n">
        <v>104.05</v>
      </c>
      <c r="S198" s="7">
        <f>(O198*T198)</f>
        <v/>
      </c>
      <c r="T198" s="12" t="n">
        <v>6.75</v>
      </c>
      <c r="U198" s="23" t="n">
        <v>12900.8</v>
      </c>
      <c r="V198" s="23" t="n">
        <v>25.34</v>
      </c>
      <c r="W198" s="7">
        <f>U198/V198</f>
        <v/>
      </c>
      <c r="X198" s="7">
        <f>(W198/U198)*100</f>
        <v/>
      </c>
      <c r="Y198" s="23" t="n">
        <v>10239.2</v>
      </c>
      <c r="Z198" s="23" t="n">
        <v>20.36</v>
      </c>
      <c r="AA198" s="7">
        <f>Y198/Z198</f>
        <v/>
      </c>
      <c r="AB198" s="7">
        <f>(AA198/Y198)*100</f>
        <v/>
      </c>
    </row>
    <row r="199">
      <c r="A199" s="14" t="n">
        <v>198</v>
      </c>
      <c r="B199" s="9" t="n">
        <v>45085</v>
      </c>
      <c r="C199" s="4" t="n">
        <v>28761550.66</v>
      </c>
      <c r="D199" s="4">
        <f>C199/E199</f>
        <v/>
      </c>
      <c r="E199" s="4" t="n">
        <v>82.48</v>
      </c>
      <c r="F199" s="4">
        <f>D199/100000</f>
        <v/>
      </c>
      <c r="G199" s="7">
        <f>(F199/DataSheet!$C$10*100)</f>
        <v/>
      </c>
      <c r="H199" s="7">
        <f>K199/I199</f>
        <v/>
      </c>
      <c r="I199" s="7">
        <f>(J199/L199)*100</f>
        <v/>
      </c>
      <c r="J199" s="7">
        <f>L199/O199</f>
        <v/>
      </c>
      <c r="K199" s="7" t="n">
        <v>7.02</v>
      </c>
      <c r="L199" s="7" t="n">
        <v>18634.55</v>
      </c>
      <c r="M199" s="7" t="n">
        <v>4.36</v>
      </c>
      <c r="N199" s="7">
        <f>K199-I199</f>
        <v/>
      </c>
      <c r="O199" s="7" t="n">
        <v>21.7</v>
      </c>
      <c r="P199" s="7" t="n">
        <v>3.71</v>
      </c>
      <c r="Q199" s="7">
        <f>K199-P199</f>
        <v/>
      </c>
      <c r="R199" s="7" t="n">
        <v>103.31</v>
      </c>
      <c r="S199" s="7">
        <f>(O199*T199)</f>
        <v/>
      </c>
      <c r="T199" s="12" t="n">
        <v>6.76</v>
      </c>
      <c r="U199" s="23" t="n">
        <v>12831.4</v>
      </c>
      <c r="V199" s="23" t="n">
        <v>25.2</v>
      </c>
      <c r="W199" s="7">
        <f>U199/V199</f>
        <v/>
      </c>
      <c r="X199" s="7">
        <f>(W199/U199)*100</f>
        <v/>
      </c>
      <c r="Y199" s="23" t="n">
        <v>10170.75</v>
      </c>
      <c r="Z199" s="23" t="n">
        <v>20.23</v>
      </c>
      <c r="AA199" s="7">
        <f>Y199/Z199</f>
        <v/>
      </c>
      <c r="AB199" s="7">
        <f>(AA199/Y199)*100</f>
        <v/>
      </c>
    </row>
    <row r="200">
      <c r="A200" s="14" t="n">
        <v>199</v>
      </c>
      <c r="B200" s="9" t="n">
        <v>45086</v>
      </c>
      <c r="C200" s="4" t="n">
        <v>28687975.34</v>
      </c>
      <c r="D200" s="4">
        <f>C200/E200</f>
        <v/>
      </c>
      <c r="E200" s="4" t="n">
        <v>82.44</v>
      </c>
      <c r="F200" s="4">
        <f>D200/100000</f>
        <v/>
      </c>
      <c r="G200" s="7">
        <f>(F200/DataSheet!$C$10*100)</f>
        <v/>
      </c>
      <c r="H200" s="7">
        <f>K200/I200</f>
        <v/>
      </c>
      <c r="I200" s="7">
        <f>(J200/L200)*100</f>
        <v/>
      </c>
      <c r="J200" s="7">
        <f>L200/O200</f>
        <v/>
      </c>
      <c r="K200" s="7" t="n">
        <v>7.03</v>
      </c>
      <c r="L200" s="7" t="n">
        <v>18563.4</v>
      </c>
      <c r="M200" s="7" t="n">
        <v>4.34</v>
      </c>
      <c r="N200" s="7">
        <f>K200-I200</f>
        <v/>
      </c>
      <c r="O200" s="7" t="n">
        <v>21.62</v>
      </c>
      <c r="P200" s="7" t="n">
        <v>3.74</v>
      </c>
      <c r="Q200" s="7">
        <f>K200-P200</f>
        <v/>
      </c>
      <c r="R200" s="7" t="n">
        <v>103.53</v>
      </c>
      <c r="S200" s="7">
        <f>(O200*T200)</f>
        <v/>
      </c>
      <c r="T200" s="12" t="n">
        <v>6.76</v>
      </c>
      <c r="U200" s="23" t="n">
        <v>12814.8</v>
      </c>
      <c r="V200" s="23" t="n">
        <v>25.17</v>
      </c>
      <c r="W200" s="7">
        <f>U200/V200</f>
        <v/>
      </c>
      <c r="X200" s="7">
        <f>(W200/U200)*100</f>
        <v/>
      </c>
      <c r="Y200" s="23" t="n">
        <v>10164.25</v>
      </c>
      <c r="Z200" s="23" t="n">
        <v>20.21</v>
      </c>
      <c r="AA200" s="7">
        <f>Y200/Z200</f>
        <v/>
      </c>
      <c r="AB200" s="7">
        <f>(AA200/Y200)*100</f>
        <v/>
      </c>
    </row>
    <row r="201">
      <c r="A201" s="14" t="n">
        <v>200</v>
      </c>
      <c r="B201" s="9" t="n">
        <v>45089</v>
      </c>
      <c r="C201" s="4" t="n">
        <v>28803454.51</v>
      </c>
      <c r="D201" s="4">
        <f>C201/E201</f>
        <v/>
      </c>
      <c r="E201" s="4" t="n">
        <v>82.39</v>
      </c>
      <c r="F201" s="4">
        <f>D201/100000</f>
        <v/>
      </c>
      <c r="G201" s="7">
        <f>(F201/DataSheet!$C$10*100)</f>
        <v/>
      </c>
      <c r="H201" s="7">
        <f>K201/I201</f>
        <v/>
      </c>
      <c r="I201" s="7">
        <f>(J201/L201)*100</f>
        <v/>
      </c>
      <c r="J201" s="7">
        <f>L201/O201</f>
        <v/>
      </c>
      <c r="K201" s="7" t="n">
        <v>7.01</v>
      </c>
      <c r="L201" s="7" t="n">
        <v>18601.5</v>
      </c>
      <c r="M201" s="7" t="n">
        <v>4.35</v>
      </c>
      <c r="N201" s="7">
        <f>K201-I201</f>
        <v/>
      </c>
      <c r="O201" s="7" t="n">
        <v>21.66</v>
      </c>
      <c r="P201" s="7" t="n">
        <v>3.74</v>
      </c>
      <c r="Q201" s="7">
        <f>K201-P201</f>
        <v/>
      </c>
      <c r="R201" s="7" t="n">
        <v>103.22</v>
      </c>
      <c r="S201" s="7">
        <f>(O201*T201)</f>
        <v/>
      </c>
      <c r="T201" s="12" t="n">
        <v>6.75</v>
      </c>
      <c r="U201" s="23" t="n">
        <v>12890.6</v>
      </c>
      <c r="V201" s="23" t="n">
        <v>25.31</v>
      </c>
      <c r="W201" s="7">
        <f>U201/V201</f>
        <v/>
      </c>
      <c r="X201" s="7">
        <f>(W201/U201)*100</f>
        <v/>
      </c>
      <c r="Y201" s="23" t="n">
        <v>10229.85</v>
      </c>
      <c r="Z201" s="23" t="n">
        <v>20.34</v>
      </c>
      <c r="AA201" s="7">
        <f>Y201/Z201</f>
        <v/>
      </c>
      <c r="AB201" s="7">
        <f>(AA201/Y201)*100</f>
        <v/>
      </c>
    </row>
    <row r="202">
      <c r="A202" s="14" t="n">
        <v>201</v>
      </c>
      <c r="B202" s="9" t="n">
        <v>45090</v>
      </c>
      <c r="C202" s="7" t="n">
        <v>29016697.25</v>
      </c>
      <c r="D202" s="7">
        <f>C202/E202</f>
        <v/>
      </c>
      <c r="E202" s="7" t="n">
        <v>82.22</v>
      </c>
      <c r="F202" s="7">
        <f>D202/100000</f>
        <v/>
      </c>
      <c r="G202" s="7">
        <f>(F202/DataSheet!$C$10*100)</f>
        <v/>
      </c>
      <c r="H202" s="7">
        <f>K202/I202</f>
        <v/>
      </c>
      <c r="I202" s="7">
        <f>(J202/L202)*100</f>
        <v/>
      </c>
      <c r="J202" s="7">
        <f>L202/O202</f>
        <v/>
      </c>
      <c r="K202" s="7" t="n">
        <v>7</v>
      </c>
      <c r="L202" s="7" t="n">
        <v>18716.15</v>
      </c>
      <c r="M202" s="7" t="n">
        <v>4.37</v>
      </c>
      <c r="N202" s="7">
        <f>K202-I202</f>
        <v/>
      </c>
      <c r="O202" s="7" t="n">
        <v>21.79</v>
      </c>
      <c r="P202" s="7" t="n">
        <v>3.82</v>
      </c>
      <c r="Q202" s="7">
        <f>K202-P202</f>
        <v/>
      </c>
      <c r="R202" s="7" t="n">
        <v>102.92</v>
      </c>
      <c r="S202" s="7">
        <f>(O202*T202)</f>
        <v/>
      </c>
      <c r="T202" s="12" t="n">
        <v>6.77</v>
      </c>
      <c r="U202" s="23" t="n">
        <v>13042.2</v>
      </c>
      <c r="V202" s="23" t="n">
        <v>25.61</v>
      </c>
      <c r="W202" s="7">
        <f>U202/V202</f>
        <v/>
      </c>
      <c r="X202" s="7">
        <f>(W202/U202)*100</f>
        <v/>
      </c>
      <c r="Y202" s="23" t="n">
        <v>10304.9</v>
      </c>
      <c r="Z202" s="23" t="n">
        <v>20.49</v>
      </c>
      <c r="AA202" s="7">
        <f>Y202/Z202</f>
        <v/>
      </c>
      <c r="AB202" s="7">
        <f>(AA202/Y202)*100</f>
        <v/>
      </c>
    </row>
    <row r="203">
      <c r="A203" s="14" t="n">
        <v>202</v>
      </c>
      <c r="B203" s="9" t="n">
        <v>45091</v>
      </c>
      <c r="C203" s="4" t="n">
        <v>29102863.37</v>
      </c>
      <c r="D203" s="4">
        <f>C203/E203</f>
        <v/>
      </c>
      <c r="E203" s="4" t="n">
        <v>82.04000000000001</v>
      </c>
      <c r="F203" s="4">
        <f>D203/100000</f>
        <v/>
      </c>
      <c r="G203" s="7">
        <f>(F203/DataSheet!$C$10*100)</f>
        <v/>
      </c>
      <c r="H203" s="4">
        <f>K203/I203</f>
        <v/>
      </c>
      <c r="I203" s="4">
        <f>(J203/L203)*100</f>
        <v/>
      </c>
      <c r="J203" s="7">
        <f>L203/O203</f>
        <v/>
      </c>
      <c r="K203" s="4" t="n">
        <v>7.01</v>
      </c>
      <c r="L203" s="4" t="n">
        <v>18755.7</v>
      </c>
      <c r="M203" s="4" t="n">
        <v>4.38</v>
      </c>
      <c r="N203" s="4">
        <f>K203-I203</f>
        <v/>
      </c>
      <c r="O203" s="4" t="n">
        <v>21.84</v>
      </c>
      <c r="P203" s="4" t="n">
        <v>3.79</v>
      </c>
      <c r="Q203" s="7">
        <f>K203-P203</f>
        <v/>
      </c>
      <c r="R203" s="4" t="n">
        <v>102.52</v>
      </c>
      <c r="S203" s="7">
        <f>(O203*T203)</f>
        <v/>
      </c>
      <c r="T203" s="12" t="n">
        <v>6.77</v>
      </c>
      <c r="U203" s="23" t="n">
        <v>13078.75</v>
      </c>
      <c r="V203" s="23" t="n">
        <v>25.68</v>
      </c>
      <c r="W203" s="7">
        <f>U203/V203</f>
        <v/>
      </c>
      <c r="X203" s="7">
        <f>(W203/U203)*100</f>
        <v/>
      </c>
      <c r="Y203" s="23" t="n">
        <v>10334.45</v>
      </c>
      <c r="Z203" s="23" t="n">
        <v>20.55</v>
      </c>
      <c r="AA203" s="7">
        <f>Y203/Z203</f>
        <v/>
      </c>
      <c r="AB203" s="7">
        <f>(AA203/Y203)*100</f>
        <v/>
      </c>
    </row>
    <row r="204">
      <c r="A204" s="14" t="n">
        <v>203</v>
      </c>
      <c r="B204" s="9" t="n">
        <v>45092</v>
      </c>
      <c r="C204" s="4" t="n">
        <v>29091911.92</v>
      </c>
      <c r="D204" s="4">
        <f>C204/E204</f>
        <v/>
      </c>
      <c r="E204" s="4" t="n">
        <v>82.26000000000001</v>
      </c>
      <c r="F204" s="4">
        <f>D204/100000</f>
        <v/>
      </c>
      <c r="G204" s="7">
        <f>(F204/DataSheet!$C$10*100)</f>
        <v/>
      </c>
      <c r="H204" s="4">
        <f>K204/I204</f>
        <v/>
      </c>
      <c r="I204" s="4">
        <f>(J204/L204)*100</f>
        <v/>
      </c>
      <c r="J204" s="7">
        <f>L204/O204</f>
        <v/>
      </c>
      <c r="K204" s="4" t="n">
        <v>7.04</v>
      </c>
      <c r="L204" s="4" t="n">
        <v>18688.1</v>
      </c>
      <c r="M204" s="4" t="n">
        <v>4.37</v>
      </c>
      <c r="N204" s="4">
        <f>K204-I204</f>
        <v/>
      </c>
      <c r="O204" s="4" t="n">
        <v>21.76</v>
      </c>
      <c r="P204" s="4" t="n">
        <v>3.83</v>
      </c>
      <c r="Q204" s="7">
        <f>K204-P204</f>
        <v/>
      </c>
      <c r="R204" s="4" t="n">
        <v>102.82</v>
      </c>
      <c r="S204" s="7">
        <f>(O204*T204)</f>
        <v/>
      </c>
      <c r="T204" s="12" t="n">
        <v>6.81</v>
      </c>
      <c r="U204" s="23" t="n">
        <v>13100.9</v>
      </c>
      <c r="V204" s="23" t="n">
        <v>25.73</v>
      </c>
      <c r="W204" s="7">
        <f>U204/V204</f>
        <v/>
      </c>
      <c r="X204" s="7">
        <f>(W204/U204)*100</f>
        <v/>
      </c>
      <c r="Y204" s="23" t="n">
        <v>10366.7</v>
      </c>
      <c r="Z204" s="23" t="n">
        <v>20.61</v>
      </c>
      <c r="AA204" s="7">
        <f>Y204/Z204</f>
        <v/>
      </c>
      <c r="AB204" s="7">
        <f>(AA204/Y204)*100</f>
        <v/>
      </c>
    </row>
    <row r="205">
      <c r="A205" s="14" t="n">
        <v>204</v>
      </c>
      <c r="B205" s="9" t="n">
        <v>45093</v>
      </c>
      <c r="C205" s="4" t="n">
        <v>29299548.19</v>
      </c>
      <c r="D205" s="4">
        <f>C205/E205</f>
        <v/>
      </c>
      <c r="E205" s="4" t="n">
        <v>81.91</v>
      </c>
      <c r="F205" s="4">
        <f>D205/100000</f>
        <v/>
      </c>
      <c r="G205" s="7">
        <f>(F205/DataSheet!$C$10*100)</f>
        <v/>
      </c>
      <c r="H205" s="4">
        <f>K205/I205</f>
        <v/>
      </c>
      <c r="I205" s="4">
        <f>(J205/L205)*100</f>
        <v/>
      </c>
      <c r="J205" s="7">
        <f>L205/O205</f>
        <v/>
      </c>
      <c r="K205" s="4" t="n">
        <v>7.03</v>
      </c>
      <c r="L205" s="4" t="n">
        <v>18826</v>
      </c>
      <c r="M205" s="4" t="n">
        <v>4.4</v>
      </c>
      <c r="N205" s="4">
        <f>K205-I205</f>
        <v/>
      </c>
      <c r="O205" s="4" t="n">
        <v>21.92</v>
      </c>
      <c r="P205" s="4" t="n">
        <v>3.76</v>
      </c>
      <c r="Q205" s="7">
        <f>K205-P205</f>
        <v/>
      </c>
      <c r="R205" s="4" t="n">
        <v>102.25</v>
      </c>
      <c r="S205" s="7">
        <f>(O205*T205)</f>
        <v/>
      </c>
      <c r="T205" s="12" t="n">
        <v>6.77</v>
      </c>
      <c r="U205" s="23" t="n">
        <v>13192.9</v>
      </c>
      <c r="V205" s="23" t="n">
        <v>25.89</v>
      </c>
      <c r="W205" s="7">
        <f>U205/V205</f>
        <v/>
      </c>
      <c r="X205" s="7">
        <f>(W205/U205)*100</f>
        <v/>
      </c>
      <c r="Y205" s="23" t="n">
        <v>10450.1</v>
      </c>
      <c r="Z205" s="23" t="n">
        <v>20.78</v>
      </c>
      <c r="AA205" s="7">
        <f>Y205/Z205</f>
        <v/>
      </c>
      <c r="AB205" s="7">
        <f>(AA205/Y205)*100</f>
        <v/>
      </c>
    </row>
    <row r="206">
      <c r="A206" s="14" t="n">
        <v>205</v>
      </c>
      <c r="B206" s="9" t="n">
        <v>45096</v>
      </c>
      <c r="C206" s="4" t="n">
        <v>29265098.01</v>
      </c>
      <c r="D206" s="4">
        <f>C206/E206</f>
        <v/>
      </c>
      <c r="E206" s="4" t="n">
        <v>81.91</v>
      </c>
      <c r="F206" s="4">
        <f>D206/100000</f>
        <v/>
      </c>
      <c r="G206" s="7">
        <f>(F206/DataSheet!$C$10*100)</f>
        <v/>
      </c>
      <c r="H206" s="4">
        <f>K206/I206</f>
        <v/>
      </c>
      <c r="I206" s="4">
        <f>(J206/L206)*100</f>
        <v/>
      </c>
      <c r="J206" s="7">
        <f>L206/O206</f>
        <v/>
      </c>
      <c r="K206" s="4" t="n">
        <v>7.05</v>
      </c>
      <c r="L206" s="4" t="n">
        <v>18755.45</v>
      </c>
      <c r="M206" s="4" t="n">
        <v>4.38</v>
      </c>
      <c r="N206" s="4">
        <f>K206-I206</f>
        <v/>
      </c>
      <c r="O206" s="4" t="n">
        <v>21.84</v>
      </c>
      <c r="P206" s="4" t="n">
        <v>3.82</v>
      </c>
      <c r="Q206" s="7">
        <f>K206-P206</f>
        <v/>
      </c>
      <c r="R206" s="4" t="n">
        <v>101.83</v>
      </c>
      <c r="S206" s="7">
        <f>(O206*T206)</f>
        <v/>
      </c>
      <c r="T206" s="12" t="n">
        <v>6.8</v>
      </c>
      <c r="U206" s="23" t="n">
        <v>13195.05</v>
      </c>
      <c r="V206" s="23" t="n">
        <v>25.9</v>
      </c>
      <c r="W206" s="7">
        <f>U206/V206</f>
        <v/>
      </c>
      <c r="X206" s="7">
        <f>(W206/U206)*100</f>
        <v/>
      </c>
      <c r="Y206" s="23" t="n">
        <v>10482.5</v>
      </c>
      <c r="Z206" s="23" t="n">
        <v>20.84</v>
      </c>
      <c r="AA206" s="7">
        <f>Y206/Z206</f>
        <v/>
      </c>
      <c r="AB206" s="7">
        <f>(AA206/Y206)*100</f>
        <v/>
      </c>
    </row>
    <row r="207">
      <c r="A207" s="14" t="n">
        <v>206</v>
      </c>
      <c r="B207" s="9" t="n">
        <v>45097</v>
      </c>
      <c r="C207" s="4" t="n">
        <v>29380255.32</v>
      </c>
      <c r="D207" s="4">
        <f>C207/E207</f>
        <v/>
      </c>
      <c r="E207" s="4" t="n">
        <v>82</v>
      </c>
      <c r="F207" s="4">
        <f>D207/100000</f>
        <v/>
      </c>
      <c r="G207" s="7">
        <f>(F207/DataSheet!$C$10*100)</f>
        <v/>
      </c>
      <c r="H207" s="4">
        <f>K207/I207</f>
        <v/>
      </c>
      <c r="I207" s="4">
        <f>(J207/L207)*100</f>
        <v/>
      </c>
      <c r="J207" s="7">
        <f>L207/O207</f>
        <v/>
      </c>
      <c r="K207" s="4" t="n">
        <v>7.05</v>
      </c>
      <c r="L207" s="4" t="n">
        <v>18816.7</v>
      </c>
      <c r="M207" s="4" t="n">
        <v>4.4</v>
      </c>
      <c r="N207" s="4">
        <f>K207-I207</f>
        <v/>
      </c>
      <c r="O207" s="4" t="n">
        <v>21.91</v>
      </c>
      <c r="P207" s="4" t="n">
        <v>3.71</v>
      </c>
      <c r="Q207" s="7">
        <f>K207-P207</f>
        <v/>
      </c>
      <c r="R207" s="4" t="n">
        <v>102.12</v>
      </c>
      <c r="S207" s="7">
        <f>(O207*T207)</f>
        <v/>
      </c>
      <c r="T207" s="12" t="n">
        <v>6.81</v>
      </c>
      <c r="U207" s="23" t="n">
        <v>13255.9</v>
      </c>
      <c r="V207" s="23" t="n">
        <v>26.02</v>
      </c>
      <c r="W207" s="7">
        <f>U207/V207</f>
        <v/>
      </c>
      <c r="X207" s="7">
        <f>(W207/U207)*100</f>
        <v/>
      </c>
      <c r="Y207" s="23" t="n">
        <v>10524.9</v>
      </c>
      <c r="Z207" s="23" t="n">
        <v>20.93</v>
      </c>
      <c r="AA207" s="7">
        <f>Y207/Z207</f>
        <v/>
      </c>
      <c r="AB207" s="7">
        <f>(AA207/Y207)*100</f>
        <v/>
      </c>
    </row>
    <row r="208">
      <c r="A208" s="14" t="n">
        <v>207</v>
      </c>
      <c r="B208" s="9" t="n">
        <v>45098</v>
      </c>
      <c r="C208" s="4" t="n">
        <v>29453939.24</v>
      </c>
      <c r="D208" s="4">
        <f>C208/E208</f>
        <v/>
      </c>
      <c r="E208" s="4" t="n">
        <v>81.93000000000001</v>
      </c>
      <c r="F208" s="4">
        <f>D208/100000</f>
        <v/>
      </c>
      <c r="G208" s="7">
        <f>(F208/DataSheet!$C$10*100)</f>
        <v/>
      </c>
      <c r="H208" s="4">
        <f>K208/I208</f>
        <v/>
      </c>
      <c r="I208" s="4">
        <f>(J208/L208)*100</f>
        <v/>
      </c>
      <c r="J208" s="7">
        <f>L208/O208</f>
        <v/>
      </c>
      <c r="K208" s="4" t="n">
        <v>7.06</v>
      </c>
      <c r="L208" s="4" t="n">
        <v>18856.85</v>
      </c>
      <c r="M208" s="4" t="n">
        <v>4.41</v>
      </c>
      <c r="N208" s="4">
        <f>K208-I208</f>
        <v/>
      </c>
      <c r="O208" s="4" t="n">
        <v>21.96</v>
      </c>
      <c r="P208" s="4" t="n">
        <v>3.72</v>
      </c>
      <c r="Q208" s="7">
        <f>K208-P208</f>
        <v/>
      </c>
      <c r="R208" s="4" t="n">
        <v>101.67</v>
      </c>
      <c r="S208" s="7">
        <f>(O208*T208)</f>
        <v/>
      </c>
      <c r="T208" s="12" t="n">
        <v>6.77</v>
      </c>
      <c r="U208" s="23" t="n">
        <v>13353.3</v>
      </c>
      <c r="V208" s="23" t="n">
        <v>26.21</v>
      </c>
      <c r="W208" s="7">
        <f>U208/V208</f>
        <v/>
      </c>
      <c r="X208" s="7">
        <f>(W208/U208)*100</f>
        <v/>
      </c>
      <c r="Y208" s="23" t="n">
        <v>10531.85</v>
      </c>
      <c r="Z208" s="23" t="n">
        <v>20.94</v>
      </c>
      <c r="AA208" s="7">
        <f>Y208/Z208</f>
        <v/>
      </c>
      <c r="AB208" s="7">
        <f>(AA208/Y208)*100</f>
        <v/>
      </c>
    </row>
    <row r="209">
      <c r="A209" s="14" t="n">
        <v>208</v>
      </c>
      <c r="B209" s="9" t="n">
        <v>45099</v>
      </c>
      <c r="C209" s="4" t="n">
        <v>29244379.53</v>
      </c>
      <c r="D209" s="4">
        <f>C209/E209</f>
        <v/>
      </c>
      <c r="E209" s="4" t="n">
        <v>81.95</v>
      </c>
      <c r="F209" s="4">
        <f>D209/100000</f>
        <v/>
      </c>
      <c r="G209" s="7">
        <f>(F209/DataSheet!$C$10*100)</f>
        <v/>
      </c>
      <c r="H209" s="4">
        <f>K209/I209</f>
        <v/>
      </c>
      <c r="I209" s="4">
        <f>(J209/L209)*100</f>
        <v/>
      </c>
      <c r="J209" s="7">
        <f>L209/O209</f>
        <v/>
      </c>
      <c r="K209" s="4" t="n">
        <v>7.08</v>
      </c>
      <c r="L209" s="4" t="n">
        <v>18771.25</v>
      </c>
      <c r="M209" s="4" t="n">
        <v>4.39</v>
      </c>
      <c r="N209" s="4">
        <f>K209-I209</f>
        <v/>
      </c>
      <c r="O209" s="4" t="n">
        <v>21.85</v>
      </c>
      <c r="P209" s="4" t="n">
        <v>3.79</v>
      </c>
      <c r="Q209" s="7">
        <f>K209-P209</f>
        <v/>
      </c>
      <c r="R209" s="4" t="n">
        <v>101.99</v>
      </c>
      <c r="S209" s="7">
        <f>(O209*T209)</f>
        <v/>
      </c>
      <c r="T209" s="12" t="n">
        <v>6.76</v>
      </c>
      <c r="U209" s="23" t="n">
        <v>13241.8</v>
      </c>
      <c r="V209" s="23" t="n">
        <v>25.99</v>
      </c>
      <c r="W209" s="7">
        <f>U209/V209</f>
        <v/>
      </c>
      <c r="X209" s="7">
        <f>(W209/U209)*100</f>
        <v/>
      </c>
      <c r="Y209" s="23" t="n">
        <v>10454.45</v>
      </c>
      <c r="Z209" s="23" t="n">
        <v>20.79</v>
      </c>
      <c r="AA209" s="7">
        <f>Y209/Z209</f>
        <v/>
      </c>
      <c r="AB209" s="7">
        <f>(AA209/Y209)*100</f>
        <v/>
      </c>
    </row>
    <row r="210">
      <c r="A210" s="14" t="n">
        <v>209</v>
      </c>
      <c r="B210" s="9" t="n">
        <v>45100</v>
      </c>
      <c r="C210" s="4" t="n">
        <v>28966546.76</v>
      </c>
      <c r="D210" s="4">
        <f>C210/E210</f>
        <v/>
      </c>
      <c r="E210" s="4" t="n">
        <v>81.98</v>
      </c>
      <c r="F210" s="4">
        <f>D210/100000</f>
        <v/>
      </c>
      <c r="G210" s="7">
        <f>(F210/DataSheet!$C$10*100)</f>
        <v/>
      </c>
      <c r="H210" s="4">
        <f>K210/I210</f>
        <v/>
      </c>
      <c r="I210" s="4">
        <f>(J210/L210)*100</f>
        <v/>
      </c>
      <c r="J210" s="7">
        <f>L210/O210</f>
        <v/>
      </c>
      <c r="K210" s="4" t="n">
        <v>7.07</v>
      </c>
      <c r="L210" s="4" t="n">
        <v>18665.5</v>
      </c>
      <c r="M210" s="4" t="n">
        <v>4.36</v>
      </c>
      <c r="N210" s="4">
        <f>K210-I210</f>
        <v/>
      </c>
      <c r="O210" s="4" t="n">
        <v>21.73</v>
      </c>
      <c r="P210" s="4" t="n">
        <v>3.73</v>
      </c>
      <c r="Q210" s="7">
        <f>K210-P210</f>
        <v/>
      </c>
      <c r="R210" s="4" t="n">
        <v>102.52</v>
      </c>
      <c r="S210" s="7">
        <f>(O210*T210)</f>
        <v/>
      </c>
      <c r="T210" s="12" t="n">
        <v>6.74</v>
      </c>
      <c r="U210" s="23" t="n">
        <v>13077.5</v>
      </c>
      <c r="V210" s="23" t="n">
        <v>25.67</v>
      </c>
      <c r="W210" s="7">
        <f>U210/V210</f>
        <v/>
      </c>
      <c r="X210" s="7">
        <f>(W210/U210)*100</f>
        <v/>
      </c>
      <c r="Y210" s="23" t="n">
        <v>10345.25</v>
      </c>
      <c r="Z210" s="23" t="n">
        <v>20.57</v>
      </c>
      <c r="AA210" s="7">
        <f>Y210/Z210</f>
        <v/>
      </c>
      <c r="AB210" s="7">
        <f>(AA210/Y210)*100</f>
        <v/>
      </c>
    </row>
    <row r="211">
      <c r="A211" s="14" t="n">
        <v>210</v>
      </c>
      <c r="B211" s="9" t="n">
        <v>45103</v>
      </c>
      <c r="C211" s="4" t="n">
        <v>29074458.81</v>
      </c>
      <c r="D211" s="4">
        <f>C211/E211</f>
        <v/>
      </c>
      <c r="E211" s="4" t="n">
        <v>81.97</v>
      </c>
      <c r="F211" s="4">
        <f>D211/100000</f>
        <v/>
      </c>
      <c r="G211" s="7">
        <f>(F211/DataSheet!$C$10*100)</f>
        <v/>
      </c>
      <c r="H211" s="4">
        <f>K211/I211</f>
        <v/>
      </c>
      <c r="I211" s="4">
        <f>(J211/L211)*100</f>
        <v/>
      </c>
      <c r="J211" s="7">
        <f>L211/O211</f>
        <v/>
      </c>
      <c r="K211" s="4" t="n">
        <v>7.06</v>
      </c>
      <c r="L211" s="4" t="n">
        <v>18691.2</v>
      </c>
      <c r="M211" s="4" t="n">
        <v>4.37</v>
      </c>
      <c r="N211" s="4">
        <f>K211-I211</f>
        <v/>
      </c>
      <c r="O211" s="4" t="n">
        <v>21.76</v>
      </c>
      <c r="P211" s="4" t="n">
        <v>3.72</v>
      </c>
      <c r="Q211" s="7">
        <f>K211-P211</f>
        <v/>
      </c>
      <c r="R211" s="4" t="n">
        <v>102.33</v>
      </c>
      <c r="S211" s="7">
        <f>(O211*T211)</f>
        <v/>
      </c>
      <c r="T211" s="12" t="n">
        <v>6.78</v>
      </c>
      <c r="U211" s="23" t="n">
        <v>13187.55</v>
      </c>
      <c r="V211" s="23" t="n">
        <v>25.88</v>
      </c>
      <c r="W211" s="7">
        <f>U211/V211</f>
        <v/>
      </c>
      <c r="X211" s="7">
        <f>(W211/U211)*100</f>
        <v/>
      </c>
      <c r="Y211" s="23" t="n">
        <v>10415.8</v>
      </c>
      <c r="Z211" s="23" t="n">
        <v>20.71</v>
      </c>
      <c r="AA211" s="7">
        <f>Y211/Z211</f>
        <v/>
      </c>
      <c r="AB211" s="7">
        <f>(AA211/Y211)*100</f>
        <v/>
      </c>
    </row>
    <row r="212">
      <c r="A212" s="14" t="n">
        <v>211</v>
      </c>
      <c r="B212" s="9" t="n">
        <v>45104</v>
      </c>
      <c r="C212" s="4" t="n">
        <v>29232910.18</v>
      </c>
      <c r="D212" s="4">
        <f>C212/E212</f>
        <v/>
      </c>
      <c r="E212" s="4" t="n">
        <v>81.98</v>
      </c>
      <c r="F212" s="4">
        <f>D212/100000</f>
        <v/>
      </c>
      <c r="G212" s="7">
        <f>(F212/DataSheet!$C$10*100)</f>
        <v/>
      </c>
      <c r="H212" s="4">
        <f>K212/I212</f>
        <v/>
      </c>
      <c r="I212" s="4">
        <f>(J212/L212)*100</f>
        <v/>
      </c>
      <c r="J212" s="7">
        <f>L212/O212</f>
        <v/>
      </c>
      <c r="K212" s="4" t="n">
        <v>7.06</v>
      </c>
      <c r="L212" s="4" t="n">
        <v>18817.4</v>
      </c>
      <c r="M212" s="4" t="n">
        <v>4.4</v>
      </c>
      <c r="N212" s="4">
        <f>K212-I212</f>
        <v/>
      </c>
      <c r="O212" s="4" t="n">
        <v>21.9</v>
      </c>
      <c r="P212" s="4" t="n">
        <v>3.77</v>
      </c>
      <c r="Q212" s="7">
        <f>K212-P212</f>
        <v/>
      </c>
      <c r="R212" s="4" t="n">
        <v>102.12</v>
      </c>
      <c r="S212" s="7">
        <f>(O212*T212)</f>
        <v/>
      </c>
      <c r="T212" s="12" t="n">
        <v>6.78</v>
      </c>
      <c r="U212" s="23" t="n">
        <v>13250.6</v>
      </c>
      <c r="V212" s="23" t="n">
        <v>26</v>
      </c>
      <c r="W212" s="7">
        <f>U212/V212</f>
        <v/>
      </c>
      <c r="X212" s="7">
        <f>(W212/U212)*100</f>
        <v/>
      </c>
      <c r="Y212" s="23" t="n">
        <v>10473.8</v>
      </c>
      <c r="Z212" s="23" t="n">
        <v>20.83</v>
      </c>
      <c r="AA212" s="7">
        <f>Y212/Z212</f>
        <v/>
      </c>
      <c r="AB212" s="7">
        <f>(AA212/Y212)*100</f>
        <v/>
      </c>
    </row>
    <row r="213">
      <c r="A213" s="14" t="n">
        <v>212</v>
      </c>
      <c r="B213" s="9" t="n">
        <v>45105</v>
      </c>
      <c r="C213" s="4" t="n">
        <v>29430128.19</v>
      </c>
      <c r="D213" s="4">
        <f>C213/E213</f>
        <v/>
      </c>
      <c r="E213" s="4" t="n">
        <v>82.02</v>
      </c>
      <c r="F213" s="4">
        <f>D213/100000</f>
        <v/>
      </c>
      <c r="G213" s="7">
        <f>(F213/DataSheet!$C$10*100)</f>
        <v/>
      </c>
      <c r="H213" s="4">
        <f>K213/I213</f>
        <v/>
      </c>
      <c r="I213" s="4">
        <f>(J213/L213)*100</f>
        <v/>
      </c>
      <c r="J213" s="7">
        <f>L213/O213</f>
        <v/>
      </c>
      <c r="K213" s="4" t="n">
        <v>7.05</v>
      </c>
      <c r="L213" s="4" t="n">
        <v>18972.1</v>
      </c>
      <c r="M213" s="4" t="n">
        <v>4.43</v>
      </c>
      <c r="N213" s="4">
        <f>K213-I213</f>
        <v/>
      </c>
      <c r="O213" s="4" t="n">
        <v>22.08</v>
      </c>
      <c r="P213" s="4" t="n">
        <v>3.84</v>
      </c>
      <c r="Q213" s="7">
        <f>K213-P213</f>
        <v/>
      </c>
      <c r="R213" s="4" t="n">
        <v>102.54</v>
      </c>
      <c r="S213" s="7">
        <f>(O213*T213)</f>
        <v/>
      </c>
      <c r="T213" s="12" t="n">
        <v>6.78</v>
      </c>
      <c r="U213" s="23" t="n">
        <v>13316.45</v>
      </c>
      <c r="V213" s="23" t="n">
        <v>26.13</v>
      </c>
      <c r="W213" s="7">
        <f>U213/V213</f>
        <v/>
      </c>
      <c r="X213" s="7">
        <f>(W213/U213)*100</f>
        <v/>
      </c>
      <c r="Y213" s="23" t="n">
        <v>10493.3</v>
      </c>
      <c r="Z213" s="23" t="n">
        <v>20.86</v>
      </c>
      <c r="AA213" s="7">
        <f>Y213/Z213</f>
        <v/>
      </c>
      <c r="AB213" s="7">
        <f>(AA213/Y213)*100</f>
        <v/>
      </c>
    </row>
    <row r="214">
      <c r="A214" s="14" t="n">
        <v>213</v>
      </c>
      <c r="B214" s="9" t="n">
        <v>45107</v>
      </c>
      <c r="C214" s="4" t="n">
        <v>29699917.48</v>
      </c>
      <c r="D214" s="4">
        <f>C214/E214</f>
        <v/>
      </c>
      <c r="E214" s="4" t="n">
        <v>82.09</v>
      </c>
      <c r="F214" s="4">
        <f>D214/100000</f>
        <v/>
      </c>
      <c r="G214" s="7">
        <f>(F214/DataSheet!$C$10*100)</f>
        <v/>
      </c>
      <c r="H214" s="4">
        <f>K214/I214</f>
        <v/>
      </c>
      <c r="I214" s="4">
        <f>(J214/L214)*100</f>
        <v/>
      </c>
      <c r="J214" s="7">
        <f>L214/O214</f>
        <v/>
      </c>
      <c r="K214" s="4" t="n">
        <v>7.11</v>
      </c>
      <c r="L214" s="4" t="n">
        <v>19189.05</v>
      </c>
      <c r="M214" s="4" t="n">
        <v>4.5</v>
      </c>
      <c r="N214" s="4">
        <f>K214-I214</f>
        <v/>
      </c>
      <c r="O214" s="4" t="n">
        <v>22.36</v>
      </c>
      <c r="P214" s="4" t="n">
        <v>3.84</v>
      </c>
      <c r="Q214" s="7">
        <f>K214-P214</f>
        <v/>
      </c>
      <c r="R214" s="4" t="n">
        <v>102.58</v>
      </c>
      <c r="S214" s="7">
        <f>(O214*T214)</f>
        <v/>
      </c>
      <c r="T214" s="12" t="n">
        <v>6.77</v>
      </c>
      <c r="U214" s="23" t="n">
        <v>13401.45</v>
      </c>
      <c r="V214" s="23" t="n">
        <v>26.49</v>
      </c>
      <c r="W214" s="7">
        <f>U214/V214</f>
        <v/>
      </c>
      <c r="X214" s="7">
        <f>(W214/U214)*100</f>
        <v/>
      </c>
      <c r="Y214" s="23" t="n">
        <v>10544.2</v>
      </c>
      <c r="Z214" s="23" t="n">
        <v>20.79</v>
      </c>
      <c r="AA214" s="7">
        <f>Y214/Z214</f>
        <v/>
      </c>
      <c r="AB214" s="7">
        <f>(AA214/Y214)*100</f>
        <v/>
      </c>
    </row>
    <row r="215">
      <c r="A215" s="14" t="n">
        <v>214</v>
      </c>
      <c r="B215" s="9" t="n">
        <v>45110</v>
      </c>
      <c r="C215" s="4" t="n">
        <v>29833258.83</v>
      </c>
      <c r="D215" s="4">
        <f>C215/E215</f>
        <v/>
      </c>
      <c r="E215" s="4" t="n">
        <v>81.94</v>
      </c>
      <c r="F215" s="4">
        <f>D215/100000</f>
        <v/>
      </c>
      <c r="G215" s="7">
        <f>(F215/DataSheet!$C$10*100)</f>
        <v/>
      </c>
      <c r="H215" s="4">
        <f>K215/I215</f>
        <v/>
      </c>
      <c r="I215" s="4">
        <f>(J215/L215)*100</f>
        <v/>
      </c>
      <c r="J215" s="7">
        <f>L215/O215</f>
        <v/>
      </c>
      <c r="K215" s="4" t="n">
        <v>7.11</v>
      </c>
      <c r="L215" s="4" t="n">
        <v>19322.55</v>
      </c>
      <c r="M215" s="4" t="n">
        <v>4.53</v>
      </c>
      <c r="N215" s="4">
        <f>K215-I215</f>
        <v/>
      </c>
      <c r="O215" s="4" t="n">
        <v>22.51</v>
      </c>
      <c r="P215" s="4" t="n">
        <v>3.85</v>
      </c>
      <c r="Q215" s="7">
        <f>K215-P215</f>
        <v/>
      </c>
      <c r="R215" s="4" t="n">
        <v>102.65</v>
      </c>
      <c r="S215" s="7">
        <f>(O215*T215)</f>
        <v/>
      </c>
      <c r="T215" s="12" t="n">
        <v>6.77</v>
      </c>
      <c r="U215" s="23" t="n">
        <v>13427.6</v>
      </c>
      <c r="V215" s="23" t="n">
        <v>26.54</v>
      </c>
      <c r="W215" s="7">
        <f>U215/V215</f>
        <v/>
      </c>
      <c r="X215" s="7">
        <f>(W215/U215)*100</f>
        <v/>
      </c>
      <c r="Y215" s="23" t="n">
        <v>10637.9</v>
      </c>
      <c r="Z215" s="23" t="n">
        <v>20.98</v>
      </c>
      <c r="AA215" s="7">
        <f>Y215/Z215</f>
        <v/>
      </c>
      <c r="AB215" s="7">
        <f>(AA215/Y215)*100</f>
        <v/>
      </c>
    </row>
    <row r="216">
      <c r="A216" s="14" t="n">
        <v>215</v>
      </c>
      <c r="B216" s="9" t="n">
        <v>45111</v>
      </c>
      <c r="C216" s="4" t="n">
        <v>29882211.12</v>
      </c>
      <c r="D216" s="4">
        <f>C216/E216</f>
        <v/>
      </c>
      <c r="E216" s="4" t="n">
        <v>81.94</v>
      </c>
      <c r="F216" s="4">
        <f>D216/100000</f>
        <v/>
      </c>
      <c r="G216" s="7">
        <f>(F216/DataSheet!$C$10*100)</f>
        <v/>
      </c>
      <c r="H216" s="4">
        <f>K216/I216</f>
        <v/>
      </c>
      <c r="I216" s="4">
        <f>(J216/L216)*100</f>
        <v/>
      </c>
      <c r="J216" s="7">
        <f>L216/O216</f>
        <v/>
      </c>
      <c r="K216" s="4" t="n">
        <v>7.11</v>
      </c>
      <c r="L216" s="4" t="n">
        <v>19389</v>
      </c>
      <c r="M216" s="4" t="n">
        <v>4.54</v>
      </c>
      <c r="N216" s="4">
        <f>K216-I216</f>
        <v/>
      </c>
      <c r="O216" s="4" t="n">
        <v>22.59</v>
      </c>
      <c r="P216" s="4" t="n">
        <v>3.83</v>
      </c>
      <c r="Q216" s="7">
        <f>K216-P216</f>
        <v/>
      </c>
      <c r="R216" s="4" t="n">
        <v>102.65</v>
      </c>
      <c r="S216" s="7">
        <f>(O216*T216)</f>
        <v/>
      </c>
      <c r="T216" s="12" t="n">
        <v>6.73</v>
      </c>
      <c r="U216" s="23" t="n">
        <v>13405.2</v>
      </c>
      <c r="V216" s="23" t="n">
        <v>26.5</v>
      </c>
      <c r="W216" s="7">
        <f>U216/V216</f>
        <v/>
      </c>
      <c r="X216" s="7">
        <f>(W216/U216)*100</f>
        <v/>
      </c>
      <c r="Y216" s="23" t="n">
        <v>10652.4</v>
      </c>
      <c r="Z216" s="23" t="n">
        <v>21</v>
      </c>
      <c r="AA216" s="7">
        <f>Y216/Z216</f>
        <v/>
      </c>
      <c r="AB216" s="7">
        <f>(AA216/Y216)*100</f>
        <v/>
      </c>
    </row>
    <row r="217">
      <c r="A217" s="14" t="n">
        <v>216</v>
      </c>
      <c r="B217" s="9" t="n">
        <v>45112</v>
      </c>
      <c r="C217" s="4" t="n">
        <v>30012769.24</v>
      </c>
      <c r="D217" s="4">
        <f>C217/E217</f>
        <v/>
      </c>
      <c r="E217" s="4" t="n">
        <v>82.39</v>
      </c>
      <c r="F217" s="4">
        <f>D217/100000</f>
        <v/>
      </c>
      <c r="G217" s="7">
        <f>(F217/DataSheet!$C$10*100)</f>
        <v/>
      </c>
      <c r="H217" s="4">
        <f>K217/I217</f>
        <v/>
      </c>
      <c r="I217" s="4">
        <f>(J217/L217)*100</f>
        <v/>
      </c>
      <c r="J217" s="7">
        <f>L217/O217</f>
        <v/>
      </c>
      <c r="K217" s="4" t="n">
        <v>7.1</v>
      </c>
      <c r="L217" s="4" t="n">
        <v>19398.5</v>
      </c>
      <c r="M217" s="4" t="n">
        <v>4.55</v>
      </c>
      <c r="N217" s="4">
        <f>K217-I217</f>
        <v/>
      </c>
      <c r="O217" s="4" t="n">
        <v>22.6</v>
      </c>
      <c r="P217" s="4" t="n">
        <v>3.93</v>
      </c>
      <c r="Q217" s="7">
        <f>K217-P217</f>
        <v/>
      </c>
      <c r="R217" s="4" t="n">
        <v>103.03</v>
      </c>
      <c r="S217" s="7">
        <f>(O217*T217)</f>
        <v/>
      </c>
      <c r="T217" s="12" t="n">
        <v>6.73</v>
      </c>
      <c r="U217" s="23" t="n">
        <v>13481.65</v>
      </c>
      <c r="V217" s="23" t="n">
        <v>26.64</v>
      </c>
      <c r="W217" s="7">
        <f>U217/V217</f>
        <v/>
      </c>
      <c r="X217" s="7">
        <f>(W217/U217)*100</f>
        <v/>
      </c>
      <c r="Y217" s="23" t="n">
        <v>10718.9</v>
      </c>
      <c r="Z217" s="23" t="n">
        <v>21.13</v>
      </c>
      <c r="AA217" s="7">
        <f>Y217/Z217</f>
        <v/>
      </c>
      <c r="AB217" s="7">
        <f>(AA217/Y217)*100</f>
        <v/>
      </c>
    </row>
    <row r="218">
      <c r="A218" s="14" t="n">
        <v>217</v>
      </c>
      <c r="B218" s="9" t="n">
        <v>45113</v>
      </c>
      <c r="C218" s="4" t="n">
        <v>30197064.27</v>
      </c>
      <c r="D218" s="4">
        <f>C218/E218</f>
        <v/>
      </c>
      <c r="E218" s="4" t="n">
        <v>82.75</v>
      </c>
      <c r="F218" s="4">
        <f>D218/100000</f>
        <v/>
      </c>
      <c r="G218" s="7">
        <f>(F218/DataSheet!$C$10*100)</f>
        <v/>
      </c>
      <c r="H218" s="4">
        <f>K218/I218</f>
        <v/>
      </c>
      <c r="I218" s="4">
        <f>(J218/L218)*100</f>
        <v/>
      </c>
      <c r="J218" s="7">
        <f>L218/O218</f>
        <v/>
      </c>
      <c r="K218" s="4" t="n">
        <v>7.14</v>
      </c>
      <c r="L218" s="4" t="n">
        <v>19497.3</v>
      </c>
      <c r="M218" s="4" t="n">
        <v>4.57</v>
      </c>
      <c r="N218" s="4">
        <f>K218-I218</f>
        <v/>
      </c>
      <c r="O218" s="4" t="n">
        <v>22.72</v>
      </c>
      <c r="P218" s="4" t="n">
        <v>4.03</v>
      </c>
      <c r="Q218" s="7">
        <f>K218-P218</f>
        <v/>
      </c>
      <c r="R218" s="4" t="n">
        <v>102.86</v>
      </c>
      <c r="S218" s="7">
        <f>(O218*T218)</f>
        <v/>
      </c>
      <c r="T218" s="12" t="n">
        <v>6.75</v>
      </c>
      <c r="U218" s="23" t="n">
        <v>13593.1</v>
      </c>
      <c r="V218" s="23" t="n">
        <v>26.86</v>
      </c>
      <c r="W218" s="7">
        <f>U218/V218</f>
        <v/>
      </c>
      <c r="X218" s="7">
        <f>(W218/U218)*100</f>
        <v/>
      </c>
      <c r="Y218" s="23" t="n">
        <v>10808.9</v>
      </c>
      <c r="Z218" s="23" t="n">
        <v>21.31</v>
      </c>
      <c r="AA218" s="7">
        <f>Y218/Z218</f>
        <v/>
      </c>
      <c r="AB218" s="7">
        <f>(AA218/Y218)*100</f>
        <v/>
      </c>
    </row>
    <row r="219">
      <c r="A219" s="14" t="n">
        <v>218</v>
      </c>
      <c r="B219" s="9" t="n">
        <v>45114</v>
      </c>
      <c r="C219" s="4" t="n">
        <v>30002263.39</v>
      </c>
      <c r="D219" s="4">
        <f>C219/E219</f>
        <v/>
      </c>
      <c r="E219" s="4" t="n">
        <v>82.61</v>
      </c>
      <c r="F219" s="4">
        <f>D219/100000</f>
        <v/>
      </c>
      <c r="G219" s="7">
        <f>(F219/DataSheet!$C$10*100)</f>
        <v/>
      </c>
      <c r="H219" s="4">
        <f>K219/I219</f>
        <v/>
      </c>
      <c r="I219" s="4">
        <f>(J219/L219)*100</f>
        <v/>
      </c>
      <c r="J219" s="7">
        <f>L219/O219</f>
        <v/>
      </c>
      <c r="K219" s="4" t="n">
        <v>7.15</v>
      </c>
      <c r="L219" s="4" t="n">
        <v>19331.8</v>
      </c>
      <c r="M219" s="4" t="n">
        <v>4.53</v>
      </c>
      <c r="N219" s="4">
        <f>K219-I219</f>
        <v/>
      </c>
      <c r="O219" s="4" t="n">
        <v>22.52</v>
      </c>
      <c r="P219" s="4" t="n">
        <v>4.06</v>
      </c>
      <c r="Q219" s="7">
        <f>K219-P219</f>
        <v/>
      </c>
      <c r="R219" s="4" t="n">
        <v>101.95</v>
      </c>
      <c r="S219" s="7">
        <f>(O219*T219)</f>
        <v/>
      </c>
      <c r="T219" s="12" t="n">
        <v>6.73</v>
      </c>
      <c r="U219" s="23" t="n">
        <v>13490.7</v>
      </c>
      <c r="V219" s="23" t="n">
        <v>26.66</v>
      </c>
      <c r="W219" s="7">
        <f>U219/V219</f>
        <v/>
      </c>
      <c r="X219" s="7">
        <f>(W219/U219)*100</f>
        <v/>
      </c>
      <c r="Y219" s="23" t="n">
        <v>10777.35</v>
      </c>
      <c r="Z219" s="23" t="n">
        <v>21.24</v>
      </c>
      <c r="AA219" s="7">
        <f>Y219/Z219</f>
        <v/>
      </c>
      <c r="AB219" s="7">
        <f>(AA219/Y219)*100</f>
        <v/>
      </c>
    </row>
    <row r="220">
      <c r="A220" s="14" t="n">
        <v>219</v>
      </c>
      <c r="B220" s="9" t="n">
        <v>45117</v>
      </c>
      <c r="C220" s="4" t="n">
        <v>29966960.03</v>
      </c>
      <c r="D220" s="4">
        <f>C220/E220</f>
        <v/>
      </c>
      <c r="E220" s="4" t="n">
        <v>82.52</v>
      </c>
      <c r="F220" s="4">
        <f>D220/100000</f>
        <v/>
      </c>
      <c r="G220" s="7">
        <f>(F220/DataSheet!$C$10*100)</f>
        <v/>
      </c>
      <c r="H220" s="4">
        <f>K220/I220</f>
        <v/>
      </c>
      <c r="I220" s="4">
        <f>(J220/L220)*100</f>
        <v/>
      </c>
      <c r="J220" s="7">
        <f>L220/O220</f>
        <v/>
      </c>
      <c r="K220" s="4" t="n">
        <v>7.14</v>
      </c>
      <c r="L220" s="4" t="n">
        <v>19355.9</v>
      </c>
      <c r="M220" s="4" t="n">
        <v>4.54</v>
      </c>
      <c r="N220" s="4">
        <f>K220-I220</f>
        <v/>
      </c>
      <c r="O220" s="4" t="n">
        <v>22.55</v>
      </c>
      <c r="P220" s="4" t="n">
        <v>4</v>
      </c>
      <c r="Q220" s="7">
        <f>K220-P220</f>
        <v/>
      </c>
      <c r="R220" s="4" t="n">
        <v>101.64</v>
      </c>
      <c r="S220" s="7">
        <f>(O220*T220)</f>
        <v/>
      </c>
      <c r="T220" s="12" t="n">
        <v>6.75</v>
      </c>
      <c r="U220" s="23" t="n">
        <v>13433.5</v>
      </c>
      <c r="V220" s="23" t="n">
        <v>26.55</v>
      </c>
      <c r="W220" s="7">
        <f>U220/V220</f>
        <v/>
      </c>
      <c r="X220" s="7">
        <f>(W220/U220)*100</f>
        <v/>
      </c>
      <c r="Y220" s="23" t="n">
        <v>10742.35</v>
      </c>
      <c r="Z220" s="23" t="n">
        <v>21.17</v>
      </c>
      <c r="AA220" s="7">
        <f>Y220/Z220</f>
        <v/>
      </c>
      <c r="AB220" s="7">
        <f>(AA220/Y220)*100</f>
        <v/>
      </c>
    </row>
    <row r="221">
      <c r="A221" s="14" t="n">
        <v>220</v>
      </c>
      <c r="B221" s="9" t="n">
        <v>45118</v>
      </c>
      <c r="C221" s="4" t="n">
        <v>30156320.02</v>
      </c>
      <c r="D221" s="4">
        <f>C221/E221</f>
        <v/>
      </c>
      <c r="E221" s="4" t="n">
        <v>82.39</v>
      </c>
      <c r="F221" s="4">
        <f>D221/100000</f>
        <v/>
      </c>
      <c r="G221" s="7">
        <f>(F221/DataSheet!$C$10*100)</f>
        <v/>
      </c>
      <c r="H221" s="4">
        <f>K221/I221</f>
        <v/>
      </c>
      <c r="I221" s="4">
        <f>(J221/L221)*100</f>
        <v/>
      </c>
      <c r="J221" s="7">
        <f>L221/O221</f>
        <v/>
      </c>
      <c r="K221" s="4" t="n">
        <v>7.09</v>
      </c>
      <c r="L221" s="4" t="n">
        <v>19439.4</v>
      </c>
      <c r="M221" s="4" t="n">
        <v>4.56</v>
      </c>
      <c r="N221" s="4">
        <f>K221-I221</f>
        <v/>
      </c>
      <c r="O221" s="4" t="n">
        <v>22.65</v>
      </c>
      <c r="P221" s="4" t="n">
        <v>3.97</v>
      </c>
      <c r="Q221" s="7">
        <f>K221-P221</f>
        <v/>
      </c>
      <c r="R221" s="4" t="n">
        <v>101.4</v>
      </c>
      <c r="S221" s="7">
        <f>(O221*T221)</f>
        <v/>
      </c>
      <c r="T221" s="12" t="n">
        <v>6.72</v>
      </c>
      <c r="U221" s="23" t="n">
        <v>13534.35</v>
      </c>
      <c r="V221" s="23" t="n">
        <v>26.75</v>
      </c>
      <c r="W221" s="7">
        <f>U221/V221</f>
        <v/>
      </c>
      <c r="X221" s="7">
        <f>(W221/U221)*100</f>
        <v/>
      </c>
      <c r="Y221" s="23" t="n">
        <v>10843.95</v>
      </c>
      <c r="Z221" s="23" t="n">
        <v>21.37</v>
      </c>
      <c r="AA221" s="7">
        <f>Y221/Z221</f>
        <v/>
      </c>
      <c r="AB221" s="7">
        <f>(AA221/Y221)*100</f>
        <v/>
      </c>
    </row>
    <row r="222">
      <c r="A222" s="14" t="n">
        <v>221</v>
      </c>
      <c r="B222" s="9" t="n">
        <v>45119</v>
      </c>
      <c r="C222" s="4" t="n">
        <v>30194806.7</v>
      </c>
      <c r="D222" s="4">
        <f>C222/E222</f>
        <v/>
      </c>
      <c r="E222" s="4" t="n">
        <v>81.98</v>
      </c>
      <c r="F222" s="4">
        <f>D222/100000</f>
        <v/>
      </c>
      <c r="G222" s="7">
        <f>(F222/DataSheet!$C$10*100)</f>
        <v/>
      </c>
      <c r="H222" s="4">
        <f>K222/I222</f>
        <v/>
      </c>
      <c r="I222" s="4">
        <f>(J222/L222)*100</f>
        <v/>
      </c>
      <c r="J222" s="7">
        <f>L222/O222</f>
        <v/>
      </c>
      <c r="K222" s="4" t="n">
        <v>7.11</v>
      </c>
      <c r="L222" s="4" t="n">
        <v>19384.3</v>
      </c>
      <c r="M222" s="4" t="n">
        <v>4.54</v>
      </c>
      <c r="N222" s="4">
        <f>K222-I222</f>
        <v/>
      </c>
      <c r="O222" s="4" t="n">
        <v>22.58</v>
      </c>
      <c r="P222" s="4" t="n">
        <v>3.86</v>
      </c>
      <c r="Q222" s="7">
        <f>K222-P222</f>
        <v/>
      </c>
      <c r="R222" s="4" t="n">
        <v>100.19</v>
      </c>
      <c r="S222" s="7">
        <f>(O222*T222)</f>
        <v/>
      </c>
      <c r="T222" s="12" t="n">
        <v>6.72</v>
      </c>
      <c r="U222" s="23" t="n">
        <v>13600</v>
      </c>
      <c r="V222" s="23" t="n">
        <v>26.88</v>
      </c>
      <c r="W222" s="7">
        <f>U222/V222</f>
        <v/>
      </c>
      <c r="X222" s="7">
        <f>(W222/U222)*100</f>
        <v/>
      </c>
      <c r="Y222" s="23" t="n">
        <v>10897.45</v>
      </c>
      <c r="Z222" s="23" t="n">
        <v>21.48</v>
      </c>
      <c r="AA222" s="7">
        <f>Y222/Z222</f>
        <v/>
      </c>
      <c r="AB222" s="7">
        <f>(AA222/Y222)*100</f>
        <v/>
      </c>
    </row>
    <row r="223">
      <c r="A223" s="14" t="n">
        <v>222</v>
      </c>
      <c r="B223" s="9" t="n">
        <v>45120</v>
      </c>
      <c r="C223" s="4" t="n">
        <v>30108996.53</v>
      </c>
      <c r="D223" s="4">
        <f>C223/E223</f>
        <v/>
      </c>
      <c r="E223" s="4" t="n">
        <v>82.04000000000001</v>
      </c>
      <c r="F223" s="4">
        <f>D223/100000</f>
        <v/>
      </c>
      <c r="G223" s="7">
        <f>(F223/DataSheet!$C$10*100)</f>
        <v/>
      </c>
      <c r="H223" s="4">
        <f>K223/I223</f>
        <v/>
      </c>
      <c r="I223" s="4">
        <f>(J223/L223)*100</f>
        <v/>
      </c>
      <c r="J223" s="7">
        <f>L223/O223</f>
        <v/>
      </c>
      <c r="K223" s="4" t="n">
        <v>7.07</v>
      </c>
      <c r="L223" s="4" t="n">
        <v>19413.75</v>
      </c>
      <c r="M223" s="4" t="n">
        <v>4.74</v>
      </c>
      <c r="N223" s="4">
        <f>K223-I223</f>
        <v/>
      </c>
      <c r="O223" s="4" t="n">
        <v>23.81</v>
      </c>
      <c r="P223" s="4" t="n">
        <v>3.76</v>
      </c>
      <c r="Q223" s="7">
        <f>K223-P223</f>
        <v/>
      </c>
      <c r="R223" s="4" t="n">
        <v>99.45</v>
      </c>
      <c r="S223" s="7">
        <f>(O223*T223)</f>
        <v/>
      </c>
      <c r="T223" s="12" t="n">
        <v>6.72</v>
      </c>
      <c r="U223" s="23" t="n">
        <v>13522.4</v>
      </c>
      <c r="V223" s="23" t="n">
        <v>26.82</v>
      </c>
      <c r="W223" s="7">
        <f>U223/V223</f>
        <v/>
      </c>
      <c r="X223" s="7">
        <f>(W223/U223)*100</f>
        <v/>
      </c>
      <c r="Y223" s="23" t="n">
        <v>10820.35</v>
      </c>
      <c r="Z223" s="23" t="n">
        <v>21.33</v>
      </c>
      <c r="AA223" s="7">
        <f>Y223/Z223</f>
        <v/>
      </c>
      <c r="AB223" s="7">
        <f>(AA223/Y223)*100</f>
        <v/>
      </c>
    </row>
    <row r="224">
      <c r="A224" s="14" t="n">
        <v>223</v>
      </c>
      <c r="B224" s="9" t="n">
        <v>45121</v>
      </c>
      <c r="C224" s="5" t="n">
        <v>30388030.96</v>
      </c>
      <c r="D224" s="4">
        <f>C224/E224</f>
        <v/>
      </c>
      <c r="E224" s="4" t="n">
        <v>82.04000000000001</v>
      </c>
      <c r="F224" s="4">
        <f>D224/100000</f>
        <v/>
      </c>
      <c r="G224" s="7">
        <f>(F224/DataSheet!$C$10*100)</f>
        <v/>
      </c>
      <c r="H224" s="4">
        <f>K224/I224</f>
        <v/>
      </c>
      <c r="I224" s="4">
        <f>(J224/L224)*100</f>
        <v/>
      </c>
      <c r="J224" s="7">
        <f>L224/O224</f>
        <v/>
      </c>
      <c r="K224" s="4" t="n">
        <v>7.08</v>
      </c>
      <c r="L224" s="4" t="n">
        <v>19564.5</v>
      </c>
      <c r="M224" s="4" t="n">
        <v>4.78</v>
      </c>
      <c r="N224" s="4">
        <f>K224-I224</f>
        <v/>
      </c>
      <c r="O224" s="4" t="n">
        <v>23.96</v>
      </c>
      <c r="P224" s="4" t="n">
        <v>3.83</v>
      </c>
      <c r="Q224" s="7">
        <f>K224-P224</f>
        <v/>
      </c>
      <c r="R224" s="4" t="n">
        <v>99.59999999999999</v>
      </c>
      <c r="S224" s="7">
        <f>(O224*T224)</f>
        <v/>
      </c>
      <c r="T224" s="12" t="n">
        <v>6.73</v>
      </c>
      <c r="U224" s="23" t="n">
        <v>13657.45</v>
      </c>
      <c r="V224" s="23" t="n">
        <v>27.07</v>
      </c>
      <c r="W224" s="7">
        <f>U224/V224</f>
        <v/>
      </c>
      <c r="X224" s="7">
        <f>(W224/U224)*100</f>
        <v/>
      </c>
      <c r="Y224" s="23" t="n">
        <v>10962.95</v>
      </c>
      <c r="Z224" s="23" t="n">
        <v>21.61</v>
      </c>
      <c r="AA224" s="7">
        <f>Y224/Z224</f>
        <v/>
      </c>
      <c r="AB224" s="7">
        <f>(AA224/Y224)*100</f>
        <v/>
      </c>
    </row>
    <row r="225">
      <c r="A225" s="14" t="n">
        <v>224</v>
      </c>
      <c r="B225" s="9" t="n">
        <v>45124</v>
      </c>
      <c r="C225" s="4" t="n">
        <v>30876495.19</v>
      </c>
      <c r="D225" s="4">
        <f>C225/E225</f>
        <v/>
      </c>
      <c r="E225" s="4" t="n">
        <v>82.06</v>
      </c>
      <c r="F225" s="4">
        <f>D225/100000</f>
        <v/>
      </c>
      <c r="G225" s="7">
        <f>(F225/DataSheet!$C$10*100)</f>
        <v/>
      </c>
      <c r="H225" s="4">
        <f>K225/I225</f>
        <v/>
      </c>
      <c r="I225" s="4">
        <f>(J225/L225)*100</f>
        <v/>
      </c>
      <c r="J225" s="7">
        <f>L225/O225</f>
        <v/>
      </c>
      <c r="K225" s="4" t="n">
        <v>7.07</v>
      </c>
      <c r="L225" s="4" t="n">
        <v>19711.45</v>
      </c>
      <c r="M225" s="4" t="n">
        <v>4.82</v>
      </c>
      <c r="N225" s="4">
        <f>K225-I225</f>
        <v/>
      </c>
      <c r="O225" s="4" t="n">
        <v>24.14</v>
      </c>
      <c r="P225" s="4" t="n">
        <v>3.79</v>
      </c>
      <c r="Q225" s="7">
        <f>K225-P225</f>
        <v/>
      </c>
      <c r="R225" s="4" t="n">
        <v>99.52</v>
      </c>
      <c r="S225" s="7">
        <f>(O225*T225)</f>
        <v/>
      </c>
      <c r="T225" s="12" t="n">
        <v>6.73</v>
      </c>
      <c r="U225" s="23" t="n">
        <v>13709.1</v>
      </c>
      <c r="V225" s="23" t="n">
        <v>27.09</v>
      </c>
      <c r="W225" s="7">
        <f>U225/V225</f>
        <v/>
      </c>
      <c r="X225" s="7">
        <f>(W225/U225)*100</f>
        <v/>
      </c>
      <c r="Y225" s="23" t="n">
        <v>11048.9</v>
      </c>
      <c r="Z225" s="23" t="n">
        <v>21.74</v>
      </c>
      <c r="AA225" s="7">
        <f>Y225/Z225</f>
        <v/>
      </c>
      <c r="AB225" s="7">
        <f>(AA225/Y225)*100</f>
        <v/>
      </c>
    </row>
    <row r="226">
      <c r="A226" s="14" t="n">
        <v>225</v>
      </c>
      <c r="B226" s="9" t="n">
        <v>45125</v>
      </c>
      <c r="C226" s="4" t="n">
        <v>30843536.12</v>
      </c>
      <c r="D226" s="4">
        <f>C226/E226</f>
        <v/>
      </c>
      <c r="E226" s="4" t="n">
        <v>82.06</v>
      </c>
      <c r="F226" s="4">
        <f>D226/100000</f>
        <v/>
      </c>
      <c r="G226" s="7">
        <f>(F226/DataSheet!$C$10*100)</f>
        <v/>
      </c>
      <c r="H226" s="4">
        <f>K226/I226</f>
        <v/>
      </c>
      <c r="I226" s="4">
        <f>(J226/L226)*100</f>
        <v/>
      </c>
      <c r="J226" s="7">
        <f>L226/O226</f>
        <v/>
      </c>
      <c r="K226" s="4" t="n">
        <v>7.05</v>
      </c>
      <c r="L226" s="4" t="n">
        <v>19749.25</v>
      </c>
      <c r="M226" s="4" t="n">
        <v>4.83</v>
      </c>
      <c r="N226" s="4">
        <f>K226-I226</f>
        <v/>
      </c>
      <c r="O226" s="4" t="n">
        <v>24.18</v>
      </c>
      <c r="P226" s="4" t="n">
        <v>3.78</v>
      </c>
      <c r="Q226" s="7">
        <f>K226-P226</f>
        <v/>
      </c>
      <c r="R226" s="4" t="n">
        <v>99.62</v>
      </c>
      <c r="S226" s="7">
        <f>(O226*T226)</f>
        <v/>
      </c>
      <c r="T226" s="12" t="n">
        <v>6.74</v>
      </c>
      <c r="U226" s="23" t="n">
        <v>13688.2</v>
      </c>
      <c r="V226" s="23" t="n">
        <v>27.1</v>
      </c>
      <c r="W226" s="7">
        <f>U226/V226</f>
        <v/>
      </c>
      <c r="X226" s="7">
        <f>(W226/U226)*100</f>
        <v/>
      </c>
      <c r="Y226" s="23" t="n">
        <v>10969.35</v>
      </c>
      <c r="Z226" s="23" t="n">
        <v>21.56</v>
      </c>
      <c r="AA226" s="7">
        <f>Y226/Z226</f>
        <v/>
      </c>
      <c r="AB226" s="7">
        <f>(AA226/Y226)*100</f>
        <v/>
      </c>
    </row>
    <row r="227">
      <c r="A227" s="14" t="n">
        <v>226</v>
      </c>
      <c r="B227" s="9" t="n">
        <v>45126</v>
      </c>
      <c r="C227" s="4" t="n">
        <v>30991402.49</v>
      </c>
      <c r="D227" s="4">
        <f>C227/E227</f>
        <v/>
      </c>
      <c r="E227" s="4" t="n">
        <v>82.05</v>
      </c>
      <c r="F227" s="4">
        <f>D227/100000</f>
        <v/>
      </c>
      <c r="G227" s="7">
        <f>(F227/DataSheet!$C$10*100)</f>
        <v/>
      </c>
      <c r="H227" s="4">
        <f>K227/I227</f>
        <v/>
      </c>
      <c r="I227" s="4">
        <f>(J227/L227)*100</f>
        <v/>
      </c>
      <c r="J227" s="7">
        <f>L227/O227</f>
        <v/>
      </c>
      <c r="K227" s="4" t="n">
        <v>7.07</v>
      </c>
      <c r="L227" s="4" t="n">
        <v>19833.15</v>
      </c>
      <c r="M227" s="4" t="n">
        <v>4.85</v>
      </c>
      <c r="N227" s="4">
        <f>K227-I227</f>
        <v/>
      </c>
      <c r="O227" s="4" t="n">
        <v>24.09</v>
      </c>
      <c r="P227" s="4" t="n">
        <v>3.74</v>
      </c>
      <c r="Q227" s="7">
        <f>K227-P227</f>
        <v/>
      </c>
      <c r="R227" s="4" t="n">
        <v>99.98</v>
      </c>
      <c r="S227" s="7">
        <f>(O227*T227)</f>
        <v/>
      </c>
      <c r="T227" s="12" t="n">
        <v>6.74</v>
      </c>
      <c r="U227" s="23" t="n">
        <v>13769.8</v>
      </c>
      <c r="V227" s="23" t="n">
        <v>27.26</v>
      </c>
      <c r="W227" s="7">
        <f>U227/V227</f>
        <v/>
      </c>
      <c r="X227" s="7">
        <f>(W227/U227)*100</f>
        <v/>
      </c>
      <c r="Y227" s="23" t="n">
        <v>11049.25</v>
      </c>
      <c r="Z227" s="23" t="n">
        <v>21.66</v>
      </c>
      <c r="AA227" s="7">
        <f>Y227/Z227</f>
        <v/>
      </c>
      <c r="AB227" s="7">
        <f>(AA227/Y227)*100</f>
        <v/>
      </c>
    </row>
    <row r="228">
      <c r="A228" s="14" t="n">
        <v>227</v>
      </c>
      <c r="B228" s="9" t="n">
        <v>45127</v>
      </c>
      <c r="C228" s="4" t="n">
        <v>30943571.13</v>
      </c>
      <c r="D228" s="4">
        <f>C228/E228</f>
        <v/>
      </c>
      <c r="E228" s="4" t="n">
        <v>82.06999999999999</v>
      </c>
      <c r="F228" s="4">
        <f>D228/100000</f>
        <v/>
      </c>
      <c r="G228" s="7">
        <f>(F228/DataSheet!$C$10*100)</f>
        <v/>
      </c>
      <c r="H228" s="4">
        <f>K228/I228</f>
        <v/>
      </c>
      <c r="I228" s="4">
        <f>(J228/L228)*100</f>
        <v/>
      </c>
      <c r="J228" s="7">
        <f>L228/O228</f>
        <v/>
      </c>
      <c r="K228" s="4" t="n">
        <v>7.08</v>
      </c>
      <c r="L228" s="4" t="n">
        <v>19979.15</v>
      </c>
      <c r="M228" s="4" t="n">
        <v>4.88</v>
      </c>
      <c r="N228" s="4">
        <f>K228-I228</f>
        <v/>
      </c>
      <c r="O228" s="4" t="n">
        <v>24.24</v>
      </c>
      <c r="P228" s="4" t="n">
        <v>3.85</v>
      </c>
      <c r="Q228" s="7">
        <f>K228-P228</f>
        <v/>
      </c>
      <c r="R228" s="4" t="n">
        <v>100.59</v>
      </c>
      <c r="S228" s="7">
        <f>(O228*T228)</f>
        <v/>
      </c>
      <c r="T228" s="12" t="n">
        <v>6.74</v>
      </c>
      <c r="U228" s="23" t="n">
        <v>13799.55</v>
      </c>
      <c r="V228" s="23" t="n">
        <v>27.29</v>
      </c>
      <c r="W228" s="7">
        <f>U228/V228</f>
        <v/>
      </c>
      <c r="X228" s="7">
        <f>(W228/U228)*100</f>
        <v/>
      </c>
      <c r="Y228" s="23" t="n">
        <v>11079.2</v>
      </c>
      <c r="Z228" s="23" t="n">
        <v>21.71</v>
      </c>
      <c r="AA228" s="7">
        <f>Y228/Z228</f>
        <v/>
      </c>
      <c r="AB228" s="7">
        <f>(AA228/Y228)*100</f>
        <v/>
      </c>
    </row>
    <row r="229">
      <c r="A229" s="14" t="n">
        <v>228</v>
      </c>
      <c r="B229" s="9" t="n">
        <v>45128</v>
      </c>
      <c r="C229" s="4" t="n">
        <v>30749353.11</v>
      </c>
      <c r="D229" s="4">
        <f>C229/E229</f>
        <v/>
      </c>
      <c r="E229" s="4" t="n">
        <v>81.98</v>
      </c>
      <c r="F229" s="4">
        <f>D229/100000</f>
        <v/>
      </c>
      <c r="G229" s="7">
        <f>(F229/DataSheet!$C$10*100)</f>
        <v/>
      </c>
      <c r="H229" s="4">
        <f>K229/I229</f>
        <v/>
      </c>
      <c r="I229" s="4">
        <f>(J229/L229)*100</f>
        <v/>
      </c>
      <c r="J229" s="7">
        <f>L229/O229</f>
        <v/>
      </c>
      <c r="K229" s="4" t="n">
        <v>7.08</v>
      </c>
      <c r="L229" s="4" t="n">
        <v>19745</v>
      </c>
      <c r="M229" s="4" t="n">
        <v>4.82</v>
      </c>
      <c r="N229" s="4">
        <f>K229-I229</f>
        <v/>
      </c>
      <c r="O229" s="4" t="n">
        <v>23.95</v>
      </c>
      <c r="P229" s="4" t="n">
        <v>3.83</v>
      </c>
      <c r="Q229" s="7">
        <f>K229-P229</f>
        <v/>
      </c>
      <c r="R229" s="4" t="n">
        <v>100.79</v>
      </c>
      <c r="S229" s="7">
        <f>(O229*T229)</f>
        <v/>
      </c>
      <c r="T229" s="12" t="n">
        <v>6.73</v>
      </c>
      <c r="U229" s="23" t="n">
        <v>13772.85</v>
      </c>
      <c r="V229" s="23" t="n">
        <v>27.23</v>
      </c>
      <c r="W229" s="7">
        <f>U229/V229</f>
        <v/>
      </c>
      <c r="X229" s="7">
        <f>(W229/U229)*100</f>
        <v/>
      </c>
      <c r="Y229" s="23" t="n">
        <v>11110.55</v>
      </c>
      <c r="Z229" s="23" t="n">
        <v>21.76</v>
      </c>
      <c r="AA229" s="7">
        <f>Y229/Z229</f>
        <v/>
      </c>
      <c r="AB229" s="7">
        <f>(AA229/Y229)*100</f>
        <v/>
      </c>
    </row>
    <row r="230">
      <c r="A230" s="14" t="n">
        <v>229</v>
      </c>
      <c r="B230" s="9" t="n">
        <v>45131</v>
      </c>
      <c r="C230" s="4" t="n">
        <v>30712582.16</v>
      </c>
      <c r="D230" s="4">
        <f>C230/E230</f>
        <v/>
      </c>
      <c r="E230" s="4" t="n">
        <v>81.79000000000001</v>
      </c>
      <c r="F230" s="4">
        <f>D230/100000</f>
        <v/>
      </c>
      <c r="G230" s="7">
        <f>(F230/DataSheet!$C$10*100)</f>
        <v/>
      </c>
      <c r="H230" s="4">
        <f>K230/I230</f>
        <v/>
      </c>
      <c r="I230" s="4">
        <f>(J230/L230)*100</f>
        <v/>
      </c>
      <c r="J230" s="7">
        <f>L230/O230</f>
        <v/>
      </c>
      <c r="K230" s="4" t="n">
        <v>7.07</v>
      </c>
      <c r="L230" s="4" t="n">
        <v>19672.35</v>
      </c>
      <c r="M230" s="4" t="n">
        <v>4.81</v>
      </c>
      <c r="N230" s="4">
        <f>K230-I230</f>
        <v/>
      </c>
      <c r="O230" s="4" t="n">
        <v>23.83</v>
      </c>
      <c r="P230" s="4" t="n">
        <v>3.87</v>
      </c>
      <c r="Q230" s="7">
        <f>K230-P230</f>
        <v/>
      </c>
      <c r="R230" s="4" t="n">
        <v>101.08</v>
      </c>
      <c r="S230" s="7">
        <f>(O230*T230)</f>
        <v/>
      </c>
      <c r="T230" s="12" t="n">
        <v>6.74</v>
      </c>
      <c r="U230" s="23" t="n">
        <v>13762.2</v>
      </c>
      <c r="V230" s="23" t="n">
        <v>27.1</v>
      </c>
      <c r="W230" s="7">
        <f>U230/V230</f>
        <v/>
      </c>
      <c r="X230" s="7">
        <f>(W230/U230)*100</f>
        <v/>
      </c>
      <c r="Y230" s="23" t="n">
        <v>11136.85</v>
      </c>
      <c r="Z230" s="23" t="n">
        <v>21.77</v>
      </c>
      <c r="AA230" s="7">
        <f>Y230/Z230</f>
        <v/>
      </c>
      <c r="AB230" s="7">
        <f>(AA230/Y230)*100</f>
        <v/>
      </c>
    </row>
    <row r="231">
      <c r="A231" s="14" t="n">
        <v>230</v>
      </c>
      <c r="B231" s="9" t="n">
        <v>45132</v>
      </c>
      <c r="C231" s="4" t="n">
        <v>30783475.78</v>
      </c>
      <c r="D231" s="4">
        <f>C231/E231</f>
        <v/>
      </c>
      <c r="E231" s="4" t="n">
        <v>81.84999999999999</v>
      </c>
      <c r="F231" s="4">
        <f>D231/100000</f>
        <v/>
      </c>
      <c r="G231" s="7">
        <f>(F231/DataSheet!$C$10*100)</f>
        <v/>
      </c>
      <c r="H231" s="4">
        <f>K231/I231</f>
        <v/>
      </c>
      <c r="I231" s="4">
        <f>(J231/L231)*100</f>
        <v/>
      </c>
      <c r="J231" s="7">
        <f>L231/O231</f>
        <v/>
      </c>
      <c r="K231" s="4" t="n">
        <v>7.1</v>
      </c>
      <c r="L231" s="4" t="n">
        <v>19680.6</v>
      </c>
      <c r="M231" s="4" t="n">
        <v>4.81</v>
      </c>
      <c r="N231" s="4">
        <f>K231-I231</f>
        <v/>
      </c>
      <c r="O231" s="4" t="n">
        <v>23.55</v>
      </c>
      <c r="P231" s="4" t="n">
        <v>3.89</v>
      </c>
      <c r="Q231" s="7">
        <f>K231-P231</f>
        <v/>
      </c>
      <c r="R231" s="4" t="n">
        <v>101.09</v>
      </c>
      <c r="S231" s="7">
        <f>(O231*T231)</f>
        <v/>
      </c>
      <c r="T231" s="12" t="n">
        <v>6.73</v>
      </c>
      <c r="U231" s="23" t="n">
        <v>13829.15</v>
      </c>
      <c r="V231" s="23" t="n">
        <v>27.14</v>
      </c>
      <c r="W231" s="7">
        <f>U231/V231</f>
        <v/>
      </c>
      <c r="X231" s="7">
        <f>(W231/U231)*100</f>
        <v/>
      </c>
      <c r="Y231" s="23" t="n">
        <v>11141.85</v>
      </c>
      <c r="Z231" s="23" t="n">
        <v>21.71</v>
      </c>
      <c r="AA231" s="7">
        <f>Y231/Z231</f>
        <v/>
      </c>
      <c r="AB231" s="7">
        <f>(AA231/Y231)*100</f>
        <v/>
      </c>
    </row>
    <row r="232">
      <c r="A232" s="14" t="n">
        <v>231</v>
      </c>
      <c r="B232" s="9" t="n">
        <v>45133</v>
      </c>
      <c r="C232" s="4" t="n">
        <v>30912839.94</v>
      </c>
      <c r="D232" s="4">
        <f>C232/E232</f>
        <v/>
      </c>
      <c r="E232" s="4" t="n">
        <v>81.95</v>
      </c>
      <c r="F232" s="4">
        <f>D232/100000</f>
        <v/>
      </c>
      <c r="G232" s="7">
        <f>(F232/DataSheet!$C$10*100)</f>
        <v/>
      </c>
      <c r="H232" s="4">
        <f>K232/I232</f>
        <v/>
      </c>
      <c r="I232" s="4">
        <f>(J232/L232)*100</f>
        <v/>
      </c>
      <c r="J232" s="7">
        <f>L232/O232</f>
        <v/>
      </c>
      <c r="K232" s="4" t="n">
        <v>7.09</v>
      </c>
      <c r="L232" s="4" t="n">
        <v>19778.3</v>
      </c>
      <c r="M232" s="4" t="n">
        <v>4.83</v>
      </c>
      <c r="N232" s="4">
        <f>K232-I232</f>
        <v/>
      </c>
      <c r="O232" s="4" t="n">
        <v>23.97</v>
      </c>
      <c r="P232" s="4" t="n">
        <v>3.87</v>
      </c>
      <c r="Q232" s="7">
        <f>K232-P232</f>
        <v/>
      </c>
      <c r="R232" s="4" t="n">
        <v>100.63</v>
      </c>
      <c r="S232" s="7">
        <f>(O232*T232)</f>
        <v/>
      </c>
      <c r="T232" s="12" t="n">
        <v>6.74</v>
      </c>
      <c r="U232" s="23" t="n">
        <v>13873.3</v>
      </c>
      <c r="V232" s="23" t="n">
        <v>27.15</v>
      </c>
      <c r="W232" s="7">
        <f>U232/V232</f>
        <v/>
      </c>
      <c r="X232" s="7">
        <f>(W232/U232)*100</f>
        <v/>
      </c>
      <c r="Y232" s="23" t="n">
        <v>11178.75</v>
      </c>
      <c r="Z232" s="23" t="n">
        <v>21.77</v>
      </c>
      <c r="AA232" s="7">
        <f>Y232/Z232</f>
        <v/>
      </c>
      <c r="AB232" s="7">
        <f>(AA232/Y232)*100</f>
        <v/>
      </c>
    </row>
    <row r="233">
      <c r="A233" s="14" t="n">
        <v>232</v>
      </c>
      <c r="B233" s="9" t="n">
        <v>45134</v>
      </c>
      <c r="C233" s="4" t="n">
        <v>30864776.78</v>
      </c>
      <c r="D233" s="4">
        <f>C233/E233</f>
        <v/>
      </c>
      <c r="E233" s="4" t="n">
        <v>82.15000000000001</v>
      </c>
      <c r="F233" s="4">
        <f>D233/100000</f>
        <v/>
      </c>
      <c r="G233" s="7">
        <f>(F233/DataSheet!$C$10*100)</f>
        <v/>
      </c>
      <c r="H233" s="4">
        <f>K233/I233</f>
        <v/>
      </c>
      <c r="I233" s="4">
        <f>(J233/L233)*100</f>
        <v/>
      </c>
      <c r="J233" s="7">
        <f>L233/O233</f>
        <v/>
      </c>
      <c r="K233" s="4" t="n">
        <v>7.12</v>
      </c>
      <c r="L233" s="4" t="n">
        <v>19659.9</v>
      </c>
      <c r="M233" s="4" t="n">
        <v>4.8</v>
      </c>
      <c r="N233" s="4">
        <f>K233-I233</f>
        <v/>
      </c>
      <c r="O233" s="4" t="n">
        <v>23.83</v>
      </c>
      <c r="P233" s="4" t="n">
        <v>4</v>
      </c>
      <c r="Q233" s="7">
        <f>K233-P233</f>
        <v/>
      </c>
      <c r="R233" s="4" t="n">
        <v>101.54</v>
      </c>
      <c r="S233" s="7">
        <f>(O233*T233)</f>
        <v/>
      </c>
      <c r="T233" s="12" t="n">
        <v>6.73</v>
      </c>
      <c r="U233" s="23" t="n">
        <v>13898.9</v>
      </c>
      <c r="V233" s="23" t="n">
        <v>27.2</v>
      </c>
      <c r="W233" s="7">
        <f>U233/V233</f>
        <v/>
      </c>
      <c r="X233" s="7">
        <f>(W233/U233)*100</f>
        <v/>
      </c>
      <c r="Y233" s="23" t="n">
        <v>11193.8</v>
      </c>
      <c r="Z233" s="23" t="n">
        <v>21.8</v>
      </c>
      <c r="AA233" s="7">
        <f>Y233/Z233</f>
        <v/>
      </c>
      <c r="AB233" s="7">
        <f>(AA233/Y233)*100</f>
        <v/>
      </c>
    </row>
    <row r="234">
      <c r="A234" s="14" t="n">
        <v>233</v>
      </c>
      <c r="B234" s="9" t="n">
        <v>45135</v>
      </c>
      <c r="C234" s="4" t="n">
        <v>30938759.55</v>
      </c>
      <c r="D234" s="4">
        <f>C234/E234</f>
        <v/>
      </c>
      <c r="E234" s="4" t="n">
        <v>82.22</v>
      </c>
      <c r="F234" s="4">
        <f>D234/100000</f>
        <v/>
      </c>
      <c r="G234" s="7">
        <f>(F234/DataSheet!$C$10*100)</f>
        <v/>
      </c>
      <c r="H234" s="4">
        <f>K234/I234</f>
        <v/>
      </c>
      <c r="I234" s="4">
        <f>(J234/L234)*100</f>
        <v/>
      </c>
      <c r="J234" s="7">
        <f>L234/O234</f>
        <v/>
      </c>
      <c r="K234" s="4" t="n">
        <v>7.16</v>
      </c>
      <c r="L234" s="4" t="n">
        <v>19646.05</v>
      </c>
      <c r="M234" s="4" t="n">
        <v>4.8</v>
      </c>
      <c r="N234" s="4">
        <f>K234-I234</f>
        <v/>
      </c>
      <c r="O234" s="4" t="n">
        <v>22.91</v>
      </c>
      <c r="P234" s="4" t="n">
        <v>3.95</v>
      </c>
      <c r="Q234" s="7">
        <f>K234-P234</f>
        <v/>
      </c>
      <c r="R234" s="4" t="n">
        <v>101.39</v>
      </c>
      <c r="S234" s="7">
        <f>(O234*T234)</f>
        <v/>
      </c>
      <c r="T234" s="12" t="n">
        <v>6.75</v>
      </c>
      <c r="U234" s="23" t="n">
        <v>13976</v>
      </c>
      <c r="V234" s="23" t="n">
        <v>27.26</v>
      </c>
      <c r="W234" s="7">
        <f>U234/V234</f>
        <v/>
      </c>
      <c r="X234" s="7">
        <f>(W234/U234)*100</f>
        <v/>
      </c>
      <c r="Y234" s="23" t="n">
        <v>11239.1</v>
      </c>
      <c r="Z234" s="23" t="n">
        <v>22.49</v>
      </c>
      <c r="AA234" s="7">
        <f>Y234/Z234</f>
        <v/>
      </c>
      <c r="AB234" s="7">
        <f>(AA234/Y234)*100</f>
        <v/>
      </c>
    </row>
    <row r="235">
      <c r="A235" s="14" t="n">
        <v>234</v>
      </c>
      <c r="B235" s="9" t="n">
        <v>45138</v>
      </c>
      <c r="C235" s="4" t="n">
        <v>31183703.99</v>
      </c>
      <c r="D235" s="4">
        <f>C235/E235</f>
        <v/>
      </c>
      <c r="E235" s="4" t="n">
        <v>82.23999999999999</v>
      </c>
      <c r="F235" s="4">
        <f>D235/100000</f>
        <v/>
      </c>
      <c r="G235" s="7">
        <f>(F235/DataSheet!$C$10*100)</f>
        <v/>
      </c>
      <c r="H235" s="4">
        <f>K235/I235</f>
        <v/>
      </c>
      <c r="I235" s="4">
        <f>(J235/L235)*100</f>
        <v/>
      </c>
      <c r="J235" s="7">
        <f>L235/O235</f>
        <v/>
      </c>
      <c r="K235" s="4" t="n">
        <v>7.17</v>
      </c>
      <c r="L235" s="4" t="n">
        <v>19753.8</v>
      </c>
      <c r="M235" s="4" t="n">
        <v>4.83</v>
      </c>
      <c r="N235" s="4">
        <f>K235-I235</f>
        <v/>
      </c>
      <c r="O235" s="4" t="n">
        <v>23.01</v>
      </c>
      <c r="P235" s="4" t="n">
        <v>3.96</v>
      </c>
      <c r="Q235" s="7">
        <f>K235-P235</f>
        <v/>
      </c>
      <c r="R235" s="4" t="n">
        <v>101.62</v>
      </c>
      <c r="S235" s="7">
        <f>(O235*T235)</f>
        <v/>
      </c>
      <c r="T235" s="12" t="n">
        <v>6.74</v>
      </c>
      <c r="U235" s="23" t="n">
        <v>14140</v>
      </c>
      <c r="V235" s="23" t="n">
        <v>27.41</v>
      </c>
      <c r="W235" s="7">
        <f>U235/V235</f>
        <v/>
      </c>
      <c r="X235" s="7">
        <f>(W235/U235)*100</f>
        <v/>
      </c>
      <c r="Y235" s="23" t="n">
        <v>11355</v>
      </c>
      <c r="Z235" s="23" t="n">
        <v>22.67</v>
      </c>
      <c r="AA235" s="7">
        <f>Y235/Z235</f>
        <v/>
      </c>
      <c r="AB235" s="7">
        <f>(AA235/Y235)*100</f>
        <v/>
      </c>
    </row>
    <row r="236">
      <c r="A236" s="14" t="n">
        <v>235</v>
      </c>
      <c r="B236" s="9" t="n">
        <v>45139</v>
      </c>
      <c r="C236" s="4" t="n">
        <v>31205317.38</v>
      </c>
      <c r="D236" s="4">
        <f>C236/E236</f>
        <v/>
      </c>
      <c r="E236" s="4" t="n">
        <v>82.34</v>
      </c>
      <c r="F236" s="4">
        <f>D236/100000</f>
        <v/>
      </c>
      <c r="G236" s="7">
        <f>(F236/DataSheet!$C$10*100)</f>
        <v/>
      </c>
      <c r="H236" s="4">
        <f>K236/I236</f>
        <v/>
      </c>
      <c r="I236" s="4">
        <f>(J236/L236)*100</f>
        <v/>
      </c>
      <c r="J236" s="7">
        <f>L236/O236</f>
        <v/>
      </c>
      <c r="K236" s="4" t="n">
        <v>7.15</v>
      </c>
      <c r="L236" s="4" t="n">
        <v>19733.55</v>
      </c>
      <c r="M236" s="4" t="n">
        <v>4.82</v>
      </c>
      <c r="N236" s="4">
        <f>K236-I236</f>
        <v/>
      </c>
      <c r="O236" s="4" t="n">
        <v>22.96</v>
      </c>
      <c r="P236" s="4" t="n">
        <v>4.03</v>
      </c>
      <c r="Q236" s="7">
        <f>K236-P236</f>
        <v/>
      </c>
      <c r="R236" s="4" t="n">
        <v>102.08</v>
      </c>
      <c r="S236" s="7">
        <f>(O236*T236)</f>
        <v/>
      </c>
      <c r="T236" s="12" t="n">
        <v>6.74</v>
      </c>
      <c r="U236" s="23" t="n">
        <v>14151</v>
      </c>
      <c r="V236" s="23" t="n">
        <v>27.35</v>
      </c>
      <c r="W236" s="7">
        <f>U236/V236</f>
        <v/>
      </c>
      <c r="X236" s="7">
        <f>(W236/U236)*100</f>
        <v/>
      </c>
      <c r="Y236" s="23" t="n">
        <v>11377.65</v>
      </c>
      <c r="Z236" s="23" t="n">
        <v>22.76</v>
      </c>
      <c r="AA236" s="7">
        <f>Y236/Z236</f>
        <v/>
      </c>
      <c r="AB236" s="7">
        <f>(AA236/Y236)*100</f>
        <v/>
      </c>
    </row>
    <row r="237">
      <c r="A237" s="14" t="n">
        <v>236</v>
      </c>
      <c r="B237" s="9" t="n">
        <v>45140</v>
      </c>
      <c r="C237" s="4" t="n">
        <v>30857244.28</v>
      </c>
      <c r="D237" s="4">
        <f>C237/E237</f>
        <v/>
      </c>
      <c r="E237" s="4" t="n">
        <v>82.73</v>
      </c>
      <c r="F237" s="4">
        <f>D237/100000</f>
        <v/>
      </c>
      <c r="G237" s="7">
        <f>(F237/DataSheet!$C$10*100)</f>
        <v/>
      </c>
      <c r="H237" s="4">
        <f>K237/I237</f>
        <v/>
      </c>
      <c r="I237" s="4">
        <f>(J237/L237)*100</f>
        <v/>
      </c>
      <c r="J237" s="7">
        <f>L237/O237</f>
        <v/>
      </c>
      <c r="K237" s="4" t="n">
        <v>7.15</v>
      </c>
      <c r="L237" s="4" t="n">
        <v>19526.55</v>
      </c>
      <c r="M237" s="4" t="n">
        <v>4.73</v>
      </c>
      <c r="N237" s="4">
        <f>K237-I237</f>
        <v/>
      </c>
      <c r="O237" s="4" t="n">
        <v>22.72</v>
      </c>
      <c r="P237" s="4" t="n">
        <v>4.09</v>
      </c>
      <c r="Q237" s="7">
        <f>K237-P237</f>
        <v/>
      </c>
      <c r="R237" s="4" t="n">
        <v>102.39</v>
      </c>
      <c r="S237" s="7">
        <f>(O237*T237)</f>
        <v/>
      </c>
      <c r="T237" s="12" t="n">
        <v>6.74</v>
      </c>
      <c r="U237" s="23" t="n">
        <v>13975.2</v>
      </c>
      <c r="V237" s="23" t="n">
        <v>26.97</v>
      </c>
      <c r="W237" s="7">
        <f>U237/V237</f>
        <v/>
      </c>
      <c r="X237" s="7">
        <f>(W237/U237)*100</f>
        <v/>
      </c>
      <c r="Y237" s="23" t="n">
        <v>11232.1</v>
      </c>
      <c r="Z237" s="23" t="n">
        <v>22.47</v>
      </c>
      <c r="AA237" s="7">
        <f>Y237/Z237</f>
        <v/>
      </c>
      <c r="AB237" s="7">
        <f>(AA237/Y237)*100</f>
        <v/>
      </c>
    </row>
    <row r="238">
      <c r="A238" s="14" t="n">
        <v>237</v>
      </c>
      <c r="B238" s="9" t="n">
        <v>45141</v>
      </c>
      <c r="C238" s="4" t="n">
        <v>30752964.87</v>
      </c>
      <c r="D238" s="4">
        <f>C238/E238</f>
        <v/>
      </c>
      <c r="E238" s="4" t="n">
        <v>82.75</v>
      </c>
      <c r="F238" s="4">
        <f>D238/100000</f>
        <v/>
      </c>
      <c r="G238" s="7">
        <f>(F238/DataSheet!$C$10*100)</f>
        <v/>
      </c>
      <c r="H238" s="4">
        <f>K238/I238</f>
        <v/>
      </c>
      <c r="I238" s="4">
        <f>(J238/L238)*100</f>
        <v/>
      </c>
      <c r="J238" s="7">
        <f>L238/O238</f>
        <v/>
      </c>
      <c r="K238" s="4" t="n">
        <v>7.19</v>
      </c>
      <c r="L238" s="4" t="n">
        <v>19381.65</v>
      </c>
      <c r="M238" s="4" t="n">
        <v>4.69</v>
      </c>
      <c r="N238" s="4">
        <f>K238-I238</f>
        <v/>
      </c>
      <c r="O238" s="4" t="n">
        <v>22.55</v>
      </c>
      <c r="P238" s="4" t="n">
        <v>4.17</v>
      </c>
      <c r="Q238" s="7">
        <f>K238-P238</f>
        <v/>
      </c>
      <c r="R238" s="4" t="n">
        <v>102.35</v>
      </c>
      <c r="S238" s="7">
        <f>(O238*T238)</f>
        <v/>
      </c>
      <c r="T238" s="12" t="n">
        <v>6.74</v>
      </c>
      <c r="U238" s="23" t="n">
        <v>13979.05</v>
      </c>
      <c r="V238" s="23" t="n">
        <v>26.97</v>
      </c>
      <c r="W238" s="7">
        <f>U238/V238</f>
        <v/>
      </c>
      <c r="X238" s="7">
        <f>(W238/U238)*100</f>
        <v/>
      </c>
      <c r="Y238" s="23" t="n">
        <v>11247.5</v>
      </c>
      <c r="Z238" s="23" t="n">
        <v>22.54</v>
      </c>
      <c r="AA238" s="7">
        <f>Y238/Z238</f>
        <v/>
      </c>
      <c r="AB238" s="7">
        <f>(AA238/Y238)*100</f>
        <v/>
      </c>
    </row>
    <row r="239">
      <c r="A239" s="14" t="n">
        <v>238</v>
      </c>
      <c r="B239" s="9" t="n">
        <v>45142</v>
      </c>
      <c r="C239" s="4" t="n">
        <v>30941325.6</v>
      </c>
      <c r="D239" s="4">
        <f>C239/E239</f>
        <v/>
      </c>
      <c r="E239" s="4" t="n">
        <v>82.69</v>
      </c>
      <c r="F239" s="4">
        <f>D239/100000</f>
        <v/>
      </c>
      <c r="G239" s="7">
        <f>(F239/DataSheet!$C$10*100)</f>
        <v/>
      </c>
      <c r="H239" s="4">
        <f>K239/I239</f>
        <v/>
      </c>
      <c r="I239" s="4">
        <f>(J239/L239)*100</f>
        <v/>
      </c>
      <c r="J239" s="7">
        <f>L239/O239</f>
        <v/>
      </c>
      <c r="K239" s="4" t="n">
        <v>7.19</v>
      </c>
      <c r="L239" s="4" t="n">
        <v>19517</v>
      </c>
      <c r="M239" s="4" t="n">
        <v>4.72</v>
      </c>
      <c r="N239" s="4">
        <f>K239-I239</f>
        <v/>
      </c>
      <c r="O239" s="4" t="n">
        <v>22.71</v>
      </c>
      <c r="P239" s="4" t="n">
        <v>4.04</v>
      </c>
      <c r="Q239" s="7">
        <f>K239-P239</f>
        <v/>
      </c>
      <c r="R239" s="4" t="n">
        <v>101.83</v>
      </c>
      <c r="S239" s="7">
        <f>(O239*T239)</f>
        <v/>
      </c>
      <c r="T239" s="12" t="n">
        <v>6.73</v>
      </c>
      <c r="U239" s="23" t="n">
        <v>14079.3</v>
      </c>
      <c r="V239" s="23" t="n">
        <v>24.9</v>
      </c>
      <c r="W239" s="7">
        <f>U239/V239</f>
        <v/>
      </c>
      <c r="X239" s="7">
        <f>(W239/U239)*100</f>
        <v/>
      </c>
      <c r="Y239" s="23" t="n">
        <v>11317.75</v>
      </c>
      <c r="Z239" s="23" t="n">
        <v>22.64</v>
      </c>
      <c r="AA239" s="7">
        <f>Y239/Z239</f>
        <v/>
      </c>
      <c r="AB239" s="7">
        <f>(AA239/Y239)*100</f>
        <v/>
      </c>
    </row>
    <row r="240">
      <c r="A240" s="14" t="n">
        <v>239</v>
      </c>
      <c r="B240" s="9" t="n">
        <v>45145</v>
      </c>
      <c r="C240" s="4" t="n">
        <v>31060886.75</v>
      </c>
      <c r="D240" s="4">
        <f>C240/E240</f>
        <v/>
      </c>
      <c r="E240" s="4" t="n">
        <v>82.77</v>
      </c>
      <c r="F240" s="4">
        <f>D240/100000</f>
        <v/>
      </c>
      <c r="G240" s="7">
        <f>(F240/DataSheet!$C$10*100)</f>
        <v/>
      </c>
      <c r="H240" s="4">
        <f>K240/I240</f>
        <v/>
      </c>
      <c r="I240" s="4">
        <f>(J240/L240)*100</f>
        <v/>
      </c>
      <c r="J240" s="7">
        <f>L240/O240</f>
        <v/>
      </c>
      <c r="K240" s="4" t="n">
        <v>7.19</v>
      </c>
      <c r="L240" s="4" t="n">
        <v>19597.3</v>
      </c>
      <c r="M240" s="4" t="n">
        <v>4.74</v>
      </c>
      <c r="N240" s="4">
        <f>K240-I240</f>
        <v/>
      </c>
      <c r="O240" s="4" t="n">
        <v>22.83</v>
      </c>
      <c r="P240" s="4" t="n">
        <v>4.09</v>
      </c>
      <c r="Q240" s="7">
        <f>K240-P240</f>
        <v/>
      </c>
      <c r="R240" s="4" t="n">
        <v>101.86</v>
      </c>
      <c r="S240" s="7">
        <f>(O240*T240)</f>
        <v/>
      </c>
      <c r="T240" s="12" t="n">
        <v>6.75</v>
      </c>
      <c r="U240" s="23" t="n">
        <v>14149.95</v>
      </c>
      <c r="V240" s="23" t="n">
        <v>24.63</v>
      </c>
      <c r="W240" s="7">
        <f>U240/V240</f>
        <v/>
      </c>
      <c r="X240" s="7">
        <f>(W240/U240)*100</f>
        <v/>
      </c>
      <c r="Y240" s="23" t="n">
        <v>11353.1</v>
      </c>
      <c r="Z240" s="23" t="n">
        <v>22.61</v>
      </c>
      <c r="AA240" s="7">
        <f>Y240/Z240</f>
        <v/>
      </c>
      <c r="AB240" s="7">
        <f>(AA240/Y240)*100</f>
        <v/>
      </c>
    </row>
    <row r="241">
      <c r="A241" s="14" t="n">
        <v>240</v>
      </c>
      <c r="B241" s="9" t="n">
        <v>45146</v>
      </c>
      <c r="C241" s="4" t="n">
        <v>31062004.88</v>
      </c>
      <c r="D241" s="4">
        <f>C241/E241</f>
        <v/>
      </c>
      <c r="E241" s="4" t="n">
        <v>82.88</v>
      </c>
      <c r="F241" s="4">
        <f>D241/100000</f>
        <v/>
      </c>
      <c r="G241" s="7">
        <f>(F241/DataSheet!$C$10*100)</f>
        <v/>
      </c>
      <c r="H241" s="4">
        <f>K241/I241</f>
        <v/>
      </c>
      <c r="I241" s="4">
        <f>(J241/L241)*100</f>
        <v/>
      </c>
      <c r="J241" s="7">
        <f>L241/O241</f>
        <v/>
      </c>
      <c r="K241" s="4" t="n">
        <v>7.16</v>
      </c>
      <c r="L241" s="4" t="n">
        <v>19570.85</v>
      </c>
      <c r="M241" s="4" t="n">
        <v>4.73</v>
      </c>
      <c r="N241" s="4">
        <f>K241-I241</f>
        <v/>
      </c>
      <c r="O241" s="4" t="n">
        <v>22.73</v>
      </c>
      <c r="P241" s="4" t="n">
        <v>4.02</v>
      </c>
      <c r="Q241" s="7">
        <f>K241-P241</f>
        <v/>
      </c>
      <c r="R241" s="4" t="n">
        <v>102.34</v>
      </c>
      <c r="S241" s="7">
        <f>(O241*T241)</f>
        <v/>
      </c>
      <c r="T241" s="12" t="n">
        <v>6.75</v>
      </c>
      <c r="U241" s="23" t="n">
        <v>14186.2</v>
      </c>
      <c r="V241" s="23" t="n">
        <v>24.6</v>
      </c>
      <c r="W241" s="7">
        <f>U241/V241</f>
        <v/>
      </c>
      <c r="X241" s="7">
        <f>(W241/U241)*100</f>
        <v/>
      </c>
      <c r="Y241" s="23" t="n">
        <v>11371.55</v>
      </c>
      <c r="Z241" s="23" t="n">
        <v>22.74</v>
      </c>
      <c r="AA241" s="7">
        <f>Y241/Z241</f>
        <v/>
      </c>
      <c r="AB241" s="7">
        <f>(AA241/Y241)*100</f>
        <v/>
      </c>
    </row>
    <row r="242">
      <c r="A242" s="14" t="n">
        <v>241</v>
      </c>
      <c r="B242" s="9" t="n">
        <v>45147</v>
      </c>
      <c r="C242" s="4" t="n">
        <v>31158172.25</v>
      </c>
      <c r="D242" s="4">
        <f>C242/E242</f>
        <v/>
      </c>
      <c r="E242" s="4" t="n">
        <v>82.87</v>
      </c>
      <c r="F242" s="4">
        <f>D242/100000</f>
        <v/>
      </c>
      <c r="G242" s="7">
        <f>(F242/DataSheet!$C$10*100)</f>
        <v/>
      </c>
      <c r="H242" s="4">
        <f>K242/I242</f>
        <v/>
      </c>
      <c r="I242" s="4">
        <f>(J242/L242)*100</f>
        <v/>
      </c>
      <c r="J242" s="7">
        <f>L242/O242</f>
        <v/>
      </c>
      <c r="K242" s="4" t="n">
        <v>7.17</v>
      </c>
      <c r="L242" s="4" t="n">
        <v>19632.55</v>
      </c>
      <c r="M242" s="4" t="n">
        <v>4.75</v>
      </c>
      <c r="N242" s="4">
        <f>K242-I242</f>
        <v/>
      </c>
      <c r="O242" s="4" t="n">
        <v>22.81</v>
      </c>
      <c r="P242" s="4" t="n">
        <v>4.01</v>
      </c>
      <c r="Q242" s="7">
        <f>K242-P242</f>
        <v/>
      </c>
      <c r="R242" s="4" t="n">
        <v>102.31</v>
      </c>
      <c r="S242" s="7">
        <f>(O242*T242)</f>
        <v/>
      </c>
      <c r="T242" s="12" t="n">
        <v>6.75</v>
      </c>
      <c r="U242" s="23" t="n">
        <v>14230.05</v>
      </c>
      <c r="V242" s="23" t="n">
        <v>24.67</v>
      </c>
      <c r="W242" s="7">
        <f>U242/V242</f>
        <v/>
      </c>
      <c r="X242" s="7">
        <f>(W242/U242)*100</f>
        <v/>
      </c>
      <c r="Y242" s="23" t="n">
        <v>11435.95</v>
      </c>
      <c r="Z242" s="23" t="n">
        <v>22.87</v>
      </c>
      <c r="AA242" s="7">
        <f>Y242/Z242</f>
        <v/>
      </c>
      <c r="AB242" s="7">
        <f>(AA242/Y242)*100</f>
        <v/>
      </c>
    </row>
    <row r="243">
      <c r="A243" s="14" t="n">
        <v>242</v>
      </c>
      <c r="B243" s="9" t="n">
        <v>45148</v>
      </c>
      <c r="C243" s="4" t="n">
        <v>31076449.95</v>
      </c>
      <c r="D243" s="4">
        <f>C243/E243</f>
        <v/>
      </c>
      <c r="E243" s="4" t="n">
        <v>82.64</v>
      </c>
      <c r="F243" s="4">
        <f>D243/100000</f>
        <v/>
      </c>
      <c r="G243" s="7">
        <f>(F243/DataSheet!$C$10*100)</f>
        <v/>
      </c>
      <c r="H243" s="4">
        <f>K243/I243</f>
        <v/>
      </c>
      <c r="I243" s="4">
        <f>(J243/L243)*100</f>
        <v/>
      </c>
      <c r="J243" s="7">
        <f>L243/O243</f>
        <v/>
      </c>
      <c r="K243" s="4" t="n">
        <v>7.15</v>
      </c>
      <c r="L243" s="4" t="n">
        <v>19543.1</v>
      </c>
      <c r="M243" s="4" t="n">
        <v>4.73</v>
      </c>
      <c r="N243" s="4">
        <f>K243-I243</f>
        <v/>
      </c>
      <c r="O243" s="4" t="n">
        <v>22.77</v>
      </c>
      <c r="P243" s="4" t="n">
        <v>4.1</v>
      </c>
      <c r="Q243" s="7">
        <f>K243-P243</f>
        <v/>
      </c>
      <c r="R243" s="4" t="n">
        <v>102.36</v>
      </c>
      <c r="S243" s="7">
        <f>(O243*T243)</f>
        <v/>
      </c>
      <c r="T243" s="12" t="n">
        <v>6.77</v>
      </c>
      <c r="U243" s="23" t="n">
        <v>14228.5</v>
      </c>
      <c r="V243" s="23" t="n">
        <v>24.83</v>
      </c>
      <c r="W243" s="7">
        <f>U243/V243</f>
        <v/>
      </c>
      <c r="X243" s="7">
        <f>(W243/U243)*100</f>
        <v/>
      </c>
      <c r="Y243" s="23" t="n">
        <v>11406.8</v>
      </c>
      <c r="Z243" s="23" t="n">
        <v>23.05</v>
      </c>
      <c r="AA243" s="7">
        <f>Y243/Z243</f>
        <v/>
      </c>
      <c r="AB243" s="7">
        <f>(AA243/Y243)*100</f>
        <v/>
      </c>
    </row>
    <row r="244">
      <c r="A244" s="14" t="n">
        <v>243</v>
      </c>
      <c r="B244" s="9" t="n">
        <v>45149</v>
      </c>
      <c r="C244" s="4" t="n">
        <v>31007372.8</v>
      </c>
      <c r="D244" s="4">
        <f>C244/E244</f>
        <v/>
      </c>
      <c r="E244" s="4" t="n">
        <v>82.89</v>
      </c>
      <c r="F244" s="4">
        <f>D244/100000</f>
        <v/>
      </c>
      <c r="G244" s="7">
        <f>(F244/DataSheet!$C$10*100)</f>
        <v/>
      </c>
      <c r="H244" s="4">
        <f>K244/I244</f>
        <v/>
      </c>
      <c r="I244" s="4">
        <f>(J244/L244)*100</f>
        <v/>
      </c>
      <c r="J244" s="7">
        <f>L244/O244</f>
        <v/>
      </c>
      <c r="K244" s="4" t="n">
        <v>7.19</v>
      </c>
      <c r="L244" s="4" t="n">
        <v>19428.3</v>
      </c>
      <c r="M244" s="4" t="n">
        <v>4.7</v>
      </c>
      <c r="N244" s="4">
        <f>K244-I244</f>
        <v/>
      </c>
      <c r="O244" s="4" t="n">
        <v>22.63</v>
      </c>
      <c r="P244" s="4" t="n">
        <v>4.15</v>
      </c>
      <c r="Q244" s="7">
        <f>K244-P244</f>
        <v/>
      </c>
      <c r="R244" s="4" t="n">
        <v>102.69</v>
      </c>
      <c r="S244" s="7">
        <f>(O244*T244)</f>
        <v/>
      </c>
      <c r="T244" s="12" t="n">
        <v>6.77</v>
      </c>
      <c r="U244" s="23" t="n">
        <v>14190.3</v>
      </c>
      <c r="V244" s="23" t="n">
        <v>24.83</v>
      </c>
      <c r="W244" s="7">
        <f>U244/V244</f>
        <v/>
      </c>
      <c r="X244" s="7">
        <f>(W244/U244)*100</f>
        <v/>
      </c>
      <c r="Y244" s="23" t="n">
        <v>11376.5</v>
      </c>
      <c r="Z244" s="23" t="n">
        <v>22.8</v>
      </c>
      <c r="AA244" s="7">
        <f>Y244/Z244</f>
        <v/>
      </c>
      <c r="AB244" s="7">
        <f>(AA244/Y244)*100</f>
        <v/>
      </c>
    </row>
    <row r="245">
      <c r="A245" s="14" t="n">
        <v>244</v>
      </c>
      <c r="B245" s="9" t="n">
        <v>45152</v>
      </c>
      <c r="C245" s="4" t="n">
        <v>30909073.53</v>
      </c>
      <c r="D245" s="4">
        <f>C245/E245</f>
        <v/>
      </c>
      <c r="E245" s="4" t="n">
        <v>83.18000000000001</v>
      </c>
      <c r="F245" s="4">
        <f>D245/100000</f>
        <v/>
      </c>
      <c r="G245" s="7">
        <f>(F245/DataSheet!$C$10*100)</f>
        <v/>
      </c>
      <c r="H245" s="4">
        <f>K245/I245</f>
        <v/>
      </c>
      <c r="I245" s="4">
        <f>(J245/L245)*100</f>
        <v/>
      </c>
      <c r="J245" s="7">
        <f>L245/O245</f>
        <v/>
      </c>
      <c r="K245" s="4" t="n">
        <v>7.2</v>
      </c>
      <c r="L245" s="4" t="n">
        <v>19434.55</v>
      </c>
      <c r="M245" s="4" t="n">
        <v>4.7</v>
      </c>
      <c r="N245" s="4">
        <f>K245-I245</f>
        <v/>
      </c>
      <c r="O245" s="4" t="n">
        <v>22.64</v>
      </c>
      <c r="P245" s="4" t="n">
        <v>4.2</v>
      </c>
      <c r="Q245" s="7">
        <f>K245-P245</f>
        <v/>
      </c>
      <c r="R245" s="4" t="n">
        <v>103.05</v>
      </c>
      <c r="S245" s="7">
        <f>(O245*T245)</f>
        <v/>
      </c>
      <c r="T245" s="12" t="n">
        <v>6.77</v>
      </c>
      <c r="U245" s="23" t="n">
        <v>14153.95</v>
      </c>
      <c r="V245" s="23" t="n">
        <v>24.77</v>
      </c>
      <c r="W245" s="7">
        <f>U245/V245</f>
        <v/>
      </c>
      <c r="X245" s="7">
        <f>(W245/U245)*100</f>
        <v/>
      </c>
      <c r="Y245" s="23" t="n">
        <v>11302.85</v>
      </c>
      <c r="Z245" s="23" t="n">
        <v>22.66</v>
      </c>
      <c r="AA245" s="7">
        <f>Y245/Z245</f>
        <v/>
      </c>
      <c r="AB245" s="7">
        <f>(AA245/Y245)*100</f>
        <v/>
      </c>
    </row>
    <row r="246">
      <c r="A246" s="14" t="n">
        <v>245</v>
      </c>
      <c r="B246" s="9" t="n">
        <v>45154</v>
      </c>
      <c r="C246" s="4" t="n">
        <v>30987735.27</v>
      </c>
      <c r="D246" s="4">
        <f>C246/E246</f>
        <v/>
      </c>
      <c r="E246" s="4" t="n">
        <v>83.29000000000001</v>
      </c>
      <c r="F246" s="4">
        <f>D246/100000</f>
        <v/>
      </c>
      <c r="G246" s="7">
        <f>(F246/DataSheet!$C$10*100)</f>
        <v/>
      </c>
      <c r="H246" s="4">
        <f>K246/I246</f>
        <v/>
      </c>
      <c r="I246" s="4">
        <f>(J246/L246)*100</f>
        <v/>
      </c>
      <c r="J246" s="7">
        <f>L246/O246</f>
        <v/>
      </c>
      <c r="K246" s="4" t="n">
        <v>7.25</v>
      </c>
      <c r="L246" s="4" t="n">
        <v>19465</v>
      </c>
      <c r="M246" s="4" t="n">
        <v>4.68</v>
      </c>
      <c r="N246" s="4">
        <f>K246-I246</f>
        <v/>
      </c>
      <c r="O246" s="4" t="n">
        <v>22.52</v>
      </c>
      <c r="P246" s="4" t="n">
        <v>4.25</v>
      </c>
      <c r="Q246" s="7">
        <f>K246-P246</f>
        <v/>
      </c>
      <c r="R246" s="4" t="n">
        <v>103.31</v>
      </c>
      <c r="S246" s="7">
        <f>(O246*T246)</f>
        <v/>
      </c>
      <c r="T246" s="12" t="n">
        <v>6.77</v>
      </c>
      <c r="U246" s="23" t="n">
        <v>14172.6</v>
      </c>
      <c r="V246" s="23" t="n">
        <v>24.74</v>
      </c>
      <c r="W246" s="7">
        <f>U246/V246</f>
        <v/>
      </c>
      <c r="X246" s="7">
        <f>(W246/U246)*100</f>
        <v/>
      </c>
      <c r="Y246" s="23" t="n">
        <v>11350.2</v>
      </c>
      <c r="Z246" s="23" t="n">
        <v>22.78</v>
      </c>
      <c r="AA246" s="7">
        <f>Y246/Z246</f>
        <v/>
      </c>
      <c r="AB246" s="7">
        <f>(AA246/Y246)*100</f>
        <v/>
      </c>
    </row>
    <row r="247">
      <c r="A247" s="14" t="n">
        <v>246</v>
      </c>
      <c r="B247" s="9" t="n">
        <v>45155</v>
      </c>
      <c r="C247" s="4" t="n">
        <v>30936042.72</v>
      </c>
      <c r="D247" s="4">
        <f>C247/E247</f>
        <v/>
      </c>
      <c r="E247" s="4" t="n">
        <v>83.14</v>
      </c>
      <c r="F247" s="4">
        <f>D247/100000</f>
        <v/>
      </c>
      <c r="G247" s="7">
        <f>(F247/DataSheet!$C$10*100)</f>
        <v/>
      </c>
      <c r="H247" s="4">
        <f>K247/I247</f>
        <v/>
      </c>
      <c r="I247" s="4">
        <f>(J247/L247)*100</f>
        <v/>
      </c>
      <c r="J247" s="7">
        <f>L247/O247</f>
        <v/>
      </c>
      <c r="K247" s="4" t="n">
        <v>7.21</v>
      </c>
      <c r="L247" s="4" t="n">
        <v>19365.25</v>
      </c>
      <c r="M247" s="4" t="n">
        <v>4.66</v>
      </c>
      <c r="N247" s="4">
        <f>K247-I247</f>
        <v/>
      </c>
      <c r="O247" s="4" t="n">
        <v>22.39</v>
      </c>
      <c r="P247" s="4" t="n">
        <v>4.28</v>
      </c>
      <c r="Q247" s="7">
        <f>K247-P247</f>
        <v/>
      </c>
      <c r="R247" s="4" t="n">
        <v>103.47</v>
      </c>
      <c r="S247" s="7">
        <f>(O247*T247)</f>
        <v/>
      </c>
      <c r="T247" s="12" t="n">
        <v>6.87</v>
      </c>
      <c r="U247" s="23" t="n">
        <v>14215.2</v>
      </c>
      <c r="V247" s="23" t="n">
        <v>24.81</v>
      </c>
      <c r="W247" s="7">
        <f>U247/V247</f>
        <v/>
      </c>
      <c r="X247" s="7">
        <f>(W247/U247)*100</f>
        <v/>
      </c>
      <c r="Y247" s="23" t="n">
        <v>11370.95</v>
      </c>
      <c r="Z247" s="23" t="n">
        <v>22.82</v>
      </c>
      <c r="AA247" s="7">
        <f>Y247/Z247</f>
        <v/>
      </c>
      <c r="AB247" s="7">
        <f>(AA247/Y247)*100</f>
        <v/>
      </c>
    </row>
    <row r="248">
      <c r="A248" s="14" t="n">
        <v>247</v>
      </c>
      <c r="B248" s="9" t="n">
        <v>45156</v>
      </c>
      <c r="C248" s="4" t="n">
        <v>30881351.5</v>
      </c>
      <c r="D248" s="4">
        <f>C248/E248</f>
        <v/>
      </c>
      <c r="E248" s="4" t="n">
        <v>83.14</v>
      </c>
      <c r="F248" s="4">
        <f>D248/100000</f>
        <v/>
      </c>
      <c r="G248" s="7">
        <f>(F248/DataSheet!$C$10*100)</f>
        <v/>
      </c>
      <c r="H248" s="4">
        <f>K248/I248</f>
        <v/>
      </c>
      <c r="I248" s="4">
        <f>(J248/L248)*100</f>
        <v/>
      </c>
      <c r="J248" s="7">
        <f>L248/O248</f>
        <v/>
      </c>
      <c r="K248" s="4" t="n">
        <v>7.22</v>
      </c>
      <c r="L248" s="4" t="n">
        <v>19310.15</v>
      </c>
      <c r="M248" s="4" t="n">
        <v>4.64</v>
      </c>
      <c r="N248" s="4">
        <f>K248-I248</f>
        <v/>
      </c>
      <c r="O248" s="4" t="n">
        <v>22.32</v>
      </c>
      <c r="P248" s="4" t="n">
        <v>4.25</v>
      </c>
      <c r="Q248" s="7">
        <f>K248-P248</f>
        <v/>
      </c>
      <c r="R248" s="4" t="n">
        <v>103.27</v>
      </c>
      <c r="S248" s="7">
        <f>(O248*T248)</f>
        <v/>
      </c>
      <c r="T248" s="12" t="n">
        <v>6.86</v>
      </c>
      <c r="U248" s="23" t="n">
        <v>14193.45</v>
      </c>
      <c r="V248" s="23" t="n">
        <v>24.77</v>
      </c>
      <c r="W248" s="7">
        <f>U248/V248</f>
        <v/>
      </c>
      <c r="X248" s="7">
        <f>(W248/U248)*100</f>
        <v/>
      </c>
      <c r="Y248" s="23" t="n">
        <v>11338.05</v>
      </c>
      <c r="Z248" s="23" t="n">
        <v>22.76</v>
      </c>
      <c r="AA248" s="7">
        <f>Y248/Z248</f>
        <v/>
      </c>
      <c r="AB248" s="7">
        <f>(AA248/Y248)*100</f>
        <v/>
      </c>
    </row>
    <row r="249">
      <c r="A249" s="14" t="n">
        <v>248</v>
      </c>
      <c r="B249" s="9" t="n">
        <v>45159</v>
      </c>
      <c r="C249" s="4" t="n">
        <v>31228274.69</v>
      </c>
      <c r="D249" s="4">
        <f>C249/E249</f>
        <v/>
      </c>
      <c r="E249" s="4" t="n">
        <v>83.09</v>
      </c>
      <c r="F249" s="4">
        <f>D249/100000</f>
        <v/>
      </c>
      <c r="G249" s="7">
        <f>(F249/DataSheet!$C$10*100)</f>
        <v/>
      </c>
      <c r="H249" s="4">
        <f>K249/I249</f>
        <v/>
      </c>
      <c r="I249" s="4">
        <f>(J249/L249)*100</f>
        <v/>
      </c>
      <c r="J249" s="7">
        <f>L249/O249</f>
        <v/>
      </c>
      <c r="K249" s="4" t="n">
        <v>7.21</v>
      </c>
      <c r="L249" s="4" t="n">
        <v>19393.6</v>
      </c>
      <c r="M249" s="4" t="n">
        <v>4.66</v>
      </c>
      <c r="N249" s="4">
        <f>K249-I249</f>
        <v/>
      </c>
      <c r="O249" s="4" t="n">
        <v>22.42</v>
      </c>
      <c r="P249" s="4" t="n">
        <v>4.34</v>
      </c>
      <c r="Q249" s="7">
        <f>K249-P249</f>
        <v/>
      </c>
      <c r="R249" s="4" t="n">
        <v>103.2</v>
      </c>
      <c r="S249" s="7">
        <f>(O249*T249)</f>
        <v/>
      </c>
      <c r="T249" s="12" t="n">
        <v>6.86</v>
      </c>
      <c r="U249" s="23" t="n">
        <v>14302.15</v>
      </c>
      <c r="V249" s="23" t="n">
        <v>24.96</v>
      </c>
      <c r="W249" s="7">
        <f>U249/V249</f>
        <v/>
      </c>
      <c r="X249" s="7">
        <f>(W249/U249)*100</f>
        <v/>
      </c>
      <c r="Y249" s="23" t="n">
        <v>11432.65</v>
      </c>
      <c r="Z249" s="23" t="n">
        <v>22.95</v>
      </c>
      <c r="AA249" s="7">
        <f>Y249/Z249</f>
        <v/>
      </c>
      <c r="AB249" s="7">
        <f>(AA249/Y249)*100</f>
        <v/>
      </c>
    </row>
    <row r="250">
      <c r="A250" s="14" t="n">
        <v>249</v>
      </c>
      <c r="B250" s="9" t="n">
        <v>45160</v>
      </c>
      <c r="C250" s="4" t="n">
        <v>31374740.17</v>
      </c>
      <c r="D250" s="4">
        <f>C250/E250</f>
        <v/>
      </c>
      <c r="E250" s="4" t="n">
        <v>83.04000000000001</v>
      </c>
      <c r="F250" s="4">
        <f>D250/100000</f>
        <v/>
      </c>
      <c r="G250" s="7">
        <f>(F250/DataSheet!$C$10*100)</f>
        <v/>
      </c>
      <c r="H250" s="4">
        <f>K250/I250</f>
        <v/>
      </c>
      <c r="I250" s="4">
        <f>(J250/L250)*100</f>
        <v/>
      </c>
      <c r="J250" s="7">
        <f>L250/O250</f>
        <v/>
      </c>
      <c r="K250" s="4" t="n">
        <v>7.19</v>
      </c>
      <c r="L250" s="4" t="n">
        <v>19396.45</v>
      </c>
      <c r="M250" s="4" t="n">
        <v>4.55</v>
      </c>
      <c r="N250" s="4">
        <f>K250-I250</f>
        <v/>
      </c>
      <c r="O250" s="4" t="n">
        <v>22.13</v>
      </c>
      <c r="P250" s="4" t="n">
        <v>4.33</v>
      </c>
      <c r="Q250" s="7">
        <f>K250-P250</f>
        <v/>
      </c>
      <c r="R250" s="4" t="n">
        <v>103.47</v>
      </c>
      <c r="S250" s="7">
        <f>(O250*T250)</f>
        <v/>
      </c>
      <c r="T250" s="12" t="n">
        <v>6.86</v>
      </c>
      <c r="U250" s="23" t="n">
        <v>14454.1</v>
      </c>
      <c r="V250" s="23" t="n">
        <v>25.03</v>
      </c>
      <c r="W250" s="7">
        <f>U250/V250</f>
        <v/>
      </c>
      <c r="X250" s="7">
        <f>(W250/U250)*100</f>
        <v/>
      </c>
      <c r="Y250" s="23" t="n">
        <v>11509.7</v>
      </c>
      <c r="Z250" s="23" t="n">
        <v>23.19</v>
      </c>
      <c r="AA250" s="7">
        <f>Y250/Z250</f>
        <v/>
      </c>
      <c r="AB250" s="7">
        <f>(AA250/Y250)*100</f>
        <v/>
      </c>
    </row>
    <row r="251">
      <c r="A251" s="14" t="n">
        <v>250</v>
      </c>
      <c r="B251" s="9" t="n">
        <v>45161</v>
      </c>
      <c r="C251" s="4" t="n">
        <v>31440453.24</v>
      </c>
      <c r="D251" s="4">
        <f>C251/E251</f>
        <v/>
      </c>
      <c r="E251" s="4" t="n">
        <v>82.5</v>
      </c>
      <c r="F251" s="4">
        <f>D251/100000</f>
        <v/>
      </c>
      <c r="G251" s="7">
        <f>(F251/DataSheet!$C$10*100)</f>
        <v/>
      </c>
      <c r="H251" s="4">
        <f>K251/I251</f>
        <v/>
      </c>
      <c r="I251" s="4">
        <f>(J251/L251)*100</f>
        <v/>
      </c>
      <c r="J251" s="7">
        <f>L251/O251</f>
        <v/>
      </c>
      <c r="K251" s="4" t="n">
        <v>7.19</v>
      </c>
      <c r="L251" s="4" t="n">
        <v>19444</v>
      </c>
      <c r="M251" s="4" t="n">
        <v>4.56</v>
      </c>
      <c r="N251" s="4">
        <f>K251-I251</f>
        <v/>
      </c>
      <c r="O251" s="4" t="n">
        <v>22.19</v>
      </c>
      <c r="P251" s="4" t="n">
        <v>4.19</v>
      </c>
      <c r="Q251" s="7">
        <f>K251-P251</f>
        <v/>
      </c>
      <c r="R251" s="4" t="n">
        <v>103.33</v>
      </c>
      <c r="S251" s="7">
        <f>(O251*T251)</f>
        <v/>
      </c>
      <c r="T251" s="12" t="n">
        <v>6.86</v>
      </c>
      <c r="U251" s="23" t="n">
        <v>14508.75</v>
      </c>
      <c r="V251" s="23" t="n">
        <v>25.13</v>
      </c>
      <c r="W251" s="7">
        <f>U251/V251</f>
        <v/>
      </c>
      <c r="X251" s="7">
        <f>(W251/U251)*100</f>
        <v/>
      </c>
      <c r="Y251" s="23" t="n">
        <v>11591.55</v>
      </c>
      <c r="Z251" s="23" t="n">
        <v>23.36</v>
      </c>
      <c r="AA251" s="7">
        <f>Y251/Z251</f>
        <v/>
      </c>
      <c r="AB251" s="7">
        <f>(AA251/Y251)*100</f>
        <v/>
      </c>
    </row>
    <row r="252">
      <c r="A252" s="14" t="n">
        <v>251</v>
      </c>
      <c r="B252" s="9" t="n">
        <v>45162</v>
      </c>
      <c r="C252" s="4" t="n">
        <v>31407607.72</v>
      </c>
      <c r="D252" s="4">
        <f>C252/E252</f>
        <v/>
      </c>
      <c r="E252" s="4" t="n">
        <v>82.58</v>
      </c>
      <c r="F252" s="4">
        <f>D252/100000</f>
        <v/>
      </c>
      <c r="G252" s="7">
        <f>(F252/DataSheet!$C$10*100)</f>
        <v/>
      </c>
      <c r="H252" s="4">
        <f>K252/I252</f>
        <v/>
      </c>
      <c r="I252" s="4">
        <f>(J252/L252)*100</f>
        <v/>
      </c>
      <c r="J252" s="7">
        <f>L252/O252</f>
        <v/>
      </c>
      <c r="K252" s="4" t="n">
        <v>7.2</v>
      </c>
      <c r="L252" s="4" t="n">
        <v>19386.7</v>
      </c>
      <c r="M252" s="4" t="n">
        <v>4.47</v>
      </c>
      <c r="N252" s="4">
        <f>K252-I252</f>
        <v/>
      </c>
      <c r="O252" s="4" t="n">
        <v>22.12</v>
      </c>
      <c r="P252" s="4" t="n">
        <v>4.24</v>
      </c>
      <c r="Q252" s="7">
        <f>K252-P252</f>
        <v/>
      </c>
      <c r="R252" s="4" t="n">
        <v>103.91</v>
      </c>
      <c r="S252" s="7">
        <f>(O252*T252)</f>
        <v/>
      </c>
      <c r="T252" s="12" t="n">
        <v>6.88</v>
      </c>
      <c r="U252" s="23" t="n">
        <v>14547.85</v>
      </c>
      <c r="V252" s="23" t="n">
        <v>25.2</v>
      </c>
      <c r="W252" s="7">
        <f>U252/V252</f>
        <v/>
      </c>
      <c r="X252" s="7">
        <f>(W252/U252)*100</f>
        <v/>
      </c>
      <c r="Y252" s="23" t="n">
        <v>11576.95</v>
      </c>
      <c r="Z252" s="23" t="n">
        <v>23.33</v>
      </c>
      <c r="AA252" s="7">
        <f>Y252/Z252</f>
        <v/>
      </c>
      <c r="AB252" s="7">
        <f>(AA252/Y252)*100</f>
        <v/>
      </c>
    </row>
    <row r="253">
      <c r="A253" s="14" t="n">
        <v>252</v>
      </c>
      <c r="B253" s="9" t="n">
        <v>45163</v>
      </c>
      <c r="C253" s="4" t="n">
        <v>31222719.14</v>
      </c>
      <c r="D253" s="4">
        <f>C253/E253</f>
        <v/>
      </c>
      <c r="E253" s="4" t="n">
        <v>82.63</v>
      </c>
      <c r="F253" s="4">
        <f>D253/100000</f>
        <v/>
      </c>
      <c r="G253" s="7">
        <f>(F253/DataSheet!$C$10*100)</f>
        <v/>
      </c>
      <c r="H253" s="4">
        <f>K253/I253</f>
        <v/>
      </c>
      <c r="I253" s="4">
        <f>(J253/L253)*100</f>
        <v/>
      </c>
      <c r="J253" s="7">
        <f>L253/O253</f>
        <v/>
      </c>
      <c r="K253" s="4" t="n">
        <v>7.17</v>
      </c>
      <c r="L253" s="4" t="n">
        <v>19265.8</v>
      </c>
      <c r="M253" s="4" t="n">
        <v>4.44</v>
      </c>
      <c r="N253" s="4">
        <f>K253-I253</f>
        <v/>
      </c>
      <c r="O253" s="4" t="n">
        <v>21.98</v>
      </c>
      <c r="P253" s="4" t="n">
        <v>4.23</v>
      </c>
      <c r="Q253" s="7">
        <f>K253-P253</f>
        <v/>
      </c>
      <c r="R253" s="4" t="n">
        <v>104.01</v>
      </c>
      <c r="S253" s="7">
        <f>(O253*T253)</f>
        <v/>
      </c>
      <c r="T253" s="12" t="n">
        <v>6.87</v>
      </c>
      <c r="U253" s="23" t="n">
        <v>14440.65</v>
      </c>
      <c r="V253" s="23" t="n">
        <v>24.99</v>
      </c>
      <c r="W253" s="7">
        <f>U253/V253</f>
        <v/>
      </c>
      <c r="X253" s="7">
        <f>(W253/U253)*100</f>
        <v/>
      </c>
      <c r="Y253" s="23" t="n">
        <v>11548.9</v>
      </c>
      <c r="Z253" s="23" t="n">
        <v>23.27</v>
      </c>
      <c r="AA253" s="7">
        <f>Y253/Z253</f>
        <v/>
      </c>
      <c r="AB253" s="7">
        <f>(AA253/Y253)*100</f>
        <v/>
      </c>
    </row>
    <row r="254">
      <c r="A254" s="14" t="n">
        <v>253</v>
      </c>
      <c r="B254" s="9" t="n">
        <v>45166</v>
      </c>
      <c r="C254" s="4" t="n">
        <v>31328188.19</v>
      </c>
      <c r="D254" s="4">
        <f>C254/E254</f>
        <v/>
      </c>
      <c r="E254" s="4" t="n">
        <v>82.59999999999999</v>
      </c>
      <c r="F254" s="4">
        <f>D254/100000</f>
        <v/>
      </c>
      <c r="G254" s="7">
        <f>(F254/DataSheet!$C$10*100)</f>
        <v/>
      </c>
      <c r="H254" s="4">
        <f>K254/I254</f>
        <v/>
      </c>
      <c r="I254" s="4">
        <f>(J254/L254)*100</f>
        <v/>
      </c>
      <c r="J254" s="7">
        <f>L254/O254</f>
        <v/>
      </c>
      <c r="K254" s="4" t="n">
        <v>7.18</v>
      </c>
      <c r="L254" s="4" t="n">
        <v>19306.05</v>
      </c>
      <c r="M254" s="4" t="n">
        <v>4.43</v>
      </c>
      <c r="N254" s="4">
        <f>K254-I254</f>
        <v/>
      </c>
      <c r="O254" s="4" t="n">
        <v>22.03</v>
      </c>
      <c r="P254" s="4" t="n">
        <v>4.2</v>
      </c>
      <c r="Q254" s="7">
        <f>K254-P254</f>
        <v/>
      </c>
      <c r="R254" s="4" t="n">
        <v>103.99</v>
      </c>
      <c r="S254" s="7">
        <f>(O254*T254)</f>
        <v/>
      </c>
      <c r="T254" s="12" t="n">
        <v>6.8</v>
      </c>
      <c r="U254" s="23" t="n">
        <v>14502.6</v>
      </c>
      <c r="V254" s="23" t="n">
        <v>25.02</v>
      </c>
      <c r="W254" s="7">
        <f>U254/V254</f>
        <v/>
      </c>
      <c r="X254" s="7">
        <f>(W254/U254)*100</f>
        <v/>
      </c>
      <c r="Y254" s="23" t="n">
        <v>11627.3</v>
      </c>
      <c r="Z254" s="23" t="n">
        <v>23.37</v>
      </c>
      <c r="AA254" s="7">
        <f>Y254/Z254</f>
        <v/>
      </c>
      <c r="AB254" s="7">
        <f>(AA254/Y254)*100</f>
        <v/>
      </c>
    </row>
    <row r="255">
      <c r="A255" s="14" t="n">
        <v>254</v>
      </c>
      <c r="B255" s="9" t="n">
        <v>45167</v>
      </c>
      <c r="C255" s="4" t="n">
        <v>31437737.88</v>
      </c>
      <c r="D255" s="4">
        <f>C255/E255</f>
        <v/>
      </c>
      <c r="E255" s="4" t="n">
        <v>82.56999999999999</v>
      </c>
      <c r="F255" s="4">
        <f>D255/100000</f>
        <v/>
      </c>
      <c r="G255" s="7">
        <f>(F255/DataSheet!$C$10*100)</f>
        <v/>
      </c>
      <c r="H255" s="4">
        <f>K255/I255</f>
        <v/>
      </c>
      <c r="I255" s="4">
        <f>(J255/L255)*100</f>
        <v/>
      </c>
      <c r="J255" s="7">
        <f>L255/O255</f>
        <v/>
      </c>
      <c r="K255" s="4" t="n">
        <v>7.18</v>
      </c>
      <c r="L255" s="4" t="n">
        <v>19342.65</v>
      </c>
      <c r="M255" s="4" t="n">
        <v>4.42</v>
      </c>
      <c r="N255" s="4">
        <f>K255-I255</f>
        <v/>
      </c>
      <c r="O255" s="4" t="n">
        <v>22.07</v>
      </c>
      <c r="P255" s="4" t="n">
        <v>4.12</v>
      </c>
      <c r="Q255" s="7">
        <f>K255-P255</f>
        <v/>
      </c>
      <c r="R255" s="4" t="n">
        <v>103.47</v>
      </c>
      <c r="S255" s="7">
        <f>(O255*T255)</f>
        <v/>
      </c>
      <c r="T255" s="12" t="n">
        <v>6.8</v>
      </c>
      <c r="U255" s="23" t="n">
        <v>14559.3</v>
      </c>
      <c r="V255" s="23" t="n">
        <v>25.12</v>
      </c>
      <c r="W255" s="7">
        <f>U255/V255</f>
        <v/>
      </c>
      <c r="X255" s="7">
        <f>(W255/U255)*100</f>
        <v/>
      </c>
      <c r="Y255" s="23" t="n">
        <v>11705.25</v>
      </c>
      <c r="Z255" s="23" t="n">
        <v>23.52</v>
      </c>
      <c r="AA255" s="7">
        <f>Y255/Z255</f>
        <v/>
      </c>
      <c r="AB255" s="7">
        <f>(AA255/Y255)*100</f>
        <v/>
      </c>
    </row>
    <row r="256">
      <c r="A256" s="14" t="n">
        <v>255</v>
      </c>
      <c r="B256" s="9" t="n">
        <v>45168</v>
      </c>
      <c r="C256" s="4" t="n">
        <v>31541752.85</v>
      </c>
      <c r="D256" s="4">
        <f>C256/E256</f>
        <v/>
      </c>
      <c r="E256" s="4" t="n">
        <v>82.59999999999999</v>
      </c>
      <c r="F256" s="4">
        <f>D256/100000</f>
        <v/>
      </c>
      <c r="G256" s="7">
        <f>(F256/DataSheet!$C$10*100)</f>
        <v/>
      </c>
      <c r="H256" s="4">
        <f>K256/I256</f>
        <v/>
      </c>
      <c r="I256" s="4">
        <f>(J256/L256)*100</f>
        <v/>
      </c>
      <c r="J256" s="7">
        <f>L256/O256</f>
        <v/>
      </c>
      <c r="K256" s="4" t="n">
        <v>7.18</v>
      </c>
      <c r="L256" s="4" t="n">
        <v>19347.45</v>
      </c>
      <c r="M256" s="4" t="n">
        <v>4.42</v>
      </c>
      <c r="N256" s="4">
        <f>K256-I256</f>
        <v/>
      </c>
      <c r="O256" s="4" t="n">
        <v>22.07</v>
      </c>
      <c r="P256" s="4" t="n">
        <v>4.11</v>
      </c>
      <c r="Q256" s="7">
        <f>K256-P256</f>
        <v/>
      </c>
      <c r="R256" s="4" t="n">
        <v>103.09</v>
      </c>
      <c r="S256" s="7">
        <f>(O256*T256)</f>
        <v/>
      </c>
      <c r="T256" s="12" t="n">
        <v>6.83</v>
      </c>
      <c r="U256" s="23" t="n">
        <v>14654.45</v>
      </c>
      <c r="V256" s="23" t="n">
        <v>25.28</v>
      </c>
      <c r="W256" s="7">
        <f>U256/V256</f>
        <v/>
      </c>
      <c r="X256" s="7">
        <f>(W256/U256)*100</f>
        <v/>
      </c>
      <c r="Y256" s="23" t="n">
        <v>11807.9</v>
      </c>
      <c r="Z256" s="23" t="n">
        <v>23.73</v>
      </c>
      <c r="AA256" s="7">
        <f>Y256/Z256</f>
        <v/>
      </c>
      <c r="AB256" s="7">
        <f>(AA256/Y256)*100</f>
        <v/>
      </c>
    </row>
    <row r="257">
      <c r="A257" s="14" t="n">
        <v>256</v>
      </c>
      <c r="B257" s="9" t="n">
        <v>45169</v>
      </c>
      <c r="C257" s="4" t="n">
        <v>31463720.27</v>
      </c>
      <c r="D257" s="4">
        <f>C257/E257</f>
        <v/>
      </c>
      <c r="E257" s="4" t="n">
        <v>82.69</v>
      </c>
      <c r="F257" s="4">
        <f>D257/100000</f>
        <v/>
      </c>
      <c r="G257" s="7">
        <f>(F257/DataSheet!$C$10*100)</f>
        <v/>
      </c>
      <c r="H257" s="4">
        <f>K257/I257</f>
        <v/>
      </c>
      <c r="I257" s="4">
        <f>(J257/L257)*100</f>
        <v/>
      </c>
      <c r="J257" s="7">
        <f>L257/O257</f>
        <v/>
      </c>
      <c r="K257" s="4" t="n">
        <v>7.16</v>
      </c>
      <c r="L257" s="4" t="n">
        <v>19253.8</v>
      </c>
      <c r="M257" s="4" t="n">
        <v>4.4</v>
      </c>
      <c r="N257" s="4">
        <f>K257-I257</f>
        <v/>
      </c>
      <c r="O257" s="4" t="n">
        <v>21.97</v>
      </c>
      <c r="P257" s="4" t="n">
        <v>4.1</v>
      </c>
      <c r="Q257" s="7">
        <f>K257-P257</f>
        <v/>
      </c>
      <c r="R257" s="4" t="n">
        <v>103.58</v>
      </c>
      <c r="S257" s="7">
        <f>(O257*T257)</f>
        <v/>
      </c>
      <c r="T257" s="12" t="n">
        <v>6.79</v>
      </c>
      <c r="U257" s="23" t="n">
        <v>14693.85</v>
      </c>
      <c r="V257" s="23" t="n">
        <v>25.32</v>
      </c>
      <c r="W257" s="7">
        <f>U257/V257</f>
        <v/>
      </c>
      <c r="X257" s="7">
        <f>(W257/U257)*100</f>
        <v/>
      </c>
      <c r="Y257" s="23" t="n">
        <v>11931.2</v>
      </c>
      <c r="Z257" s="23" t="n">
        <v>24.05</v>
      </c>
      <c r="AA257" s="7">
        <f>Y257/Z257</f>
        <v/>
      </c>
      <c r="AB257" s="7">
        <f>(AA257/Y257)*100</f>
        <v/>
      </c>
    </row>
    <row r="258">
      <c r="A258" s="14" t="n">
        <v>257</v>
      </c>
      <c r="B258" s="9" t="n">
        <v>45170</v>
      </c>
      <c r="C258" s="4" t="n">
        <v>31744091.28</v>
      </c>
      <c r="D258" s="4">
        <f>C258/E258</f>
        <v/>
      </c>
      <c r="E258" s="4" t="n">
        <v>82.68000000000001</v>
      </c>
      <c r="F258" s="4">
        <f>D258/100000</f>
        <v/>
      </c>
      <c r="G258" s="7">
        <f>(F258/DataSheet!$C$10*100)</f>
        <v/>
      </c>
      <c r="H258" s="4">
        <f>K258/I258</f>
        <v/>
      </c>
      <c r="I258" s="4">
        <f>(J258/L258)*100</f>
        <v/>
      </c>
      <c r="J258" s="7">
        <f>L258/O258</f>
        <v/>
      </c>
      <c r="K258" s="4" t="n">
        <v>7.17</v>
      </c>
      <c r="L258" s="4" t="n">
        <v>19435.3</v>
      </c>
      <c r="M258" s="4" t="n">
        <v>4.44</v>
      </c>
      <c r="N258" s="4">
        <f>K258-I258</f>
        <v/>
      </c>
      <c r="O258" s="4" t="n">
        <v>22.17</v>
      </c>
      <c r="P258" s="4" t="n">
        <v>4.18</v>
      </c>
      <c r="Q258" s="7">
        <f>K258-P258</f>
        <v/>
      </c>
      <c r="R258" s="4" t="n">
        <v>104.19</v>
      </c>
      <c r="S258" s="7">
        <f>(O258*T258)</f>
        <v/>
      </c>
      <c r="T258" s="12" t="n">
        <v>6.81</v>
      </c>
      <c r="U258" s="23" t="n">
        <v>14810.15</v>
      </c>
      <c r="V258" s="23" t="n">
        <v>25.52</v>
      </c>
      <c r="W258" s="7">
        <f>U258/V258</f>
        <v/>
      </c>
      <c r="X258" s="7">
        <f>(W258/U258)*100</f>
        <v/>
      </c>
      <c r="Y258" s="23" t="n">
        <v>12017.15</v>
      </c>
      <c r="Z258" s="23" t="n">
        <v>24.22</v>
      </c>
      <c r="AA258" s="7">
        <f>Y258/Z258</f>
        <v/>
      </c>
      <c r="AB258" s="7">
        <f>(AA258/Y258)*100</f>
        <v/>
      </c>
    </row>
    <row r="259">
      <c r="A259" s="14" t="n">
        <v>258</v>
      </c>
      <c r="B259" s="9" t="n">
        <v>45173</v>
      </c>
      <c r="C259" s="4" t="n">
        <v>32010287.64</v>
      </c>
      <c r="D259" s="4">
        <f>C259/E259</f>
        <v/>
      </c>
      <c r="E259" s="4" t="n">
        <v>82.70999999999999</v>
      </c>
      <c r="F259" s="4">
        <f>D259/100000</f>
        <v/>
      </c>
      <c r="G259" s="7">
        <f>(F259/DataSheet!$C$10*100)</f>
        <v/>
      </c>
      <c r="H259" s="4">
        <f>K259/I259</f>
        <v/>
      </c>
      <c r="I259" s="4">
        <f>(J259/L259)*100</f>
        <v/>
      </c>
      <c r="J259" s="7">
        <f>L259/O259</f>
        <v/>
      </c>
      <c r="K259" s="4" t="n">
        <v>7.2</v>
      </c>
      <c r="L259" s="4" t="n">
        <v>19528.8</v>
      </c>
      <c r="M259" s="4" t="n">
        <v>4.46</v>
      </c>
      <c r="N259" s="4">
        <f>K259-I259</f>
        <v/>
      </c>
      <c r="O259" s="4" t="n">
        <v>22.28</v>
      </c>
      <c r="P259" s="4" t="n">
        <v>4.2</v>
      </c>
      <c r="Q259" s="7">
        <f>K259-P259</f>
        <v/>
      </c>
      <c r="R259" s="4" t="n">
        <v>104.19</v>
      </c>
      <c r="S259" s="7">
        <f>(O259*T259)</f>
        <v/>
      </c>
      <c r="T259" s="12" t="n">
        <v>6.8</v>
      </c>
      <c r="U259" s="23" t="n">
        <v>14935.05</v>
      </c>
      <c r="V259" s="23" t="n">
        <v>25.74</v>
      </c>
      <c r="W259" s="7">
        <f>U259/V259</f>
        <v/>
      </c>
      <c r="X259" s="7">
        <f>(W259/U259)*100</f>
        <v/>
      </c>
      <c r="Y259" s="23" t="n">
        <v>12139.85</v>
      </c>
      <c r="Z259" s="23" t="n">
        <v>24.47</v>
      </c>
      <c r="AA259" s="7">
        <f>Y259/Z259</f>
        <v/>
      </c>
      <c r="AB259" s="7">
        <f>(AA259/Y259)*100</f>
        <v/>
      </c>
    </row>
    <row r="260">
      <c r="A260" s="14" t="n">
        <v>259</v>
      </c>
      <c r="B260" s="9" t="n">
        <v>45174</v>
      </c>
      <c r="C260" s="4" t="n">
        <v>32175271.55</v>
      </c>
      <c r="D260" s="4">
        <f>C260/E260</f>
        <v/>
      </c>
      <c r="E260" s="4" t="n">
        <v>83.03</v>
      </c>
      <c r="F260" s="4">
        <f>D260/100000</f>
        <v/>
      </c>
      <c r="G260" s="7">
        <f>(F260/DataSheet!$C$10*100)</f>
        <v/>
      </c>
      <c r="H260" s="4">
        <f>K260/I260</f>
        <v/>
      </c>
      <c r="I260" s="4">
        <f>(J260/L260)*100</f>
        <v/>
      </c>
      <c r="J260" s="7">
        <f>L260/O260</f>
        <v/>
      </c>
      <c r="K260" s="4" t="n">
        <v>7.2</v>
      </c>
      <c r="L260" s="4" t="n">
        <v>19574.9</v>
      </c>
      <c r="M260" s="4" t="n">
        <v>4.46</v>
      </c>
      <c r="N260" s="4">
        <f>K260-I260</f>
        <v/>
      </c>
      <c r="O260" s="4" t="n">
        <v>22.33</v>
      </c>
      <c r="P260" s="4" t="n">
        <v>4.26</v>
      </c>
      <c r="Q260" s="7">
        <f>K260-P260</f>
        <v/>
      </c>
      <c r="R260" s="4" t="n">
        <v>104.76</v>
      </c>
      <c r="S260" s="7">
        <f>(O260*T260)</f>
        <v/>
      </c>
      <c r="T260" s="12" t="n">
        <v>6.8</v>
      </c>
      <c r="U260" s="23" t="n">
        <v>15100.7</v>
      </c>
      <c r="V260" s="23" t="n">
        <v>26.02</v>
      </c>
      <c r="W260" s="7">
        <f>U260/V260</f>
        <v/>
      </c>
      <c r="X260" s="7">
        <f>(W260/U260)*100</f>
        <v/>
      </c>
      <c r="Y260" s="23" t="n">
        <v>12216.25</v>
      </c>
      <c r="Z260" s="23" t="n">
        <v>24.62</v>
      </c>
      <c r="AA260" s="7">
        <f>Y260/Z260</f>
        <v/>
      </c>
      <c r="AB260" s="7">
        <f>(AA260/Y260)*100</f>
        <v/>
      </c>
    </row>
    <row r="261">
      <c r="A261" s="14" t="n">
        <v>260</v>
      </c>
      <c r="B261" s="9" t="n">
        <v>45175</v>
      </c>
      <c r="C261" s="4" t="n">
        <v>32245292.06</v>
      </c>
      <c r="D261" s="4">
        <f>C261/E261</f>
        <v/>
      </c>
      <c r="E261" s="4" t="n">
        <v>83.19</v>
      </c>
      <c r="F261" s="4">
        <f>D261/100000</f>
        <v/>
      </c>
      <c r="G261" s="7">
        <f>(F261/DataSheet!$C$10*100)</f>
        <v/>
      </c>
      <c r="H261" s="4">
        <f>K261/I261</f>
        <v/>
      </c>
      <c r="I261" s="4">
        <f>(J261/L261)*100</f>
        <v/>
      </c>
      <c r="J261" s="7">
        <f>L261/O261</f>
        <v/>
      </c>
      <c r="K261" s="4" t="n">
        <v>7.21</v>
      </c>
      <c r="L261" s="4" t="n">
        <v>19611.05</v>
      </c>
      <c r="M261" s="4" t="n">
        <v>4.43</v>
      </c>
      <c r="N261" s="4">
        <f>K261-I261</f>
        <v/>
      </c>
      <c r="O261" s="4" t="n">
        <v>22.37</v>
      </c>
      <c r="P261" s="4" t="n">
        <v>4.29</v>
      </c>
      <c r="Q261" s="7">
        <f>K261-P261</f>
        <v/>
      </c>
      <c r="R261" s="4" t="n">
        <v>104.82</v>
      </c>
      <c r="S261" s="7">
        <f>(O261*T261)</f>
        <v/>
      </c>
      <c r="T261" s="12" t="n">
        <v>6.82</v>
      </c>
      <c r="U261" s="23" t="n">
        <v>15104.05</v>
      </c>
      <c r="V261" s="23" t="n">
        <v>26.03</v>
      </c>
      <c r="W261" s="7">
        <f>U261/V261</f>
        <v/>
      </c>
      <c r="X261" s="7">
        <f>(W261/U261)*100</f>
        <v/>
      </c>
      <c r="Y261" s="23" t="n">
        <v>12223.3</v>
      </c>
      <c r="Z261" s="23" t="n">
        <v>24.64</v>
      </c>
      <c r="AA261" s="7">
        <f>Y261/Z261</f>
        <v/>
      </c>
      <c r="AB261" s="7">
        <f>(AA261/Y261)*100</f>
        <v/>
      </c>
    </row>
    <row r="262">
      <c r="A262" s="14" t="n">
        <v>261</v>
      </c>
      <c r="B262" s="9" t="n">
        <v>45176</v>
      </c>
      <c r="C262" s="4" t="n">
        <v>32417265.16</v>
      </c>
      <c r="D262" s="4">
        <f>C262/E262</f>
        <v/>
      </c>
      <c r="E262" s="4" t="n">
        <v>83.15000000000001</v>
      </c>
      <c r="F262" s="4">
        <f>D262/100000</f>
        <v/>
      </c>
      <c r="G262" s="7">
        <f>(F262/DataSheet!$C$10*100)</f>
        <v/>
      </c>
      <c r="H262" s="4">
        <f>K262/I262</f>
        <v/>
      </c>
      <c r="I262" s="4">
        <f>(J262/L262)*100</f>
        <v/>
      </c>
      <c r="J262" s="7">
        <f>L262/O262</f>
        <v/>
      </c>
      <c r="K262" s="4" t="n">
        <v>7.17</v>
      </c>
      <c r="L262" s="4" t="n">
        <v>19727.05</v>
      </c>
      <c r="M262" s="4" t="n">
        <v>4.41</v>
      </c>
      <c r="N262" s="4">
        <f>K262-I262</f>
        <v/>
      </c>
      <c r="O262" s="4" t="n">
        <v>22.28</v>
      </c>
      <c r="P262" s="4" t="n">
        <v>4.25</v>
      </c>
      <c r="Q262" s="7">
        <f>K262-P262</f>
        <v/>
      </c>
      <c r="R262" s="4" t="n">
        <v>105.02</v>
      </c>
      <c r="S262" s="7">
        <f>(O262*T262)</f>
        <v/>
      </c>
      <c r="T262" s="12" t="n">
        <v>6.81</v>
      </c>
      <c r="U262" s="23" t="n">
        <v>15200.05</v>
      </c>
      <c r="V262" s="23" t="n">
        <v>26.19</v>
      </c>
      <c r="W262" s="7">
        <f>U262/V262</f>
        <v/>
      </c>
      <c r="X262" s="7">
        <f>(W262/U262)*100</f>
        <v/>
      </c>
      <c r="Y262" s="23" t="n">
        <v>12291.95</v>
      </c>
      <c r="Z262" s="23" t="n">
        <v>24.79</v>
      </c>
      <c r="AA262" s="7">
        <f>Y262/Z262</f>
        <v/>
      </c>
      <c r="AB262" s="7">
        <f>(AA262/Y262)*100</f>
        <v/>
      </c>
    </row>
    <row r="263">
      <c r="A263" s="14" t="n">
        <v>262</v>
      </c>
      <c r="B263" s="9" t="n">
        <v>45177</v>
      </c>
      <c r="C263" s="4" t="n">
        <v>32597657.14</v>
      </c>
      <c r="D263" s="4">
        <f>C263/E263</f>
        <v/>
      </c>
      <c r="E263" s="4" t="n">
        <v>83</v>
      </c>
      <c r="F263" s="4">
        <f>D263/100000</f>
        <v/>
      </c>
      <c r="G263" s="7">
        <f>(F263/DataSheet!$C$10*100)</f>
        <v/>
      </c>
      <c r="H263" s="4">
        <f>K263/I263</f>
        <v/>
      </c>
      <c r="I263" s="4">
        <f>(J263/L263)*100</f>
        <v/>
      </c>
      <c r="J263" s="7">
        <f>L263/O263</f>
        <v/>
      </c>
      <c r="K263" s="4" t="n">
        <v>7.19</v>
      </c>
      <c r="L263" s="4" t="n">
        <v>19819.95</v>
      </c>
      <c r="M263" s="4" t="n">
        <v>4.43</v>
      </c>
      <c r="N263" s="4">
        <f>K263-I263</f>
        <v/>
      </c>
      <c r="O263" s="4" t="n">
        <v>22.39</v>
      </c>
      <c r="P263" s="4" t="n">
        <v>4.26</v>
      </c>
      <c r="Q263" s="7">
        <f>K263-P263</f>
        <v/>
      </c>
      <c r="R263" s="4" t="n">
        <v>105.06</v>
      </c>
      <c r="S263" s="7">
        <f>(O263*T263)</f>
        <v/>
      </c>
      <c r="T263" s="12" t="n">
        <v>6.85</v>
      </c>
      <c r="U263" s="23" t="n">
        <v>15341.05</v>
      </c>
      <c r="V263" s="23" t="n">
        <v>26.44</v>
      </c>
      <c r="W263" s="7">
        <f>U263/V263</f>
        <v/>
      </c>
      <c r="X263" s="7">
        <f>(W263/U263)*100</f>
        <v/>
      </c>
      <c r="Y263" s="23" t="n">
        <v>12367</v>
      </c>
      <c r="Z263" s="23" t="n">
        <v>24.93</v>
      </c>
      <c r="AA263" s="7">
        <f>Y263/Z263</f>
        <v/>
      </c>
      <c r="AB263" s="7">
        <f>(AA263/Y263)*100</f>
        <v/>
      </c>
    </row>
    <row r="264">
      <c r="A264" s="14" t="n">
        <v>263</v>
      </c>
      <c r="B264" s="9" t="n">
        <v>45180</v>
      </c>
      <c r="C264" s="4" t="n">
        <v>32932383.64</v>
      </c>
      <c r="D264" s="4">
        <f>C264/E264</f>
        <v/>
      </c>
      <c r="E264" s="4" t="n">
        <v>82.90000000000001</v>
      </c>
      <c r="F264" s="4">
        <f>D264/100000</f>
        <v/>
      </c>
      <c r="G264" s="7">
        <f>(F264/DataSheet!$C$10*100)</f>
        <v/>
      </c>
      <c r="H264" s="4">
        <f>K264/I264</f>
        <v/>
      </c>
      <c r="I264" s="4">
        <f>(J264/L264)*100</f>
        <v/>
      </c>
      <c r="J264" s="7">
        <f>L264/O264</f>
        <v/>
      </c>
      <c r="K264" s="4" t="n">
        <v>7.2</v>
      </c>
      <c r="L264" s="4" t="n">
        <v>19996.35</v>
      </c>
      <c r="M264" s="4" t="n">
        <v>4.46</v>
      </c>
      <c r="N264" s="4">
        <f>K264-I264</f>
        <v/>
      </c>
      <c r="O264" s="4" t="n">
        <v>22.59</v>
      </c>
      <c r="P264" s="4" t="n">
        <v>4.29</v>
      </c>
      <c r="Q264" s="7">
        <f>K264-P264</f>
        <v/>
      </c>
      <c r="R264" s="4" t="n">
        <v>104.53</v>
      </c>
      <c r="S264" s="7">
        <f>(O264*T264)</f>
        <v/>
      </c>
      <c r="T264" s="12" t="n">
        <v>6.83</v>
      </c>
      <c r="U264" s="23" t="n">
        <v>15504.9</v>
      </c>
      <c r="V264" s="23" t="n">
        <v>26.72</v>
      </c>
      <c r="W264" s="7">
        <f>U264/V264</f>
        <v/>
      </c>
      <c r="X264" s="7">
        <f>(W264/U264)*100</f>
        <v/>
      </c>
      <c r="Y264" s="23" t="n">
        <v>12487.55</v>
      </c>
      <c r="Z264" s="23" t="n">
        <v>25.18</v>
      </c>
      <c r="AA264" s="7">
        <f>Y264/Z264</f>
        <v/>
      </c>
      <c r="AB264" s="7">
        <f>(AA264/Y264)*100</f>
        <v/>
      </c>
    </row>
    <row r="265">
      <c r="A265" s="14" t="n">
        <v>264</v>
      </c>
      <c r="B265" s="9" t="n">
        <v>45181</v>
      </c>
      <c r="C265" s="4" t="n">
        <v>32370056.08</v>
      </c>
      <c r="D265" s="4">
        <f>C265/E265</f>
        <v/>
      </c>
      <c r="E265" s="4" t="n">
        <v>82.84999999999999</v>
      </c>
      <c r="F265" s="4">
        <f>D265/100000</f>
        <v/>
      </c>
      <c r="G265" s="7">
        <f>(F265/DataSheet!$C$10*100)</f>
        <v/>
      </c>
      <c r="H265" s="4">
        <f>K265/I265</f>
        <v/>
      </c>
      <c r="I265" s="4">
        <f>(J265/L265)*100</f>
        <v/>
      </c>
      <c r="J265" s="7">
        <f>L265/O265</f>
        <v/>
      </c>
      <c r="K265" s="4" t="n">
        <v>7.2</v>
      </c>
      <c r="L265" s="4" t="n">
        <v>19993.2</v>
      </c>
      <c r="M265" s="4" t="n">
        <v>4.44</v>
      </c>
      <c r="N265" s="4">
        <f>K265-I265</f>
        <v/>
      </c>
      <c r="O265" s="4" t="n">
        <v>22.58</v>
      </c>
      <c r="P265" s="4" t="n">
        <v>4.28</v>
      </c>
      <c r="Q265" s="7">
        <f>K265-P265</f>
        <v/>
      </c>
      <c r="R265" s="4" t="n">
        <v>104.69</v>
      </c>
      <c r="S265" s="7">
        <f>(O265*T265)</f>
        <v/>
      </c>
      <c r="T265" s="12" t="n">
        <v>6.87</v>
      </c>
      <c r="U265" s="23" t="n">
        <v>15045.1</v>
      </c>
      <c r="V265" s="23" t="n">
        <v>25.93</v>
      </c>
      <c r="W265" s="7">
        <f>U265/V265</f>
        <v/>
      </c>
      <c r="X265" s="7">
        <f>(W265/U265)*100</f>
        <v/>
      </c>
      <c r="Y265" s="23" t="n">
        <v>12003</v>
      </c>
      <c r="Z265" s="23" t="n">
        <v>24.2</v>
      </c>
      <c r="AA265" s="7">
        <f>Y265/Z265</f>
        <v/>
      </c>
      <c r="AB265" s="7">
        <f>(AA265/Y265)*100</f>
        <v/>
      </c>
    </row>
    <row r="266">
      <c r="A266" s="14" t="n">
        <v>265</v>
      </c>
      <c r="B266" s="9" t="n">
        <v>45182</v>
      </c>
      <c r="C266" s="4" t="n">
        <v>32529004.6</v>
      </c>
      <c r="D266" s="4">
        <f>C266/E266</f>
        <v/>
      </c>
      <c r="E266" s="4" t="n">
        <v>82.93000000000001</v>
      </c>
      <c r="F266" s="4">
        <f>D266/100000</f>
        <v/>
      </c>
      <c r="G266" s="7">
        <f>(F266/DataSheet!$C$10*100)</f>
        <v/>
      </c>
      <c r="H266" s="4">
        <f>K266/I266</f>
        <v/>
      </c>
      <c r="I266" s="4">
        <f>(J266/L266)*100</f>
        <v/>
      </c>
      <c r="J266" s="7">
        <f>L266/O266</f>
        <v/>
      </c>
      <c r="K266" s="4" t="n">
        <v>7.17</v>
      </c>
      <c r="L266" s="4" t="n">
        <v>20070</v>
      </c>
      <c r="M266" s="4" t="n">
        <v>4.46</v>
      </c>
      <c r="N266" s="4">
        <f>K266-I266</f>
        <v/>
      </c>
      <c r="O266" s="4" t="n">
        <v>22.67</v>
      </c>
      <c r="P266" s="4" t="n">
        <v>4.25</v>
      </c>
      <c r="Q266" s="7">
        <f>K266-P266</f>
        <v/>
      </c>
      <c r="R266" s="4" t="n">
        <v>104.74</v>
      </c>
      <c r="S266" s="7">
        <f>(O266*T266)</f>
        <v/>
      </c>
      <c r="T266" s="12" t="n">
        <v>6.85</v>
      </c>
      <c r="U266" s="23" t="n">
        <v>15063.55</v>
      </c>
      <c r="V266" s="23" t="n">
        <v>25.96</v>
      </c>
      <c r="W266" s="7">
        <f>U266/V266</f>
        <v/>
      </c>
      <c r="X266" s="7">
        <f>(W266/U266)*100</f>
        <v/>
      </c>
      <c r="Y266" s="23" t="n">
        <v>12121.2</v>
      </c>
      <c r="Z266" s="23" t="n">
        <v>24.44</v>
      </c>
      <c r="AA266" s="7">
        <f>Y266/Z266</f>
        <v/>
      </c>
      <c r="AB266" s="7">
        <f>(AA266/Y266)*100</f>
        <v/>
      </c>
    </row>
    <row r="267">
      <c r="A267" s="14" t="n">
        <v>266</v>
      </c>
      <c r="B267" s="9" t="n">
        <v>45183</v>
      </c>
      <c r="C267" s="4" t="n">
        <v>32721160.09</v>
      </c>
      <c r="D267" s="4">
        <f>C267/E267</f>
        <v/>
      </c>
      <c r="E267" s="4" t="n">
        <v>83.01000000000001</v>
      </c>
      <c r="F267" s="4">
        <f>D267/100000</f>
        <v/>
      </c>
      <c r="G267" s="7">
        <f>(F267/DataSheet!$C$10*100)</f>
        <v/>
      </c>
      <c r="H267" s="4">
        <f>K267/I267</f>
        <v/>
      </c>
      <c r="I267" s="4">
        <f>(J267/L267)*100</f>
        <v/>
      </c>
      <c r="J267" s="7">
        <f>L267/O267</f>
        <v/>
      </c>
      <c r="K267" s="4" t="n">
        <v>7.1</v>
      </c>
      <c r="L267" s="4" t="n">
        <v>20103.1</v>
      </c>
      <c r="M267" s="4" t="n">
        <v>4.47</v>
      </c>
      <c r="N267" s="4">
        <f>K267-I267</f>
        <v/>
      </c>
      <c r="O267" s="4" t="n">
        <v>22.71</v>
      </c>
      <c r="P267" s="4" t="n">
        <v>4.28</v>
      </c>
      <c r="Q267" s="7">
        <f>K267-P267</f>
        <v/>
      </c>
      <c r="R267" s="4" t="n">
        <v>105.39</v>
      </c>
      <c r="S267" s="7">
        <f>(O267*T267)</f>
        <v/>
      </c>
      <c r="T267" s="12" t="n">
        <v>6.84</v>
      </c>
      <c r="U267" s="23" t="n">
        <v>15204.15</v>
      </c>
      <c r="V267" s="23" t="n">
        <v>26.2</v>
      </c>
      <c r="W267" s="7">
        <f>U267/V267</f>
        <v/>
      </c>
      <c r="X267" s="7">
        <f>(W267/U267)*100</f>
        <v/>
      </c>
      <c r="Y267" s="23" t="n">
        <v>12269.6</v>
      </c>
      <c r="Z267" s="23" t="n">
        <v>24.74</v>
      </c>
      <c r="AA267" s="7">
        <f>Y267/Z267</f>
        <v/>
      </c>
      <c r="AB267" s="7">
        <f>(AA267/Y267)*100</f>
        <v/>
      </c>
    </row>
    <row r="268">
      <c r="A268" s="14" t="n">
        <v>267</v>
      </c>
      <c r="B268" s="9" t="n">
        <v>45184</v>
      </c>
      <c r="C268" s="4" t="n">
        <v>32843688.69</v>
      </c>
      <c r="D268" s="4">
        <f>C268/E268</f>
        <v/>
      </c>
      <c r="E268" s="4" t="n">
        <v>83.06</v>
      </c>
      <c r="F268" s="4">
        <f>D268/100000</f>
        <v/>
      </c>
      <c r="G268" s="7">
        <f>(F268/DataSheet!$C$10*100)</f>
        <v/>
      </c>
      <c r="H268" s="4">
        <f>K268/I268</f>
        <v/>
      </c>
      <c r="I268" s="4">
        <f>(J268/L268)*100</f>
        <v/>
      </c>
      <c r="J268" s="7">
        <f>L268/O268</f>
        <v/>
      </c>
      <c r="K268" s="4" t="n">
        <v>7.15</v>
      </c>
      <c r="L268" s="4" t="n">
        <v>20192.35</v>
      </c>
      <c r="M268" s="4" t="n">
        <v>4.47</v>
      </c>
      <c r="N268" s="4">
        <f>K268-I268</f>
        <v/>
      </c>
      <c r="O268" s="4" t="n">
        <v>22.81</v>
      </c>
      <c r="P268" s="4" t="n">
        <v>4.33</v>
      </c>
      <c r="Q268" s="7">
        <f>K268-P268</f>
        <v/>
      </c>
      <c r="R268" s="4" t="n">
        <v>105.32</v>
      </c>
      <c r="S268" s="7">
        <f>(O268*T268)</f>
        <v/>
      </c>
      <c r="T268" s="12" t="n">
        <v>6.86</v>
      </c>
      <c r="U268" s="23" t="n">
        <v>15222.7</v>
      </c>
      <c r="V268" s="23" t="n">
        <v>26.23</v>
      </c>
      <c r="W268" s="7">
        <f>U268/V268</f>
        <v/>
      </c>
      <c r="X268" s="7">
        <f>(W268/U268)*100</f>
        <v/>
      </c>
      <c r="Y268" s="23" t="n">
        <v>12301.65</v>
      </c>
      <c r="Z268" s="23" t="n">
        <v>24.8</v>
      </c>
      <c r="AA268" s="7">
        <f>Y268/Z268</f>
        <v/>
      </c>
      <c r="AB268" s="7">
        <f>(AA268/Y268)*100</f>
        <v/>
      </c>
    </row>
    <row r="269">
      <c r="A269" s="14" t="n">
        <v>268</v>
      </c>
      <c r="B269" s="9" t="n">
        <v>45187</v>
      </c>
      <c r="C269" s="4" t="n">
        <v>32799762.71</v>
      </c>
      <c r="D269" s="4">
        <f>C269/E269</f>
        <v/>
      </c>
      <c r="E269" s="4" t="n">
        <v>83.27</v>
      </c>
      <c r="F269" s="4">
        <f>D269/100000</f>
        <v/>
      </c>
      <c r="G269" s="7">
        <f>(F269/DataSheet!$C$10*100)</f>
        <v/>
      </c>
      <c r="H269" s="4">
        <f>K269/I269</f>
        <v/>
      </c>
      <c r="I269" s="4">
        <f>(J269/L269)*100</f>
        <v/>
      </c>
      <c r="J269" s="7">
        <f>L269/O269</f>
        <v/>
      </c>
      <c r="K269" s="4" t="n">
        <v>7.14</v>
      </c>
      <c r="L269" s="4" t="n">
        <v>20133.3</v>
      </c>
      <c r="M269" s="4" t="n">
        <v>4.46</v>
      </c>
      <c r="N269" s="4">
        <f>K269-I269</f>
        <v/>
      </c>
      <c r="O269" s="4" t="n">
        <v>22.74</v>
      </c>
      <c r="P269" s="4" t="n">
        <v>4.3</v>
      </c>
      <c r="Q269" s="7">
        <f>K269-P269</f>
        <v/>
      </c>
      <c r="R269" s="4" t="n">
        <v>105.29</v>
      </c>
      <c r="S269" s="7">
        <f>(O269*T269)</f>
        <v/>
      </c>
      <c r="T269" s="12" t="n">
        <v>6.84</v>
      </c>
      <c r="U269" s="23" t="n">
        <v>15168.65</v>
      </c>
      <c r="V269" s="23" t="n">
        <v>26.14</v>
      </c>
      <c r="W269" s="7">
        <f>U269/V269</f>
        <v/>
      </c>
      <c r="X269" s="7">
        <f>(W269/U269)*100</f>
        <v/>
      </c>
      <c r="Y269" s="23" t="n">
        <v>12241.25</v>
      </c>
      <c r="Z269" s="23" t="n">
        <v>24.67</v>
      </c>
      <c r="AA269" s="7">
        <f>Y269/Z269</f>
        <v/>
      </c>
      <c r="AB269" s="7">
        <f>(AA269/Y269)*100</f>
        <v/>
      </c>
    </row>
    <row r="270">
      <c r="A270" s="14" t="n">
        <v>269</v>
      </c>
      <c r="B270" s="9" t="n">
        <v>45189</v>
      </c>
      <c r="C270" s="4" t="n">
        <v>32554363.69</v>
      </c>
      <c r="D270" s="4">
        <f>C270/E270</f>
        <v/>
      </c>
      <c r="E270" s="4" t="n">
        <v>82.92</v>
      </c>
      <c r="F270" s="4">
        <f>D270/100000</f>
        <v/>
      </c>
      <c r="G270" s="7">
        <f>(F270/DataSheet!$C$10*100)</f>
        <v/>
      </c>
      <c r="H270" s="4">
        <f>K270/I270</f>
        <v/>
      </c>
      <c r="I270" s="4">
        <f>(J270/L270)*100</f>
        <v/>
      </c>
      <c r="J270" s="7">
        <f>L270/O270</f>
        <v/>
      </c>
      <c r="K270" s="4" t="n">
        <v>7.15</v>
      </c>
      <c r="L270" s="4" t="n">
        <v>19901.4</v>
      </c>
      <c r="M270" s="4" t="n">
        <v>4.41</v>
      </c>
      <c r="N270" s="4">
        <f>K270-I270</f>
        <v/>
      </c>
      <c r="O270" s="4" t="n">
        <v>22.48</v>
      </c>
      <c r="P270" s="4" t="n">
        <v>4.39</v>
      </c>
      <c r="Q270" s="7">
        <f>K270-P270</f>
        <v/>
      </c>
      <c r="R270" s="4" t="n">
        <v>104.78</v>
      </c>
      <c r="S270" s="7">
        <f>(O270*T270)</f>
        <v/>
      </c>
      <c r="T270" s="12" t="n">
        <v>6.85</v>
      </c>
      <c r="U270" s="23" t="n">
        <v>15121.1</v>
      </c>
      <c r="V270" s="23" t="n">
        <v>26.06</v>
      </c>
      <c r="W270" s="7">
        <f>U270/V270</f>
        <v/>
      </c>
      <c r="X270" s="7">
        <f>(W270/U270)*100</f>
        <v/>
      </c>
      <c r="Y270" s="23" t="n">
        <v>12171.7</v>
      </c>
      <c r="Z270" s="23" t="n">
        <v>24.53</v>
      </c>
      <c r="AA270" s="7">
        <f>Y270/Z270</f>
        <v/>
      </c>
      <c r="AB270" s="7">
        <f>(AA270/Y270)*100</f>
        <v/>
      </c>
    </row>
    <row r="271">
      <c r="A271" s="14" t="n">
        <v>270</v>
      </c>
      <c r="B271" s="9" t="n">
        <v>45190</v>
      </c>
      <c r="C271" s="4" t="n">
        <v>32292649.44</v>
      </c>
      <c r="D271" s="4">
        <f>C271/E271</f>
        <v/>
      </c>
      <c r="E271" s="4" t="n">
        <v>83.09999999999999</v>
      </c>
      <c r="F271" s="4">
        <f>D271/100000</f>
        <v/>
      </c>
      <c r="G271" s="7">
        <f>(F271/DataSheet!$C$10*100)</f>
        <v/>
      </c>
      <c r="H271" s="4">
        <f>K271/I271</f>
        <v/>
      </c>
      <c r="I271" s="4">
        <f>(J271/L271)*100</f>
        <v/>
      </c>
      <c r="J271" s="7">
        <f>L271/O271</f>
        <v/>
      </c>
      <c r="K271" s="4" t="n">
        <v>7.13</v>
      </c>
      <c r="L271" s="4" t="n">
        <v>19742.35</v>
      </c>
      <c r="M271" s="4" t="n">
        <v>4.37</v>
      </c>
      <c r="N271" s="4">
        <f>K271-I271</f>
        <v/>
      </c>
      <c r="O271" s="4" t="n">
        <v>22.3</v>
      </c>
      <c r="P271" s="4" t="n">
        <v>4.49</v>
      </c>
      <c r="Q271" s="7">
        <f>K271-P271</f>
        <v/>
      </c>
      <c r="R271" s="4" t="n">
        <v>105.04</v>
      </c>
      <c r="S271" s="7">
        <f>(O271*T271)</f>
        <v/>
      </c>
      <c r="T271" s="12" t="n">
        <v>6.85</v>
      </c>
      <c r="U271" s="23" t="n">
        <v>14990.9</v>
      </c>
      <c r="V271" s="23" t="n">
        <v>25.83</v>
      </c>
      <c r="W271" s="7">
        <f>U271/V271</f>
        <v/>
      </c>
      <c r="X271" s="7">
        <f>(W271/U271)*100</f>
        <v/>
      </c>
      <c r="Y271" s="23" t="n">
        <v>12036.7</v>
      </c>
      <c r="Z271" s="23" t="n">
        <v>24.26</v>
      </c>
      <c r="AA271" s="7">
        <f>Y271/Z271</f>
        <v/>
      </c>
      <c r="AB271" s="7">
        <f>(AA271/Y271)*100</f>
        <v/>
      </c>
    </row>
    <row r="272">
      <c r="A272" s="14" t="n">
        <v>271</v>
      </c>
      <c r="B272" s="9" t="n">
        <v>45191</v>
      </c>
      <c r="C272" s="4" t="n">
        <v>32281453.24</v>
      </c>
      <c r="D272" s="4">
        <f>C272/E272</f>
        <v/>
      </c>
      <c r="E272" s="4" t="n">
        <v>82.97</v>
      </c>
      <c r="F272" s="4">
        <f>D272/100000</f>
        <v/>
      </c>
      <c r="G272" s="7">
        <f>(F272/DataSheet!$C$10*100)</f>
        <v/>
      </c>
      <c r="H272" s="4">
        <f>K272/I272</f>
        <v/>
      </c>
      <c r="I272" s="4">
        <f>(J272/L272)*100</f>
        <v/>
      </c>
      <c r="J272" s="7">
        <f>L272/O272</f>
        <v/>
      </c>
      <c r="K272" s="4" t="n">
        <v>7.15</v>
      </c>
      <c r="L272" s="4" t="n">
        <v>19674.25</v>
      </c>
      <c r="M272" s="4" t="n">
        <v>4.36</v>
      </c>
      <c r="N272" s="4">
        <f>K272-I272</f>
        <v/>
      </c>
      <c r="O272" s="4" t="n">
        <v>22.22</v>
      </c>
      <c r="P272" s="4" t="n">
        <v>4.43</v>
      </c>
      <c r="Q272" s="7">
        <f>K272-P272</f>
        <v/>
      </c>
      <c r="R272" s="4" t="n">
        <v>105.26</v>
      </c>
      <c r="S272" s="7">
        <f>(O272*T272)</f>
        <v/>
      </c>
      <c r="T272" s="12" t="n">
        <v>6.82</v>
      </c>
      <c r="U272" s="23" t="n">
        <v>14975.5</v>
      </c>
      <c r="V272" s="23" t="n">
        <v>25.8</v>
      </c>
      <c r="W272" s="7">
        <f>U272/V272</f>
        <v/>
      </c>
      <c r="X272" s="7">
        <f>(W272/U272)*100</f>
        <v/>
      </c>
      <c r="Y272" s="23" t="n">
        <v>12038.45</v>
      </c>
      <c r="Z272" s="23" t="n">
        <v>24.26</v>
      </c>
      <c r="AA272" s="7">
        <f>Y272/Z272</f>
        <v/>
      </c>
      <c r="AB272" s="7">
        <f>(AA272/Y272)*100</f>
        <v/>
      </c>
    </row>
    <row r="273">
      <c r="A273" s="14" t="n">
        <v>272</v>
      </c>
      <c r="B273" s="9" t="n">
        <v>45194</v>
      </c>
      <c r="C273" s="4" t="n">
        <v>32296747.87</v>
      </c>
      <c r="D273" s="4">
        <f>C273/E273</f>
        <v/>
      </c>
      <c r="E273" s="4" t="n">
        <v>83.13</v>
      </c>
      <c r="F273" s="4">
        <f>D273/100000</f>
        <v/>
      </c>
      <c r="G273" s="7">
        <f>(F273/DataSheet!$C$10*100)</f>
        <v/>
      </c>
      <c r="H273" s="4">
        <f>K273/I273</f>
        <v/>
      </c>
      <c r="I273" s="4">
        <f>(J273/L273)*100</f>
        <v/>
      </c>
      <c r="J273" s="7">
        <f>L273/O273</f>
        <v/>
      </c>
      <c r="K273" s="4" t="n">
        <v>7.15</v>
      </c>
      <c r="L273" s="4" t="n">
        <v>19674.55</v>
      </c>
      <c r="M273" s="4" t="n">
        <v>4.36</v>
      </c>
      <c r="N273" s="4">
        <f>K273-I273</f>
        <v/>
      </c>
      <c r="O273" s="4" t="n">
        <v>22.22</v>
      </c>
      <c r="P273" s="4" t="n">
        <v>4.53</v>
      </c>
      <c r="Q273" s="7">
        <f>K273-P273</f>
        <v/>
      </c>
      <c r="R273" s="4" t="n">
        <v>105.69</v>
      </c>
      <c r="S273" s="7">
        <f>(O273*T273)</f>
        <v/>
      </c>
      <c r="T273" s="12" t="n">
        <v>6.82</v>
      </c>
      <c r="U273" s="23" t="n">
        <v>15054.85</v>
      </c>
      <c r="V273" s="23" t="n">
        <v>25.94</v>
      </c>
      <c r="W273" s="7">
        <f>U273/V273</f>
        <v/>
      </c>
      <c r="X273" s="7">
        <f>(W273/U273)*100</f>
        <v/>
      </c>
      <c r="Y273" s="23" t="n">
        <v>12048.95</v>
      </c>
      <c r="Z273" s="23" t="n">
        <v>24.29</v>
      </c>
      <c r="AA273" s="7">
        <f>Y273/Z273</f>
        <v/>
      </c>
      <c r="AB273" s="7">
        <f>(AA273/Y273)*100</f>
        <v/>
      </c>
    </row>
    <row r="274">
      <c r="A274" s="14" t="n">
        <v>273</v>
      </c>
      <c r="B274" s="9" t="n">
        <v>45195</v>
      </c>
      <c r="C274" s="4" t="n">
        <v>32323103.75</v>
      </c>
      <c r="D274" s="4">
        <f>C274/E274</f>
        <v/>
      </c>
      <c r="E274" s="4" t="n">
        <v>83.23</v>
      </c>
      <c r="F274" s="4">
        <f>D274/100000</f>
        <v/>
      </c>
      <c r="G274" s="7">
        <f>(F274/DataSheet!$C$10*100)</f>
        <v/>
      </c>
      <c r="H274" s="4">
        <f>K274/I274</f>
        <v/>
      </c>
      <c r="I274" s="4">
        <f>(J274/L274)*100</f>
        <v/>
      </c>
      <c r="J274" s="7">
        <f>L274/O274</f>
        <v/>
      </c>
      <c r="K274" s="4" t="n">
        <v>7.14</v>
      </c>
      <c r="L274" s="4" t="n">
        <v>19664.7</v>
      </c>
      <c r="M274" s="4" t="n">
        <v>4.35</v>
      </c>
      <c r="N274" s="4">
        <f>K274-I274</f>
        <v/>
      </c>
      <c r="O274" s="4" t="n">
        <v>22.21</v>
      </c>
      <c r="P274" s="4" t="n">
        <v>4.55</v>
      </c>
      <c r="Q274" s="7">
        <f>K274-P274</f>
        <v/>
      </c>
      <c r="R274" s="4" t="n">
        <v>105.93</v>
      </c>
      <c r="S274" s="7">
        <f>(O274*T274)</f>
        <v/>
      </c>
      <c r="T274" s="12" t="n">
        <v>6.86</v>
      </c>
      <c r="U274" s="23" t="n">
        <v>15045.6</v>
      </c>
      <c r="V274" s="23" t="n">
        <v>25.93</v>
      </c>
      <c r="W274" s="7">
        <f>U274/V274</f>
        <v/>
      </c>
      <c r="X274" s="7">
        <f>(W274/U274)*100</f>
        <v/>
      </c>
      <c r="Y274" s="23" t="n">
        <v>12100.75</v>
      </c>
      <c r="Z274" s="23" t="n">
        <v>24.38</v>
      </c>
      <c r="AA274" s="7">
        <f>Y274/Z274</f>
        <v/>
      </c>
      <c r="AB274" s="7">
        <f>(AA274/Y274)*100</f>
        <v/>
      </c>
    </row>
    <row r="275">
      <c r="A275" s="14" t="n">
        <v>274</v>
      </c>
      <c r="B275" s="9" t="n">
        <v>45196</v>
      </c>
      <c r="C275" s="4" t="n">
        <v>32466063.75</v>
      </c>
      <c r="D275" s="4">
        <f>C275/E275</f>
        <v/>
      </c>
      <c r="E275" s="4" t="n">
        <v>83.18000000000001</v>
      </c>
      <c r="F275" s="4">
        <f>D275/100000</f>
        <v/>
      </c>
      <c r="G275" s="7">
        <f>(F275/DataSheet!$C$10*100)</f>
        <v/>
      </c>
      <c r="H275" s="4">
        <f>K275/I275</f>
        <v/>
      </c>
      <c r="I275" s="4">
        <f>(J275/L275)*100</f>
        <v/>
      </c>
      <c r="J275" s="7">
        <f>L275/O275</f>
        <v/>
      </c>
      <c r="K275" s="4" t="n">
        <v>7.17</v>
      </c>
      <c r="L275" s="4" t="n">
        <v>19716.45</v>
      </c>
      <c r="M275" s="4" t="n">
        <v>4.36</v>
      </c>
      <c r="N275" s="4">
        <f>K275-I275</f>
        <v/>
      </c>
      <c r="O275" s="4" t="n">
        <v>22.27</v>
      </c>
      <c r="P275" s="4" t="n">
        <v>4.6</v>
      </c>
      <c r="Q275" s="7">
        <f>K275-P275</f>
        <v/>
      </c>
      <c r="R275" s="4" t="n">
        <v>106.36</v>
      </c>
      <c r="S275" s="7">
        <f>(O275*T275)</f>
        <v/>
      </c>
      <c r="T275" s="12" t="n">
        <v>6.87</v>
      </c>
      <c r="U275" s="23" t="n">
        <v>15158.3</v>
      </c>
      <c r="V275" s="23" t="n">
        <v>26.12</v>
      </c>
      <c r="W275" s="7">
        <f>U275/V275</f>
        <v/>
      </c>
      <c r="X275" s="7">
        <f>(W275/U275)*100</f>
        <v/>
      </c>
      <c r="Y275" s="23" t="n">
        <v>12188.45</v>
      </c>
      <c r="Z275" s="23" t="n">
        <v>24.56</v>
      </c>
      <c r="AA275" s="7">
        <f>Y275/Z275</f>
        <v/>
      </c>
      <c r="AB275" s="7">
        <f>(AA275/Y275)*100</f>
        <v/>
      </c>
    </row>
    <row r="276">
      <c r="A276" s="14" t="n">
        <v>275</v>
      </c>
      <c r="B276" s="9" t="n">
        <v>45197</v>
      </c>
      <c r="C276" s="4" t="n">
        <v>32167882.46</v>
      </c>
      <c r="D276" s="4">
        <f>C276/E276</f>
        <v/>
      </c>
      <c r="E276" s="4" t="n">
        <v>83.15000000000001</v>
      </c>
      <c r="F276" s="4">
        <f>D276/100000</f>
        <v/>
      </c>
      <c r="G276" s="7">
        <f>(F276/DataSheet!$C$10*100)</f>
        <v/>
      </c>
      <c r="H276" s="4">
        <f>K276/I276</f>
        <v/>
      </c>
      <c r="I276" s="4">
        <f>(J276/L276)*100</f>
        <v/>
      </c>
      <c r="J276" s="7">
        <f>L276/O276</f>
        <v/>
      </c>
      <c r="K276" s="4" t="n">
        <v>7.23</v>
      </c>
      <c r="L276" s="4" t="n">
        <v>19523.55</v>
      </c>
      <c r="M276" s="4" t="n">
        <v>4.31</v>
      </c>
      <c r="N276" s="4">
        <f>K276-I276</f>
        <v/>
      </c>
      <c r="O276" s="4" t="n">
        <v>22.05</v>
      </c>
      <c r="P276" s="4" t="n">
        <v>4.57</v>
      </c>
      <c r="Q276" s="7">
        <f>K276-P276</f>
        <v/>
      </c>
      <c r="R276" s="4" t="n">
        <v>105.93</v>
      </c>
      <c r="S276" s="7">
        <f>(O276*T276)</f>
        <v/>
      </c>
      <c r="T276" s="12" t="n">
        <v>6.87</v>
      </c>
      <c r="U276" s="23" t="n">
        <v>14985.5</v>
      </c>
      <c r="V276" s="23" t="n">
        <v>25.82</v>
      </c>
      <c r="W276" s="7">
        <f>U276/V276</f>
        <v/>
      </c>
      <c r="X276" s="7">
        <f>(W276/U276)*100</f>
        <v/>
      </c>
      <c r="Y276" s="23" t="n">
        <v>12150.25</v>
      </c>
      <c r="Z276" s="23" t="n">
        <v>24.48</v>
      </c>
      <c r="AA276" s="7">
        <f>Y276/Z276</f>
        <v/>
      </c>
      <c r="AB276" s="7">
        <f>(AA276/Y276)*100</f>
        <v/>
      </c>
    </row>
    <row r="277">
      <c r="A277" s="14" t="n">
        <v>276</v>
      </c>
      <c r="B277" s="9" t="n">
        <v>45198</v>
      </c>
      <c r="C277" s="4" t="n">
        <v>32411846.26</v>
      </c>
      <c r="D277" s="4">
        <f>C277/E277</f>
        <v/>
      </c>
      <c r="E277" s="4" t="n">
        <v>83.03</v>
      </c>
      <c r="F277" s="4">
        <f>D277/100000</f>
        <v/>
      </c>
      <c r="G277" s="7">
        <f>(F277/DataSheet!$C$10*100)</f>
        <v/>
      </c>
      <c r="H277" s="4">
        <f>K277/I277</f>
        <v/>
      </c>
      <c r="I277" s="4">
        <f>(J277/L277)*100</f>
        <v/>
      </c>
      <c r="J277" s="7">
        <f>L277/O277</f>
        <v/>
      </c>
      <c r="K277" s="4" t="n">
        <v>7.21</v>
      </c>
      <c r="L277" s="4" t="n">
        <v>19638.3</v>
      </c>
      <c r="M277" s="4" t="n">
        <v>3.45</v>
      </c>
      <c r="N277" s="4">
        <f>K277-I277</f>
        <v/>
      </c>
      <c r="O277" s="4" t="n">
        <v>22.21</v>
      </c>
      <c r="P277" s="4" t="n">
        <v>4.57</v>
      </c>
      <c r="Q277" s="7">
        <f>K277-P277</f>
        <v/>
      </c>
      <c r="R277" s="4" t="n">
        <v>105.81</v>
      </c>
      <c r="S277" s="7">
        <f>(O277*T277)</f>
        <v/>
      </c>
      <c r="T277" s="12" t="n">
        <v>6.87</v>
      </c>
      <c r="U277" s="23" t="n">
        <v>15141.05</v>
      </c>
      <c r="V277" s="23" t="n">
        <v>26.77</v>
      </c>
      <c r="W277" s="7">
        <f>U277/V277</f>
        <v/>
      </c>
      <c r="X277" s="7">
        <f>(W277/U277)*100</f>
        <v/>
      </c>
      <c r="Y277" s="23" t="n">
        <v>12230.4</v>
      </c>
      <c r="Z277" s="23" t="n">
        <v>24.54</v>
      </c>
      <c r="AA277" s="7">
        <f>Y277/Z277</f>
        <v/>
      </c>
      <c r="AB277" s="7">
        <f>(AA277/Y277)*100</f>
        <v/>
      </c>
    </row>
    <row r="278">
      <c r="A278" s="14" t="n">
        <v>277</v>
      </c>
      <c r="B278" s="9" t="n">
        <v>45202</v>
      </c>
      <c r="C278" s="4" t="n">
        <v>32424277.56</v>
      </c>
      <c r="D278" s="4">
        <f>C278/E278</f>
        <v/>
      </c>
      <c r="E278" s="4" t="n">
        <v>83.20999999999999</v>
      </c>
      <c r="F278" s="4">
        <f>D278/100000</f>
        <v/>
      </c>
      <c r="G278" s="7">
        <f>(F278/DataSheet!$C$10*100)</f>
        <v/>
      </c>
      <c r="H278" s="4">
        <f>K278/I278</f>
        <v/>
      </c>
      <c r="I278" s="4">
        <f>(J278/L278)*100</f>
        <v/>
      </c>
      <c r="J278" s="7">
        <f>L278/O278</f>
        <v/>
      </c>
      <c r="K278" s="4" t="n">
        <v>7.23</v>
      </c>
      <c r="L278" s="4" t="n">
        <v>19528.75</v>
      </c>
      <c r="M278" s="4" t="n">
        <v>3.43</v>
      </c>
      <c r="N278" s="4">
        <f>K278-I278</f>
        <v/>
      </c>
      <c r="O278" s="4" t="n">
        <v>22.09</v>
      </c>
      <c r="P278" s="4" t="n">
        <v>4.79</v>
      </c>
      <c r="Q278" s="7">
        <f>K278-P278</f>
        <v/>
      </c>
      <c r="R278" s="4" t="n">
        <v>106.71</v>
      </c>
      <c r="S278" s="7">
        <f>(O278*T278)</f>
        <v/>
      </c>
      <c r="T278" s="12" t="n">
        <v>6.83</v>
      </c>
      <c r="U278" s="23" t="n">
        <v>15180.45</v>
      </c>
      <c r="V278" s="23" t="n">
        <v>26.84</v>
      </c>
      <c r="W278" s="7">
        <f>U278/V278</f>
        <v/>
      </c>
      <c r="X278" s="7">
        <f>(W278/U278)*100</f>
        <v/>
      </c>
      <c r="Y278" s="23" t="n">
        <v>12307.95</v>
      </c>
      <c r="Z278" s="23" t="n">
        <v>24.69</v>
      </c>
      <c r="AA278" s="7">
        <f>Y278/Z278</f>
        <v/>
      </c>
      <c r="AB278" s="7">
        <f>(AA278/Y278)*100</f>
        <v/>
      </c>
    </row>
    <row r="279">
      <c r="A279" s="14" t="n">
        <v>278</v>
      </c>
      <c r="B279" s="9" t="n">
        <v>45203</v>
      </c>
      <c r="C279" s="4" t="n">
        <v>32172597.62</v>
      </c>
      <c r="D279" s="4">
        <f>C279/E279</f>
        <v/>
      </c>
      <c r="E279" s="4" t="n">
        <v>83.25</v>
      </c>
      <c r="F279" s="4">
        <f>D279/100000</f>
        <v/>
      </c>
      <c r="G279" s="7">
        <f>(F279/DataSheet!$C$10*100)</f>
        <v/>
      </c>
      <c r="H279" s="4">
        <f>K279/I279</f>
        <v/>
      </c>
      <c r="I279" s="4">
        <f>(J279/L279)*100</f>
        <v/>
      </c>
      <c r="J279" s="7">
        <f>L279/O279</f>
        <v/>
      </c>
      <c r="K279" s="4" t="n">
        <v>7.23</v>
      </c>
      <c r="L279" s="4" t="n">
        <v>19436.1</v>
      </c>
      <c r="M279" s="4" t="n">
        <v>3.41</v>
      </c>
      <c r="N279" s="4">
        <f>K279-I279</f>
        <v/>
      </c>
      <c r="O279" s="4" t="n">
        <v>21.98</v>
      </c>
      <c r="P279" s="4" t="n">
        <v>4.73</v>
      </c>
      <c r="Q279" s="7">
        <f>K279-P279</f>
        <v/>
      </c>
      <c r="R279" s="4" t="n">
        <v>106.53</v>
      </c>
      <c r="S279" s="7">
        <f>(O279*T279)</f>
        <v/>
      </c>
      <c r="T279" s="12" t="n">
        <v>6.85</v>
      </c>
      <c r="U279" s="23" t="n">
        <v>14984.95</v>
      </c>
      <c r="V279" s="23" t="n">
        <v>26.5</v>
      </c>
      <c r="W279" s="7">
        <f>U279/V279</f>
        <v/>
      </c>
      <c r="X279" s="7">
        <f>(W279/U279)*100</f>
        <v/>
      </c>
      <c r="Y279" s="23" t="n">
        <v>12168.7</v>
      </c>
      <c r="Z279" s="23" t="n">
        <v>24.41</v>
      </c>
      <c r="AA279" s="7">
        <f>Y279/Z279</f>
        <v/>
      </c>
      <c r="AB279" s="7">
        <f>(AA279/Y279)*100</f>
        <v/>
      </c>
    </row>
    <row r="280">
      <c r="A280" s="14" t="n">
        <v>279</v>
      </c>
      <c r="B280" s="9" t="n">
        <v>45204</v>
      </c>
      <c r="C280" s="4" t="n">
        <v>32290874.09</v>
      </c>
      <c r="D280" s="4">
        <f>C280/E280</f>
        <v/>
      </c>
      <c r="E280" s="4" t="n">
        <v>83.23999999999999</v>
      </c>
      <c r="F280" s="4">
        <f>D280/100000</f>
        <v/>
      </c>
      <c r="G280" s="7">
        <f>(F280/DataSheet!$C$10*100)</f>
        <v/>
      </c>
      <c r="H280" s="4">
        <f>K280/I280</f>
        <v/>
      </c>
      <c r="I280" s="4">
        <f>(J280/L280)*100</f>
        <v/>
      </c>
      <c r="J280" s="7">
        <f>L280/O280</f>
        <v/>
      </c>
      <c r="K280" s="4" t="n">
        <v>7.21</v>
      </c>
      <c r="L280" s="4" t="n">
        <v>19545.75</v>
      </c>
      <c r="M280" s="4" t="n">
        <v>3.43</v>
      </c>
      <c r="N280" s="4">
        <f>K280-I280</f>
        <v/>
      </c>
      <c r="O280" s="4" t="n">
        <v>22.11</v>
      </c>
      <c r="P280" s="4" t="n">
        <v>4.72</v>
      </c>
      <c r="Q280" s="7">
        <f>K280-P280</f>
        <v/>
      </c>
      <c r="R280" s="4" t="n">
        <v>106.32</v>
      </c>
      <c r="S280" s="7">
        <f>(O280*T280)</f>
        <v/>
      </c>
      <c r="T280" s="12" t="n">
        <v>6.87</v>
      </c>
      <c r="U280" s="23" t="n">
        <v>14975.7</v>
      </c>
      <c r="V280" s="23" t="n">
        <v>26.48</v>
      </c>
      <c r="W280" s="7">
        <f>U280/V280</f>
        <v/>
      </c>
      <c r="X280" s="7">
        <f>(W280/U280)*100</f>
        <v/>
      </c>
      <c r="Y280" s="23" t="n">
        <v>12238.55</v>
      </c>
      <c r="Z280" s="23" t="n">
        <v>24.55</v>
      </c>
      <c r="AA280" s="7">
        <f>Y280/Z280</f>
        <v/>
      </c>
      <c r="AB280" s="7">
        <f>(AA280/Y280)*100</f>
        <v/>
      </c>
    </row>
    <row r="281">
      <c r="A281" s="14" t="n">
        <v>280</v>
      </c>
      <c r="B281" s="9" t="n">
        <v>45205</v>
      </c>
      <c r="C281" s="4" t="n">
        <v>32498642.09</v>
      </c>
      <c r="D281" s="4">
        <f>C281/E281</f>
        <v/>
      </c>
      <c r="E281" s="4" t="n">
        <v>83.11</v>
      </c>
      <c r="F281" s="4">
        <f>D281/100000</f>
        <v/>
      </c>
      <c r="G281" s="7">
        <f>(F281/DataSheet!$C$10*100)</f>
        <v/>
      </c>
      <c r="H281" s="4">
        <f>K281/I281</f>
        <v/>
      </c>
      <c r="I281" s="4">
        <f>(J281/L281)*100</f>
        <v/>
      </c>
      <c r="J281" s="7">
        <f>L281/O281</f>
        <v/>
      </c>
      <c r="K281" s="4" t="n">
        <v>7.33</v>
      </c>
      <c r="L281" s="4" t="n">
        <v>19621.2</v>
      </c>
      <c r="M281" s="4" t="n">
        <v>3.45</v>
      </c>
      <c r="N281" s="4">
        <f>K281-I281</f>
        <v/>
      </c>
      <c r="O281" s="4" t="n">
        <v>22.23</v>
      </c>
      <c r="P281" s="4" t="n">
        <v>4.79</v>
      </c>
      <c r="Q281" s="7">
        <f>K281-P281</f>
        <v/>
      </c>
      <c r="R281" s="4" t="n">
        <v>105.78</v>
      </c>
      <c r="S281" s="7">
        <f>(O281*T281)</f>
        <v/>
      </c>
      <c r="T281" s="12" t="n">
        <v>6.88</v>
      </c>
      <c r="U281" s="23" t="n">
        <v>15063.5</v>
      </c>
      <c r="V281" s="23" t="n">
        <v>26.63</v>
      </c>
      <c r="W281" s="7">
        <f>U281/V281</f>
        <v/>
      </c>
      <c r="X281" s="7">
        <f>(W281/U281)*100</f>
        <v/>
      </c>
      <c r="Y281" s="23" t="n">
        <v>12316.75</v>
      </c>
      <c r="Z281" s="23" t="n">
        <v>24.71</v>
      </c>
      <c r="AA281" s="7">
        <f>Y281/Z281</f>
        <v/>
      </c>
      <c r="AB281" s="7">
        <f>(AA281/Y281)*100</f>
        <v/>
      </c>
    </row>
    <row r="282">
      <c r="A282" s="14" t="n">
        <v>281</v>
      </c>
      <c r="B282" s="9" t="n">
        <v>45208</v>
      </c>
      <c r="C282" s="4" t="n">
        <v>32126509.28</v>
      </c>
      <c r="D282" s="4">
        <f>C282/E282</f>
        <v/>
      </c>
      <c r="E282" s="4" t="n">
        <v>83.25</v>
      </c>
      <c r="F282" s="4">
        <f>D282/100000</f>
        <v/>
      </c>
      <c r="G282" s="7">
        <f>(F282/DataSheet!$C$10*100)</f>
        <v/>
      </c>
      <c r="H282" s="4">
        <f>K282/I282</f>
        <v/>
      </c>
      <c r="I282" s="4">
        <f>(J282/L282)*100</f>
        <v/>
      </c>
      <c r="J282" s="7">
        <f>L282/O282</f>
        <v/>
      </c>
      <c r="K282" s="4" t="n">
        <v>7.38</v>
      </c>
      <c r="L282" s="4" t="n">
        <v>19539.45</v>
      </c>
      <c r="M282" s="4" t="n">
        <v>3.42</v>
      </c>
      <c r="N282" s="4">
        <f>K282-I282</f>
        <v/>
      </c>
      <c r="O282" s="4" t="n">
        <v>22.07</v>
      </c>
      <c r="P282" s="4" t="n">
        <v>4.62</v>
      </c>
      <c r="Q282" s="7">
        <f>K282-P282</f>
        <v/>
      </c>
      <c r="R282" s="4" t="n">
        <v>105.81</v>
      </c>
      <c r="S282" s="7">
        <f>(O282*T282)</f>
        <v/>
      </c>
      <c r="T282" s="12" t="n">
        <v>6.89</v>
      </c>
      <c r="U282" s="23" t="n">
        <v>14861.5</v>
      </c>
      <c r="V282" s="23" t="n">
        <v>26.28</v>
      </c>
      <c r="W282" s="7">
        <f>U282/V282</f>
        <v/>
      </c>
      <c r="X282" s="7">
        <f>(W282/U282)*100</f>
        <v/>
      </c>
      <c r="Y282" s="23" t="n">
        <v>12116.45</v>
      </c>
      <c r="Z282" s="23" t="n">
        <v>24.31</v>
      </c>
      <c r="AA282" s="7">
        <f>Y282/Z282</f>
        <v/>
      </c>
      <c r="AB282" s="7">
        <f>(AA282/Y282)*100</f>
        <v/>
      </c>
    </row>
    <row r="283">
      <c r="A283" s="14" t="n">
        <v>282</v>
      </c>
      <c r="B283" s="9" t="n">
        <v>45209</v>
      </c>
      <c r="C283" s="4" t="n">
        <v>32483676.46</v>
      </c>
      <c r="D283" s="4">
        <f>C283/E283</f>
        <v/>
      </c>
      <c r="E283" s="4" t="n">
        <v>83.16</v>
      </c>
      <c r="F283" s="4">
        <f>D283/100000</f>
        <v/>
      </c>
      <c r="G283" s="7">
        <f>(F283/DataSheet!$C$10*100)</f>
        <v/>
      </c>
      <c r="H283" s="4">
        <f>K283/I283</f>
        <v/>
      </c>
      <c r="I283" s="4">
        <f>(J283/L283)*100</f>
        <v/>
      </c>
      <c r="J283" s="7">
        <f>L283/O283</f>
        <v/>
      </c>
      <c r="K283" s="4" t="n">
        <v>7.35</v>
      </c>
      <c r="L283" s="4" t="n">
        <v>19565.6</v>
      </c>
      <c r="M283" s="4" t="n">
        <v>3.46</v>
      </c>
      <c r="N283" s="4">
        <f>K283-I283</f>
        <v/>
      </c>
      <c r="O283" s="4" t="n">
        <v>22.27</v>
      </c>
      <c r="P283" s="4" t="n">
        <v>4.65</v>
      </c>
      <c r="Q283" s="7">
        <f>K283-P283</f>
        <v/>
      </c>
      <c r="R283" s="4" t="n">
        <v>105.55</v>
      </c>
      <c r="S283" s="7">
        <f>(O283*T283)</f>
        <v/>
      </c>
      <c r="T283" s="12" t="n">
        <v>6.88</v>
      </c>
      <c r="U283" s="23" t="n">
        <v>15046.4</v>
      </c>
      <c r="V283" s="23" t="n">
        <v>26.6</v>
      </c>
      <c r="W283" s="7">
        <f>U283/V283</f>
        <v/>
      </c>
      <c r="X283" s="7">
        <f>(W283/U283)*100</f>
        <v/>
      </c>
      <c r="Y283" s="23" t="n">
        <v>12252.25</v>
      </c>
      <c r="Z283" s="23" t="n">
        <v>24.58</v>
      </c>
      <c r="AA283" s="7">
        <f>Y283/Z283</f>
        <v/>
      </c>
      <c r="AB283" s="7">
        <f>(AA283/Y283)*100</f>
        <v/>
      </c>
    </row>
    <row r="284">
      <c r="A284" s="14" t="n">
        <v>283</v>
      </c>
      <c r="B284" s="9" t="n">
        <v>45210</v>
      </c>
      <c r="C284" s="4" t="n">
        <v>32678192.45</v>
      </c>
      <c r="D284" s="4">
        <f>C284/E284</f>
        <v/>
      </c>
      <c r="E284" s="4" t="n">
        <v>83.16</v>
      </c>
      <c r="F284" s="4">
        <f>D284/100000</f>
        <v/>
      </c>
      <c r="G284" s="7">
        <f>(F284/DataSheet!$C$10*100)</f>
        <v/>
      </c>
      <c r="H284" s="4">
        <f>K284/I284</f>
        <v/>
      </c>
      <c r="I284" s="4">
        <f>(J284/L284)*100</f>
        <v/>
      </c>
      <c r="J284" s="7">
        <f>L284/O284</f>
        <v/>
      </c>
      <c r="K284" s="4" t="n">
        <v>7.3</v>
      </c>
      <c r="L284" s="4" t="n">
        <v>19767</v>
      </c>
      <c r="M284" s="4" t="n">
        <v>3.48</v>
      </c>
      <c r="N284" s="4">
        <f>K284-I284</f>
        <v/>
      </c>
      <c r="O284" s="4" t="n">
        <v>22.41</v>
      </c>
      <c r="P284" s="4" t="n">
        <v>4.55</v>
      </c>
      <c r="Q284" s="7">
        <f>K284-P284</f>
        <v/>
      </c>
      <c r="R284" s="4" t="n">
        <v>105.56</v>
      </c>
      <c r="S284" s="7">
        <f>(O284*T284)</f>
        <v/>
      </c>
      <c r="T284" s="12" t="n">
        <v>6.89</v>
      </c>
      <c r="U284" s="23" t="n">
        <v>15121.55</v>
      </c>
      <c r="V284" s="23" t="n">
        <v>26.74</v>
      </c>
      <c r="W284" s="7">
        <f>U284/V284</f>
        <v/>
      </c>
      <c r="X284" s="7">
        <f>(W284/U284)*100</f>
        <v/>
      </c>
      <c r="Y284" s="23" t="n">
        <v>12336.85</v>
      </c>
      <c r="Z284" s="23" t="n">
        <v>24.75</v>
      </c>
      <c r="AA284" s="7">
        <f>Y284/Z284</f>
        <v/>
      </c>
      <c r="AB284" s="7">
        <f>(AA284/Y284)*100</f>
        <v/>
      </c>
    </row>
    <row r="285">
      <c r="A285" s="14" t="n">
        <v>284</v>
      </c>
      <c r="B285" s="9" t="n">
        <v>45211</v>
      </c>
      <c r="C285" s="4" t="n">
        <v>32722637.24</v>
      </c>
      <c r="D285" s="4">
        <f>C285/E285</f>
        <v/>
      </c>
      <c r="E285" s="4" t="n">
        <v>83.29000000000001</v>
      </c>
      <c r="F285" s="4">
        <f>D285/100000</f>
        <v/>
      </c>
      <c r="G285" s="7">
        <f>(F285/DataSheet!$C$10*100)</f>
        <v/>
      </c>
      <c r="H285" s="4">
        <f>K285/I285</f>
        <v/>
      </c>
      <c r="I285" s="4">
        <f>(J285/L285)*100</f>
        <v/>
      </c>
      <c r="J285" s="7">
        <f>L285/O285</f>
        <v/>
      </c>
      <c r="K285" s="4" t="n">
        <v>7.3</v>
      </c>
      <c r="L285" s="4" t="n">
        <v>19822.7</v>
      </c>
      <c r="M285" s="4" t="n">
        <v>3.47</v>
      </c>
      <c r="N285" s="4">
        <f>K285-I285</f>
        <v/>
      </c>
      <c r="O285" s="4" t="n">
        <v>22.39</v>
      </c>
      <c r="P285" s="4" t="n">
        <v>4.69</v>
      </c>
      <c r="Q285" s="7">
        <f>K285-P285</f>
        <v/>
      </c>
      <c r="R285" s="4" t="n">
        <v>106.36</v>
      </c>
      <c r="S285" s="7">
        <f>(O285*T285)</f>
        <v/>
      </c>
      <c r="T285" s="12" t="n">
        <v>6.9</v>
      </c>
      <c r="U285" s="23" t="n">
        <v>15158.1</v>
      </c>
      <c r="V285" s="23" t="n">
        <v>26.8</v>
      </c>
      <c r="W285" s="7">
        <f>U285/V285</f>
        <v/>
      </c>
      <c r="X285" s="7">
        <f>(W285/U285)*100</f>
        <v/>
      </c>
      <c r="Y285" s="23" t="n">
        <v>12425.2</v>
      </c>
      <c r="Z285" s="23" t="n">
        <v>24.93</v>
      </c>
      <c r="AA285" s="7">
        <f>Y285/Z285</f>
        <v/>
      </c>
      <c r="AB285" s="7">
        <f>(AA285/Y285)*100</f>
        <v/>
      </c>
    </row>
    <row r="286">
      <c r="A286" s="14" t="n">
        <v>285</v>
      </c>
      <c r="B286" s="9" t="n">
        <v>45212</v>
      </c>
      <c r="C286" s="4" t="n">
        <v>32713519.94</v>
      </c>
      <c r="D286" s="4">
        <f>C286/E286</f>
        <v/>
      </c>
      <c r="E286" s="4" t="n">
        <v>83.25</v>
      </c>
      <c r="F286" s="4">
        <f>D286/100000</f>
        <v/>
      </c>
      <c r="G286" s="7">
        <f>(F286/DataSheet!$C$10*100)</f>
        <v/>
      </c>
      <c r="H286" s="4">
        <f>K286/I286</f>
        <v/>
      </c>
      <c r="I286" s="4">
        <f>(J286/L286)*100</f>
        <v/>
      </c>
      <c r="J286" s="7">
        <f>L286/O286</f>
        <v/>
      </c>
      <c r="K286" s="4" t="n">
        <v>7.32</v>
      </c>
      <c r="L286" s="4" t="n">
        <v>19654.55</v>
      </c>
      <c r="M286" s="4" t="n">
        <v>3.47</v>
      </c>
      <c r="N286" s="4">
        <f>K286-I286</f>
        <v/>
      </c>
      <c r="O286" s="4" t="n">
        <v>22.33</v>
      </c>
      <c r="P286" s="4" t="n">
        <v>4.61</v>
      </c>
      <c r="Q286" s="7">
        <f>K286-P286</f>
        <v/>
      </c>
      <c r="R286" s="4" t="n">
        <v>106.43</v>
      </c>
      <c r="S286" s="7">
        <f>(O286*T286)</f>
        <v/>
      </c>
      <c r="T286" s="12" t="n">
        <v>6.9</v>
      </c>
      <c r="U286" s="23" t="n">
        <v>15141.35</v>
      </c>
      <c r="V286" s="23" t="n">
        <v>26.77</v>
      </c>
      <c r="W286" s="7">
        <f>U286/V286</f>
        <v/>
      </c>
      <c r="X286" s="7">
        <f>(W286/U286)*100</f>
        <v/>
      </c>
      <c r="Y286" s="23" t="n">
        <v>12407.45</v>
      </c>
      <c r="Z286" s="23" t="n">
        <v>24.89</v>
      </c>
      <c r="AA286" s="7">
        <f>Y286/Z286</f>
        <v/>
      </c>
      <c r="AB286" s="7">
        <f>(AA286/Y286)*100</f>
        <v/>
      </c>
    </row>
    <row r="287">
      <c r="A287" s="14" t="n">
        <v>286</v>
      </c>
      <c r="B287" s="9" t="n">
        <v>45215</v>
      </c>
      <c r="C287" s="4" t="n">
        <v>32737764.93</v>
      </c>
      <c r="D287" s="4">
        <f>C287/E287</f>
        <v/>
      </c>
      <c r="E287" s="4" t="n">
        <v>83.19</v>
      </c>
      <c r="F287" s="4">
        <f>D287/100000</f>
        <v/>
      </c>
      <c r="G287" s="7">
        <f>(F287/DataSheet!$C$10*100)</f>
        <v/>
      </c>
      <c r="H287" s="4">
        <f>K287/I287</f>
        <v/>
      </c>
      <c r="I287" s="4">
        <f>(J287/L287)*100</f>
        <v/>
      </c>
      <c r="J287" s="7">
        <f>L287/O287</f>
        <v/>
      </c>
      <c r="K287" s="4" t="n">
        <v>7.33</v>
      </c>
      <c r="L287" s="4" t="n">
        <v>19737.25</v>
      </c>
      <c r="M287" s="4" t="n">
        <v>3.46</v>
      </c>
      <c r="N287" s="4">
        <f>K287-I287</f>
        <v/>
      </c>
      <c r="O287" s="4" t="n">
        <v>22.29</v>
      </c>
      <c r="P287" s="4" t="n">
        <v>4.7</v>
      </c>
      <c r="Q287" s="7">
        <f>K287-P287</f>
        <v/>
      </c>
      <c r="R287" s="4" t="n">
        <v>106.03</v>
      </c>
      <c r="S287" s="7">
        <f>(O287*T287)</f>
        <v/>
      </c>
      <c r="T287" s="12" t="n">
        <v>6.88</v>
      </c>
      <c r="U287" s="23" t="n">
        <v>15167.45</v>
      </c>
      <c r="V287" s="23" t="n">
        <v>26.81</v>
      </c>
      <c r="W287" s="7">
        <f>U287/V287</f>
        <v/>
      </c>
      <c r="X287" s="7">
        <f>(W287/U287)*100</f>
        <v/>
      </c>
      <c r="Y287" s="23" t="n">
        <v>12446.75</v>
      </c>
      <c r="Z287" s="23" t="n">
        <v>24.94</v>
      </c>
      <c r="AA287" s="7">
        <f>Y287/Z287</f>
        <v/>
      </c>
      <c r="AB287" s="7">
        <f>(AA287/Y287)*100</f>
        <v/>
      </c>
    </row>
    <row r="288">
      <c r="A288" s="14" t="n">
        <v>287</v>
      </c>
      <c r="B288" s="9" t="n">
        <v>45216</v>
      </c>
      <c r="C288" s="4" t="n">
        <v>32898741.34</v>
      </c>
      <c r="D288" s="4">
        <f>C288/E288</f>
        <v/>
      </c>
      <c r="E288" s="4" t="n">
        <v>83.23999999999999</v>
      </c>
      <c r="F288" s="4">
        <f>D288/100000</f>
        <v/>
      </c>
      <c r="G288" s="7">
        <f>(F288/DataSheet!$C$10*100)</f>
        <v/>
      </c>
      <c r="H288" s="4">
        <f>K288/I288</f>
        <v/>
      </c>
      <c r="I288" s="4">
        <f>(J288/L288)*100</f>
        <v/>
      </c>
      <c r="J288" s="7">
        <f>L288/O288</f>
        <v/>
      </c>
      <c r="K288" s="4" t="n">
        <v>7.32</v>
      </c>
      <c r="L288" s="4" t="n">
        <v>19843.2</v>
      </c>
      <c r="M288" s="4" t="n">
        <v>3.48</v>
      </c>
      <c r="N288" s="4">
        <f>K288-I288</f>
        <v/>
      </c>
      <c r="O288" s="4" t="n">
        <v>22.38</v>
      </c>
      <c r="P288" s="4" t="n">
        <v>4.83</v>
      </c>
      <c r="Q288" s="7">
        <f>K288-P288</f>
        <v/>
      </c>
      <c r="R288" s="4" t="n">
        <v>106.04</v>
      </c>
      <c r="S288" s="7">
        <f>(O288*T288)</f>
        <v/>
      </c>
      <c r="T288" s="12" t="n">
        <v>6.88</v>
      </c>
      <c r="U288" s="23" t="n">
        <v>15234.35</v>
      </c>
      <c r="V288" s="23" t="n">
        <v>26.92</v>
      </c>
      <c r="W288" s="7">
        <f>U288/V288</f>
        <v/>
      </c>
      <c r="X288" s="7">
        <f>(W288/U288)*100</f>
        <v/>
      </c>
      <c r="Y288" s="23" t="n">
        <v>12530.4</v>
      </c>
      <c r="Z288" s="23" t="n">
        <v>25.11</v>
      </c>
      <c r="AA288" s="7">
        <f>Y288/Z288</f>
        <v/>
      </c>
      <c r="AB288" s="7">
        <f>(AA288/Y288)*100</f>
        <v/>
      </c>
    </row>
    <row r="289">
      <c r="A289" s="14" t="n">
        <v>288</v>
      </c>
      <c r="B289" s="9" t="n">
        <v>45217</v>
      </c>
      <c r="C289" s="4" t="n">
        <v>32656293.76</v>
      </c>
      <c r="D289" s="4">
        <f>C289/E289</f>
        <v/>
      </c>
      <c r="E289" s="4" t="n">
        <v>83.29000000000001</v>
      </c>
      <c r="F289" s="4">
        <f>D289/100000</f>
        <v/>
      </c>
      <c r="G289" s="7">
        <f>(F289/DataSheet!$C$10*100)</f>
        <v/>
      </c>
      <c r="H289" s="4">
        <f>K289/I289</f>
        <v/>
      </c>
      <c r="I289" s="4">
        <f>(J289/L289)*100</f>
        <v/>
      </c>
      <c r="J289" s="7">
        <f>L289/O289</f>
        <v/>
      </c>
      <c r="K289" s="4" t="n">
        <v>7.35</v>
      </c>
      <c r="L289" s="4" t="n">
        <v>19820.45</v>
      </c>
      <c r="M289" s="4" t="n">
        <v>3.45</v>
      </c>
      <c r="N289" s="4">
        <f>K289-I289</f>
        <v/>
      </c>
      <c r="O289" s="4" t="n">
        <v>21.87</v>
      </c>
      <c r="P289" s="4" t="n">
        <v>4.91</v>
      </c>
      <c r="Q289" s="7">
        <f>K289-P289</f>
        <v/>
      </c>
      <c r="R289" s="4" t="n">
        <v>106.35</v>
      </c>
      <c r="S289" s="7">
        <f>(O289*T289)</f>
        <v/>
      </c>
      <c r="T289" s="12" t="n">
        <v>6.89</v>
      </c>
      <c r="U289" s="23" t="n">
        <v>15125.75</v>
      </c>
      <c r="V289" s="23" t="n">
        <v>26.62</v>
      </c>
      <c r="W289" s="7">
        <f>U289/V289</f>
        <v/>
      </c>
      <c r="X289" s="7">
        <f>(W289/U289)*100</f>
        <v/>
      </c>
      <c r="Y289" s="23" t="n">
        <v>12482.35</v>
      </c>
      <c r="Z289" s="23" t="n">
        <v>24.9</v>
      </c>
      <c r="AA289" s="7">
        <f>Y289/Z289</f>
        <v/>
      </c>
      <c r="AB289" s="7">
        <f>(AA289/Y289)*100</f>
        <v/>
      </c>
    </row>
    <row r="290">
      <c r="A290" s="14" t="n">
        <v>289</v>
      </c>
      <c r="B290" s="9" t="n">
        <v>45218</v>
      </c>
      <c r="C290" s="4" t="n">
        <v>32617075.99</v>
      </c>
      <c r="D290" s="4">
        <f>C290/E290</f>
        <v/>
      </c>
      <c r="E290" s="4" t="n">
        <v>83.09</v>
      </c>
      <c r="F290" s="4">
        <f>D290/100000</f>
        <v/>
      </c>
      <c r="G290" s="7">
        <f>(F290/DataSheet!$C$10*100)</f>
        <v/>
      </c>
      <c r="H290" s="4">
        <f>K290/I290</f>
        <v/>
      </c>
      <c r="I290" s="4">
        <f>(J290/L290)*100</f>
        <v/>
      </c>
      <c r="J290" s="7">
        <f>L290/O290</f>
        <v/>
      </c>
      <c r="K290" s="4" t="n">
        <v>7.36</v>
      </c>
      <c r="L290" s="4" t="n">
        <v>19545.2</v>
      </c>
      <c r="M290" s="4" t="n">
        <v>3.44</v>
      </c>
      <c r="N290" s="4">
        <f>K290-I290</f>
        <v/>
      </c>
      <c r="O290" s="4" t="n">
        <v>21.77</v>
      </c>
      <c r="P290" s="4" t="n">
        <v>4.99</v>
      </c>
      <c r="Q290" s="7">
        <f>K290-P290</f>
        <v/>
      </c>
      <c r="R290" s="4" t="n">
        <v>106.04</v>
      </c>
      <c r="S290" s="7">
        <f>(O290*T290)</f>
        <v/>
      </c>
      <c r="T290" s="12" t="n">
        <v>6.93</v>
      </c>
      <c r="U290" s="23" t="n">
        <v>15106.95</v>
      </c>
      <c r="V290" s="23" t="n">
        <v>26.47</v>
      </c>
      <c r="W290" s="7">
        <f>U290/V290</f>
        <v/>
      </c>
      <c r="X290" s="7">
        <f>(W290/U290)*100</f>
        <v/>
      </c>
      <c r="Y290" s="23" t="n">
        <v>12500.6</v>
      </c>
      <c r="Z290" s="23" t="n">
        <v>24.87</v>
      </c>
      <c r="AA290" s="7">
        <f>Y290/Z290</f>
        <v/>
      </c>
      <c r="AB290" s="7">
        <f>(AA290/Y290)*100</f>
        <v/>
      </c>
    </row>
    <row r="291">
      <c r="A291" s="14" t="n">
        <v>290</v>
      </c>
      <c r="B291" s="9" t="n">
        <v>45219</v>
      </c>
      <c r="C291" s="4" t="n">
        <v>32411799.25</v>
      </c>
      <c r="D291" s="4">
        <f>C291/E291</f>
        <v/>
      </c>
      <c r="E291" s="4" t="n">
        <v>83.15000000000001</v>
      </c>
      <c r="F291" s="4">
        <f>D291/100000</f>
        <v/>
      </c>
      <c r="G291" s="7">
        <f>(F291/DataSheet!$C$10*100)</f>
        <v/>
      </c>
      <c r="H291" s="4">
        <f>K291/I291</f>
        <v/>
      </c>
      <c r="I291" s="4">
        <f>(J291/L291)*100</f>
        <v/>
      </c>
      <c r="J291" s="7">
        <f>L291/O291</f>
        <v/>
      </c>
      <c r="K291" s="4" t="n">
        <v>7.36</v>
      </c>
      <c r="L291" s="4" t="n">
        <v>19542.65</v>
      </c>
      <c r="M291" s="4" t="n">
        <v>3.43</v>
      </c>
      <c r="N291" s="4">
        <f>K291-I291</f>
        <v/>
      </c>
      <c r="O291" s="4" t="n">
        <v>21.68</v>
      </c>
      <c r="P291" s="4" t="n">
        <v>4.91</v>
      </c>
      <c r="Q291" s="7">
        <f>K291-P291</f>
        <v/>
      </c>
      <c r="R291" s="4" t="n">
        <v>105.98</v>
      </c>
      <c r="S291" s="7">
        <f>(O291*T291)</f>
        <v/>
      </c>
      <c r="T291" s="12" t="n">
        <v>6.93</v>
      </c>
      <c r="U291" s="23" t="n">
        <v>14963.1</v>
      </c>
      <c r="V291" s="23" t="n">
        <v>26.21</v>
      </c>
      <c r="W291" s="7">
        <f>U291/V291</f>
        <v/>
      </c>
      <c r="X291" s="7">
        <f>(W291/U291)*100</f>
        <v/>
      </c>
      <c r="Y291" s="23" t="n">
        <v>12400.3</v>
      </c>
      <c r="Z291" s="23" t="n">
        <v>24.67</v>
      </c>
      <c r="AA291" s="7">
        <f>Y291/Z291</f>
        <v/>
      </c>
      <c r="AB291" s="7">
        <f>(AA291/Y291)*100</f>
        <v/>
      </c>
    </row>
    <row r="292">
      <c r="A292" s="14" t="n">
        <v>291</v>
      </c>
      <c r="B292" s="9" t="n">
        <v>45222</v>
      </c>
      <c r="C292" s="4" t="n">
        <v>31652964.62</v>
      </c>
      <c r="D292" s="4">
        <f>C292/E292</f>
        <v/>
      </c>
      <c r="E292" s="4" t="n">
        <v>83.06999999999999</v>
      </c>
      <c r="F292" s="4">
        <f>D292/100000</f>
        <v/>
      </c>
      <c r="G292" s="7">
        <f>(F292/DataSheet!$C$10*100)</f>
        <v/>
      </c>
      <c r="H292" s="4">
        <f>K292/I292</f>
        <v/>
      </c>
      <c r="I292" s="4">
        <f>(J292/L292)*100</f>
        <v/>
      </c>
      <c r="J292" s="7">
        <f>L292/O292</f>
        <v/>
      </c>
      <c r="K292" s="4" t="n">
        <v>7.38</v>
      </c>
      <c r="L292" s="4" t="n">
        <v>19281.75</v>
      </c>
      <c r="M292" s="4" t="n">
        <v>3.38</v>
      </c>
      <c r="N292" s="4">
        <f>K292-I292</f>
        <v/>
      </c>
      <c r="O292" s="4" t="n">
        <v>21.36</v>
      </c>
      <c r="P292" s="4" t="n">
        <v>4.84</v>
      </c>
      <c r="Q292" s="7">
        <f>K292-P292</f>
        <v/>
      </c>
      <c r="R292" s="4" t="n">
        <v>105.33</v>
      </c>
      <c r="S292" s="7">
        <f>(O292*T292)</f>
        <v/>
      </c>
      <c r="T292" s="12" t="n">
        <v>6.93</v>
      </c>
      <c r="U292" s="23" t="n">
        <v>14557.1</v>
      </c>
      <c r="V292" s="23" t="n">
        <v>25.47</v>
      </c>
      <c r="W292" s="7">
        <f>U292/V292</f>
        <v/>
      </c>
      <c r="X292" s="7">
        <f>(W292/U292)*100</f>
        <v/>
      </c>
      <c r="Y292" s="23" t="n">
        <v>11930.4</v>
      </c>
      <c r="Z292" s="23" t="n">
        <v>23.58</v>
      </c>
      <c r="AA292" s="7">
        <f>Y292/Z292</f>
        <v/>
      </c>
      <c r="AB292" s="7">
        <f>(AA292/Y292)*100</f>
        <v/>
      </c>
    </row>
    <row r="293">
      <c r="A293" s="14" t="n">
        <v>292</v>
      </c>
      <c r="B293" s="9" t="n">
        <v>45224</v>
      </c>
      <c r="C293" s="4" t="n">
        <v>31445741.36</v>
      </c>
      <c r="D293" s="4">
        <f>C293/E293</f>
        <v/>
      </c>
      <c r="E293" s="4" t="n">
        <v>83.17</v>
      </c>
      <c r="F293" s="4">
        <f>D293/100000</f>
        <v/>
      </c>
      <c r="G293" s="7">
        <f>(F293/DataSheet!$C$10*100)</f>
        <v/>
      </c>
      <c r="H293" s="4">
        <f>K293/I293</f>
        <v/>
      </c>
      <c r="I293" s="4">
        <f>(J293/L293)*100</f>
        <v/>
      </c>
      <c r="J293" s="7">
        <f>L293/O293</f>
        <v/>
      </c>
      <c r="K293" s="4" t="n">
        <v>7.34</v>
      </c>
      <c r="L293" s="4" t="n">
        <v>19122.15</v>
      </c>
      <c r="M293" s="4" t="n">
        <v>3.36</v>
      </c>
      <c r="N293" s="4">
        <f>K293-I293</f>
        <v/>
      </c>
      <c r="O293" s="4" t="n">
        <v>20.92</v>
      </c>
      <c r="P293" s="4" t="n">
        <v>4.94</v>
      </c>
      <c r="Q293" s="7">
        <f>K293-P293</f>
        <v/>
      </c>
      <c r="R293" s="4" t="n">
        <v>106.35</v>
      </c>
      <c r="S293" s="7">
        <f>(O293*T293)</f>
        <v/>
      </c>
      <c r="T293" s="12" t="n">
        <v>6.93</v>
      </c>
      <c r="U293" s="23" t="n">
        <v>14470.25</v>
      </c>
      <c r="V293" s="23" t="n">
        <v>25.21</v>
      </c>
      <c r="W293" s="7">
        <f>U293/V293</f>
        <v/>
      </c>
      <c r="X293" s="7">
        <f>(W293/U293)*100</f>
        <v/>
      </c>
      <c r="Y293" s="23" t="n">
        <v>11853.7</v>
      </c>
      <c r="Z293" s="23" t="n">
        <v>23.26</v>
      </c>
      <c r="AA293" s="7">
        <f>Y293/Z293</f>
        <v/>
      </c>
      <c r="AB293" s="7">
        <f>(AA293/Y293)*100</f>
        <v/>
      </c>
    </row>
    <row r="294">
      <c r="A294" s="14" t="n">
        <v>293</v>
      </c>
      <c r="B294" s="9" t="n">
        <v>45225</v>
      </c>
      <c r="C294" s="4" t="n">
        <v>31123990.88</v>
      </c>
      <c r="D294" s="4">
        <f>C294/E294</f>
        <v/>
      </c>
      <c r="E294" s="4" t="n">
        <v>83.23999999999999</v>
      </c>
      <c r="F294" s="4">
        <f>D294/100000</f>
        <v/>
      </c>
      <c r="G294" s="7">
        <f>(F294/DataSheet!$C$10*100)</f>
        <v/>
      </c>
      <c r="H294" s="4">
        <f>K294/I294</f>
        <v/>
      </c>
      <c r="I294" s="4">
        <f>(J294/L294)*100</f>
        <v/>
      </c>
      <c r="J294" s="7">
        <f>L294/O294</f>
        <v/>
      </c>
      <c r="K294" s="4" t="n">
        <v>7.36</v>
      </c>
      <c r="L294" s="4" t="n">
        <v>18857.25</v>
      </c>
      <c r="M294" s="4" t="n">
        <v>3.31</v>
      </c>
      <c r="N294" s="4">
        <f>K294-I294</f>
        <v/>
      </c>
      <c r="O294" s="4" t="n">
        <v>20.63</v>
      </c>
      <c r="P294" s="4" t="n">
        <v>4.84</v>
      </c>
      <c r="Q294" s="7">
        <f>K294-P294</f>
        <v/>
      </c>
      <c r="R294" s="4" t="n">
        <v>106.42</v>
      </c>
      <c r="S294" s="7">
        <f>(O294*T294)</f>
        <v/>
      </c>
      <c r="T294" s="12" t="n">
        <v>6.93</v>
      </c>
      <c r="U294" s="23" t="n">
        <v>14305.25</v>
      </c>
      <c r="V294" s="23" t="n">
        <v>24.93</v>
      </c>
      <c r="W294" s="7">
        <f>U294/V294</f>
        <v/>
      </c>
      <c r="X294" s="7">
        <f>(W294/U294)*100</f>
        <v/>
      </c>
      <c r="Y294" s="23" t="n">
        <v>11797.15</v>
      </c>
      <c r="Z294" s="23" t="n">
        <v>23.21</v>
      </c>
      <c r="AA294" s="7">
        <f>Y294/Z294</f>
        <v/>
      </c>
      <c r="AB294" s="7">
        <f>(AA294/Y294)*100</f>
        <v/>
      </c>
    </row>
    <row r="295">
      <c r="A295" s="14" t="n">
        <v>294</v>
      </c>
      <c r="B295" s="9" t="n">
        <v>45226</v>
      </c>
      <c r="C295" s="4" t="n">
        <v>31570263.3</v>
      </c>
      <c r="D295" s="4">
        <f>C295/E295</f>
        <v/>
      </c>
      <c r="E295" s="4" t="n">
        <v>83.26000000000001</v>
      </c>
      <c r="F295" s="4">
        <f>D295/100000</f>
        <v/>
      </c>
      <c r="G295" s="7">
        <f>(F295/DataSheet!$C$10*100)</f>
        <v/>
      </c>
      <c r="H295" s="4">
        <f>K295/I295</f>
        <v/>
      </c>
      <c r="I295" s="4">
        <f>(J295/L295)*100</f>
        <v/>
      </c>
      <c r="J295" s="7">
        <f>L295/O295</f>
        <v/>
      </c>
      <c r="K295" s="4" t="n">
        <v>7.35</v>
      </c>
      <c r="L295" s="4" t="n">
        <v>19047.25</v>
      </c>
      <c r="M295" s="4" t="n">
        <v>3.34</v>
      </c>
      <c r="N295" s="4">
        <f>K295-I295</f>
        <v/>
      </c>
      <c r="O295" s="4" t="n">
        <v>20.84</v>
      </c>
      <c r="P295" s="4" t="n">
        <v>4.84</v>
      </c>
      <c r="Q295" s="7">
        <f>K295-P295</f>
        <v/>
      </c>
      <c r="R295" s="4" t="n">
        <v>106.38</v>
      </c>
      <c r="S295" s="7">
        <f>(O295*T295)</f>
        <v/>
      </c>
      <c r="T295" s="12" t="n">
        <v>6.95</v>
      </c>
      <c r="U295" s="23" t="n">
        <v>14513.7</v>
      </c>
      <c r="V295" s="23" t="n">
        <v>25.26</v>
      </c>
      <c r="W295" s="7">
        <f>U295/V295</f>
        <v/>
      </c>
      <c r="X295" s="7">
        <f>(W295/U295)*100</f>
        <v/>
      </c>
      <c r="Y295" s="23" t="n">
        <v>12024.9</v>
      </c>
      <c r="Z295" s="23" t="n">
        <v>23.65</v>
      </c>
      <c r="AA295" s="7">
        <f>Y295/Z295</f>
        <v/>
      </c>
      <c r="AB295" s="7">
        <f>(AA295/Y295)*100</f>
        <v/>
      </c>
    </row>
    <row r="296">
      <c r="A296" s="14" t="n">
        <v>295</v>
      </c>
      <c r="B296" s="9" t="n">
        <v>45229</v>
      </c>
      <c r="C296" s="4" t="n">
        <v>31671281.29</v>
      </c>
      <c r="D296" s="4">
        <f>C296/E296</f>
        <v/>
      </c>
      <c r="E296" s="4" t="n">
        <v>83.25</v>
      </c>
      <c r="F296" s="4">
        <f>D296/100000</f>
        <v/>
      </c>
      <c r="G296" s="7">
        <f>(F296/DataSheet!$C$10*100)</f>
        <v/>
      </c>
      <c r="H296" s="4">
        <f>K296/I296</f>
        <v/>
      </c>
      <c r="I296" s="4">
        <f>(J296/L296)*100</f>
        <v/>
      </c>
      <c r="J296" s="7">
        <f>L296/O296</f>
        <v/>
      </c>
      <c r="K296" s="4" t="n">
        <v>7.36</v>
      </c>
      <c r="L296" s="4" t="n">
        <v>19140.9</v>
      </c>
      <c r="M296" s="4" t="n">
        <v>3.36</v>
      </c>
      <c r="N296" s="4">
        <f>K296-I296</f>
        <v/>
      </c>
      <c r="O296" s="4" t="n">
        <v>20.9</v>
      </c>
      <c r="P296" s="4" t="n">
        <v>4.88</v>
      </c>
      <c r="Q296" s="7">
        <f>K296-P296</f>
        <v/>
      </c>
      <c r="R296" s="4" t="n">
        <v>105.93</v>
      </c>
      <c r="S296" s="7">
        <f>(O296*T296)</f>
        <v/>
      </c>
      <c r="T296" s="12" t="n">
        <v>6.92</v>
      </c>
      <c r="U296" s="23" t="n">
        <v>14533.4</v>
      </c>
      <c r="V296" s="23" t="n">
        <v>25.23</v>
      </c>
      <c r="W296" s="7">
        <f>U296/V296</f>
        <v/>
      </c>
      <c r="X296" s="7">
        <f>(W296/U296)*100</f>
        <v/>
      </c>
      <c r="Y296" s="23" t="n">
        <v>12033.85</v>
      </c>
      <c r="Z296" s="23" t="n">
        <v>23.54</v>
      </c>
      <c r="AA296" s="7">
        <f>Y296/Z296</f>
        <v/>
      </c>
      <c r="AB296" s="7">
        <f>(AA296/Y296)*100</f>
        <v/>
      </c>
    </row>
    <row r="297">
      <c r="A297" s="14" t="n">
        <v>296</v>
      </c>
      <c r="B297" s="9" t="n">
        <v>45230</v>
      </c>
      <c r="C297" s="4" t="n">
        <v>31667115.1</v>
      </c>
      <c r="D297" s="4">
        <f>C297/E297</f>
        <v/>
      </c>
      <c r="E297" s="4" t="n">
        <v>83.25</v>
      </c>
      <c r="F297" s="4">
        <f>D297/100000</f>
        <v/>
      </c>
      <c r="G297" s="7">
        <f>(F297/DataSheet!$C$10*100)</f>
        <v/>
      </c>
      <c r="H297" s="4">
        <f>K297/I297</f>
        <v/>
      </c>
      <c r="I297" s="4">
        <f>(J297/L297)*100</f>
        <v/>
      </c>
      <c r="J297" s="7">
        <f>L297/O297</f>
        <v/>
      </c>
      <c r="K297" s="4" t="n">
        <v>7.35</v>
      </c>
      <c r="L297" s="4" t="n">
        <v>19079.6</v>
      </c>
      <c r="M297" s="4" t="n">
        <v>3.35</v>
      </c>
      <c r="N297" s="4">
        <f>K297-I297</f>
        <v/>
      </c>
      <c r="O297" s="4" t="n">
        <v>20.45</v>
      </c>
      <c r="P297" s="4" t="n">
        <v>4.92</v>
      </c>
      <c r="Q297" s="7">
        <f>K297-P297</f>
        <v/>
      </c>
      <c r="R297" s="4" t="n">
        <v>106.49</v>
      </c>
      <c r="S297" s="7">
        <f>(O297*T297)</f>
        <v/>
      </c>
      <c r="T297" s="12" t="n">
        <v>6.94</v>
      </c>
      <c r="U297" s="23" t="n">
        <v>14566.3</v>
      </c>
      <c r="V297" s="23" t="n">
        <v>25.08</v>
      </c>
      <c r="W297" s="7">
        <f>U297/V297</f>
        <v/>
      </c>
      <c r="X297" s="7">
        <f>(W297/U297)*100</f>
        <v/>
      </c>
      <c r="Y297" s="23" t="n">
        <v>12023.75</v>
      </c>
      <c r="Z297" s="23" t="n">
        <v>23.46</v>
      </c>
      <c r="AA297" s="7">
        <f>Y297/Z297</f>
        <v/>
      </c>
      <c r="AB297" s="7">
        <f>(AA297/Y297)*100</f>
        <v/>
      </c>
    </row>
    <row r="298">
      <c r="A298" s="14" t="n">
        <v>297</v>
      </c>
      <c r="B298" s="9" t="n">
        <v>45231</v>
      </c>
      <c r="C298" s="4" t="n">
        <v>31544789.55</v>
      </c>
      <c r="D298" s="4">
        <f>C298/E298</f>
        <v/>
      </c>
      <c r="E298" s="4" t="n">
        <v>83.23</v>
      </c>
      <c r="F298" s="4">
        <f>D298/100000</f>
        <v/>
      </c>
      <c r="G298" s="7">
        <f>(F298/DataSheet!$C$10*100)</f>
        <v/>
      </c>
      <c r="H298" s="4">
        <f>K298/I298</f>
        <v/>
      </c>
      <c r="I298" s="4">
        <f>(J298/L298)*100</f>
        <v/>
      </c>
      <c r="J298" s="7">
        <f>L298/O298</f>
        <v/>
      </c>
      <c r="K298" s="4" t="n">
        <v>7.35</v>
      </c>
      <c r="L298" s="4" t="n">
        <v>18989.15</v>
      </c>
      <c r="M298" s="4" t="n">
        <v>3.33</v>
      </c>
      <c r="N298" s="4">
        <f>K298-I298</f>
        <v/>
      </c>
      <c r="O298" s="4" t="n">
        <v>20.4</v>
      </c>
      <c r="P298" s="4" t="n">
        <v>4.73</v>
      </c>
      <c r="Q298" s="7">
        <f>K298-P298</f>
        <v/>
      </c>
      <c r="R298" s="4" t="n">
        <v>106.71</v>
      </c>
      <c r="S298" s="7">
        <f>(O298*T298)</f>
        <v/>
      </c>
      <c r="T298" s="12" t="n">
        <v>6.93</v>
      </c>
      <c r="U298" s="23" t="n">
        <v>14545.1</v>
      </c>
      <c r="V298" s="23" t="n">
        <v>24.97</v>
      </c>
      <c r="W298" s="7">
        <f>U298/V298</f>
        <v/>
      </c>
      <c r="X298" s="7">
        <f>(W298/U298)*100</f>
        <v/>
      </c>
      <c r="Y298" s="23" t="n">
        <v>12000.5</v>
      </c>
      <c r="Z298" s="23" t="n">
        <v>23.66</v>
      </c>
      <c r="AA298" s="7">
        <f>Y298/Z298</f>
        <v/>
      </c>
      <c r="AB298" s="7">
        <f>(AA298/Y298)*100</f>
        <v/>
      </c>
    </row>
    <row r="299">
      <c r="A299" s="14" t="n">
        <v>298</v>
      </c>
      <c r="B299" s="9" t="n">
        <v>45232</v>
      </c>
      <c r="C299" s="4" t="n">
        <v>31778049.3</v>
      </c>
      <c r="D299" s="4">
        <f>C299/E299</f>
        <v/>
      </c>
      <c r="E299" s="4" t="n">
        <v>83.23</v>
      </c>
      <c r="F299" s="4">
        <f>D299/100000</f>
        <v/>
      </c>
      <c r="G299" s="7">
        <f>(F299/DataSheet!$C$10*100)</f>
        <v/>
      </c>
      <c r="H299" s="4">
        <f>K299/I299</f>
        <v/>
      </c>
      <c r="I299" s="4">
        <f>(J299/L299)*100</f>
        <v/>
      </c>
      <c r="J299" s="7">
        <f>L299/O299</f>
        <v/>
      </c>
      <c r="K299" s="4" t="n">
        <v>7.32</v>
      </c>
      <c r="L299" s="4" t="n">
        <v>19133.25</v>
      </c>
      <c r="M299" s="4" t="n">
        <v>3.36</v>
      </c>
      <c r="N299" s="4">
        <f>K299-I299</f>
        <v/>
      </c>
      <c r="O299" s="4" t="n">
        <v>20.77</v>
      </c>
      <c r="P299" s="4" t="n">
        <v>4.66</v>
      </c>
      <c r="Q299" s="7">
        <f>K299-P299</f>
        <v/>
      </c>
      <c r="R299" s="4" t="n">
        <v>105.97</v>
      </c>
      <c r="S299" s="7">
        <f>(O299*T299)</f>
        <v/>
      </c>
      <c r="T299" s="12" t="n">
        <v>6.95</v>
      </c>
      <c r="U299" s="23" t="n">
        <v>14718.5</v>
      </c>
      <c r="V299" s="23" t="n">
        <v>25.08</v>
      </c>
      <c r="W299" s="7">
        <f>U299/V299</f>
        <v/>
      </c>
      <c r="X299" s="7">
        <f>(W299/U299)*100</f>
        <v/>
      </c>
      <c r="Y299" s="23" t="n">
        <v>12130.3</v>
      </c>
      <c r="Z299" s="23" t="n">
        <v>23.72</v>
      </c>
      <c r="AA299" s="7">
        <f>Y299/Z299</f>
        <v/>
      </c>
      <c r="AB299" s="7">
        <f>(AA299/Y299)*100</f>
        <v/>
      </c>
    </row>
    <row r="300">
      <c r="A300" s="14" t="n">
        <v>299</v>
      </c>
      <c r="B300" s="9" t="n">
        <v>45233</v>
      </c>
      <c r="C300" s="4" t="n">
        <v>32047271.53</v>
      </c>
      <c r="D300" s="4">
        <f>C300/E300</f>
        <v/>
      </c>
      <c r="E300" s="4" t="n">
        <v>83.14</v>
      </c>
      <c r="F300" s="4">
        <f>D300/100000</f>
        <v/>
      </c>
      <c r="G300" s="7">
        <f>(F300/DataSheet!$C$10*100)</f>
        <v/>
      </c>
      <c r="H300" s="4">
        <f>K300/I300</f>
        <v/>
      </c>
      <c r="I300" s="4">
        <f>(J300/L300)*100</f>
        <v/>
      </c>
      <c r="J300" s="7">
        <f>L300/O300</f>
        <v/>
      </c>
      <c r="K300" s="4" t="n">
        <v>7.31</v>
      </c>
      <c r="L300" s="4" t="n">
        <v>19230.6</v>
      </c>
      <c r="M300" s="4" t="n">
        <v>3.37</v>
      </c>
      <c r="N300" s="4">
        <f>K300-I300</f>
        <v/>
      </c>
      <c r="O300" s="4" t="n">
        <v>20.88</v>
      </c>
      <c r="P300" s="4" t="n">
        <v>4.57</v>
      </c>
      <c r="Q300" s="7">
        <f>K300-P300</f>
        <v/>
      </c>
      <c r="R300" s="4" t="n">
        <v>104.85</v>
      </c>
      <c r="S300" s="7">
        <f>(O300*T300)</f>
        <v/>
      </c>
      <c r="T300" s="12" t="n">
        <v>6.95</v>
      </c>
      <c r="U300" s="23" t="n">
        <v>14819.1</v>
      </c>
      <c r="V300" s="23" t="n">
        <v>25.25</v>
      </c>
      <c r="W300" s="7">
        <f>U300/V300</f>
        <v/>
      </c>
      <c r="X300" s="7">
        <f>(W300/U300)*100</f>
        <v/>
      </c>
      <c r="Y300" s="23" t="n">
        <v>12253.6</v>
      </c>
      <c r="Z300" s="23" t="n">
        <v>23.96</v>
      </c>
      <c r="AA300" s="7">
        <f>Y300/Z300</f>
        <v/>
      </c>
      <c r="AB300" s="7">
        <f>(AA300/Y300)*100</f>
        <v/>
      </c>
    </row>
    <row r="301">
      <c r="A301" s="14" t="n">
        <v>300</v>
      </c>
      <c r="B301" s="9" t="n">
        <v>45236</v>
      </c>
      <c r="C301" s="4" t="n">
        <v>32337406.35</v>
      </c>
      <c r="D301" s="4">
        <f>C301/E301</f>
        <v/>
      </c>
      <c r="E301" s="4" t="n">
        <v>83.20999999999999</v>
      </c>
      <c r="F301" s="4">
        <f>D301/100000</f>
        <v/>
      </c>
      <c r="G301" s="7">
        <f>(F301/DataSheet!$C$10*100)</f>
        <v/>
      </c>
      <c r="H301" s="4">
        <f>K301/I301</f>
        <v/>
      </c>
      <c r="I301" s="4">
        <f>(J301/L301)*100</f>
        <v/>
      </c>
      <c r="J301" s="7">
        <f>L301/O301</f>
        <v/>
      </c>
      <c r="K301" s="4" t="n">
        <v>7.3</v>
      </c>
      <c r="L301" s="4" t="n">
        <v>19411.75</v>
      </c>
      <c r="M301" s="4" t="n">
        <v>3.41</v>
      </c>
      <c r="N301" s="4">
        <f>K301-I301</f>
        <v/>
      </c>
      <c r="O301" s="4" t="n">
        <v>20.96</v>
      </c>
      <c r="P301" s="4" t="n">
        <v>4.64</v>
      </c>
      <c r="Q301" s="7">
        <f>K301-P301</f>
        <v/>
      </c>
      <c r="R301" s="4" t="n">
        <v>105.04</v>
      </c>
      <c r="S301" s="7">
        <f>(O301*T301)</f>
        <v/>
      </c>
      <c r="T301" s="12" t="n">
        <v>6.93</v>
      </c>
      <c r="U301" s="23" t="n">
        <v>14953.75</v>
      </c>
      <c r="V301" s="23" t="n">
        <v>25</v>
      </c>
      <c r="W301" s="7">
        <f>U301/V301</f>
        <v/>
      </c>
      <c r="X301" s="7">
        <f>(W301/U301)*100</f>
        <v/>
      </c>
      <c r="Y301" s="23" t="n">
        <v>12384.35</v>
      </c>
      <c r="Z301" s="23" t="n">
        <v>24.24</v>
      </c>
      <c r="AA301" s="7">
        <f>Y301/Z301</f>
        <v/>
      </c>
      <c r="AB301" s="7">
        <f>(AA301/Y301)*100</f>
        <v/>
      </c>
    </row>
    <row r="302">
      <c r="A302" s="14" t="n">
        <v>301</v>
      </c>
      <c r="B302" s="9" t="n">
        <v>45237</v>
      </c>
      <c r="C302" s="4" t="n">
        <v>32424777.49</v>
      </c>
      <c r="D302" s="4">
        <f>C302/E302</f>
        <v/>
      </c>
      <c r="E302" s="4" t="n">
        <v>83.23</v>
      </c>
      <c r="F302" s="4">
        <f>D302/100000</f>
        <v/>
      </c>
      <c r="G302" s="7">
        <f>(F302/DataSheet!$C$10*100)</f>
        <v/>
      </c>
      <c r="H302" s="4">
        <f>K302/I302</f>
        <v/>
      </c>
      <c r="I302" s="4">
        <f>(J302/L302)*100</f>
        <v/>
      </c>
      <c r="J302" s="7">
        <f>L302/O302</f>
        <v/>
      </c>
      <c r="K302" s="4" t="n">
        <v>7.28</v>
      </c>
      <c r="L302" s="4" t="n">
        <v>19406.7</v>
      </c>
      <c r="M302" s="4" t="n">
        <v>3.41</v>
      </c>
      <c r="N302" s="4">
        <f>K302-I302</f>
        <v/>
      </c>
      <c r="O302" s="4" t="n">
        <v>20.92</v>
      </c>
      <c r="P302" s="4" t="n">
        <v>4.56</v>
      </c>
      <c r="Q302" s="7">
        <f>K302-P302</f>
        <v/>
      </c>
      <c r="R302" s="4" t="n">
        <v>105.37</v>
      </c>
      <c r="S302" s="7">
        <f>(O302*T302)</f>
        <v/>
      </c>
      <c r="T302" s="12" t="n">
        <v>6.93</v>
      </c>
      <c r="U302" s="23" t="n">
        <v>14994.1</v>
      </c>
      <c r="V302" s="23" t="n">
        <v>24.91</v>
      </c>
      <c r="W302" s="7">
        <f>U302/V302</f>
        <v/>
      </c>
      <c r="X302" s="7">
        <f>(W302/U302)*100</f>
        <v/>
      </c>
      <c r="Y302" s="23" t="n">
        <v>12456.05</v>
      </c>
      <c r="Z302" s="23" t="n">
        <v>24.32</v>
      </c>
      <c r="AA302" s="7">
        <f>Y302/Z302</f>
        <v/>
      </c>
      <c r="AB302" s="7">
        <f>(AA302/Y302)*100</f>
        <v/>
      </c>
    </row>
    <row r="303">
      <c r="A303" s="14" t="n">
        <v>302</v>
      </c>
      <c r="B303" s="9" t="n">
        <v>45238</v>
      </c>
      <c r="C303" s="4" t="n">
        <v>32581055.53</v>
      </c>
      <c r="D303" s="4">
        <f>C303/E303</f>
        <v/>
      </c>
      <c r="E303" s="4" t="n">
        <v>83.20999999999999</v>
      </c>
      <c r="F303" s="4">
        <f>D303/100000</f>
        <v/>
      </c>
      <c r="G303" s="7">
        <f>(F303/DataSheet!$C$10*100)</f>
        <v/>
      </c>
      <c r="H303" s="4">
        <f>K303/I303</f>
        <v/>
      </c>
      <c r="I303" s="4">
        <f>(J303/L303)*100</f>
        <v/>
      </c>
      <c r="J303" s="7">
        <f>L303/O303</f>
        <v/>
      </c>
      <c r="K303" s="4" t="n">
        <v>7.26</v>
      </c>
      <c r="L303" s="4" t="n">
        <v>19443.5</v>
      </c>
      <c r="M303" s="4" t="n">
        <v>3.41</v>
      </c>
      <c r="N303" s="4">
        <f>K303-I303</f>
        <v/>
      </c>
      <c r="O303" s="4" t="n">
        <v>20.97</v>
      </c>
      <c r="P303" s="4" t="n">
        <v>4.49</v>
      </c>
      <c r="Q303" s="7">
        <f>K303-P303</f>
        <v/>
      </c>
      <c r="R303" s="4" t="n">
        <v>105.44</v>
      </c>
      <c r="S303" s="7">
        <f>(O303*T303)</f>
        <v/>
      </c>
      <c r="T303" s="12" t="n">
        <v>6.93</v>
      </c>
      <c r="U303" s="23" t="n">
        <v>15138.7</v>
      </c>
      <c r="V303" s="23" t="n">
        <v>24.16</v>
      </c>
      <c r="W303" s="7">
        <f>U303/V303</f>
        <v/>
      </c>
      <c r="X303" s="7">
        <f>(W303/U303)*100</f>
        <v/>
      </c>
      <c r="Y303" s="23" t="n">
        <v>12530.65</v>
      </c>
      <c r="Z303" s="23" t="n">
        <v>24.55</v>
      </c>
      <c r="AA303" s="7">
        <f>Y303/Z303</f>
        <v/>
      </c>
      <c r="AB303" s="7">
        <f>(AA303/Y303)*100</f>
        <v/>
      </c>
    </row>
    <row r="304">
      <c r="A304" s="14" t="n">
        <v>303</v>
      </c>
      <c r="B304" s="9" t="n">
        <v>45239</v>
      </c>
      <c r="C304" s="4" t="n">
        <v>32496397.03</v>
      </c>
      <c r="D304" s="4">
        <f>C304/E304</f>
        <v/>
      </c>
      <c r="E304" s="4" t="n">
        <v>83.31</v>
      </c>
      <c r="F304" s="4">
        <f>D304/100000</f>
        <v/>
      </c>
      <c r="G304" s="7">
        <f>(F304/DataSheet!$C$10*100)</f>
        <v/>
      </c>
      <c r="H304" s="4">
        <f>K304/I304</f>
        <v/>
      </c>
      <c r="I304" s="4">
        <f>(J304/L304)*100</f>
        <v/>
      </c>
      <c r="J304" s="7">
        <f>L304/O304</f>
        <v/>
      </c>
      <c r="K304" s="4" t="n">
        <v>7.26</v>
      </c>
      <c r="L304" s="4" t="n">
        <v>19395.3</v>
      </c>
      <c r="M304" s="4" t="n">
        <v>3.4</v>
      </c>
      <c r="N304" s="4">
        <f>K304-I304</f>
        <v/>
      </c>
      <c r="O304" s="4" t="n">
        <v>20.91</v>
      </c>
      <c r="P304" s="4" t="n">
        <v>4.63</v>
      </c>
      <c r="Q304" s="7">
        <f>K304-P304</f>
        <v/>
      </c>
      <c r="R304" s="4" t="n">
        <v>105.78</v>
      </c>
      <c r="S304" s="7">
        <f>(O304*T304)</f>
        <v/>
      </c>
      <c r="T304" s="12" t="n">
        <v>6.94</v>
      </c>
      <c r="U304" s="23" t="n">
        <v>15142.8</v>
      </c>
      <c r="V304" s="23" t="n">
        <v>24.02</v>
      </c>
      <c r="W304" s="7">
        <f>U304/V304</f>
        <v/>
      </c>
      <c r="X304" s="7">
        <f>(W304/U304)*100</f>
        <v/>
      </c>
      <c r="Y304" s="23" t="n">
        <v>12494.35</v>
      </c>
      <c r="Z304" s="23" t="n">
        <v>24.5</v>
      </c>
      <c r="AA304" s="7">
        <f>Y304/Z304</f>
        <v/>
      </c>
      <c r="AB304" s="7">
        <f>(AA304/Y304)*100</f>
        <v/>
      </c>
    </row>
    <row r="305">
      <c r="A305" s="14" t="n">
        <v>304</v>
      </c>
      <c r="B305" s="9" t="n">
        <v>45240</v>
      </c>
      <c r="C305" s="5" t="n">
        <v>32560054.65</v>
      </c>
      <c r="D305" s="4">
        <f>C305/E305</f>
        <v/>
      </c>
      <c r="E305" s="4" t="n">
        <v>83.3</v>
      </c>
      <c r="F305" s="4">
        <f>D305/100000</f>
        <v/>
      </c>
      <c r="G305" s="7">
        <f>(F305/DataSheet!$C$10*100)</f>
        <v/>
      </c>
      <c r="H305" s="4">
        <f>K305/I305</f>
        <v/>
      </c>
      <c r="I305" s="4">
        <f>(J305/L305)*100</f>
        <v/>
      </c>
      <c r="J305" s="7">
        <f>L305/O305</f>
        <v/>
      </c>
      <c r="K305" s="4" t="n">
        <v>7.3</v>
      </c>
      <c r="L305" s="4" t="n">
        <v>19425.35</v>
      </c>
      <c r="M305" s="4" t="n">
        <v>3.41</v>
      </c>
      <c r="N305" s="4">
        <f>K305-I305</f>
        <v/>
      </c>
      <c r="O305" s="4" t="n">
        <v>20.95</v>
      </c>
      <c r="P305" s="4" t="n">
        <v>4.64</v>
      </c>
      <c r="Q305" s="7">
        <f>K305-P305</f>
        <v/>
      </c>
      <c r="R305" s="4" t="n">
        <v>105.72</v>
      </c>
      <c r="S305" s="7">
        <f>(O305*T305)</f>
        <v/>
      </c>
      <c r="T305" s="12" t="n">
        <v>6.94</v>
      </c>
      <c r="U305" s="23" t="n">
        <v>15199.15</v>
      </c>
      <c r="V305" s="23" t="n">
        <v>24.25</v>
      </c>
      <c r="W305" s="7">
        <f>U305/V305</f>
        <v/>
      </c>
      <c r="X305" s="7">
        <f>(W305/U305)*100</f>
        <v/>
      </c>
      <c r="Y305" s="23" t="n">
        <v>12547.05</v>
      </c>
      <c r="Z305" s="23" t="n">
        <v>24.39</v>
      </c>
      <c r="AA305" s="7">
        <f>Y305/Z305</f>
        <v/>
      </c>
      <c r="AB305" s="7">
        <f>(AA305/Y305)*100</f>
        <v/>
      </c>
    </row>
    <row r="306">
      <c r="A306" s="14" t="n">
        <v>305</v>
      </c>
      <c r="B306" s="9" t="n">
        <v>45242</v>
      </c>
      <c r="C306" s="5" t="n">
        <v>32712347.03</v>
      </c>
      <c r="D306" s="4">
        <f>C306/E306</f>
        <v/>
      </c>
      <c r="E306" s="4" t="n">
        <v>83.29000000000001</v>
      </c>
      <c r="F306" s="4">
        <f>D306/100000</f>
        <v/>
      </c>
      <c r="G306" s="7">
        <f>(F306/DataSheet!$C$10*100)</f>
        <v/>
      </c>
      <c r="H306" s="4">
        <f>K306/I306</f>
        <v/>
      </c>
      <c r="I306" s="4">
        <f>(J306/L306)*100</f>
        <v/>
      </c>
      <c r="J306" s="7">
        <f>L306/O306</f>
        <v/>
      </c>
      <c r="K306" s="4" t="n">
        <v>7.3</v>
      </c>
      <c r="L306" s="4" t="n">
        <v>19525.55</v>
      </c>
      <c r="M306" s="4" t="n">
        <v>3.43</v>
      </c>
      <c r="N306" s="4">
        <f>K306-I306</f>
        <v/>
      </c>
      <c r="O306" s="4" t="n">
        <v>21.05</v>
      </c>
      <c r="P306" s="4" t="n">
        <v>4.65</v>
      </c>
      <c r="Q306" s="7">
        <f>K306-P306</f>
        <v/>
      </c>
      <c r="R306" s="4" t="n">
        <v>105.64</v>
      </c>
      <c r="S306" s="7">
        <f>(O306*T306)</f>
        <v/>
      </c>
      <c r="T306" s="12" t="n">
        <v>6.94</v>
      </c>
      <c r="U306" s="23" t="n">
        <v>15298.95</v>
      </c>
      <c r="V306" s="23" t="n">
        <v>24.41</v>
      </c>
      <c r="W306" s="7">
        <f>U306/V306</f>
        <v/>
      </c>
      <c r="X306" s="7">
        <f>(W306/U306)*100</f>
        <v/>
      </c>
      <c r="Y306" s="23" t="n">
        <v>12705.5</v>
      </c>
      <c r="Z306" s="23" t="n">
        <v>24.7</v>
      </c>
      <c r="AA306" s="7">
        <f>Y306/Z306</f>
        <v/>
      </c>
      <c r="AB306" s="7">
        <f>(AA306/Y306)*100</f>
        <v/>
      </c>
    </row>
    <row r="307">
      <c r="A307" s="14" t="n">
        <v>306</v>
      </c>
      <c r="B307" s="9" t="n">
        <v>45243</v>
      </c>
      <c r="C307" s="4" t="n">
        <v>32740562.9</v>
      </c>
      <c r="D307" s="4">
        <f>C307/E307</f>
        <v/>
      </c>
      <c r="E307" s="4" t="n">
        <v>83.18000000000001</v>
      </c>
      <c r="F307" s="4">
        <f>D307/100000</f>
        <v/>
      </c>
      <c r="G307" s="7">
        <f>(F307/DataSheet!$C$10*100)</f>
        <v/>
      </c>
      <c r="H307" s="4">
        <f>K307/I307</f>
        <v/>
      </c>
      <c r="I307" s="4">
        <f>(J307/L307)*100</f>
        <v/>
      </c>
      <c r="J307" s="7">
        <f>L307/O307</f>
        <v/>
      </c>
      <c r="K307" s="4" t="n">
        <v>7.28</v>
      </c>
      <c r="L307" s="4" t="n">
        <v>19443.55</v>
      </c>
      <c r="M307" s="4" t="n">
        <v>3.41</v>
      </c>
      <c r="N307" s="4">
        <f>K307-I307</f>
        <v/>
      </c>
      <c r="O307" s="4" t="n">
        <v>20.96</v>
      </c>
      <c r="P307" s="4" t="n">
        <v>4.63</v>
      </c>
      <c r="Q307" s="7">
        <f>K307-P307</f>
        <v/>
      </c>
      <c r="R307" s="4" t="n">
        <v>105.5</v>
      </c>
      <c r="S307" s="7">
        <f>(O307*T307)</f>
        <v/>
      </c>
      <c r="T307" s="12" t="n">
        <v>6.94</v>
      </c>
      <c r="U307" s="23" t="n">
        <v>15292.2</v>
      </c>
      <c r="V307" s="23" t="n">
        <v>24.12</v>
      </c>
      <c r="W307" s="7">
        <f>U307/V307</f>
        <v/>
      </c>
      <c r="X307" s="7">
        <f>(W307/U307)*100</f>
        <v/>
      </c>
      <c r="Y307" s="23" t="n">
        <v>12736.75</v>
      </c>
      <c r="Z307" s="23" t="n">
        <v>24.64</v>
      </c>
      <c r="AA307" s="7">
        <f>Y307/Z307</f>
        <v/>
      </c>
      <c r="AB307" s="7">
        <f>(AA307/Y307)*100</f>
        <v/>
      </c>
    </row>
    <row r="308">
      <c r="A308" s="14" t="n">
        <v>308</v>
      </c>
      <c r="B308" s="9" t="n">
        <v>45245</v>
      </c>
      <c r="C308" s="4" t="n">
        <v>33075584.7</v>
      </c>
      <c r="D308" s="4">
        <f>C308/E308</f>
        <v/>
      </c>
      <c r="E308" s="4" t="n">
        <v>83.18000000000001</v>
      </c>
      <c r="F308" s="4">
        <f>D308/100000</f>
        <v/>
      </c>
      <c r="G308" s="7">
        <f>(F308/DataSheet!$C$10*100)</f>
        <v/>
      </c>
      <c r="H308" s="4">
        <f>K308/I308</f>
        <v/>
      </c>
      <c r="I308" s="4">
        <f>(J308/L308)*100</f>
        <v/>
      </c>
      <c r="J308" s="7">
        <f>L308/O308</f>
        <v/>
      </c>
      <c r="K308" s="4" t="n">
        <v>7.22</v>
      </c>
      <c r="L308" s="4" t="n">
        <v>19675.45</v>
      </c>
      <c r="M308" s="4" t="n">
        <v>3.45</v>
      </c>
      <c r="N308" s="4">
        <f>K308-I308</f>
        <v/>
      </c>
      <c r="O308" s="4" t="n">
        <v>21.05</v>
      </c>
      <c r="P308" s="4" t="n">
        <v>4.53</v>
      </c>
      <c r="Q308" s="7">
        <f>K308-P308</f>
        <v/>
      </c>
      <c r="R308" s="4" t="n">
        <v>104.26</v>
      </c>
      <c r="S308" s="7">
        <f>(O308*T308)</f>
        <v/>
      </c>
      <c r="T308" s="12" t="n">
        <v>6.93</v>
      </c>
      <c r="U308" s="23" t="n">
        <v>15424.75</v>
      </c>
      <c r="V308" s="23" t="n">
        <v>23.96</v>
      </c>
      <c r="W308" s="7">
        <f>U308/V308</f>
        <v/>
      </c>
      <c r="X308" s="7">
        <f>(W308/U308)*100</f>
        <v/>
      </c>
      <c r="Y308" s="23" t="n">
        <v>12878</v>
      </c>
      <c r="Z308" s="23" t="n">
        <v>24.94</v>
      </c>
      <c r="AA308" s="7">
        <f>Y308/Z308</f>
        <v/>
      </c>
      <c r="AB308" s="7">
        <f>(AA308/Y308)*100</f>
        <v/>
      </c>
    </row>
    <row r="309">
      <c r="A309" s="14" t="n">
        <v>309</v>
      </c>
      <c r="B309" s="9" t="n">
        <v>45246</v>
      </c>
      <c r="C309" s="4" t="n">
        <v>33240904.43</v>
      </c>
      <c r="D309" s="4">
        <f>C309/E309</f>
        <v/>
      </c>
      <c r="E309" s="4" t="n">
        <v>83.15000000000001</v>
      </c>
      <c r="F309" s="4">
        <f>D309/100000</f>
        <v/>
      </c>
      <c r="G309" s="7">
        <f>(F309/DataSheet!$C$10*100)</f>
        <v/>
      </c>
      <c r="H309" s="4">
        <f>K309/I309</f>
        <v/>
      </c>
      <c r="I309" s="4">
        <f>(J309/L309)*100</f>
        <v/>
      </c>
      <c r="J309" s="7">
        <f>L309/O309</f>
        <v/>
      </c>
      <c r="K309" s="4" t="n">
        <v>7.23</v>
      </c>
      <c r="L309" s="4" t="n">
        <v>19765.2</v>
      </c>
      <c r="M309" s="4" t="n">
        <v>3.47</v>
      </c>
      <c r="N309" s="4">
        <f>K309-I309</f>
        <v/>
      </c>
      <c r="O309" s="4" t="n">
        <v>21.13</v>
      </c>
      <c r="P309" s="4" t="n">
        <v>4.44</v>
      </c>
      <c r="Q309" s="7">
        <f>K309-P309</f>
        <v/>
      </c>
      <c r="R309" s="4" t="n">
        <v>104.23</v>
      </c>
      <c r="S309" s="7">
        <f>(O309*T309)</f>
        <v/>
      </c>
      <c r="T309" s="12" t="n">
        <v>6.93</v>
      </c>
      <c r="U309" s="23" t="n">
        <v>15532.8</v>
      </c>
      <c r="V309" s="23" t="n">
        <v>24.15</v>
      </c>
      <c r="W309" s="7">
        <f>U309/V309</f>
        <v/>
      </c>
      <c r="X309" s="7">
        <f>(W309/U309)*100</f>
        <v/>
      </c>
      <c r="Y309" s="23" t="n">
        <v>12933.85</v>
      </c>
      <c r="Z309" s="23" t="n">
        <v>25.01</v>
      </c>
      <c r="AA309" s="7">
        <f>Y309/Z309</f>
        <v/>
      </c>
      <c r="AB309" s="7">
        <f>(AA309/Y309)*100</f>
        <v/>
      </c>
    </row>
    <row r="310">
      <c r="A310" s="14" t="n">
        <v>310</v>
      </c>
      <c r="B310" s="9" t="n">
        <v>45247</v>
      </c>
      <c r="C310" s="4" t="n">
        <v>33291901.36</v>
      </c>
      <c r="D310" s="4">
        <f>C310/E310</f>
        <v/>
      </c>
      <c r="E310" s="4" t="n">
        <v>83.23999999999999</v>
      </c>
      <c r="F310" s="4">
        <f>D310/100000</f>
        <v/>
      </c>
      <c r="G310" s="7">
        <f>(F310/DataSheet!$C$10*100)</f>
        <v/>
      </c>
      <c r="H310" s="4">
        <f>K310/I310</f>
        <v/>
      </c>
      <c r="I310" s="4">
        <f>(J310/L310)*100</f>
        <v/>
      </c>
      <c r="J310" s="7">
        <f>L310/O310</f>
        <v/>
      </c>
      <c r="K310" s="4" t="n">
        <v>7.21</v>
      </c>
      <c r="L310" s="4" t="n">
        <v>19731.8</v>
      </c>
      <c r="M310" s="4" t="n">
        <v>3.46</v>
      </c>
      <c r="N310" s="4">
        <f>K310-I310</f>
        <v/>
      </c>
      <c r="O310" s="4" t="n">
        <v>21.1</v>
      </c>
      <c r="P310" s="4" t="n">
        <v>4.43</v>
      </c>
      <c r="Q310" s="7">
        <f>K310-P310</f>
        <v/>
      </c>
      <c r="R310" s="4" t="n">
        <v>103.79</v>
      </c>
      <c r="S310" s="7">
        <f>(O310*T310)</f>
        <v/>
      </c>
      <c r="T310" s="12" t="n">
        <v>6.93</v>
      </c>
      <c r="U310" s="23" t="n">
        <v>15586.1</v>
      </c>
      <c r="V310" s="23" t="n">
        <v>24.27</v>
      </c>
      <c r="W310" s="7">
        <f>U310/V310</f>
        <v/>
      </c>
      <c r="X310" s="7">
        <f>(W310/U310)*100</f>
        <v/>
      </c>
      <c r="Y310" s="23" t="n">
        <v>12976.9</v>
      </c>
      <c r="Z310" s="23" t="n">
        <v>25.1</v>
      </c>
      <c r="AA310" s="7">
        <f>Y310/Z310</f>
        <v/>
      </c>
      <c r="AB310" s="7">
        <f>(AA310/Y310)*100</f>
        <v/>
      </c>
    </row>
    <row r="311">
      <c r="A311" s="14" t="n">
        <v>313</v>
      </c>
      <c r="B311" s="9" t="n">
        <v>45250</v>
      </c>
      <c r="C311" s="4" t="n">
        <v>33266426.87</v>
      </c>
      <c r="D311" s="4">
        <f>C311/E311</f>
        <v/>
      </c>
      <c r="E311" s="4" t="n">
        <v>83.31</v>
      </c>
      <c r="F311" s="4">
        <f>D311/100000</f>
        <v/>
      </c>
      <c r="G311" s="7">
        <f>(F311/DataSheet!$C$10*100)</f>
        <v/>
      </c>
      <c r="H311" s="4">
        <f>K311/I311</f>
        <v/>
      </c>
      <c r="I311" s="4">
        <f>(J311/L311)*100</f>
        <v/>
      </c>
      <c r="J311" s="7">
        <f>L311/O311</f>
        <v/>
      </c>
      <c r="K311" s="4" t="n">
        <v>7.25</v>
      </c>
      <c r="L311" s="4" t="n">
        <v>19694</v>
      </c>
      <c r="M311" s="4" t="n">
        <v>3.46</v>
      </c>
      <c r="N311" s="4">
        <f>K311-I311</f>
        <v/>
      </c>
      <c r="O311" s="4" t="n">
        <v>21.06</v>
      </c>
      <c r="P311" s="4" t="n">
        <v>4.42</v>
      </c>
      <c r="Q311" s="7">
        <f>K311-P311</f>
        <v/>
      </c>
      <c r="R311" s="4" t="n">
        <v>103.31</v>
      </c>
      <c r="S311" s="7">
        <f>(O311*T311)</f>
        <v/>
      </c>
      <c r="T311" s="12" t="n">
        <v>6.95</v>
      </c>
      <c r="U311" s="23" t="n">
        <v>15589.7</v>
      </c>
      <c r="V311" s="23" t="n">
        <v>24.27</v>
      </c>
      <c r="W311" s="7">
        <f>U311/V311</f>
        <v/>
      </c>
      <c r="X311" s="7">
        <f>(W311/U311)*100</f>
        <v/>
      </c>
      <c r="Y311" s="23" t="n">
        <v>12981.5</v>
      </c>
      <c r="Z311" s="23" t="n">
        <v>25.11</v>
      </c>
      <c r="AA311" s="7">
        <f>Y311/Z311</f>
        <v/>
      </c>
      <c r="AB311" s="7">
        <f>(AA311/Y311)*100</f>
        <v/>
      </c>
    </row>
    <row r="312">
      <c r="A312" s="14" t="n">
        <v>314</v>
      </c>
      <c r="B312" s="9" t="n">
        <v>45251</v>
      </c>
      <c r="C312" s="4" t="n">
        <v>33349955.75</v>
      </c>
      <c r="D312" s="4">
        <f>C312/E312</f>
        <v/>
      </c>
      <c r="E312" s="4" t="n">
        <v>83.3</v>
      </c>
      <c r="F312" s="4">
        <f>D312/100000</f>
        <v/>
      </c>
      <c r="G312" s="7">
        <f>(F312/DataSheet!$C$10*100)</f>
        <v/>
      </c>
      <c r="H312" s="4">
        <f>K312/I312</f>
        <v/>
      </c>
      <c r="I312" s="4">
        <f>(J312/L312)*100</f>
        <v/>
      </c>
      <c r="J312" s="7">
        <f>L312/O312</f>
        <v/>
      </c>
      <c r="K312" s="4" t="n">
        <v>7.26</v>
      </c>
      <c r="L312" s="4" t="n">
        <v>19783.4</v>
      </c>
      <c r="M312" s="4" t="n">
        <v>3.47</v>
      </c>
      <c r="N312" s="4">
        <f>K312-I312</f>
        <v/>
      </c>
      <c r="O312" s="4" t="n">
        <v>21.14</v>
      </c>
      <c r="P312" s="4" t="n">
        <v>4.39</v>
      </c>
      <c r="Q312" s="7">
        <f>K312-P312</f>
        <v/>
      </c>
      <c r="R312" s="4" t="n">
        <v>103.44</v>
      </c>
      <c r="S312" s="7">
        <f>(O312*T312)</f>
        <v/>
      </c>
      <c r="T312" s="12" t="n">
        <v>6.95</v>
      </c>
      <c r="U312" s="23" t="n">
        <v>15595.1</v>
      </c>
      <c r="V312" s="23" t="n">
        <v>24.28</v>
      </c>
      <c r="W312" s="7">
        <f>U312/V312</f>
        <v/>
      </c>
      <c r="X312" s="7">
        <f>(W312/U312)*100</f>
        <v/>
      </c>
      <c r="Y312" s="23" t="n">
        <v>13006.55</v>
      </c>
      <c r="Z312" s="23" t="n">
        <v>25.16</v>
      </c>
      <c r="AA312" s="7">
        <f>Y312/Z312</f>
        <v/>
      </c>
      <c r="AB312" s="7">
        <f>(AA312/Y312)*100</f>
        <v/>
      </c>
    </row>
    <row r="313">
      <c r="A313" s="14" t="n">
        <v>315</v>
      </c>
      <c r="B313" s="9" t="n">
        <v>45252</v>
      </c>
      <c r="C313" s="4" t="n">
        <v>33326537.61</v>
      </c>
      <c r="D313" s="4">
        <f>C313/E313</f>
        <v/>
      </c>
      <c r="E313" s="4" t="n">
        <v>83.28</v>
      </c>
      <c r="F313" s="4">
        <f>D313/100000</f>
        <v/>
      </c>
      <c r="G313" s="7">
        <f>(F313/DataSheet!$C$10*100)</f>
        <v/>
      </c>
      <c r="H313" s="4">
        <f>K313/I313</f>
        <v/>
      </c>
      <c r="I313" s="4">
        <f>(J313/L313)*100</f>
        <v/>
      </c>
      <c r="J313" s="7">
        <f>L313/O313</f>
        <v/>
      </c>
      <c r="K313" s="4" t="n">
        <v>7.24</v>
      </c>
      <c r="L313" s="4" t="n">
        <v>19811.85</v>
      </c>
      <c r="M313" s="4" t="n">
        <v>3.47</v>
      </c>
      <c r="N313" s="4">
        <f>K313-I313</f>
        <v/>
      </c>
      <c r="O313" s="4" t="n">
        <v>21.17</v>
      </c>
      <c r="P313" s="4" t="n">
        <v>4.4</v>
      </c>
      <c r="Q313" s="7">
        <f>K313-P313</f>
        <v/>
      </c>
      <c r="R313" s="4" t="n">
        <v>103.82</v>
      </c>
      <c r="S313" s="7">
        <f>(O313*T313)</f>
        <v/>
      </c>
      <c r="T313" s="12" t="n">
        <v>6.94</v>
      </c>
      <c r="U313" s="23" t="n">
        <v>15625.85</v>
      </c>
      <c r="V313" s="23" t="n">
        <v>24.33</v>
      </c>
      <c r="W313" s="7">
        <f>U313/V313</f>
        <v/>
      </c>
      <c r="X313" s="7">
        <f>(W313/U313)*100</f>
        <v/>
      </c>
      <c r="Y313" s="23" t="n">
        <v>12896.2</v>
      </c>
      <c r="Z313" s="23" t="n">
        <v>24.94</v>
      </c>
      <c r="AA313" s="7">
        <f>Y313/Z313</f>
        <v/>
      </c>
      <c r="AB313" s="7">
        <f>(AA313/Y313)*100</f>
        <v/>
      </c>
    </row>
    <row r="314">
      <c r="A314" s="14" t="n">
        <v>316</v>
      </c>
      <c r="B314" s="9" t="n">
        <v>45253</v>
      </c>
      <c r="C314" s="4" t="n">
        <v>33363383.76</v>
      </c>
      <c r="D314" s="4">
        <f>C314/E314</f>
        <v/>
      </c>
      <c r="E314" s="4" t="n">
        <v>83.3</v>
      </c>
      <c r="F314" s="4">
        <f>D314/100000</f>
        <v/>
      </c>
      <c r="G314" s="7">
        <f>(F314/DataSheet!$C$10*100)</f>
        <v/>
      </c>
      <c r="H314" s="4">
        <f>K314/I314</f>
        <v/>
      </c>
      <c r="I314" s="4">
        <f>(J314/L314)*100</f>
        <v/>
      </c>
      <c r="J314" s="7">
        <f>L314/O314</f>
        <v/>
      </c>
      <c r="K314" s="4" t="n">
        <v>7.25</v>
      </c>
      <c r="L314" s="4" t="n">
        <v>19802</v>
      </c>
      <c r="M314" s="4" t="n">
        <v>3.47</v>
      </c>
      <c r="N314" s="4">
        <f>K314-I314</f>
        <v/>
      </c>
      <c r="O314" s="4" t="n">
        <v>21.16</v>
      </c>
      <c r="P314" s="4" t="n">
        <v>4.45</v>
      </c>
      <c r="Q314" s="7">
        <f>K314-P314</f>
        <v/>
      </c>
      <c r="R314" s="4" t="n">
        <v>103.82</v>
      </c>
      <c r="S314" s="7">
        <f>(O314*T314)</f>
        <v/>
      </c>
      <c r="T314" s="12" t="n">
        <v>6.95</v>
      </c>
      <c r="U314" s="23" t="n">
        <v>15641.6</v>
      </c>
      <c r="V314" s="23" t="n">
        <v>24.35</v>
      </c>
      <c r="W314" s="7">
        <f>U314/V314</f>
        <v/>
      </c>
      <c r="X314" s="7">
        <f>(W314/U314)*100</f>
        <v/>
      </c>
      <c r="Y314" s="23" t="n">
        <v>12962.4</v>
      </c>
      <c r="Z314" s="23" t="n">
        <v>25.07</v>
      </c>
      <c r="AA314" s="7">
        <f>Y314/Z314</f>
        <v/>
      </c>
      <c r="AB314" s="7">
        <f>(AA314/Y314)*100</f>
        <v/>
      </c>
    </row>
    <row r="315">
      <c r="A315" s="14" t="n">
        <v>317</v>
      </c>
      <c r="B315" s="9" t="n">
        <v>45254</v>
      </c>
      <c r="C315" s="4" t="n">
        <v>33403473.02</v>
      </c>
      <c r="D315" s="4">
        <f>C315/E315</f>
        <v/>
      </c>
      <c r="E315" s="4" t="n">
        <v>83.34</v>
      </c>
      <c r="F315" s="4">
        <f>D315/100000</f>
        <v/>
      </c>
      <c r="G315" s="7">
        <f>(F315/DataSheet!$C$10*100)</f>
        <v/>
      </c>
      <c r="H315" s="4">
        <f>K315/I315</f>
        <v/>
      </c>
      <c r="I315" s="4">
        <f>(J315/L315)*100</f>
        <v/>
      </c>
      <c r="J315" s="7">
        <f>L315/O315</f>
        <v/>
      </c>
      <c r="K315" s="4" t="n">
        <v>7.27</v>
      </c>
      <c r="L315" s="4" t="n">
        <v>19794.7</v>
      </c>
      <c r="M315" s="4" t="n">
        <v>3.47</v>
      </c>
      <c r="N315" s="4">
        <f>K315-I315</f>
        <v/>
      </c>
      <c r="O315" s="4" t="n">
        <v>21.15</v>
      </c>
      <c r="P315" s="4" t="n">
        <v>4.47</v>
      </c>
      <c r="Q315" s="7">
        <f>K315-P315</f>
        <v/>
      </c>
      <c r="R315" s="4" t="n">
        <v>103.3</v>
      </c>
      <c r="S315" s="7">
        <f>(O315*T315)</f>
        <v/>
      </c>
      <c r="T315" s="12" t="n">
        <v>6.95</v>
      </c>
      <c r="U315" s="23" t="n">
        <v>15673.5</v>
      </c>
      <c r="V315" s="23" t="n">
        <v>24.4</v>
      </c>
      <c r="W315" s="7">
        <f>U315/V315</f>
        <v/>
      </c>
      <c r="X315" s="7">
        <f>(W315/U315)*100</f>
        <v/>
      </c>
      <c r="Y315" s="23" t="n">
        <v>12984.95</v>
      </c>
      <c r="Z315" s="23" t="n">
        <v>25.11</v>
      </c>
      <c r="AA315" s="7">
        <f>Y315/Z315</f>
        <v/>
      </c>
      <c r="AB315" s="7">
        <f>(AA315/Y315)*100</f>
        <v/>
      </c>
    </row>
    <row r="316">
      <c r="A316" s="14" t="n">
        <v>321</v>
      </c>
      <c r="B316" s="9" t="n">
        <v>45258</v>
      </c>
      <c r="C316" s="4" t="n">
        <v>33632282.71</v>
      </c>
      <c r="D316" s="4">
        <f>C316/E316</f>
        <v/>
      </c>
      <c r="E316" s="4" t="n">
        <v>83.34</v>
      </c>
      <c r="F316" s="4">
        <f>D316/100000</f>
        <v/>
      </c>
      <c r="G316" s="7">
        <f>(F316/DataSheet!$C$10*100)</f>
        <v/>
      </c>
      <c r="H316" s="4">
        <f>K316/I316</f>
        <v/>
      </c>
      <c r="I316" s="4">
        <f>(J316/L316)*100</f>
        <v/>
      </c>
      <c r="J316" s="7">
        <f>L316/O316</f>
        <v/>
      </c>
      <c r="K316" s="4" t="n">
        <v>7.27</v>
      </c>
      <c r="L316" s="4" t="n">
        <v>19889.7</v>
      </c>
      <c r="M316" s="4" t="n">
        <v>3.49</v>
      </c>
      <c r="N316" s="4">
        <f>K316-I316</f>
        <v/>
      </c>
      <c r="O316" s="4" t="n">
        <v>21.26</v>
      </c>
      <c r="P316" s="4" t="n">
        <v>4.32</v>
      </c>
      <c r="Q316" s="7">
        <f>K316-P316</f>
        <v/>
      </c>
      <c r="R316" s="4" t="n">
        <v>102.64</v>
      </c>
      <c r="S316" s="7">
        <f>(O316*T316)</f>
        <v/>
      </c>
      <c r="T316" s="12" t="n">
        <v>6.95</v>
      </c>
      <c r="U316" s="23" t="n">
        <v>15734.35</v>
      </c>
      <c r="V316" s="23" t="n">
        <v>24.5</v>
      </c>
      <c r="W316" s="7">
        <f>U316/V316</f>
        <v/>
      </c>
      <c r="X316" s="7">
        <f>(W316/U316)*100</f>
        <v/>
      </c>
      <c r="Y316" s="23" t="n">
        <v>13013.9</v>
      </c>
      <c r="Z316" s="23" t="n">
        <v>25.17</v>
      </c>
      <c r="AA316" s="7">
        <f>Y316/Z316</f>
        <v/>
      </c>
      <c r="AB316" s="7">
        <f>(AA316/Y316)*100</f>
        <v/>
      </c>
    </row>
    <row r="317">
      <c r="A317" s="14" t="n">
        <v>322</v>
      </c>
      <c r="B317" s="9" t="n">
        <v>45259</v>
      </c>
      <c r="C317" s="4" t="n">
        <v>33867590.56</v>
      </c>
      <c r="D317" s="4">
        <f>C317/E317</f>
        <v/>
      </c>
      <c r="E317" s="4" t="n">
        <v>83.34999999999999</v>
      </c>
      <c r="F317" s="4">
        <f>D317/100000</f>
        <v/>
      </c>
      <c r="G317" s="7">
        <f>(F317/DataSheet!$C$10*100)</f>
        <v/>
      </c>
      <c r="H317" s="4">
        <f>K317/I317</f>
        <v/>
      </c>
      <c r="I317" s="4">
        <f>(J317/L317)*100</f>
        <v/>
      </c>
      <c r="J317" s="7">
        <f>L317/O317</f>
        <v/>
      </c>
      <c r="K317" s="4" t="n">
        <v>7.25</v>
      </c>
      <c r="L317" s="4" t="n">
        <v>20096.6</v>
      </c>
      <c r="M317" s="4" t="n">
        <v>3.52</v>
      </c>
      <c r="N317" s="4">
        <f>K317-I317</f>
        <v/>
      </c>
      <c r="O317" s="4" t="n">
        <v>21.48</v>
      </c>
      <c r="P317" s="4" t="n">
        <v>4.25</v>
      </c>
      <c r="Q317" s="7">
        <f>K317-P317</f>
        <v/>
      </c>
      <c r="R317" s="4" t="n">
        <v>102.67</v>
      </c>
      <c r="S317" s="7">
        <f>(O317*T317)</f>
        <v/>
      </c>
      <c r="T317" s="12" t="n">
        <v>6.98</v>
      </c>
      <c r="U317" s="23" t="n">
        <v>15838.85</v>
      </c>
      <c r="V317" s="23" t="n">
        <v>24.66</v>
      </c>
      <c r="W317" s="7">
        <f>U317/V317</f>
        <v/>
      </c>
      <c r="X317" s="7">
        <f>(W317/U317)*100</f>
        <v/>
      </c>
      <c r="Y317" s="23" t="n">
        <v>13112.1</v>
      </c>
      <c r="Z317" s="23" t="n">
        <v>25.36</v>
      </c>
      <c r="AA317" s="7">
        <f>Y317/Z317</f>
        <v/>
      </c>
      <c r="AB317" s="7">
        <f>(AA317/Y317)*100</f>
        <v/>
      </c>
    </row>
    <row r="318">
      <c r="A318" s="14" t="n">
        <v>323</v>
      </c>
      <c r="B318" s="9" t="n">
        <v>45260</v>
      </c>
      <c r="C318" s="4" t="n">
        <v>34093304.47</v>
      </c>
      <c r="D318" s="4">
        <f>C318/E318</f>
        <v/>
      </c>
      <c r="E318" s="4" t="n">
        <v>83.34999999999999</v>
      </c>
      <c r="F318" s="4">
        <f>D318/100000</f>
        <v/>
      </c>
      <c r="G318" s="7">
        <f>(F318/DataSheet!$C$10*100)</f>
        <v/>
      </c>
      <c r="H318" s="4">
        <f>K318/I318</f>
        <v/>
      </c>
      <c r="I318" s="4">
        <f>(J318/L318)*100</f>
        <v/>
      </c>
      <c r="J318" s="7">
        <f>L318/O318</f>
        <v/>
      </c>
      <c r="K318" s="4" t="n">
        <v>7.27</v>
      </c>
      <c r="L318" s="4" t="n">
        <v>20133.15</v>
      </c>
      <c r="M318" s="4" t="n">
        <v>3.53</v>
      </c>
      <c r="N318" s="4">
        <f>K318-I318</f>
        <v/>
      </c>
      <c r="O318" s="4" t="n">
        <v>21.52</v>
      </c>
      <c r="P318" s="4" t="n">
        <v>4.33</v>
      </c>
      <c r="Q318" s="7">
        <f>K318-P318</f>
        <v/>
      </c>
      <c r="R318" s="4" t="n">
        <v>103.42</v>
      </c>
      <c r="S318" s="7">
        <f>(O318*T318)</f>
        <v/>
      </c>
      <c r="T318" s="12" t="n">
        <v>6.99</v>
      </c>
      <c r="U318" s="23" t="n">
        <v>15963.25</v>
      </c>
      <c r="V318" s="23" t="n">
        <v>24.85</v>
      </c>
      <c r="W318" s="7">
        <f>U318/V318</f>
        <v/>
      </c>
      <c r="X318" s="7">
        <f>(W318/U318)*100</f>
        <v/>
      </c>
      <c r="Y318" s="23" t="n">
        <v>13252</v>
      </c>
      <c r="Z318" s="23" t="n">
        <v>25.63</v>
      </c>
      <c r="AA318" s="7">
        <f>Y318/Z318</f>
        <v/>
      </c>
      <c r="AB318" s="7">
        <f>(AA318/Y318)*100</f>
        <v/>
      </c>
    </row>
    <row r="319">
      <c r="A319" s="14" t="n">
        <v>324</v>
      </c>
      <c r="B319" s="9" t="n">
        <v>45261</v>
      </c>
      <c r="C319" s="4" t="n">
        <v>34305305.42</v>
      </c>
      <c r="D319" s="4">
        <f>C319/E319</f>
        <v/>
      </c>
      <c r="E319" s="4" t="n">
        <v>83.26000000000001</v>
      </c>
      <c r="F319" s="4">
        <f>D319/100000</f>
        <v/>
      </c>
      <c r="G319" s="7">
        <f>(F319/DataSheet!$C$10*100)</f>
        <v/>
      </c>
      <c r="H319" s="4">
        <f>K319/I319</f>
        <v/>
      </c>
      <c r="I319" s="4">
        <f>(J319/L319)*100</f>
        <v/>
      </c>
      <c r="J319" s="7">
        <f>L319/O319</f>
        <v/>
      </c>
      <c r="K319" s="4" t="n">
        <v>7.29</v>
      </c>
      <c r="L319" s="4" t="n">
        <v>20267.9</v>
      </c>
      <c r="M319" s="4" t="n">
        <v>3.55</v>
      </c>
      <c r="N319" s="4">
        <f>K319-I319</f>
        <v/>
      </c>
      <c r="O319" s="4" t="n">
        <v>21.66</v>
      </c>
      <c r="P319" s="4" t="n">
        <v>4.2</v>
      </c>
      <c r="Q319" s="7">
        <f>K319-P319</f>
        <v/>
      </c>
      <c r="R319" s="4" t="n">
        <v>103.2</v>
      </c>
      <c r="S319" s="7">
        <f>(O319*T319)</f>
        <v/>
      </c>
      <c r="T319" s="12" t="n">
        <v>6.98</v>
      </c>
      <c r="U319" s="23" t="n">
        <v>16104.8</v>
      </c>
      <c r="V319" s="23" t="n">
        <v>25.07</v>
      </c>
      <c r="W319" s="7">
        <f>U319/V319</f>
        <v/>
      </c>
      <c r="X319" s="7">
        <f>(W319/U319)*100</f>
        <v/>
      </c>
      <c r="Y319" s="23" t="n">
        <v>13326.6</v>
      </c>
      <c r="Z319" s="23" t="n">
        <v>25.77</v>
      </c>
      <c r="AA319" s="7">
        <f>Y319/Z319</f>
        <v/>
      </c>
      <c r="AB319" s="7">
        <f>(AA319/Y319)*100</f>
        <v/>
      </c>
    </row>
    <row r="320">
      <c r="A320" s="14" t="n">
        <v>327</v>
      </c>
      <c r="B320" s="9" t="n">
        <v>45264</v>
      </c>
      <c r="C320" s="4" t="n">
        <v>34884134.67</v>
      </c>
      <c r="D320" s="4">
        <f>C320/E320</f>
        <v/>
      </c>
      <c r="E320" s="4" t="n">
        <v>83.42</v>
      </c>
      <c r="F320" s="4">
        <f>D320/100000</f>
        <v/>
      </c>
      <c r="G320" s="7">
        <f>(F320/DataSheet!$C$10*100)</f>
        <v/>
      </c>
      <c r="H320" s="4">
        <f>K320/I320</f>
        <v/>
      </c>
      <c r="I320" s="4">
        <f>(J320/L320)*100</f>
        <v/>
      </c>
      <c r="J320" s="7">
        <f>L320/O320</f>
        <v/>
      </c>
      <c r="K320" s="4" t="n">
        <v>7.27</v>
      </c>
      <c r="L320" s="4" t="n">
        <v>20686.8</v>
      </c>
      <c r="M320" s="4" t="n">
        <v>3.63</v>
      </c>
      <c r="N320" s="4">
        <f>K320-I320</f>
        <v/>
      </c>
      <c r="O320" s="4" t="n">
        <v>22.11</v>
      </c>
      <c r="P320" s="4" t="n">
        <v>4.25</v>
      </c>
      <c r="Q320" s="7">
        <f>K320-P320</f>
        <v/>
      </c>
      <c r="R320" s="4" t="n">
        <v>103.64</v>
      </c>
      <c r="S320" s="7">
        <f>(O320*T320)</f>
        <v/>
      </c>
      <c r="T320" s="12" t="n">
        <v>6.98</v>
      </c>
      <c r="U320" s="23" t="n">
        <v>16302.45</v>
      </c>
      <c r="V320" s="23" t="n">
        <v>25.38</v>
      </c>
      <c r="W320" s="7">
        <f>U320/V320</f>
        <v/>
      </c>
      <c r="X320" s="7">
        <f>(W320/U320)*100</f>
        <v/>
      </c>
      <c r="Y320" s="23" t="n">
        <v>13489.05</v>
      </c>
      <c r="Z320" s="23" t="n">
        <v>26.09</v>
      </c>
      <c r="AA320" s="7">
        <f>Y320/Z320</f>
        <v/>
      </c>
      <c r="AB320" s="7">
        <f>(AA320/Y320)*100</f>
        <v/>
      </c>
    </row>
    <row r="321">
      <c r="A321" s="14" t="n">
        <v>328</v>
      </c>
      <c r="B321" s="9" t="n">
        <v>45265</v>
      </c>
      <c r="C321" s="4" t="n">
        <v>35185533.92</v>
      </c>
      <c r="D321" s="4">
        <f>C321/E321</f>
        <v/>
      </c>
      <c r="E321" s="4" t="n">
        <v>83.31999999999999</v>
      </c>
      <c r="F321" s="4">
        <f>D321/100000</f>
        <v/>
      </c>
      <c r="G321" s="7">
        <f>(F321/DataSheet!$C$10*100)</f>
        <v/>
      </c>
      <c r="H321" s="4">
        <f>K321/I321</f>
        <v/>
      </c>
      <c r="I321" s="4">
        <f>(J321/L321)*100</f>
        <v/>
      </c>
      <c r="J321" s="7">
        <f>L321/O321</f>
        <v/>
      </c>
      <c r="K321" s="4" t="n">
        <v>7.26</v>
      </c>
      <c r="L321" s="4" t="n">
        <v>20855.1</v>
      </c>
      <c r="M321" s="4" t="n">
        <v>3.66</v>
      </c>
      <c r="N321" s="4">
        <f>K321-I321</f>
        <v/>
      </c>
      <c r="O321" s="4" t="n">
        <v>22.29</v>
      </c>
      <c r="P321" s="4" t="n">
        <v>4.16</v>
      </c>
      <c r="Q321" s="7">
        <f>K321-P321</f>
        <v/>
      </c>
      <c r="R321" s="4" t="n">
        <v>103.99</v>
      </c>
      <c r="S321" s="7">
        <f>(O321*T321)</f>
        <v/>
      </c>
      <c r="T321" s="12" t="n">
        <v>6.98</v>
      </c>
      <c r="U321" s="23" t="n">
        <v>16364.1</v>
      </c>
      <c r="V321" s="23" t="n">
        <v>25.48</v>
      </c>
      <c r="W321" s="7">
        <f>U321/V321</f>
        <v/>
      </c>
      <c r="X321" s="7">
        <f>(W321/U321)*100</f>
        <v/>
      </c>
      <c r="Y321" s="23" t="n">
        <v>13509.05</v>
      </c>
      <c r="Z321" s="23" t="n">
        <v>26.13</v>
      </c>
      <c r="AA321" s="7">
        <f>Y321/Z321</f>
        <v/>
      </c>
      <c r="AB321" s="7">
        <f>(AA321/Y321)*100</f>
        <v/>
      </c>
    </row>
    <row r="322">
      <c r="A322" s="14" t="n">
        <v>329</v>
      </c>
      <c r="B322" s="9" t="n">
        <v>45266</v>
      </c>
      <c r="C322" s="4" t="n">
        <v>35424796.44</v>
      </c>
      <c r="D322" s="4">
        <f>C322/E322</f>
        <v/>
      </c>
      <c r="E322" s="4" t="n">
        <v>83.33</v>
      </c>
      <c r="F322" s="4">
        <f>D322/100000</f>
        <v/>
      </c>
      <c r="G322" s="7">
        <f>(F322/DataSheet!$C$10*100)</f>
        <v/>
      </c>
      <c r="H322" s="4">
        <f>K322/I322</f>
        <v/>
      </c>
      <c r="I322" s="4">
        <f>(J322/L322)*100</f>
        <v/>
      </c>
      <c r="J322" s="7">
        <f>L322/O322</f>
        <v/>
      </c>
      <c r="K322" s="4" t="n">
        <v>7.24</v>
      </c>
      <c r="L322" s="4" t="n">
        <v>20937.7</v>
      </c>
      <c r="M322" s="4" t="n">
        <v>3.67</v>
      </c>
      <c r="N322" s="4">
        <f>K322-I322</f>
        <v/>
      </c>
      <c r="O322" s="4" t="n">
        <v>22.38</v>
      </c>
      <c r="P322" s="4" t="n">
        <v>4.11</v>
      </c>
      <c r="Q322" s="7">
        <f>K322-P322</f>
        <v/>
      </c>
      <c r="R322" s="4" t="n">
        <v>104.1</v>
      </c>
      <c r="S322" s="7">
        <f>(O322*T322)</f>
        <v/>
      </c>
      <c r="T322" s="12" t="n">
        <v>6.97</v>
      </c>
      <c r="U322" s="23" t="n">
        <v>16389.05</v>
      </c>
      <c r="V322" s="23" t="n">
        <v>25.52</v>
      </c>
      <c r="W322" s="7">
        <f>U322/V322</f>
        <v/>
      </c>
      <c r="X322" s="7">
        <f>(W322/U322)*100</f>
        <v/>
      </c>
      <c r="Y322" s="23" t="n">
        <v>13545.4</v>
      </c>
      <c r="Z322" s="23" t="n">
        <v>26.2</v>
      </c>
      <c r="AA322" s="7">
        <f>Y322/Z322</f>
        <v/>
      </c>
      <c r="AB322" s="7">
        <f>(AA322/Y322)*100</f>
        <v/>
      </c>
    </row>
    <row r="323">
      <c r="A323" s="14" t="n">
        <v>330</v>
      </c>
      <c r="B323" s="9" t="n">
        <v>45267</v>
      </c>
      <c r="C323" s="4" t="n">
        <v>35548642.88</v>
      </c>
      <c r="D323" s="4">
        <f>C323/E323</f>
        <v/>
      </c>
      <c r="E323" s="4" t="n">
        <v>83.34</v>
      </c>
      <c r="F323" s="4">
        <f>D323/100000</f>
        <v/>
      </c>
      <c r="G323" s="7">
        <f>(F323/DataSheet!$C$10*100)</f>
        <v/>
      </c>
      <c r="H323" s="4">
        <f>K323/I323</f>
        <v/>
      </c>
      <c r="I323" s="4">
        <f>(J323/L323)*100</f>
        <v/>
      </c>
      <c r="J323" s="7">
        <f>L323/O323</f>
        <v/>
      </c>
      <c r="K323" s="4" t="n">
        <v>7.23</v>
      </c>
      <c r="L323" s="4" t="n">
        <v>20901.15</v>
      </c>
      <c r="M323" s="4" t="n">
        <v>3.67</v>
      </c>
      <c r="N323" s="4">
        <f>K323-I323</f>
        <v/>
      </c>
      <c r="O323" s="4" t="n">
        <v>22.34</v>
      </c>
      <c r="P323" s="4" t="n">
        <v>4.14</v>
      </c>
      <c r="Q323" s="7">
        <f>K323-P323</f>
        <v/>
      </c>
      <c r="R323" s="4" t="n">
        <v>103.5</v>
      </c>
      <c r="S323" s="7">
        <f>(O323*T323)</f>
        <v/>
      </c>
      <c r="T323" s="12" t="n">
        <v>6.98</v>
      </c>
      <c r="U323" s="23" t="n">
        <v>16479.85</v>
      </c>
      <c r="V323" s="23" t="n">
        <v>25.66</v>
      </c>
      <c r="W323" s="7">
        <f>U323/V323</f>
        <v/>
      </c>
      <c r="X323" s="7">
        <f>(W323/U323)*100</f>
        <v/>
      </c>
      <c r="Y323" s="23" t="n">
        <v>13586.2</v>
      </c>
      <c r="Z323" s="23" t="n">
        <v>26.28</v>
      </c>
      <c r="AA323" s="7">
        <f>Y323/Z323</f>
        <v/>
      </c>
      <c r="AB323" s="7">
        <f>(AA323/Y323)*100</f>
        <v/>
      </c>
    </row>
    <row r="324">
      <c r="A324" s="14" t="n">
        <v>331</v>
      </c>
      <c r="B324" s="9" t="n">
        <v>45268</v>
      </c>
      <c r="C324" s="4" t="n">
        <v>35460198.26</v>
      </c>
      <c r="D324" s="4">
        <f>C324/E324</f>
        <v/>
      </c>
      <c r="E324" s="4" t="n">
        <v>83.42</v>
      </c>
      <c r="F324" s="4">
        <f>D324/100000</f>
        <v/>
      </c>
      <c r="G324" s="7">
        <f>(F324/DataSheet!$C$10*100)</f>
        <v/>
      </c>
      <c r="H324" s="4">
        <f>K324/I324</f>
        <v/>
      </c>
      <c r="I324" s="4">
        <f>(J324/L324)*100</f>
        <v/>
      </c>
      <c r="J324" s="7">
        <f>L324/O324</f>
        <v/>
      </c>
      <c r="K324" s="4" t="n">
        <v>7.26</v>
      </c>
      <c r="L324" s="4" t="n">
        <v>20969.4</v>
      </c>
      <c r="M324" s="4" t="n">
        <v>3.68</v>
      </c>
      <c r="N324" s="4">
        <f>K324-I324</f>
        <v/>
      </c>
      <c r="O324" s="4" t="n">
        <v>22.41</v>
      </c>
      <c r="P324" s="4" t="n">
        <v>4.22</v>
      </c>
      <c r="Q324" s="7">
        <f>K324-P324</f>
        <v/>
      </c>
      <c r="R324" s="4" t="n">
        <v>103.98</v>
      </c>
      <c r="S324" s="7">
        <f>(O324*T324)</f>
        <v/>
      </c>
      <c r="T324" s="12" t="n">
        <v>6.97</v>
      </c>
      <c r="U324" s="23" t="n">
        <v>16447.95</v>
      </c>
      <c r="V324" s="23" t="n">
        <v>25.61</v>
      </c>
      <c r="W324" s="7">
        <f>U324/V324</f>
        <v/>
      </c>
      <c r="X324" s="7">
        <f>(W324/U324)*100</f>
        <v/>
      </c>
      <c r="Y324" s="23" t="n">
        <v>13470.8</v>
      </c>
      <c r="Z324" s="23" t="n">
        <v>26.05</v>
      </c>
      <c r="AA324" s="7">
        <f>Y324/Z324</f>
        <v/>
      </c>
      <c r="AB324" s="7">
        <f>(AA324/Y324)*100</f>
        <v/>
      </c>
    </row>
    <row r="325">
      <c r="A325" s="14" t="n">
        <v>332</v>
      </c>
      <c r="B325" s="9" t="n">
        <v>45271</v>
      </c>
      <c r="C325" s="4" t="n">
        <v>35639463.54</v>
      </c>
      <c r="D325" s="4">
        <f>C325/E325</f>
        <v/>
      </c>
      <c r="E325" s="4" t="n">
        <v>83.34999999999999</v>
      </c>
      <c r="F325" s="4">
        <f>D325/100000</f>
        <v/>
      </c>
      <c r="G325" s="7">
        <f>(F325/DataSheet!$C$10*100)</f>
        <v/>
      </c>
      <c r="H325" s="4">
        <f>K325/I325</f>
        <v/>
      </c>
      <c r="I325" s="4">
        <f>(J325/L325)*100</f>
        <v/>
      </c>
      <c r="J325" s="7">
        <f>L325/O325</f>
        <v/>
      </c>
      <c r="K325" s="4" t="n">
        <v>7.28</v>
      </c>
      <c r="L325" s="4" t="n">
        <v>20997.1</v>
      </c>
      <c r="M325" s="4" t="n">
        <v>3.68</v>
      </c>
      <c r="N325" s="4">
        <f>K325-I325</f>
        <v/>
      </c>
      <c r="O325" s="4" t="n">
        <v>22.44</v>
      </c>
      <c r="P325" s="4" t="n">
        <v>4.23</v>
      </c>
      <c r="Q325" s="7">
        <f>K325-P325</f>
        <v/>
      </c>
      <c r="R325" s="4" t="n">
        <v>103.7</v>
      </c>
      <c r="S325" s="7">
        <f>(O325*T325)</f>
        <v/>
      </c>
      <c r="T325" s="12" t="n">
        <v>6.95</v>
      </c>
      <c r="U325" s="23" t="n">
        <v>16560.5</v>
      </c>
      <c r="V325" s="23" t="n">
        <v>25.78</v>
      </c>
      <c r="W325" s="7">
        <f>U325/V325</f>
        <v/>
      </c>
      <c r="X325" s="7">
        <f>(W325/U325)*100</f>
        <v/>
      </c>
      <c r="Y325" s="23" t="n">
        <v>13546.35</v>
      </c>
      <c r="Z325" s="23" t="n">
        <v>26.2</v>
      </c>
      <c r="AA325" s="7">
        <f>Y325/Z325</f>
        <v/>
      </c>
      <c r="AB325" s="7">
        <f>(AA325/Y325)*100</f>
        <v/>
      </c>
    </row>
    <row r="326">
      <c r="A326" s="14" t="n">
        <v>333</v>
      </c>
      <c r="B326" s="9" t="n">
        <v>45272</v>
      </c>
      <c r="C326" s="4" t="n">
        <v>35510493.43</v>
      </c>
      <c r="D326" s="4">
        <f>C326/E326</f>
        <v/>
      </c>
      <c r="E326" s="4" t="n">
        <v>83.39</v>
      </c>
      <c r="F326" s="4">
        <f>D326/100000</f>
        <v/>
      </c>
      <c r="G326" s="7">
        <f>(F326/DataSheet!$C$10*100)</f>
        <v/>
      </c>
      <c r="H326" s="4">
        <f>K326/I326</f>
        <v/>
      </c>
      <c r="I326" s="4">
        <f>(J326/L326)*100</f>
        <v/>
      </c>
      <c r="J326" s="7">
        <f>L326/O326</f>
        <v/>
      </c>
      <c r="K326" s="4" t="n">
        <v>7.27</v>
      </c>
      <c r="L326" s="4" t="n">
        <v>20906.4</v>
      </c>
      <c r="M326" s="4" t="n">
        <v>3.67</v>
      </c>
      <c r="N326" s="4">
        <f>K326-I326</f>
        <v/>
      </c>
      <c r="O326" s="4" t="n">
        <v>22.34</v>
      </c>
      <c r="P326" s="4" t="n">
        <v>4.21</v>
      </c>
      <c r="Q326" s="7">
        <f>K326-P326</f>
        <v/>
      </c>
      <c r="R326" s="4" t="n">
        <v>103.46</v>
      </c>
      <c r="S326" s="7">
        <f>(O326*T326)</f>
        <v/>
      </c>
      <c r="T326" s="12" t="n">
        <v>6.97</v>
      </c>
      <c r="U326" s="23" t="n">
        <v>16490.5</v>
      </c>
      <c r="V326" s="23" t="n">
        <v>25.67</v>
      </c>
      <c r="W326" s="7">
        <f>U326/V326</f>
        <v/>
      </c>
      <c r="X326" s="7">
        <f>(W326/U326)*100</f>
        <v/>
      </c>
      <c r="Y326" s="23" t="n">
        <v>13529.6</v>
      </c>
      <c r="Z326" s="23" t="n">
        <v>26.17</v>
      </c>
      <c r="AA326" s="7">
        <f>Y326/Z326</f>
        <v/>
      </c>
      <c r="AB326" s="7">
        <f>(AA326/Y326)*100</f>
        <v/>
      </c>
    </row>
    <row r="327">
      <c r="A327" s="14" t="n">
        <v>334</v>
      </c>
      <c r="B327" s="9" t="n">
        <v>45273</v>
      </c>
      <c r="C327" s="4" t="n">
        <v>35653070.67</v>
      </c>
      <c r="D327" s="4">
        <f>C327/E327</f>
        <v/>
      </c>
      <c r="E327" s="4" t="n">
        <v>83.34999999999999</v>
      </c>
      <c r="F327" s="4">
        <f>D327/100000</f>
        <v/>
      </c>
      <c r="G327" s="7">
        <f>(F327/DataSheet!$C$10*100)</f>
        <v/>
      </c>
      <c r="H327" s="4">
        <f>K327/I327</f>
        <v/>
      </c>
      <c r="I327" s="4">
        <f>(J327/L327)*100</f>
        <v/>
      </c>
      <c r="J327" s="7">
        <f>L327/O327</f>
        <v/>
      </c>
      <c r="K327" s="4" t="n">
        <v>7.25</v>
      </c>
      <c r="L327" s="4" t="n">
        <v>20926.35</v>
      </c>
      <c r="M327" s="4" t="n">
        <v>3.67</v>
      </c>
      <c r="N327" s="4">
        <f>K327-I327</f>
        <v/>
      </c>
      <c r="O327" s="4" t="n">
        <v>22.36</v>
      </c>
      <c r="P327" s="4" t="n">
        <v>4.02</v>
      </c>
      <c r="Q327" s="7">
        <f>K327-P327</f>
        <v/>
      </c>
      <c r="R327" s="4" t="n">
        <v>102.47</v>
      </c>
      <c r="S327" s="7">
        <f>(O327*T327)</f>
        <v/>
      </c>
      <c r="T327" s="12" t="n">
        <v>6.97</v>
      </c>
      <c r="U327" s="23" t="n">
        <v>16629.55</v>
      </c>
      <c r="V327" s="23" t="n">
        <v>25.89</v>
      </c>
      <c r="W327" s="7">
        <f>U327/V327</f>
        <v/>
      </c>
      <c r="X327" s="7">
        <f>(W327/U327)*100</f>
        <v/>
      </c>
      <c r="Y327" s="23" t="n">
        <v>13616.7</v>
      </c>
      <c r="Z327" s="23" t="n">
        <v>26.33</v>
      </c>
      <c r="AA327" s="7">
        <f>Y327/Z327</f>
        <v/>
      </c>
      <c r="AB327" s="7">
        <f>(AA327/Y327)*100</f>
        <v/>
      </c>
    </row>
    <row r="328">
      <c r="A328" s="14" t="n">
        <v>335</v>
      </c>
      <c r="B328" s="9" t="n">
        <v>45274</v>
      </c>
      <c r="C328" s="4" t="n">
        <v>36035345.74</v>
      </c>
      <c r="D328" s="4">
        <f>C328/E328</f>
        <v/>
      </c>
      <c r="E328" s="4" t="n">
        <v>83.3</v>
      </c>
      <c r="F328" s="4">
        <f>D328/100000</f>
        <v/>
      </c>
      <c r="G328" s="7">
        <f>(F328/DataSheet!$C$10*100)</f>
        <v/>
      </c>
      <c r="H328" s="4">
        <f>K328/I328</f>
        <v/>
      </c>
      <c r="I328" s="4">
        <f>(J328/L328)*100</f>
        <v/>
      </c>
      <c r="J328" s="7">
        <f>L328/O328</f>
        <v/>
      </c>
      <c r="K328" s="4" t="n">
        <v>7.19</v>
      </c>
      <c r="L328" s="4" t="n">
        <v>21182.7</v>
      </c>
      <c r="M328" s="4" t="n">
        <v>3.71</v>
      </c>
      <c r="N328" s="4">
        <f>K328-I328</f>
        <v/>
      </c>
      <c r="O328" s="4" t="n">
        <v>22.63</v>
      </c>
      <c r="P328" s="4" t="n">
        <v>3.92</v>
      </c>
      <c r="Q328" s="7">
        <f>K328-P328</f>
        <v/>
      </c>
      <c r="R328" s="4" t="n">
        <v>101.57</v>
      </c>
      <c r="S328" s="7">
        <f>(O328*T328)</f>
        <v/>
      </c>
      <c r="T328" s="12" t="n">
        <v>6.99</v>
      </c>
      <c r="U328" s="23" t="n">
        <v>16813.75</v>
      </c>
      <c r="V328" s="23" t="n">
        <v>26.18</v>
      </c>
      <c r="W328" s="7">
        <f>U328/V328</f>
        <v/>
      </c>
      <c r="X328" s="7">
        <f>(W328/U328)*100</f>
        <v/>
      </c>
      <c r="Y328" s="23" t="n">
        <v>13722.75</v>
      </c>
      <c r="Z328" s="23" t="n">
        <v>26.54</v>
      </c>
      <c r="AA328" s="7">
        <f>Y328/Z328</f>
        <v/>
      </c>
      <c r="AB328" s="7">
        <f>(AA328/Y328)*100</f>
        <v/>
      </c>
    </row>
    <row r="329">
      <c r="A329" s="14" t="n">
        <v>336</v>
      </c>
      <c r="B329" s="9" t="n">
        <v>45275</v>
      </c>
      <c r="C329" s="4" t="n">
        <v>36323869.19</v>
      </c>
      <c r="D329" s="4">
        <f>C329/E329</f>
        <v/>
      </c>
      <c r="E329" s="4" t="n">
        <v>83.04000000000001</v>
      </c>
      <c r="F329" s="4">
        <f>D329/100000</f>
        <v/>
      </c>
      <c r="G329" s="7">
        <f>(F329/DataSheet!$C$10*100)</f>
        <v/>
      </c>
      <c r="H329" s="4">
        <f>K329/I329</f>
        <v/>
      </c>
      <c r="I329" s="4">
        <f>(J329/L329)*100</f>
        <v/>
      </c>
      <c r="J329" s="7">
        <f>L329/O329</f>
        <v/>
      </c>
      <c r="K329" s="4" t="n">
        <v>7.16</v>
      </c>
      <c r="L329" s="4" t="n">
        <v>21456.65</v>
      </c>
      <c r="M329" s="4" t="n">
        <v>3.76</v>
      </c>
      <c r="N329" s="4">
        <f>K329-I329</f>
        <v/>
      </c>
      <c r="O329" s="4" t="n">
        <v>22.92</v>
      </c>
      <c r="P329" s="4" t="n">
        <v>3.91</v>
      </c>
      <c r="Q329" s="7">
        <f>K329-P329</f>
        <v/>
      </c>
      <c r="R329" s="4" t="n">
        <v>102.54</v>
      </c>
      <c r="S329" s="7">
        <f>(O329*T329)</f>
        <v/>
      </c>
      <c r="T329" s="12" t="n">
        <v>6.89</v>
      </c>
      <c r="U329" s="23" t="n">
        <v>16850.05</v>
      </c>
      <c r="V329" s="23" t="n">
        <v>26.23</v>
      </c>
      <c r="W329" s="7">
        <f>U329/V329</f>
        <v/>
      </c>
      <c r="X329" s="7">
        <f>(W329/U329)*100</f>
        <v/>
      </c>
      <c r="Y329" s="23" t="n">
        <v>13820.45</v>
      </c>
      <c r="Z329" s="23" t="n">
        <v>26.73</v>
      </c>
      <c r="AA329" s="7">
        <f>Y329/Z329</f>
        <v/>
      </c>
      <c r="AB329" s="7">
        <f>(AA329/Y329)*100</f>
        <v/>
      </c>
    </row>
    <row r="330">
      <c r="A330" s="14" t="n">
        <v>337</v>
      </c>
      <c r="B330" s="9" t="n">
        <v>45278</v>
      </c>
      <c r="C330" s="5" t="n">
        <v>36409498.48</v>
      </c>
      <c r="D330" s="4">
        <f>C330/E330</f>
        <v/>
      </c>
      <c r="E330" s="4" t="n">
        <v>83.14</v>
      </c>
      <c r="F330" s="4">
        <f>D330/100000</f>
        <v/>
      </c>
      <c r="G330" s="7">
        <f>(F330/DataSheet!$C$10*100)</f>
        <v/>
      </c>
      <c r="H330" s="4">
        <f>K330/I330</f>
        <v/>
      </c>
      <c r="I330" s="4">
        <f>(J330/L330)*100</f>
        <v/>
      </c>
      <c r="J330" s="7">
        <f>L330/O330</f>
        <v/>
      </c>
      <c r="K330" s="4" t="n">
        <v>7.15</v>
      </c>
      <c r="L330" s="4" t="n">
        <v>21418.65</v>
      </c>
      <c r="M330" s="4" t="n">
        <v>3.76</v>
      </c>
      <c r="N330" s="4">
        <f>K330-I330</f>
        <v/>
      </c>
      <c r="O330" s="4" t="n">
        <v>22.88</v>
      </c>
      <c r="P330" s="4" t="n">
        <v>3.93</v>
      </c>
      <c r="Q330" s="7">
        <f>K330-P330</f>
        <v/>
      </c>
      <c r="R330" s="4" t="n">
        <v>102.53</v>
      </c>
      <c r="S330" s="7">
        <f>(O330*T330)</f>
        <v/>
      </c>
      <c r="T330" s="12" t="n">
        <v>6.93</v>
      </c>
      <c r="U330" s="23" t="n">
        <v>16902.45</v>
      </c>
      <c r="V330" s="23" t="n">
        <v>26.32</v>
      </c>
      <c r="W330" s="7">
        <f>U330/V330</f>
        <v/>
      </c>
      <c r="X330" s="7">
        <f>(W330/U330)*100</f>
        <v/>
      </c>
      <c r="Y330" s="23" t="n">
        <v>13877.85</v>
      </c>
      <c r="Z330" s="23" t="n">
        <v>26.84</v>
      </c>
      <c r="AA330" s="7">
        <f>Y330/Z330</f>
        <v/>
      </c>
      <c r="AB330" s="7">
        <f>(AA330/Y330)*100</f>
        <v/>
      </c>
    </row>
    <row r="331">
      <c r="A331" s="14" t="n">
        <v>338</v>
      </c>
      <c r="B331" s="9" t="n">
        <v>45279</v>
      </c>
      <c r="C331" s="5" t="n">
        <v>36448416.61</v>
      </c>
      <c r="D331" s="4">
        <f>C331/E331</f>
        <v/>
      </c>
      <c r="E331" s="4" t="n">
        <v>83.09999999999999</v>
      </c>
      <c r="F331" s="4">
        <f>D331/100000</f>
        <v/>
      </c>
      <c r="G331" s="7">
        <f>(F331/DataSheet!$C$10*100)</f>
        <v/>
      </c>
      <c r="H331" s="4">
        <f>K331/I331</f>
        <v/>
      </c>
      <c r="I331" s="4">
        <f>(J331/L331)*100</f>
        <v/>
      </c>
      <c r="J331" s="7">
        <f>L331/O331</f>
        <v/>
      </c>
      <c r="K331" s="4" t="n">
        <v>7.17</v>
      </c>
      <c r="L331" s="4" t="n">
        <v>21453.1</v>
      </c>
      <c r="M331" s="4" t="n">
        <v>3.76</v>
      </c>
      <c r="N331" s="4">
        <f>K331-I331</f>
        <v/>
      </c>
      <c r="O331" s="4" t="n">
        <v>22.92</v>
      </c>
      <c r="P331" s="4" t="n">
        <v>3.93</v>
      </c>
      <c r="Q331" s="7">
        <f>K331-P331</f>
        <v/>
      </c>
      <c r="R331" s="4" t="n">
        <v>101.76</v>
      </c>
      <c r="S331" s="7">
        <f>(O331*T331)</f>
        <v/>
      </c>
      <c r="T331" s="12" t="n">
        <v>6.95</v>
      </c>
      <c r="U331" s="23" t="n">
        <v>16836.75</v>
      </c>
      <c r="V331" s="23" t="n">
        <v>26.21</v>
      </c>
      <c r="W331" s="7">
        <f>U331/V331</f>
        <v/>
      </c>
      <c r="X331" s="7">
        <f>(W331/U331)*100</f>
        <v/>
      </c>
      <c r="Y331" s="23" t="n">
        <v>13888.95</v>
      </c>
      <c r="Z331" s="23" t="n">
        <v>26.86</v>
      </c>
      <c r="AA331" s="7">
        <f>Y331/Z331</f>
        <v/>
      </c>
      <c r="AB331" s="7">
        <f>(AA331/Y331)*100</f>
        <v/>
      </c>
    </row>
    <row r="332">
      <c r="A332" s="14" t="n">
        <v>339</v>
      </c>
      <c r="B332" s="9" t="n">
        <v>45280</v>
      </c>
      <c r="C332" s="5" t="n">
        <v>35559532.99</v>
      </c>
      <c r="D332" s="4">
        <f>C332/E332</f>
        <v/>
      </c>
      <c r="E332" s="4" t="n">
        <v>83.13</v>
      </c>
      <c r="F332" s="4">
        <f>D332/100000</f>
        <v/>
      </c>
      <c r="G332" s="7">
        <f>(F332/DataSheet!$C$10*100)</f>
        <v/>
      </c>
      <c r="H332" s="4">
        <f>K332/I332</f>
        <v/>
      </c>
      <c r="I332" s="4">
        <f>(J332/L332)*100</f>
        <v/>
      </c>
      <c r="J332" s="7">
        <f>L332/O332</f>
        <v/>
      </c>
      <c r="K332" s="4" t="n">
        <v>7.17</v>
      </c>
      <c r="L332" s="4" t="n">
        <v>21150.15</v>
      </c>
      <c r="M332" s="4" t="n">
        <v>3.71</v>
      </c>
      <c r="N332" s="4">
        <f>K332-I332</f>
        <v/>
      </c>
      <c r="O332" s="4" t="n">
        <v>22.6</v>
      </c>
      <c r="P332" s="4" t="n">
        <v>3.85</v>
      </c>
      <c r="Q332" s="7">
        <f>K332-P332</f>
        <v/>
      </c>
      <c r="R332" s="4" t="n">
        <v>102.04</v>
      </c>
      <c r="S332" s="7">
        <f>(O332*T332)</f>
        <v/>
      </c>
      <c r="T332" s="12" t="n">
        <v>6.98</v>
      </c>
      <c r="U332" s="23" t="n">
        <v>16323.9</v>
      </c>
      <c r="V332" s="23" t="n">
        <v>25.42</v>
      </c>
      <c r="W332" s="7">
        <f>U332/V332</f>
        <v/>
      </c>
      <c r="X332" s="7">
        <f>(W332/U332)*100</f>
        <v/>
      </c>
      <c r="Y332" s="23" t="n">
        <v>13425.25</v>
      </c>
      <c r="Z332" s="23" t="n">
        <v>25.96</v>
      </c>
      <c r="AA332" s="7">
        <f>Y332/Z332</f>
        <v/>
      </c>
      <c r="AB332" s="7">
        <f>(AA332/Y332)*100</f>
        <v/>
      </c>
    </row>
    <row r="333">
      <c r="A333" s="14" t="n">
        <v>340</v>
      </c>
      <c r="B333" s="9" t="n">
        <v>45281</v>
      </c>
      <c r="C333" s="5" t="n">
        <v>35943299.57</v>
      </c>
      <c r="D333" s="4">
        <f>C333/E333</f>
        <v/>
      </c>
      <c r="E333" s="4" t="n">
        <v>83.20999999999999</v>
      </c>
      <c r="F333" s="4">
        <f>D333/100000</f>
        <v/>
      </c>
      <c r="G333" s="7">
        <f>(F333/DataSheet!$C$10*100)</f>
        <v/>
      </c>
      <c r="H333" s="4">
        <f>K333/I333</f>
        <v/>
      </c>
      <c r="I333" s="4">
        <f>(J333/L333)*100</f>
        <v/>
      </c>
      <c r="J333" s="7">
        <f>L333/O333</f>
        <v/>
      </c>
      <c r="K333" s="4" t="n">
        <v>7.18</v>
      </c>
      <c r="L333" s="4" t="n">
        <v>21255.05</v>
      </c>
      <c r="M333" s="4" t="n">
        <v>3.73</v>
      </c>
      <c r="N333" s="4">
        <f>K333-I333</f>
        <v/>
      </c>
      <c r="O333" s="4" t="n">
        <v>22.71</v>
      </c>
      <c r="P333" s="4" t="n">
        <v>3.89</v>
      </c>
      <c r="Q333" s="7">
        <f>K333-P333</f>
        <v/>
      </c>
      <c r="R333" s="4" t="n">
        <v>101.47</v>
      </c>
      <c r="S333" s="7">
        <f>(O333*T333)</f>
        <v/>
      </c>
      <c r="T333" s="12" t="n">
        <v>6.96</v>
      </c>
      <c r="U333" s="23" t="n">
        <v>16560.65</v>
      </c>
      <c r="V333" s="23" t="n">
        <v>25.78</v>
      </c>
      <c r="W333" s="7">
        <f>U333/V333</f>
        <v/>
      </c>
      <c r="X333" s="7">
        <f>(W333/U333)*100</f>
        <v/>
      </c>
      <c r="Y333" s="23" t="n">
        <v>13652.5</v>
      </c>
      <c r="Z333" s="23" t="n">
        <v>26.4</v>
      </c>
      <c r="AA333" s="7">
        <f>Y333/Z333</f>
        <v/>
      </c>
      <c r="AB333" s="7">
        <f>(AA333/Y333)*100</f>
        <v/>
      </c>
    </row>
    <row r="334">
      <c r="A334" s="14" t="n">
        <v>341</v>
      </c>
      <c r="B334" s="9" t="n">
        <v>45282</v>
      </c>
      <c r="C334" s="5" t="n">
        <v>36215715.63</v>
      </c>
      <c r="D334" s="4">
        <f>C334/E334</f>
        <v/>
      </c>
      <c r="E334" s="4" t="n">
        <v>83.16</v>
      </c>
      <c r="F334" s="4">
        <f>D334/100000</f>
        <v/>
      </c>
      <c r="G334" s="7">
        <f>(F334/DataSheet!$C$10*100)</f>
        <v/>
      </c>
      <c r="H334" s="4">
        <f>K334/I334</f>
        <v/>
      </c>
      <c r="I334" s="4">
        <f>(J334/L334)*100</f>
        <v/>
      </c>
      <c r="J334" s="7">
        <f>L334/O334</f>
        <v/>
      </c>
      <c r="K334" s="4" t="n">
        <v>7.18</v>
      </c>
      <c r="L334" s="4" t="n">
        <v>21349.4</v>
      </c>
      <c r="M334" s="4" t="n">
        <v>3.74</v>
      </c>
      <c r="N334" s="4">
        <f>K334-I334</f>
        <v/>
      </c>
      <c r="O334" s="4" t="n">
        <v>22.81</v>
      </c>
      <c r="P334" s="4" t="n">
        <v>3.9</v>
      </c>
      <c r="Q334" s="7">
        <f>K334-P334</f>
        <v/>
      </c>
      <c r="R334" s="4" t="n">
        <v>101.33</v>
      </c>
      <c r="S334" s="7">
        <f>(O334*T334)</f>
        <v/>
      </c>
      <c r="T334" s="12" t="n">
        <v>6.97</v>
      </c>
      <c r="U334" s="23" t="n">
        <v>16693</v>
      </c>
      <c r="V334" s="23" t="n">
        <v>25.99</v>
      </c>
      <c r="W334" s="7">
        <f>U334/V334</f>
        <v/>
      </c>
      <c r="X334" s="7">
        <f>(W334/U334)*100</f>
        <v/>
      </c>
      <c r="Y334" s="23" t="n">
        <v>13792</v>
      </c>
      <c r="Z334" s="23" t="n">
        <v>26.67</v>
      </c>
      <c r="AA334" s="7">
        <f>Y334/Z334</f>
        <v/>
      </c>
      <c r="AB334" s="7">
        <f>(AA334/Y334)*100</f>
        <v/>
      </c>
    </row>
    <row r="335">
      <c r="A335" s="14" t="n">
        <v>342</v>
      </c>
      <c r="B335" s="9" t="n">
        <v>45286</v>
      </c>
      <c r="C335" s="5" t="n">
        <v>36422360.83</v>
      </c>
      <c r="D335" s="4">
        <f>C335/E335</f>
        <v/>
      </c>
      <c r="E335" s="4" t="n">
        <v>83.16</v>
      </c>
      <c r="F335" s="4">
        <f>D335/100000</f>
        <v/>
      </c>
      <c r="G335" s="7">
        <f>(F335/DataSheet!$C$10*100)</f>
        <v/>
      </c>
      <c r="H335" s="4">
        <f>K335/I335</f>
        <v/>
      </c>
      <c r="I335" s="4">
        <f>(J335/L335)*100</f>
        <v/>
      </c>
      <c r="J335" s="7">
        <f>L335/O335</f>
        <v/>
      </c>
      <c r="K335" s="4" t="n">
        <v>7.18</v>
      </c>
      <c r="L335" s="4" t="n">
        <v>21441.35</v>
      </c>
      <c r="M335" s="4" t="n">
        <v>3.76</v>
      </c>
      <c r="N335" s="4">
        <f>K335-I335</f>
        <v/>
      </c>
      <c r="O335" s="4" t="n">
        <v>22.91</v>
      </c>
      <c r="P335" s="4" t="n">
        <v>3.89</v>
      </c>
      <c r="Q335" s="7">
        <f>K335-P335</f>
        <v/>
      </c>
      <c r="R335" s="4" t="n">
        <v>101.1</v>
      </c>
      <c r="S335" s="7">
        <f>(O335*T335)</f>
        <v/>
      </c>
      <c r="T335" s="12" t="n">
        <v>6.99</v>
      </c>
      <c r="U335" s="23" t="n">
        <v>16787</v>
      </c>
      <c r="V335" s="23" t="n">
        <v>26.14</v>
      </c>
      <c r="W335" s="7">
        <f>U335/V335</f>
        <v/>
      </c>
      <c r="X335" s="7">
        <f>(W335/U335)*100</f>
        <v/>
      </c>
      <c r="Y335" s="23" t="n">
        <v>13833</v>
      </c>
      <c r="Z335" s="23" t="n">
        <v>26.75</v>
      </c>
      <c r="AA335" s="7">
        <f>Y335/Z335</f>
        <v/>
      </c>
      <c r="AB335" s="7">
        <f>(AA335/Y335)*100</f>
        <v/>
      </c>
    </row>
    <row r="336">
      <c r="A336" s="14" t="n">
        <v>343</v>
      </c>
      <c r="B336" s="9" t="n">
        <v>45287</v>
      </c>
      <c r="C336" s="5" t="n">
        <v>36670847.64</v>
      </c>
      <c r="D336" s="4">
        <f>C336/E336</f>
        <v/>
      </c>
      <c r="E336" s="4" t="n">
        <v>83.15000000000001</v>
      </c>
      <c r="F336" s="4">
        <f>D336/100000</f>
        <v/>
      </c>
      <c r="G336" s="7">
        <f>(F336/DataSheet!$C$10*100)</f>
        <v/>
      </c>
      <c r="H336" s="4">
        <f>K336/I336</f>
        <v/>
      </c>
      <c r="I336" s="4">
        <f>(J336/L336)*100</f>
        <v/>
      </c>
      <c r="J336" s="7">
        <f>L336/O336</f>
        <v/>
      </c>
      <c r="K336" s="4" t="n">
        <v>7.2</v>
      </c>
      <c r="L336" s="4" t="n">
        <v>21654.75</v>
      </c>
      <c r="M336" s="4" t="n">
        <v>3.8</v>
      </c>
      <c r="N336" s="4">
        <f>K336-I336</f>
        <v/>
      </c>
      <c r="O336" s="4" t="n">
        <v>23.14</v>
      </c>
      <c r="P336" s="4" t="n">
        <v>3.78</v>
      </c>
      <c r="Q336" s="7">
        <f>K336-P336</f>
        <v/>
      </c>
      <c r="R336" s="4" t="n">
        <v>100.65</v>
      </c>
      <c r="S336" s="7">
        <f>(O336*T336)</f>
        <v/>
      </c>
      <c r="T336" s="12" t="n">
        <v>6.97</v>
      </c>
      <c r="U336" s="23" t="n">
        <v>16852.45</v>
      </c>
      <c r="V336" s="23" t="n">
        <v>26.24</v>
      </c>
      <c r="W336" s="7">
        <f>U336/V336</f>
        <v/>
      </c>
      <c r="X336" s="7">
        <f>(W336/U336)*100</f>
        <v/>
      </c>
      <c r="Y336" s="23" t="n">
        <v>13874.4</v>
      </c>
      <c r="Z336" s="23" t="n">
        <v>26.83</v>
      </c>
      <c r="AA336" s="7">
        <f>Y336/Z336</f>
        <v/>
      </c>
      <c r="AB336" s="7">
        <f>(AA336/Y336)*100</f>
        <v/>
      </c>
    </row>
    <row r="337">
      <c r="A337" s="14" t="n">
        <v>344</v>
      </c>
      <c r="B337" s="9" t="n">
        <v>45288</v>
      </c>
      <c r="C337" s="5" t="n">
        <v>36835140.85</v>
      </c>
      <c r="D337" s="4">
        <f>C337/E337</f>
        <v/>
      </c>
      <c r="E337" s="4" t="n">
        <v>83.26000000000001</v>
      </c>
      <c r="F337" s="4">
        <f>D337/100000</f>
        <v/>
      </c>
      <c r="G337" s="7">
        <f>(F337/DataSheet!$C$10*100)</f>
        <v/>
      </c>
      <c r="H337" s="4">
        <f>K337/I337</f>
        <v/>
      </c>
      <c r="I337" s="4">
        <f>(J337/L337)*100</f>
        <v/>
      </c>
      <c r="J337" s="7">
        <f>L337/O337</f>
        <v/>
      </c>
      <c r="K337" s="4" t="n">
        <v>7.2</v>
      </c>
      <c r="L337" s="4" t="n">
        <v>21778.7</v>
      </c>
      <c r="M337" s="4" t="n">
        <v>3.82</v>
      </c>
      <c r="N337" s="4">
        <f>K337-I337</f>
        <v/>
      </c>
      <c r="O337" s="4" t="n">
        <v>23.27</v>
      </c>
      <c r="P337" s="4" t="n">
        <v>3.84</v>
      </c>
      <c r="Q337" s="7">
        <f>K337-P337</f>
        <v/>
      </c>
      <c r="R337" s="4" t="n">
        <v>100.91</v>
      </c>
      <c r="S337" s="7">
        <f>(O337*T337)</f>
        <v/>
      </c>
      <c r="T337" s="12" t="n">
        <v>6.96</v>
      </c>
      <c r="U337" s="23" t="n">
        <v>16933.75</v>
      </c>
      <c r="V337" s="23" t="n">
        <v>26.36</v>
      </c>
      <c r="W337" s="7">
        <f>U337/V337</f>
        <v/>
      </c>
      <c r="X337" s="7">
        <f>(W337/U337)*100</f>
        <v/>
      </c>
      <c r="Y337" s="23" t="n">
        <v>13956.55</v>
      </c>
      <c r="Z337" s="23" t="n">
        <v>26.99</v>
      </c>
      <c r="AA337" s="7">
        <f>Y337/Z337</f>
        <v/>
      </c>
      <c r="AB337" s="7">
        <f>(AA337/Y337)*100</f>
        <v/>
      </c>
    </row>
    <row r="338">
      <c r="A338" s="14" t="n">
        <v>345</v>
      </c>
      <c r="B338" s="9" t="n">
        <v>45289</v>
      </c>
      <c r="C338" s="4" t="n">
        <v>36937725.8</v>
      </c>
      <c r="D338" s="4">
        <f>C338/E338</f>
        <v/>
      </c>
      <c r="E338" s="4" t="n">
        <v>83.19</v>
      </c>
      <c r="F338" s="4">
        <f>D338/100000</f>
        <v/>
      </c>
      <c r="G338" s="7">
        <f>(F338/DataSheet!$C$10*100)</f>
        <v/>
      </c>
      <c r="H338" s="4">
        <f>K338/I338</f>
        <v/>
      </c>
      <c r="I338" s="4">
        <f>(J338/L338)*100</f>
        <v/>
      </c>
      <c r="J338" s="7">
        <f>L338/O338</f>
        <v/>
      </c>
      <c r="K338" s="4" t="n">
        <v>7.17</v>
      </c>
      <c r="L338" s="4" t="n">
        <v>21731.4</v>
      </c>
      <c r="M338" s="4" t="n">
        <v>3.81</v>
      </c>
      <c r="N338" s="4">
        <f>K338-I338</f>
        <v/>
      </c>
      <c r="O338" s="4" t="n">
        <v>23.17</v>
      </c>
      <c r="P338" s="4" t="n">
        <v>3.86</v>
      </c>
      <c r="Q338" s="7">
        <f>K338-P338</f>
        <v/>
      </c>
      <c r="R338" s="4" t="n">
        <v>101.02</v>
      </c>
      <c r="S338" s="7">
        <f>(O338*T338)</f>
        <v/>
      </c>
      <c r="T338" s="12" t="n">
        <v>6.9</v>
      </c>
      <c r="U338" s="23" t="n">
        <v>17077.05</v>
      </c>
      <c r="V338" s="23" t="n">
        <v>26.51</v>
      </c>
      <c r="W338" s="7">
        <f>U338/V338</f>
        <v/>
      </c>
      <c r="X338" s="7">
        <f>(W338/U338)*100</f>
        <v/>
      </c>
      <c r="Y338" s="23" t="n">
        <v>14041.3</v>
      </c>
      <c r="Z338" s="23" t="n">
        <v>27.37</v>
      </c>
      <c r="AA338" s="7">
        <f>Y338/Z338</f>
        <v/>
      </c>
      <c r="AB338" s="7">
        <f>(AA338/Y338)*100</f>
        <v/>
      </c>
    </row>
    <row r="339" customFormat="1" s="61">
      <c r="A339" s="69" t="n">
        <v>346</v>
      </c>
      <c r="B339" s="70" t="n">
        <v>45292</v>
      </c>
      <c r="C339" s="56" t="n">
        <v>37094900.16</v>
      </c>
      <c r="D339" s="58">
        <f>C339/E339</f>
        <v/>
      </c>
      <c r="E339" s="58" t="n">
        <v>83.23</v>
      </c>
      <c r="F339" s="58">
        <f>D339/100000</f>
        <v/>
      </c>
      <c r="G339" s="59">
        <f>(F339/DataSheet!$C$11*100)</f>
        <v/>
      </c>
      <c r="H339" s="58">
        <f>K339/I339</f>
        <v/>
      </c>
      <c r="I339" s="58">
        <f>(J339/L339)*100</f>
        <v/>
      </c>
      <c r="J339" s="7">
        <f>L339/O339</f>
        <v/>
      </c>
      <c r="K339" s="58" t="n">
        <v>7.19</v>
      </c>
      <c r="L339" s="58" t="n">
        <v>21741.9</v>
      </c>
      <c r="M339" s="58" t="n">
        <v>3.81</v>
      </c>
      <c r="N339" s="58">
        <f>K339-I339</f>
        <v/>
      </c>
      <c r="O339" s="58" t="n">
        <v>23.18</v>
      </c>
      <c r="P339" s="58" t="n">
        <v>3.89</v>
      </c>
      <c r="Q339" s="59">
        <f>K339-P339</f>
        <v/>
      </c>
      <c r="R339" s="58" t="n">
        <v>101.02</v>
      </c>
      <c r="S339" s="59">
        <f>(O339*T339)</f>
        <v/>
      </c>
      <c r="T339" s="12" t="n">
        <v>6.94</v>
      </c>
      <c r="U339" s="60" t="n">
        <v>17174</v>
      </c>
      <c r="V339" s="60" t="n">
        <v>26.66</v>
      </c>
      <c r="W339" s="59">
        <f>U339/V339</f>
        <v/>
      </c>
      <c r="X339" s="59">
        <f>(W339/U339)*100</f>
        <v/>
      </c>
      <c r="Y339" s="60" t="n">
        <v>14129.7</v>
      </c>
      <c r="Z339" s="60" t="n">
        <v>27.54</v>
      </c>
      <c r="AA339" s="59">
        <f>Y339/Z339</f>
        <v/>
      </c>
      <c r="AB339" s="59">
        <f>(AA339/Y339)*100</f>
        <v/>
      </c>
    </row>
    <row r="340">
      <c r="A340" s="14" t="n">
        <v>347</v>
      </c>
      <c r="B340" s="9" t="n">
        <v>45293</v>
      </c>
      <c r="C340" s="5" t="n">
        <v>37029723.62</v>
      </c>
      <c r="D340" s="4">
        <f>C340/E340</f>
        <v/>
      </c>
      <c r="E340" s="4" t="n">
        <v>83.27</v>
      </c>
      <c r="F340" s="4">
        <f>D340/100000</f>
        <v/>
      </c>
      <c r="G340" s="7">
        <f>(F340/DataSheet!$C$11*100)</f>
        <v/>
      </c>
      <c r="H340" s="4">
        <f>K340/I340</f>
        <v/>
      </c>
      <c r="I340" s="4">
        <f>(J340/L340)*100</f>
        <v/>
      </c>
      <c r="J340" s="7">
        <f>L340/O340</f>
        <v/>
      </c>
      <c r="K340" s="4" t="n">
        <v>7.2</v>
      </c>
      <c r="L340" s="4" t="n">
        <v>21665.8</v>
      </c>
      <c r="M340" s="4" t="n">
        <v>3.79</v>
      </c>
      <c r="N340" s="4">
        <f>K340-I340</f>
        <v/>
      </c>
      <c r="O340" s="4" t="n">
        <v>23.1</v>
      </c>
      <c r="P340" s="4" t="n">
        <v>3.94</v>
      </c>
      <c r="Q340" s="7">
        <f>K340-P340</f>
        <v/>
      </c>
      <c r="R340" s="4" t="n">
        <v>101.89</v>
      </c>
      <c r="S340" s="7">
        <f>(O340*T340)</f>
        <v/>
      </c>
      <c r="T340" s="12" t="n">
        <v>6.93</v>
      </c>
      <c r="U340" s="23" t="n">
        <v>17148.1</v>
      </c>
      <c r="V340" s="23" t="n">
        <v>26.62</v>
      </c>
      <c r="W340" s="7">
        <f>U340/V340</f>
        <v/>
      </c>
      <c r="X340" s="7">
        <f>(W340/U340)*100</f>
        <v/>
      </c>
      <c r="Y340" s="23" t="n">
        <v>14124.25</v>
      </c>
      <c r="Z340" s="23" t="n">
        <v>27.53</v>
      </c>
      <c r="AA340" s="7">
        <f>Y340/Z340</f>
        <v/>
      </c>
      <c r="AB340" s="7">
        <f>(AA340/Y340)*100</f>
        <v/>
      </c>
    </row>
    <row r="341">
      <c r="A341" s="14" t="n">
        <v>348</v>
      </c>
      <c r="B341" s="9" t="n">
        <v>45294</v>
      </c>
      <c r="C341" s="5" t="n">
        <v>37019528.83</v>
      </c>
      <c r="D341" s="4">
        <f>C341/E341</f>
        <v/>
      </c>
      <c r="E341" s="4" t="n">
        <v>83.28</v>
      </c>
      <c r="F341" s="4">
        <f>D341/100000</f>
        <v/>
      </c>
      <c r="G341" s="7">
        <f>(F341/DataSheet!$C$11*100)</f>
        <v/>
      </c>
      <c r="H341" s="4">
        <f>K341/I341</f>
        <v/>
      </c>
      <c r="I341" s="4">
        <f>(J341/L341)*100</f>
        <v/>
      </c>
      <c r="J341" s="7">
        <f>L341/O341</f>
        <v/>
      </c>
      <c r="K341" s="4" t="n">
        <v>7.21</v>
      </c>
      <c r="L341" s="4" t="n">
        <v>21517.35</v>
      </c>
      <c r="M341" s="4" t="n">
        <v>3.77</v>
      </c>
      <c r="N341" s="4">
        <f>K341-I341</f>
        <v/>
      </c>
      <c r="O341" s="4" t="n">
        <v>22.94</v>
      </c>
      <c r="P341" s="4" t="n">
        <v>3.92</v>
      </c>
      <c r="Q341" s="7">
        <f>K341-P341</f>
        <v/>
      </c>
      <c r="R341" s="4" t="n">
        <v>102.19</v>
      </c>
      <c r="S341" s="7">
        <f>(O341*T341)</f>
        <v/>
      </c>
      <c r="T341" s="12" t="n">
        <v>6.93</v>
      </c>
      <c r="U341" s="23" t="n">
        <v>17189.95</v>
      </c>
      <c r="V341" s="23" t="n">
        <v>26.68</v>
      </c>
      <c r="W341" s="7">
        <f>U341/V341</f>
        <v/>
      </c>
      <c r="X341" s="7">
        <f>(W341/U341)*100</f>
        <v/>
      </c>
      <c r="Y341" s="23" t="n">
        <v>14141</v>
      </c>
      <c r="Z341" s="23" t="n">
        <v>27.57</v>
      </c>
      <c r="AA341" s="7">
        <f>Y341/Z341</f>
        <v/>
      </c>
      <c r="AB341" s="7">
        <f>(AA341/Y341)*100</f>
        <v/>
      </c>
    </row>
    <row r="342">
      <c r="A342" s="14" t="n">
        <v>349</v>
      </c>
      <c r="B342" s="9" t="n">
        <v>45295</v>
      </c>
      <c r="C342" s="5" t="n">
        <v>37346699.18</v>
      </c>
      <c r="D342" s="4">
        <f>C342/E342</f>
        <v/>
      </c>
      <c r="E342" s="4" t="n">
        <v>83.23999999999999</v>
      </c>
      <c r="F342" s="4">
        <f>D342/100000</f>
        <v/>
      </c>
      <c r="G342" s="7">
        <f>(F342/DataSheet!$C$11*100)</f>
        <v/>
      </c>
      <c r="H342" s="4">
        <f>K342/I342</f>
        <v/>
      </c>
      <c r="I342" s="4">
        <f>(J342/L342)*100</f>
        <v/>
      </c>
      <c r="J342" s="7">
        <f>L342/O342</f>
        <v/>
      </c>
      <c r="K342" s="4" t="n">
        <v>7.22</v>
      </c>
      <c r="L342" s="4" t="n">
        <v>21658.6</v>
      </c>
      <c r="M342" s="4" t="n">
        <v>3.79</v>
      </c>
      <c r="N342" s="4">
        <f>K342-I342</f>
        <v/>
      </c>
      <c r="O342" s="4" t="n">
        <v>23.09</v>
      </c>
      <c r="P342" s="4" t="n">
        <v>4</v>
      </c>
      <c r="Q342" s="7">
        <f>K342-P342</f>
        <v/>
      </c>
      <c r="R342" s="4" t="n">
        <v>102.13</v>
      </c>
      <c r="S342" s="7">
        <f>(O342*T342)</f>
        <v/>
      </c>
      <c r="T342" s="12" t="n">
        <v>6.96</v>
      </c>
      <c r="U342" s="23" t="n">
        <v>17443.75</v>
      </c>
      <c r="V342" s="23" t="n">
        <v>27.07</v>
      </c>
      <c r="W342" s="7">
        <f>U342/V342</f>
        <v/>
      </c>
      <c r="X342" s="7">
        <f>(W342/U342)*100</f>
        <v/>
      </c>
      <c r="Y342" s="23" t="n">
        <v>14286.3</v>
      </c>
      <c r="Z342" s="23" t="n">
        <v>27.85</v>
      </c>
      <c r="AA342" s="7">
        <f>Y342/Z342</f>
        <v/>
      </c>
      <c r="AB342" s="7">
        <f>(AA342/Y342)*100</f>
        <v/>
      </c>
    </row>
    <row r="343">
      <c r="A343" s="14" t="n">
        <v>350</v>
      </c>
      <c r="B343" s="9" t="n">
        <v>45296</v>
      </c>
      <c r="C343" s="5" t="n">
        <v>37448192.14</v>
      </c>
      <c r="D343" s="4">
        <f>C343/E343</f>
        <v/>
      </c>
      <c r="E343" s="4" t="n">
        <v>83.09999999999999</v>
      </c>
      <c r="F343" s="4">
        <f>D343/100000</f>
        <v/>
      </c>
      <c r="G343" s="7">
        <f>(F343/DataSheet!$C$11*100)</f>
        <v/>
      </c>
      <c r="H343" s="4">
        <f>K343/I343</f>
        <v/>
      </c>
      <c r="I343" s="4">
        <f>(J343/L343)*100</f>
        <v/>
      </c>
      <c r="J343" s="7">
        <f>L343/O343</f>
        <v/>
      </c>
      <c r="K343" s="4" t="n">
        <v>7.23</v>
      </c>
      <c r="L343" s="4" t="n">
        <v>21710.8</v>
      </c>
      <c r="M343" s="4" t="n">
        <v>3.8</v>
      </c>
      <c r="N343" s="4">
        <f>K343-I343</f>
        <v/>
      </c>
      <c r="O343" s="4" t="n">
        <v>23.15</v>
      </c>
      <c r="P343" s="4" t="n">
        <v>4.05</v>
      </c>
      <c r="Q343" s="7">
        <f>K343-P343</f>
        <v/>
      </c>
      <c r="R343" s="4" t="n">
        <v>102.12</v>
      </c>
      <c r="S343" s="7">
        <f>(O343*T343)</f>
        <v/>
      </c>
      <c r="T343" s="12" t="n">
        <v>6.93</v>
      </c>
      <c r="U343" s="23" t="n">
        <v>17499.65</v>
      </c>
      <c r="V343" s="23" t="n">
        <v>27.16</v>
      </c>
      <c r="W343" s="7">
        <f>U343/V343</f>
        <v/>
      </c>
      <c r="X343" s="7">
        <f>(W343/U343)*100</f>
        <v/>
      </c>
      <c r="Y343" s="23" t="n">
        <v>14382.4</v>
      </c>
      <c r="Z343" s="23" t="n">
        <v>28.04</v>
      </c>
      <c r="AA343" s="7">
        <f>Y343/Z343</f>
        <v/>
      </c>
      <c r="AB343" s="7">
        <f>(AA343/Y343)*100</f>
        <v/>
      </c>
    </row>
    <row r="344">
      <c r="A344" s="14" t="n">
        <v>351</v>
      </c>
      <c r="B344" s="9" t="n">
        <v>45299</v>
      </c>
      <c r="C344" s="5" t="n">
        <v>37150868.55</v>
      </c>
      <c r="D344" s="4">
        <f>C344/E344</f>
        <v/>
      </c>
      <c r="E344" s="4" t="n">
        <v>83.04000000000001</v>
      </c>
      <c r="F344" s="4">
        <f>D344/100000</f>
        <v/>
      </c>
      <c r="G344" s="7">
        <f>(F344/DataSheet!$C$11*100)</f>
        <v/>
      </c>
      <c r="H344" s="4">
        <f>K344/I344</f>
        <v/>
      </c>
      <c r="I344" s="4">
        <f>(J344/L344)*100</f>
        <v/>
      </c>
      <c r="J344" s="7">
        <f>L344/O344</f>
        <v/>
      </c>
      <c r="K344" s="4" t="n">
        <v>7.2</v>
      </c>
      <c r="L344" s="4" t="n">
        <v>21513</v>
      </c>
      <c r="M344" s="4" t="n">
        <v>3.77</v>
      </c>
      <c r="N344" s="4">
        <f>K344-I344</f>
        <v/>
      </c>
      <c r="O344" s="4" t="n">
        <v>22.94</v>
      </c>
      <c r="P344" s="4" t="n">
        <v>4.02</v>
      </c>
      <c r="Q344" s="7">
        <f>K344-P344</f>
        <v/>
      </c>
      <c r="R344" s="4" t="n">
        <v>101.92</v>
      </c>
      <c r="S344" s="7">
        <f>(O344*T344)</f>
        <v/>
      </c>
      <c r="T344" s="12" t="n">
        <v>6.95</v>
      </c>
      <c r="U344" s="23" t="n">
        <v>17350.55</v>
      </c>
      <c r="V344" s="23" t="n">
        <v>26.93</v>
      </c>
      <c r="W344" s="7">
        <f>U344/V344</f>
        <v/>
      </c>
      <c r="X344" s="7">
        <f>(W344/U344)*100</f>
        <v/>
      </c>
      <c r="Y344" s="23" t="n">
        <v>14298.2</v>
      </c>
      <c r="Z344" s="23" t="n">
        <v>27.87</v>
      </c>
      <c r="AA344" s="7">
        <f>Y344/Z344</f>
        <v/>
      </c>
      <c r="AB344" s="7">
        <f>(AA344/Y344)*100</f>
        <v/>
      </c>
    </row>
    <row r="345">
      <c r="A345" s="14" t="n">
        <v>352</v>
      </c>
      <c r="B345" s="9" t="n">
        <v>45300</v>
      </c>
      <c r="C345" s="5" t="n">
        <v>37265202.84</v>
      </c>
      <c r="D345" s="4">
        <f>C345/E345</f>
        <v/>
      </c>
      <c r="E345" s="4" t="n">
        <v>83.09999999999999</v>
      </c>
      <c r="F345" s="4">
        <f>D345/100000</f>
        <v/>
      </c>
      <c r="G345" s="7">
        <f>(F345/DataSheet!$C$11*100)</f>
        <v/>
      </c>
      <c r="H345" s="4">
        <f>K345/I345</f>
        <v/>
      </c>
      <c r="I345" s="4">
        <f>(J345/L345)*100</f>
        <v/>
      </c>
      <c r="J345" s="7">
        <f>L345/O345</f>
        <v/>
      </c>
      <c r="K345" s="4" t="n">
        <v>7.18</v>
      </c>
      <c r="L345" s="4" t="n">
        <v>21544.85</v>
      </c>
      <c r="M345" s="4" t="n">
        <v>3.77</v>
      </c>
      <c r="N345" s="4">
        <f>K345-I345</f>
        <v/>
      </c>
      <c r="O345" s="4" t="n">
        <v>22.97</v>
      </c>
      <c r="P345" s="4" t="n">
        <v>4.01</v>
      </c>
      <c r="Q345" s="7">
        <f>K345-P345</f>
        <v/>
      </c>
      <c r="R345" s="4" t="n">
        <v>102.28</v>
      </c>
      <c r="S345" s="7">
        <f>(O345*T345)</f>
        <v/>
      </c>
      <c r="T345" s="12" t="n">
        <v>6.96</v>
      </c>
      <c r="U345" s="23" t="n">
        <v>17382</v>
      </c>
      <c r="V345" s="23" t="n">
        <v>26.98</v>
      </c>
      <c r="W345" s="7">
        <f>U345/V345</f>
        <v/>
      </c>
      <c r="X345" s="7">
        <f>(W345/U345)*100</f>
        <v/>
      </c>
      <c r="Y345" s="23" t="n">
        <v>14350.9</v>
      </c>
      <c r="Z345" s="23" t="n">
        <v>27.97</v>
      </c>
      <c r="AA345" s="7">
        <f>Y345/Z345</f>
        <v/>
      </c>
      <c r="AB345" s="7">
        <f>(AA345/Y345)*100</f>
        <v/>
      </c>
    </row>
    <row r="346">
      <c r="A346" s="14" t="n">
        <v>353</v>
      </c>
      <c r="B346" s="9" t="n">
        <v>45301</v>
      </c>
      <c r="C346" s="5" t="n">
        <v>37392677.15</v>
      </c>
      <c r="D346" s="4">
        <f>C346/E346</f>
        <v/>
      </c>
      <c r="E346" s="4" t="n">
        <v>83.02</v>
      </c>
      <c r="F346" s="4">
        <f>D346/100000</f>
        <v/>
      </c>
      <c r="G346" s="7">
        <f>(F346/DataSheet!$C$11*100)</f>
        <v/>
      </c>
      <c r="H346" s="4">
        <f>K346/I346</f>
        <v/>
      </c>
      <c r="I346" s="4">
        <f>(J346/L346)*100</f>
        <v/>
      </c>
      <c r="J346" s="7">
        <f>L346/O346</f>
        <v/>
      </c>
      <c r="K346" s="4" t="n">
        <v>7.17</v>
      </c>
      <c r="L346" s="4" t="n">
        <v>21618.7</v>
      </c>
      <c r="M346" s="4" t="n">
        <v>3.79</v>
      </c>
      <c r="N346" s="4">
        <f>K346-I346</f>
        <v/>
      </c>
      <c r="O346" s="4" t="n">
        <v>23.05</v>
      </c>
      <c r="P346" s="4" t="n">
        <v>4.03</v>
      </c>
      <c r="Q346" s="7">
        <f>K346-P346</f>
        <v/>
      </c>
      <c r="R346" s="4" t="n">
        <v>102.08</v>
      </c>
      <c r="S346" s="7">
        <f>(O346*T346)</f>
        <v/>
      </c>
      <c r="T346" s="12" t="n">
        <v>6.96</v>
      </c>
      <c r="U346" s="23" t="n">
        <v>17425.35</v>
      </c>
      <c r="V346" s="23" t="n">
        <v>27.05</v>
      </c>
      <c r="W346" s="7">
        <f>U346/V346</f>
        <v/>
      </c>
      <c r="X346" s="7">
        <f>(W346/U346)*100</f>
        <v/>
      </c>
      <c r="Y346" s="23" t="n">
        <v>14379.85</v>
      </c>
      <c r="Z346" s="23" t="n">
        <v>28.03</v>
      </c>
      <c r="AA346" s="7">
        <f>Y346/Z346</f>
        <v/>
      </c>
      <c r="AB346" s="7">
        <f>(AA346/Y346)*100</f>
        <v/>
      </c>
    </row>
    <row r="347">
      <c r="A347" s="14" t="n">
        <v>354</v>
      </c>
      <c r="B347" s="9" t="n">
        <v>45302</v>
      </c>
      <c r="C347" s="5" t="n">
        <v>37565219.02</v>
      </c>
      <c r="D347" s="4">
        <f>C347/E347</f>
        <v/>
      </c>
      <c r="E347" s="4" t="n">
        <v>83.06</v>
      </c>
      <c r="F347" s="4">
        <f>D347/100000</f>
        <v/>
      </c>
      <c r="G347" s="7">
        <f>(F347/DataSheet!$C$11*100)</f>
        <v/>
      </c>
      <c r="H347" s="4">
        <f>K347/I347</f>
        <v/>
      </c>
      <c r="I347" s="4">
        <f>(J347/L347)*100</f>
        <v/>
      </c>
      <c r="J347" s="7">
        <f>L347/O347</f>
        <v/>
      </c>
      <c r="K347" s="4" t="n">
        <v>7.16</v>
      </c>
      <c r="L347" s="4" t="n">
        <v>21647.2</v>
      </c>
      <c r="M347" s="4" t="n">
        <v>3.79</v>
      </c>
      <c r="N347" s="4">
        <f>K347-I347</f>
        <v/>
      </c>
      <c r="O347" s="4" t="n">
        <v>23.08</v>
      </c>
      <c r="P347" s="4" t="n">
        <v>3.97</v>
      </c>
      <c r="Q347" s="7">
        <f>K347-P347</f>
        <v/>
      </c>
      <c r="R347" s="4" t="n">
        <v>102.02</v>
      </c>
      <c r="S347" s="7">
        <f>(O347*T347)</f>
        <v/>
      </c>
      <c r="T347" s="12" t="n">
        <v>6.95</v>
      </c>
      <c r="U347" s="23" t="n">
        <v>17500.5</v>
      </c>
      <c r="V347" s="23" t="n">
        <v>27.16</v>
      </c>
      <c r="W347" s="7">
        <f>U347/V347</f>
        <v/>
      </c>
      <c r="X347" s="7">
        <f>(W347/U347)*100</f>
        <v/>
      </c>
      <c r="Y347" s="23" t="n">
        <v>14498.55</v>
      </c>
      <c r="Z347" s="23" t="n">
        <v>28.28</v>
      </c>
      <c r="AA347" s="7">
        <f>Y347/Z347</f>
        <v/>
      </c>
      <c r="AB347" s="7">
        <f>(AA347/Y347)*100</f>
        <v/>
      </c>
    </row>
    <row r="348">
      <c r="A348" s="14" t="n">
        <v>355</v>
      </c>
      <c r="B348" s="9" t="n">
        <v>45303</v>
      </c>
      <c r="C348" s="5" t="n">
        <v>37846544.38</v>
      </c>
      <c r="D348" s="4">
        <f>C348/E348</f>
        <v/>
      </c>
      <c r="E348" s="4" t="n">
        <v>82.84999999999999</v>
      </c>
      <c r="F348" s="4">
        <f>D348/100000</f>
        <v/>
      </c>
      <c r="G348" s="7">
        <f>(F348/DataSheet!$C$11*100)</f>
        <v/>
      </c>
      <c r="H348" s="4">
        <f>K348/I348</f>
        <v/>
      </c>
      <c r="I348" s="4">
        <f>(J348/L348)*100</f>
        <v/>
      </c>
      <c r="J348" s="7">
        <f>L348/O348</f>
        <v/>
      </c>
      <c r="K348" s="4" t="n">
        <v>7.17</v>
      </c>
      <c r="L348" s="4" t="n">
        <v>21894.55</v>
      </c>
      <c r="M348" s="4" t="n">
        <v>3.83</v>
      </c>
      <c r="N348" s="4">
        <f>K348-I348</f>
        <v/>
      </c>
      <c r="O348" s="4" t="n">
        <v>23.34</v>
      </c>
      <c r="P348" s="4" t="n">
        <v>3.93</v>
      </c>
      <c r="Q348" s="7">
        <f>K348-P348</f>
        <v/>
      </c>
      <c r="R348" s="4" t="n">
        <v>102.15</v>
      </c>
      <c r="S348" s="7">
        <f>(O348*T348)</f>
        <v/>
      </c>
      <c r="T348" s="12" t="n">
        <v>6.95</v>
      </c>
      <c r="U348" s="23" t="n">
        <v>17563.85</v>
      </c>
      <c r="V348" s="23" t="n">
        <v>27.26</v>
      </c>
      <c r="W348" s="7">
        <f>U348/V348</f>
        <v/>
      </c>
      <c r="X348" s="7">
        <f>(W348/U348)*100</f>
        <v/>
      </c>
      <c r="Y348" s="23" t="n">
        <v>14552.75</v>
      </c>
      <c r="Z348" s="23" t="n">
        <v>28.39</v>
      </c>
      <c r="AA348" s="7">
        <f>Y348/Z348</f>
        <v/>
      </c>
      <c r="AB348" s="7">
        <f>(AA348/Y348)*100</f>
        <v/>
      </c>
    </row>
    <row r="349">
      <c r="A349" s="14" t="n">
        <v>356</v>
      </c>
      <c r="B349" s="9" t="n">
        <v>45306</v>
      </c>
      <c r="C349" s="5" t="n">
        <v>38129439.27</v>
      </c>
      <c r="D349" s="4">
        <f>C349/E349</f>
        <v/>
      </c>
      <c r="E349" s="4" t="n">
        <v>82.81999999999999</v>
      </c>
      <c r="F349" s="4">
        <f>D349/100000</f>
        <v/>
      </c>
      <c r="G349" s="7">
        <f>(F349/DataSheet!$C$11*100)</f>
        <v/>
      </c>
      <c r="H349" s="4">
        <f>K349/I349</f>
        <v/>
      </c>
      <c r="I349" s="4">
        <f>(J349/L349)*100</f>
        <v/>
      </c>
      <c r="J349" s="7">
        <f>L349/O349</f>
        <v/>
      </c>
      <c r="K349" s="4" t="n">
        <v>7.14</v>
      </c>
      <c r="L349" s="4" t="n">
        <v>22097.45</v>
      </c>
      <c r="M349" s="4" t="n">
        <v>3.87</v>
      </c>
      <c r="N349" s="4">
        <f>K349-I349</f>
        <v/>
      </c>
      <c r="O349" s="4" t="n">
        <v>23.59</v>
      </c>
      <c r="P349" s="4" t="n">
        <v>3.98</v>
      </c>
      <c r="Q349" s="7">
        <f>K349-P349</f>
        <v/>
      </c>
      <c r="R349" s="4" t="n">
        <v>102.15</v>
      </c>
      <c r="S349" s="7">
        <f>(O349*T349)</f>
        <v/>
      </c>
      <c r="T349" s="12" t="n">
        <v>6.95</v>
      </c>
      <c r="U349" s="23" t="n">
        <v>17656.35</v>
      </c>
      <c r="V349" s="23" t="n">
        <v>27.39</v>
      </c>
      <c r="W349" s="7">
        <f>U349/V349</f>
        <v/>
      </c>
      <c r="X349" s="7">
        <f>(W349/U349)*100</f>
        <v/>
      </c>
      <c r="Y349" s="23" t="n">
        <v>14589</v>
      </c>
      <c r="Z349" s="23" t="n">
        <v>28.45</v>
      </c>
      <c r="AA349" s="7">
        <f>Y349/Z349</f>
        <v/>
      </c>
      <c r="AB349" s="7">
        <f>(AA349/Y349)*100</f>
        <v/>
      </c>
    </row>
    <row r="350">
      <c r="A350" s="14" t="n">
        <v>357</v>
      </c>
      <c r="B350" s="9" t="n">
        <v>45307</v>
      </c>
      <c r="C350" s="5" t="n">
        <v>38021747.04</v>
      </c>
      <c r="D350" s="4">
        <f>C350/E350</f>
        <v/>
      </c>
      <c r="E350" s="4" t="n">
        <v>83.08</v>
      </c>
      <c r="F350" s="4">
        <f>D350/100000</f>
        <v/>
      </c>
      <c r="G350" s="7">
        <f>(F350/DataSheet!$C$11*100)</f>
        <v/>
      </c>
      <c r="H350" s="4">
        <f>K350/I350</f>
        <v/>
      </c>
      <c r="I350" s="4">
        <f>(J350/L350)*100</f>
        <v/>
      </c>
      <c r="J350" s="7">
        <f>L350/O350</f>
        <v/>
      </c>
      <c r="K350" s="4" t="n">
        <v>7.14</v>
      </c>
      <c r="L350" s="4" t="n">
        <v>22032.3</v>
      </c>
      <c r="M350" s="4" t="n">
        <v>3.86</v>
      </c>
      <c r="N350" s="4">
        <f>K350-I350</f>
        <v/>
      </c>
      <c r="O350" s="4" t="n">
        <v>23.52</v>
      </c>
      <c r="P350" s="4" t="n">
        <v>4.05</v>
      </c>
      <c r="Q350" s="7">
        <f>K350-P350</f>
        <v/>
      </c>
      <c r="R350" s="4" t="n">
        <v>103.11</v>
      </c>
      <c r="S350" s="7">
        <f>(O350*T350)</f>
        <v/>
      </c>
      <c r="T350" s="12" t="n">
        <v>6.97</v>
      </c>
      <c r="U350" s="23" t="n">
        <v>17599.8</v>
      </c>
      <c r="V350" s="23" t="n">
        <v>27.3</v>
      </c>
      <c r="W350" s="7">
        <f>U350/V350</f>
        <v/>
      </c>
      <c r="X350" s="7">
        <f>(W350/U350)*100</f>
        <v/>
      </c>
      <c r="Y350" s="23" t="n">
        <v>14549.05</v>
      </c>
      <c r="Z350" s="23" t="n">
        <v>28.37</v>
      </c>
      <c r="AA350" s="7">
        <f>Y350/Z350</f>
        <v/>
      </c>
      <c r="AB350" s="7">
        <f>(AA350/Y350)*100</f>
        <v/>
      </c>
    </row>
    <row r="351">
      <c r="A351" s="14" t="n">
        <v>358</v>
      </c>
      <c r="B351" s="9" t="n">
        <v>45308</v>
      </c>
      <c r="C351" s="5" t="n">
        <v>37557740.27</v>
      </c>
      <c r="D351" s="4">
        <f>C351/E351</f>
        <v/>
      </c>
      <c r="E351" s="4" t="n">
        <v>83.18000000000001</v>
      </c>
      <c r="F351" s="4">
        <f>D351/100000</f>
        <v/>
      </c>
      <c r="G351" s="7">
        <f>(F351/DataSheet!$C$11*100)</f>
        <v/>
      </c>
      <c r="H351" s="4">
        <f>K351/I351</f>
        <v/>
      </c>
      <c r="I351" s="4">
        <f>(J351/L351)*100</f>
        <v/>
      </c>
      <c r="J351" s="7">
        <f>L351/O351</f>
        <v/>
      </c>
      <c r="K351" s="4" t="n">
        <v>7.16</v>
      </c>
      <c r="L351" s="4" t="n">
        <v>21571.95</v>
      </c>
      <c r="M351" s="4" t="n">
        <v>3.78</v>
      </c>
      <c r="N351" s="4">
        <f>K351-I351</f>
        <v/>
      </c>
      <c r="O351" s="4" t="n">
        <v>23.03</v>
      </c>
      <c r="P351" s="4" t="n">
        <v>4.1</v>
      </c>
      <c r="Q351" s="7">
        <f>K351-P351</f>
        <v/>
      </c>
      <c r="R351" s="4" t="n">
        <v>103.2</v>
      </c>
      <c r="S351" s="7">
        <f>(O351*T351)</f>
        <v/>
      </c>
      <c r="T351" s="12" t="n">
        <v>6.95</v>
      </c>
      <c r="U351" s="23" t="n">
        <v>17413.15</v>
      </c>
      <c r="V351" s="23" t="n">
        <v>27.01</v>
      </c>
      <c r="W351" s="7">
        <f>U351/V351</f>
        <v/>
      </c>
      <c r="X351" s="7">
        <f>(W351/U351)*100</f>
        <v/>
      </c>
      <c r="Y351" s="23" t="n">
        <v>14396.6</v>
      </c>
      <c r="Z351" s="23" t="n">
        <v>28.05</v>
      </c>
      <c r="AA351" s="7">
        <f>Y351/Z351</f>
        <v/>
      </c>
      <c r="AB351" s="7">
        <f>(AA351/Y351)*100</f>
        <v/>
      </c>
    </row>
    <row r="352">
      <c r="A352" s="14" t="n">
        <v>359</v>
      </c>
      <c r="B352" s="9" t="n">
        <v>45309</v>
      </c>
      <c r="C352" s="4" t="n">
        <v>37470481.82</v>
      </c>
      <c r="D352" s="4">
        <f>C352/E352</f>
        <v/>
      </c>
      <c r="E352" s="4" t="n">
        <v>83.16</v>
      </c>
      <c r="F352" s="4">
        <f>D352/100000</f>
        <v/>
      </c>
      <c r="G352" s="7">
        <f>(F352/DataSheet!$C$11*100)</f>
        <v/>
      </c>
      <c r="H352" s="4">
        <f>K352/I352</f>
        <v/>
      </c>
      <c r="I352" s="4">
        <f>(J352/L352)*100</f>
        <v/>
      </c>
      <c r="J352" s="7">
        <f>L352/O352</f>
        <v/>
      </c>
      <c r="K352" s="4" t="n">
        <v>7.17</v>
      </c>
      <c r="L352" s="4" t="n">
        <v>21462.25</v>
      </c>
      <c r="M352" s="4" t="n">
        <v>3.76</v>
      </c>
      <c r="N352" s="4">
        <f>K352-I352</f>
        <v/>
      </c>
      <c r="O352" s="4" t="n">
        <v>22.64</v>
      </c>
      <c r="P352" s="4" t="n">
        <v>4.14</v>
      </c>
      <c r="Q352" s="7">
        <f>K352-P352</f>
        <v/>
      </c>
      <c r="R352" s="4" t="n">
        <v>103.31</v>
      </c>
      <c r="S352" s="7">
        <f>(O352*T352)</f>
        <v/>
      </c>
      <c r="T352" s="12" t="n">
        <v>6.99</v>
      </c>
      <c r="U352" s="23" t="n">
        <v>17409.45</v>
      </c>
      <c r="V352" s="23" t="n">
        <v>26.93</v>
      </c>
      <c r="W352" s="7">
        <f>U352/V352</f>
        <v/>
      </c>
      <c r="X352" s="7">
        <f>(W352/U352)*100</f>
        <v/>
      </c>
      <c r="Y352" s="23" t="n">
        <v>14394.95</v>
      </c>
      <c r="Z352" s="23" t="n">
        <v>28.01</v>
      </c>
      <c r="AA352" s="7">
        <f>Y352/Z352</f>
        <v/>
      </c>
      <c r="AB352" s="7">
        <f>(AA352/Y352)*100</f>
        <v/>
      </c>
    </row>
    <row r="353">
      <c r="A353" s="14" t="n">
        <v>360</v>
      </c>
      <c r="B353" s="9" t="n">
        <v>45310</v>
      </c>
      <c r="C353" s="4" t="n">
        <v>37887479.17</v>
      </c>
      <c r="D353" s="4">
        <f>C353/E353</f>
        <v/>
      </c>
      <c r="E353" s="4" t="n">
        <v>83.08</v>
      </c>
      <c r="F353" s="4">
        <f>D353/100000</f>
        <v/>
      </c>
      <c r="G353" s="7">
        <f>(F353/DataSheet!$C$11*100)</f>
        <v/>
      </c>
      <c r="H353" s="4">
        <f>K353/I353</f>
        <v/>
      </c>
      <c r="I353" s="4">
        <f>(J353/L353)*100</f>
        <v/>
      </c>
      <c r="J353" s="7">
        <f>L353/O353</f>
        <v/>
      </c>
      <c r="K353" s="4" t="n">
        <v>7.18</v>
      </c>
      <c r="L353" s="4" t="n">
        <v>21622.4</v>
      </c>
      <c r="M353" s="4" t="n">
        <v>3.79</v>
      </c>
      <c r="N353" s="4">
        <f>K353-I353</f>
        <v/>
      </c>
      <c r="O353" s="4" t="n">
        <v>22.79</v>
      </c>
      <c r="P353" s="4" t="n">
        <v>4.13</v>
      </c>
      <c r="Q353" s="7">
        <f>K353-P353</f>
        <v/>
      </c>
      <c r="R353" s="4" t="n">
        <v>103.06</v>
      </c>
      <c r="S353" s="7">
        <f>(O353*T353)</f>
        <v/>
      </c>
      <c r="T353" s="12" t="n">
        <v>7</v>
      </c>
      <c r="U353" s="23" t="n">
        <v>17670.85</v>
      </c>
      <c r="V353" s="23" t="n">
        <v>27.31</v>
      </c>
      <c r="W353" s="7">
        <f>U353/V353</f>
        <v/>
      </c>
      <c r="X353" s="7">
        <f>(W353/U353)*100</f>
        <v/>
      </c>
      <c r="Y353" s="23" t="n">
        <v>14548.55</v>
      </c>
      <c r="Z353" s="23" t="n">
        <v>28.26</v>
      </c>
      <c r="AA353" s="7">
        <f>Y353/Z353</f>
        <v/>
      </c>
      <c r="AB353" s="7">
        <f>(AA353/Y353)*100</f>
        <v/>
      </c>
    </row>
    <row r="354">
      <c r="A354" s="14" t="n">
        <v>361</v>
      </c>
      <c r="B354" s="9" t="n">
        <v>45311</v>
      </c>
      <c r="C354" s="4" t="n">
        <v>37973156.97</v>
      </c>
      <c r="D354" s="4">
        <f>C354/E354</f>
        <v/>
      </c>
      <c r="E354" s="4" t="n">
        <v>83.09999999999999</v>
      </c>
      <c r="F354" s="4">
        <f>D354/100000</f>
        <v/>
      </c>
      <c r="G354" s="7">
        <f>(F354/DataSheet!$C$11*100)</f>
        <v/>
      </c>
      <c r="H354" s="4">
        <f>K354/I354</f>
        <v/>
      </c>
      <c r="I354" s="4">
        <f>(J354/L354)*100</f>
        <v/>
      </c>
      <c r="J354" s="7">
        <f>L354/O354</f>
        <v/>
      </c>
      <c r="K354" s="4" t="n">
        <v>7.18</v>
      </c>
      <c r="L354" s="4" t="n">
        <v>21571.8</v>
      </c>
      <c r="M354" s="4" t="n">
        <v>3.78</v>
      </c>
      <c r="N354" s="4">
        <f>K354-I354</f>
        <v/>
      </c>
      <c r="O354" s="4" t="n">
        <v>22.73</v>
      </c>
      <c r="P354" s="4" t="n">
        <v>4.1</v>
      </c>
      <c r="Q354" s="7">
        <f>K354-P354</f>
        <v/>
      </c>
      <c r="R354" s="4" t="n">
        <v>103.11</v>
      </c>
      <c r="S354" s="7">
        <f>(O354*T354)</f>
        <v/>
      </c>
      <c r="T354" s="12" t="n">
        <v>7</v>
      </c>
      <c r="U354" s="23" t="n">
        <v>17724.7</v>
      </c>
      <c r="V354" s="23" t="n">
        <v>27.37</v>
      </c>
      <c r="W354" s="7">
        <f>U354/V354</f>
        <v/>
      </c>
      <c r="X354" s="7">
        <f>(W354/U354)*100</f>
        <v/>
      </c>
      <c r="Y354" s="23" t="n">
        <v>14614.2</v>
      </c>
      <c r="Z354" s="23" t="n">
        <v>28.38</v>
      </c>
      <c r="AA354" s="7">
        <f>Y354/Z354</f>
        <v/>
      </c>
      <c r="AB354" s="7">
        <f>(AA354/Y354)*100</f>
        <v/>
      </c>
    </row>
    <row r="355">
      <c r="A355" s="14" t="n">
        <v>362</v>
      </c>
      <c r="B355" s="9" t="n">
        <v>45314</v>
      </c>
      <c r="C355" s="4" t="n">
        <v>37116565.62</v>
      </c>
      <c r="D355" s="4">
        <f>C355/E355</f>
        <v/>
      </c>
      <c r="E355" s="4" t="n">
        <v>83.15000000000001</v>
      </c>
      <c r="F355" s="4">
        <f>D355/100000</f>
        <v/>
      </c>
      <c r="G355" s="7">
        <f>(F355/DataSheet!$C$11*100)</f>
        <v/>
      </c>
      <c r="H355" s="4">
        <f>K355/I355</f>
        <v/>
      </c>
      <c r="I355" s="4">
        <f>(J355/L355)*100</f>
        <v/>
      </c>
      <c r="J355" s="7">
        <f>L355/O355</f>
        <v/>
      </c>
      <c r="K355" s="4" t="n">
        <v>7.17</v>
      </c>
      <c r="L355" s="4" t="n">
        <v>21238.8</v>
      </c>
      <c r="M355" s="4" t="n">
        <v>3.72</v>
      </c>
      <c r="N355" s="4">
        <f>K355-I355</f>
        <v/>
      </c>
      <c r="O355" s="4" t="n">
        <v>22.31</v>
      </c>
      <c r="P355" s="4" t="n">
        <v>4.13</v>
      </c>
      <c r="Q355" s="7">
        <f>K355-P355</f>
        <v/>
      </c>
      <c r="R355" s="4" t="n">
        <v>103.4</v>
      </c>
      <c r="S355" s="7">
        <f>(O355*T355)</f>
        <v/>
      </c>
      <c r="T355" s="12" t="n">
        <v>6.99</v>
      </c>
      <c r="U355" s="23" t="n">
        <v>17204.35</v>
      </c>
      <c r="V355" s="23" t="n">
        <v>26.55</v>
      </c>
      <c r="W355" s="7">
        <f>U355/V355</f>
        <v/>
      </c>
      <c r="X355" s="7">
        <f>(W355/U355)*100</f>
        <v/>
      </c>
      <c r="Y355" s="23" t="n">
        <v>14217.35</v>
      </c>
      <c r="Z355" s="23" t="n">
        <v>27.58</v>
      </c>
      <c r="AA355" s="7">
        <f>Y355/Z355</f>
        <v/>
      </c>
      <c r="AB355" s="7">
        <f>(AA355/Y355)*100</f>
        <v/>
      </c>
    </row>
    <row r="356">
      <c r="A356" s="14" t="n">
        <v>363</v>
      </c>
      <c r="B356" s="9" t="n">
        <v>45315</v>
      </c>
      <c r="C356" s="4" t="n">
        <v>37627993.44</v>
      </c>
      <c r="D356" s="4">
        <f>C356/E356</f>
        <v/>
      </c>
      <c r="E356" s="4" t="n">
        <v>83.13</v>
      </c>
      <c r="F356" s="4">
        <f>D356/100000</f>
        <v/>
      </c>
      <c r="G356" s="7">
        <f>(F356/DataSheet!$C$11*100)</f>
        <v/>
      </c>
      <c r="H356" s="4">
        <f>K356/I356</f>
        <v/>
      </c>
      <c r="I356" s="4">
        <f>(J356/L356)*100</f>
        <v/>
      </c>
      <c r="J356" s="7">
        <f>L356/O356</f>
        <v/>
      </c>
      <c r="K356" s="4" t="n">
        <v>7.18</v>
      </c>
      <c r="L356" s="4" t="n">
        <v>21453.95</v>
      </c>
      <c r="M356" s="4" t="n">
        <v>3.76</v>
      </c>
      <c r="N356" s="4">
        <f>K356-I356</f>
        <v/>
      </c>
      <c r="O356" s="4" t="n">
        <v>22.39</v>
      </c>
      <c r="P356" s="4" t="n">
        <v>4.18</v>
      </c>
      <c r="Q356" s="7">
        <f>K356-P356</f>
        <v/>
      </c>
      <c r="R356" s="4" t="n">
        <v>103.03</v>
      </c>
      <c r="S356" s="7">
        <f>(O356*T356)</f>
        <v/>
      </c>
      <c r="T356" s="12" t="n">
        <v>6.99</v>
      </c>
      <c r="U356" s="23" t="n">
        <v>17495.55</v>
      </c>
      <c r="V356" s="23" t="n">
        <v>26.88</v>
      </c>
      <c r="W356" s="7">
        <f>U356/V356</f>
        <v/>
      </c>
      <c r="X356" s="7">
        <f>(W356/U356)*100</f>
        <v/>
      </c>
      <c r="Y356" s="23" t="n">
        <v>14467.35</v>
      </c>
      <c r="Z356" s="23" t="n">
        <v>27.92</v>
      </c>
      <c r="AA356" s="7">
        <f>Y356/Z356</f>
        <v/>
      </c>
      <c r="AB356" s="7">
        <f>(AA356/Y356)*100</f>
        <v/>
      </c>
    </row>
    <row r="357">
      <c r="A357" s="5" t="n">
        <v>364</v>
      </c>
      <c r="B357" s="8" t="n">
        <v>45316</v>
      </c>
      <c r="C357" s="4" t="n">
        <v>37636886.59</v>
      </c>
      <c r="D357" s="4">
        <f>C357/E357</f>
        <v/>
      </c>
      <c r="E357" s="4" t="n">
        <v>83.14</v>
      </c>
      <c r="F357" s="4">
        <f>D357/100000</f>
        <v/>
      </c>
      <c r="G357" s="7">
        <f>(F357/DataSheet!$C$11*100)</f>
        <v/>
      </c>
      <c r="H357" s="4">
        <f>K357/I357</f>
        <v/>
      </c>
      <c r="I357" s="4">
        <f>(J357/L357)*100</f>
        <v/>
      </c>
      <c r="J357" s="7">
        <f>L357/O357</f>
        <v/>
      </c>
      <c r="K357" s="4" t="n">
        <v>7.17</v>
      </c>
      <c r="L357" s="4" t="n">
        <v>21352.6</v>
      </c>
      <c r="M357" s="4" t="n">
        <v>3.74</v>
      </c>
      <c r="N357" s="4">
        <f>K357-I357</f>
        <v/>
      </c>
      <c r="O357" s="4" t="n">
        <v>22.27</v>
      </c>
      <c r="P357" s="4" t="n">
        <v>4.12</v>
      </c>
      <c r="Q357" s="7">
        <f>K357-P357</f>
        <v/>
      </c>
      <c r="R357" s="4" t="n">
        <v>103.37</v>
      </c>
      <c r="S357" s="7">
        <f>(O357*T357)</f>
        <v/>
      </c>
      <c r="T357" s="12" t="n">
        <v>7.03</v>
      </c>
      <c r="U357" s="23" t="n">
        <v>17413.75</v>
      </c>
      <c r="V357" s="23" t="n">
        <v>26.49</v>
      </c>
      <c r="W357" s="7">
        <f>U357/V357</f>
        <v/>
      </c>
      <c r="X357" s="7">
        <f>(W357/U357)*100</f>
        <v/>
      </c>
      <c r="Y357" s="23" t="n">
        <v>14543.8</v>
      </c>
      <c r="Z357" s="23" t="n">
        <v>27.99</v>
      </c>
      <c r="AA357" s="7">
        <f>Y357/Z357</f>
        <v/>
      </c>
      <c r="AB357" s="7">
        <f>(AA357/Y357)*100</f>
        <v/>
      </c>
    </row>
    <row r="358">
      <c r="A358" s="14" t="n">
        <v>365</v>
      </c>
      <c r="B358" s="9" t="n">
        <v>45320</v>
      </c>
      <c r="C358" s="4" t="n">
        <v>38240643.81</v>
      </c>
      <c r="D358" s="4">
        <f>C358/E358</f>
        <v/>
      </c>
      <c r="E358" s="4" t="n">
        <v>83.13</v>
      </c>
      <c r="F358" s="4">
        <f>D358/100000</f>
        <v/>
      </c>
      <c r="G358" s="7">
        <f>(F358/DataSheet!$C$11*100)</f>
        <v/>
      </c>
      <c r="H358" s="4">
        <f>K358/I358</f>
        <v/>
      </c>
      <c r="I358" s="4">
        <f>(J358/L358)*100</f>
        <v/>
      </c>
      <c r="J358" s="7">
        <f>L358/O358</f>
        <v/>
      </c>
      <c r="K358" s="4" t="n">
        <v>7.17</v>
      </c>
      <c r="L358" s="4" t="n">
        <v>21737.6</v>
      </c>
      <c r="M358" s="4" t="n">
        <v>3.81</v>
      </c>
      <c r="N358" s="4">
        <f>K358-I358</f>
        <v/>
      </c>
      <c r="O358" s="4" t="n">
        <v>22.58</v>
      </c>
      <c r="P358" s="4" t="n">
        <v>4.07</v>
      </c>
      <c r="Q358" s="7">
        <f>K358-P358</f>
        <v/>
      </c>
      <c r="R358" s="4" t="n">
        <v>103.42</v>
      </c>
      <c r="S358" s="7">
        <f>(O358*T358)</f>
        <v/>
      </c>
      <c r="T358" s="12" t="n">
        <v>7.04</v>
      </c>
      <c r="U358" s="23" t="n">
        <v>17669.7</v>
      </c>
      <c r="V358" s="23" t="n">
        <v>26.68</v>
      </c>
      <c r="W358" s="7">
        <f>U358/V358</f>
        <v/>
      </c>
      <c r="X358" s="7">
        <f>(W358/U358)*100</f>
        <v/>
      </c>
      <c r="Y358" s="23" t="n">
        <v>14730.25</v>
      </c>
      <c r="Z358" s="23" t="n">
        <v>28.19</v>
      </c>
      <c r="AA358" s="7">
        <f>Y358/Z358</f>
        <v/>
      </c>
      <c r="AB358" s="7">
        <f>(AA358/Y358)*100</f>
        <v/>
      </c>
    </row>
    <row r="359">
      <c r="A359" s="14" t="n">
        <v>366</v>
      </c>
      <c r="B359" s="9" t="n">
        <v>45321</v>
      </c>
      <c r="C359" s="4" t="n">
        <v>38053566.52</v>
      </c>
      <c r="D359" s="4">
        <f>C359/E359</f>
        <v/>
      </c>
      <c r="E359" s="4" t="n">
        <v>83.12</v>
      </c>
      <c r="F359" s="4">
        <f>D359/100000</f>
        <v/>
      </c>
      <c r="G359" s="7">
        <f>(F359/DataSheet!$C$11*100)</f>
        <v/>
      </c>
      <c r="H359" s="4">
        <f>K359/I359</f>
        <v/>
      </c>
      <c r="I359" s="4">
        <f>(J359/L359)*100</f>
        <v/>
      </c>
      <c r="J359" s="7">
        <f>L359/O359</f>
        <v/>
      </c>
      <c r="K359" s="4" t="n">
        <v>7.15</v>
      </c>
      <c r="L359" s="4" t="n">
        <v>21522.1</v>
      </c>
      <c r="M359" s="4" t="n">
        <v>3.77</v>
      </c>
      <c r="N359" s="4">
        <f>K359-I359</f>
        <v/>
      </c>
      <c r="O359" s="4" t="n">
        <v>22.31</v>
      </c>
      <c r="P359" s="4" t="n">
        <v>4.03</v>
      </c>
      <c r="Q359" s="7">
        <f>K359-P359</f>
        <v/>
      </c>
      <c r="R359" s="4" t="n">
        <v>103.21</v>
      </c>
      <c r="S359" s="7">
        <f>(O359*T359)</f>
        <v/>
      </c>
      <c r="T359" s="12" t="n">
        <v>7.04</v>
      </c>
      <c r="U359" s="23" t="n">
        <v>17607.15</v>
      </c>
      <c r="V359" s="23" t="n">
        <v>26.28</v>
      </c>
      <c r="W359" s="7">
        <f>U359/V359</f>
        <v/>
      </c>
      <c r="X359" s="7">
        <f>(W359/U359)*100</f>
        <v/>
      </c>
      <c r="Y359" s="23" t="n">
        <v>14749.95</v>
      </c>
      <c r="Z359" s="23" t="n">
        <v>28.22</v>
      </c>
      <c r="AA359" s="7">
        <f>Y359/Z359</f>
        <v/>
      </c>
      <c r="AB359" s="7">
        <f>(AA359/Y359)*100</f>
        <v/>
      </c>
    </row>
    <row r="360">
      <c r="A360" s="5" t="n">
        <v>367</v>
      </c>
      <c r="B360" s="9" t="n">
        <v>45322</v>
      </c>
      <c r="C360" s="4" t="n">
        <v>38511922.9</v>
      </c>
      <c r="D360" s="4">
        <f>C360/E360</f>
        <v/>
      </c>
      <c r="E360" s="4" t="n">
        <v>83.09</v>
      </c>
      <c r="F360" s="4">
        <f>D360/100000</f>
        <v/>
      </c>
      <c r="G360" s="7">
        <f>(F360/DataSheet!$C$11*100)</f>
        <v/>
      </c>
      <c r="H360" s="4">
        <f>K360/I360</f>
        <v/>
      </c>
      <c r="I360" s="4">
        <f>(J360/L360)*100</f>
        <v/>
      </c>
      <c r="J360" s="7">
        <f>L360/O360</f>
        <v/>
      </c>
      <c r="K360" s="4" t="n">
        <v>7.14</v>
      </c>
      <c r="L360" s="4" t="n">
        <v>21725.7</v>
      </c>
      <c r="M360" s="4" t="n">
        <v>3.81</v>
      </c>
      <c r="N360" s="4">
        <f>K360-I360</f>
        <v/>
      </c>
      <c r="O360" s="4" t="n">
        <v>22.46</v>
      </c>
      <c r="P360" s="4" t="n">
        <v>3.91</v>
      </c>
      <c r="Q360" s="7">
        <f>K360-P360</f>
        <v/>
      </c>
      <c r="R360" s="4" t="n">
        <v>103.08</v>
      </c>
      <c r="S360" s="7">
        <f>(O360*T360)</f>
        <v/>
      </c>
      <c r="T360" s="12" t="n">
        <v>7.04</v>
      </c>
      <c r="U360" s="23" t="n">
        <v>17884.7</v>
      </c>
      <c r="V360" s="23" t="n">
        <v>27.5</v>
      </c>
      <c r="W360" s="7">
        <f>U360/V360</f>
        <v/>
      </c>
      <c r="X360" s="7">
        <f>(W360/U360)*100</f>
        <v/>
      </c>
      <c r="Y360" s="23" t="n">
        <v>15063.5</v>
      </c>
      <c r="Z360" s="23" t="n">
        <v>28.76</v>
      </c>
      <c r="AA360" s="7">
        <f>Y360/Z360</f>
        <v/>
      </c>
      <c r="AB360" s="7">
        <f>(AA360/Y360)*100</f>
        <v/>
      </c>
    </row>
    <row r="361">
      <c r="A361" s="14" t="n">
        <v>368</v>
      </c>
      <c r="B361" s="9" t="n">
        <v>45323</v>
      </c>
      <c r="C361" s="4" t="n">
        <v>38475305.82</v>
      </c>
      <c r="D361" s="4">
        <f>C361/E361</f>
        <v/>
      </c>
      <c r="E361" s="4" t="n">
        <v>82.94</v>
      </c>
      <c r="F361" s="4">
        <f>D361/100000</f>
        <v/>
      </c>
      <c r="G361" s="7">
        <f>(F361/DataSheet!$C$11*100)</f>
        <v/>
      </c>
      <c r="H361" s="4">
        <f>K361/I361</f>
        <v/>
      </c>
      <c r="I361" s="4">
        <f>(J361/L361)*100</f>
        <v/>
      </c>
      <c r="J361" s="7">
        <f>L361/O361</f>
        <v/>
      </c>
      <c r="K361" s="4" t="n">
        <v>7.06</v>
      </c>
      <c r="L361" s="4" t="n">
        <v>21697.45</v>
      </c>
      <c r="M361" s="4" t="n">
        <v>3.8</v>
      </c>
      <c r="N361" s="4">
        <f>K361-I361</f>
        <v/>
      </c>
      <c r="O361" s="4" t="n">
        <v>22.38</v>
      </c>
      <c r="P361" s="4" t="n">
        <v>3.88</v>
      </c>
      <c r="Q361" s="7">
        <f>K361-P361</f>
        <v/>
      </c>
      <c r="R361" s="4" t="n">
        <v>102.87</v>
      </c>
      <c r="S361" s="7">
        <f>(O361*T361)</f>
        <v/>
      </c>
      <c r="T361" s="12" t="n">
        <v>7.04</v>
      </c>
      <c r="U361" s="23" t="n">
        <v>17782.8</v>
      </c>
      <c r="V361" s="23" t="n">
        <v>27.36</v>
      </c>
      <c r="W361" s="7">
        <f>U361/V361</f>
        <v/>
      </c>
      <c r="X361" s="7">
        <f>(W361/U361)*100</f>
        <v/>
      </c>
      <c r="Y361" s="23" t="n">
        <v>15084.2</v>
      </c>
      <c r="Z361" s="23" t="n">
        <v>28.71</v>
      </c>
      <c r="AA361" s="7">
        <f>Y361/Z361</f>
        <v/>
      </c>
      <c r="AB361" s="7">
        <f>(AA361/Y361)*100</f>
        <v/>
      </c>
    </row>
    <row r="362">
      <c r="A362" s="14" t="n">
        <v>369</v>
      </c>
      <c r="B362" s="9" t="n">
        <v>45324</v>
      </c>
      <c r="C362" s="4" t="n">
        <v>38809851.85</v>
      </c>
      <c r="D362" s="4">
        <f>C362/E362</f>
        <v/>
      </c>
      <c r="E362" s="4" t="n">
        <v>82.98999999999999</v>
      </c>
      <c r="F362" s="4">
        <f>D362/100000</f>
        <v/>
      </c>
      <c r="G362" s="7">
        <f>(F362/DataSheet!$C$11*100)</f>
        <v/>
      </c>
      <c r="H362" s="4">
        <f>K362/I362</f>
        <v/>
      </c>
      <c r="I362" s="4">
        <f>(J362/L362)*100</f>
        <v/>
      </c>
      <c r="J362" s="7">
        <f>L362/O362</f>
        <v/>
      </c>
      <c r="K362" s="4" t="n">
        <v>7.05</v>
      </c>
      <c r="L362" s="4" t="n">
        <v>21853.8</v>
      </c>
      <c r="M362" s="4" t="n">
        <v>3.83</v>
      </c>
      <c r="N362" s="4">
        <f>K362-I362</f>
        <v/>
      </c>
      <c r="O362" s="4" t="n">
        <v>22.51</v>
      </c>
      <c r="P362" s="4" t="n">
        <v>4.02</v>
      </c>
      <c r="Q362" s="7">
        <f>K362-P362</f>
        <v/>
      </c>
      <c r="R362" s="4" t="n">
        <v>103.78</v>
      </c>
      <c r="S362" s="7">
        <f>(O362*T362)</f>
        <v/>
      </c>
      <c r="T362" s="12" t="n">
        <v>7.02</v>
      </c>
      <c r="U362" s="23" t="n">
        <v>17873.35</v>
      </c>
      <c r="V362" s="23" t="n">
        <v>27.53</v>
      </c>
      <c r="W362" s="7">
        <f>U362/V362</f>
        <v/>
      </c>
      <c r="X362" s="7">
        <f>(W362/U362)*100</f>
        <v/>
      </c>
      <c r="Y362" s="23" t="n">
        <v>15175.9</v>
      </c>
      <c r="Z362" s="23" t="n">
        <v>28.82</v>
      </c>
      <c r="AA362" s="7">
        <f>Y362/Z362</f>
        <v/>
      </c>
      <c r="AB362" s="7">
        <f>(AA362/Y362)*100</f>
        <v/>
      </c>
    </row>
    <row r="363">
      <c r="A363" s="5" t="n">
        <v>370</v>
      </c>
      <c r="B363" s="9" t="n">
        <v>45327</v>
      </c>
      <c r="C363" s="4" t="n">
        <v>38787779.53</v>
      </c>
      <c r="D363" s="4">
        <f>C363/E363</f>
        <v/>
      </c>
      <c r="E363" s="4" t="n">
        <v>83.03</v>
      </c>
      <c r="F363" s="4">
        <f>D363/100000</f>
        <v/>
      </c>
      <c r="G363" s="7">
        <f>(F363/DataSheet!$C$11*100)</f>
        <v/>
      </c>
      <c r="H363" s="4">
        <f>K363/I363</f>
        <v/>
      </c>
      <c r="I363" s="4">
        <f>(J363/L363)*100</f>
        <v/>
      </c>
      <c r="J363" s="7">
        <f>L363/O363</f>
        <v/>
      </c>
      <c r="K363" s="4" t="n">
        <v>7.09</v>
      </c>
      <c r="L363" s="4" t="n">
        <v>21771.7</v>
      </c>
      <c r="M363" s="4" t="n">
        <v>3.81</v>
      </c>
      <c r="N363" s="4">
        <f>K363-I363</f>
        <v/>
      </c>
      <c r="O363" s="4" t="n">
        <v>22.39</v>
      </c>
      <c r="P363" s="4" t="n">
        <v>4.16</v>
      </c>
      <c r="Q363" s="7">
        <f>K363-P363</f>
        <v/>
      </c>
      <c r="R363" s="4" t="n">
        <v>104.31</v>
      </c>
      <c r="S363" s="7">
        <f>(O363*T363)</f>
        <v/>
      </c>
      <c r="T363" s="12" t="n">
        <v>7.03</v>
      </c>
      <c r="U363" s="23" t="n">
        <v>17871.55</v>
      </c>
      <c r="V363" s="23" t="n">
        <v>27.71</v>
      </c>
      <c r="W363" s="7">
        <f>U363/V363</f>
        <v/>
      </c>
      <c r="X363" s="7">
        <f>(W363/U363)*100</f>
        <v/>
      </c>
      <c r="Y363" s="23" t="n">
        <v>15168.4</v>
      </c>
      <c r="Z363" s="23" t="n">
        <v>28.87</v>
      </c>
      <c r="AA363" s="7">
        <f>Y363/Z363</f>
        <v/>
      </c>
      <c r="AB363" s="7">
        <f>(AA363/Y363)*100</f>
        <v/>
      </c>
    </row>
    <row r="364">
      <c r="A364" s="14" t="n">
        <v>371</v>
      </c>
      <c r="B364" s="9" t="n">
        <v>45328</v>
      </c>
      <c r="C364" s="4" t="n">
        <v>39221464.84</v>
      </c>
      <c r="D364" s="4">
        <f>C364/E364</f>
        <v/>
      </c>
      <c r="E364" s="4" t="n">
        <v>83.05</v>
      </c>
      <c r="F364" s="4">
        <f>D364/100000</f>
        <v/>
      </c>
      <c r="G364" s="7">
        <f>(F364/DataSheet!$C$11*100)</f>
        <v/>
      </c>
      <c r="H364" s="4">
        <f>K364/I364</f>
        <v/>
      </c>
      <c r="I364" s="4">
        <f>(J364/L364)*100</f>
        <v/>
      </c>
      <c r="J364" s="7">
        <f>L364/O364</f>
        <v/>
      </c>
      <c r="K364" s="4" t="n">
        <v>7.08</v>
      </c>
      <c r="L364" s="4" t="n">
        <v>21929.4</v>
      </c>
      <c r="M364" s="4" t="n">
        <v>3.84</v>
      </c>
      <c r="N364" s="4">
        <f>K364-I364</f>
        <v/>
      </c>
      <c r="O364" s="4" t="n">
        <v>22.66</v>
      </c>
      <c r="P364" s="4" t="n">
        <v>4.15</v>
      </c>
      <c r="Q364" s="7">
        <f>K364-P364</f>
        <v/>
      </c>
      <c r="R364" s="4" t="n">
        <v>104.36</v>
      </c>
      <c r="S364" s="7">
        <f>(O364*T364)</f>
        <v/>
      </c>
      <c r="T364" s="12" t="n">
        <v>7.05</v>
      </c>
      <c r="U364" s="23" t="n">
        <v>18082</v>
      </c>
      <c r="V364" s="23" t="n">
        <v>27.83</v>
      </c>
      <c r="W364" s="7">
        <f>U364/V364</f>
        <v/>
      </c>
      <c r="X364" s="7">
        <f>(W364/U364)*100</f>
        <v/>
      </c>
      <c r="Y364" s="23" t="n">
        <v>15310.15</v>
      </c>
      <c r="Z364" s="23" t="n">
        <v>29.07</v>
      </c>
      <c r="AA364" s="7">
        <f>Y364/Z364</f>
        <v/>
      </c>
      <c r="AB364" s="7">
        <f>(AA364/Y364)*100</f>
        <v/>
      </c>
    </row>
    <row r="365">
      <c r="A365" s="14" t="n">
        <v>372</v>
      </c>
      <c r="B365" s="9" t="n">
        <v>45329</v>
      </c>
      <c r="C365" s="4" t="n">
        <v>39466513.91</v>
      </c>
      <c r="D365" s="4">
        <f>C365/E365</f>
        <v/>
      </c>
      <c r="E365" s="4" t="n">
        <v>82.97</v>
      </c>
      <c r="F365" s="4">
        <f>D365/100000</f>
        <v/>
      </c>
      <c r="G365" s="7">
        <f>(F365/DataSheet!$C$11*100)</f>
        <v/>
      </c>
      <c r="H365" s="4">
        <f>K365/I365</f>
        <v/>
      </c>
      <c r="I365" s="4">
        <f>(J365/L365)*100</f>
        <v/>
      </c>
      <c r="J365" s="7">
        <f>L365/O365</f>
        <v/>
      </c>
      <c r="K365" s="4" t="n">
        <v>7.07</v>
      </c>
      <c r="L365" s="4" t="n">
        <v>21930.5</v>
      </c>
      <c r="M365" s="4" t="n">
        <v>3.84</v>
      </c>
      <c r="N365" s="4">
        <f>K365-I365</f>
        <v/>
      </c>
      <c r="O365" s="4" t="n">
        <v>22.66</v>
      </c>
      <c r="P365" s="4" t="n">
        <v>4.11</v>
      </c>
      <c r="Q365" s="7">
        <f>K365-P365</f>
        <v/>
      </c>
      <c r="R365" s="4" t="n">
        <v>103.91</v>
      </c>
      <c r="S365" s="7">
        <f>(O365*T365)</f>
        <v/>
      </c>
      <c r="T365" s="12" t="n">
        <v>7.03</v>
      </c>
      <c r="U365" s="23" t="n">
        <v>18203.35</v>
      </c>
      <c r="V365" s="23" t="n">
        <v>27.98</v>
      </c>
      <c r="W365" s="7">
        <f>U365/V365</f>
        <v/>
      </c>
      <c r="X365" s="7">
        <f>(W365/U365)*100</f>
        <v/>
      </c>
      <c r="Y365" s="23" t="n">
        <v>15390.45</v>
      </c>
      <c r="Z365" s="23" t="n">
        <v>29.11</v>
      </c>
      <c r="AA365" s="7">
        <f>Y365/Z365</f>
        <v/>
      </c>
      <c r="AB365" s="7">
        <f>(AA365/Y365)*100</f>
        <v/>
      </c>
    </row>
    <row r="366">
      <c r="A366" s="14" t="n">
        <v>373</v>
      </c>
      <c r="B366" s="9" t="n">
        <v>45330</v>
      </c>
      <c r="C366" s="4" t="n">
        <v>39356397.24</v>
      </c>
      <c r="D366" s="4">
        <f>C366/E366</f>
        <v/>
      </c>
      <c r="E366" s="4" t="n">
        <v>82.97</v>
      </c>
      <c r="F366" s="4">
        <f>D366/100000</f>
        <v/>
      </c>
      <c r="G366" s="7">
        <f>(F366/DataSheet!$C$11*100)</f>
        <v/>
      </c>
      <c r="H366" s="4">
        <f>K366/I366</f>
        <v/>
      </c>
      <c r="I366" s="4">
        <f>(J366/L366)*100</f>
        <v/>
      </c>
      <c r="J366" s="7">
        <f>L366/O366</f>
        <v/>
      </c>
      <c r="K366" s="4" t="n">
        <v>7.08</v>
      </c>
      <c r="L366" s="4" t="n">
        <v>21717.95</v>
      </c>
      <c r="M366" s="4" t="n">
        <v>3.8</v>
      </c>
      <c r="N366" s="4">
        <f>K366-I366</f>
        <v/>
      </c>
      <c r="O366" s="4" t="n">
        <v>22.45</v>
      </c>
      <c r="P366" s="4" t="n">
        <v>4.15</v>
      </c>
      <c r="Q366" s="7">
        <f>K366-P366</f>
        <v/>
      </c>
      <c r="R366" s="4" t="n">
        <v>104.03</v>
      </c>
      <c r="S366" s="7">
        <f>(O366*T366)</f>
        <v/>
      </c>
      <c r="T366" s="12" t="n">
        <v>7.04</v>
      </c>
      <c r="U366" s="23" t="n">
        <v>18161.85</v>
      </c>
      <c r="V366" s="23" t="n">
        <v>27.94</v>
      </c>
      <c r="W366" s="7">
        <f>U366/V366</f>
        <v/>
      </c>
      <c r="X366" s="7">
        <f>(W366/U366)*100</f>
        <v/>
      </c>
      <c r="Y366" s="23" t="n">
        <v>15323</v>
      </c>
      <c r="Z366" s="23" t="n">
        <v>28.91</v>
      </c>
      <c r="AA366" s="7">
        <f>Y366/Z366</f>
        <v/>
      </c>
      <c r="AB366" s="7">
        <f>(AA366/Y366)*100</f>
        <v/>
      </c>
    </row>
    <row r="367">
      <c r="A367" s="5" t="n">
        <v>374</v>
      </c>
      <c r="B367" s="9" t="n">
        <v>45331</v>
      </c>
      <c r="C367" s="4" t="n">
        <v>39177108.08</v>
      </c>
      <c r="D367" s="4">
        <f>C367/E367</f>
        <v/>
      </c>
      <c r="E367" s="4" t="n">
        <v>83</v>
      </c>
      <c r="F367" s="4">
        <f>D367/100000</f>
        <v/>
      </c>
      <c r="G367" s="7">
        <f>(F367/DataSheet!$C$11*100)</f>
        <v/>
      </c>
      <c r="H367" s="4">
        <f>K367/I367</f>
        <v/>
      </c>
      <c r="I367" s="4">
        <f>(J367/L367)*100</f>
        <v/>
      </c>
      <c r="J367" s="7">
        <f>L367/O367</f>
        <v/>
      </c>
      <c r="K367" s="4" t="n">
        <v>7.11</v>
      </c>
      <c r="L367" s="4" t="n">
        <v>21782.5</v>
      </c>
      <c r="M367" s="4" t="n">
        <v>3.82</v>
      </c>
      <c r="N367" s="4">
        <f>K367-I367</f>
        <v/>
      </c>
      <c r="O367" s="4" t="n">
        <v>22.51</v>
      </c>
      <c r="P367" s="4" t="n">
        <v>4.17</v>
      </c>
      <c r="Q367" s="7">
        <f>K367-P367</f>
        <v/>
      </c>
      <c r="R367" s="4" t="n">
        <v>103.99</v>
      </c>
      <c r="S367" s="7">
        <f>(O367*T367)</f>
        <v/>
      </c>
      <c r="T367" s="12" t="n">
        <v>7.03</v>
      </c>
      <c r="U367" s="23" t="n">
        <v>18003.1</v>
      </c>
      <c r="V367" s="23" t="n">
        <v>27.62</v>
      </c>
      <c r="W367" s="7">
        <f>U367/V367</f>
        <v/>
      </c>
      <c r="X367" s="7">
        <f>(W367/U367)*100</f>
        <v/>
      </c>
      <c r="Y367" s="23" t="n">
        <v>15128.35</v>
      </c>
      <c r="Z367" s="23" t="n">
        <v>28.52</v>
      </c>
      <c r="AA367" s="7">
        <f>Y367/Z367</f>
        <v/>
      </c>
      <c r="AB367" s="7">
        <f>(AA367/Y367)*100</f>
        <v/>
      </c>
    </row>
    <row r="368">
      <c r="A368" s="14" t="n">
        <v>375</v>
      </c>
      <c r="B368" s="9" t="n">
        <v>45334</v>
      </c>
      <c r="C368" s="4" t="n">
        <v>38419004.97</v>
      </c>
      <c r="D368" s="4">
        <f>C368/E368</f>
        <v/>
      </c>
      <c r="E368" s="4" t="n">
        <v>82.97</v>
      </c>
      <c r="F368" s="4">
        <f>D368/100000</f>
        <v/>
      </c>
      <c r="G368" s="7">
        <f>(F368/DataSheet!$C$11*100)</f>
        <v/>
      </c>
      <c r="H368" s="4">
        <f>K368/I368</f>
        <v/>
      </c>
      <c r="I368" s="4">
        <f>(J368/L368)*100</f>
        <v/>
      </c>
      <c r="J368" s="7">
        <f>L368/O368</f>
        <v/>
      </c>
      <c r="K368" s="4" t="n">
        <v>7.09</v>
      </c>
      <c r="L368" s="4" t="n">
        <v>21616.05</v>
      </c>
      <c r="M368" s="4" t="n">
        <v>3.79</v>
      </c>
      <c r="N368" s="4">
        <f>K368-I368</f>
        <v/>
      </c>
      <c r="O368" s="4" t="n">
        <v>22.38</v>
      </c>
      <c r="P368" s="4" t="n">
        <v>4.17</v>
      </c>
      <c r="Q368" s="7">
        <f>K368-P368</f>
        <v/>
      </c>
      <c r="R368" s="4" t="n">
        <v>104.04</v>
      </c>
      <c r="S368" s="7">
        <f>(O368*T368)</f>
        <v/>
      </c>
      <c r="T368" s="12" t="n">
        <v>7.02</v>
      </c>
      <c r="U368" s="23" t="n">
        <v>17572.25</v>
      </c>
      <c r="V368" s="23" t="n">
        <v>26.76</v>
      </c>
      <c r="W368" s="7">
        <f>U368/V368</f>
        <v/>
      </c>
      <c r="X368" s="7">
        <f>(W368/U368)*100</f>
        <v/>
      </c>
      <c r="Y368" s="23" t="n">
        <v>14589.05</v>
      </c>
      <c r="Z368" s="23" t="n">
        <v>27.39</v>
      </c>
      <c r="AA368" s="7">
        <f>Y368/Z368</f>
        <v/>
      </c>
      <c r="AB368" s="7">
        <f>(AA368/Y368)*100</f>
        <v/>
      </c>
    </row>
    <row r="369">
      <c r="A369" s="14" t="n">
        <v>376</v>
      </c>
      <c r="B369" s="9" t="n">
        <v>45335</v>
      </c>
      <c r="C369" s="4" t="n">
        <v>38612008.49</v>
      </c>
      <c r="D369" s="4">
        <f>C369/E369</f>
        <v/>
      </c>
      <c r="E369" s="4" t="n">
        <v>83.09</v>
      </c>
      <c r="F369" s="4">
        <f>D369/100000</f>
        <v/>
      </c>
      <c r="G369" s="7">
        <f>(F369/DataSheet!$C$11*100)</f>
        <v/>
      </c>
      <c r="H369" s="4">
        <f>K369/I369</f>
        <v/>
      </c>
      <c r="I369" s="4">
        <f>(J369/L369)*100</f>
        <v/>
      </c>
      <c r="J369" s="7">
        <f>L369/O369</f>
        <v/>
      </c>
      <c r="K369" s="4" t="n">
        <v>7.09</v>
      </c>
      <c r="L369" s="4" t="n">
        <v>21743.25</v>
      </c>
      <c r="M369" s="4" t="n">
        <v>3.81</v>
      </c>
      <c r="N369" s="4">
        <f>K369-I369</f>
        <v/>
      </c>
      <c r="O369" s="4" t="n">
        <v>22.5</v>
      </c>
      <c r="P369" s="4" t="n">
        <v>4.32</v>
      </c>
      <c r="Q369" s="7">
        <f>K369-P369</f>
        <v/>
      </c>
      <c r="R369" s="4" t="n">
        <v>104.85</v>
      </c>
      <c r="S369" s="7">
        <f>(O369*T369)</f>
        <v/>
      </c>
      <c r="T369" s="12" t="n">
        <v>7.03</v>
      </c>
      <c r="U369" s="23" t="n">
        <v>17622.65</v>
      </c>
      <c r="V369" s="23" t="n">
        <v>26.67</v>
      </c>
      <c r="W369" s="7">
        <f>U369/V369</f>
        <v/>
      </c>
      <c r="X369" s="7">
        <f>(W369/U369)*100</f>
        <v/>
      </c>
      <c r="Y369" s="23" t="n">
        <v>14641.05</v>
      </c>
      <c r="Z369" s="23" t="n">
        <v>27.54</v>
      </c>
      <c r="AA369" s="7">
        <f>Y369/Z369</f>
        <v/>
      </c>
      <c r="AB369" s="7">
        <f>(AA369/Y369)*100</f>
        <v/>
      </c>
    </row>
    <row r="370">
      <c r="A370" s="14" t="n">
        <v>377</v>
      </c>
      <c r="B370" s="9" t="n">
        <v>45336</v>
      </c>
      <c r="C370" s="4" t="n">
        <v>39013295.22</v>
      </c>
      <c r="D370" s="4">
        <f>C370/E370</f>
        <v/>
      </c>
      <c r="E370" s="4" t="n">
        <v>83.03</v>
      </c>
      <c r="F370" s="4">
        <f>D370/100000</f>
        <v/>
      </c>
      <c r="G370" s="7">
        <f>(F370/DataSheet!$C$11*100)</f>
        <v/>
      </c>
      <c r="H370" s="4">
        <f>K370/I370</f>
        <v/>
      </c>
      <c r="I370" s="4">
        <f>(J370/L370)*100</f>
        <v/>
      </c>
      <c r="J370" s="7">
        <f>L370/O370</f>
        <v/>
      </c>
      <c r="K370" s="4" t="n">
        <v>7.11</v>
      </c>
      <c r="L370" s="4" t="n">
        <v>21840.05</v>
      </c>
      <c r="M370" s="4" t="n">
        <v>3.83</v>
      </c>
      <c r="N370" s="4">
        <f>K370-I370</f>
        <v/>
      </c>
      <c r="O370" s="4" t="n">
        <v>22.59</v>
      </c>
      <c r="P370" s="4" t="n">
        <v>4.26</v>
      </c>
      <c r="Q370" s="7">
        <f>K370-P370</f>
        <v/>
      </c>
      <c r="R370" s="4" t="n">
        <v>104.61</v>
      </c>
      <c r="S370" s="7">
        <f>(O370*T370)</f>
        <v/>
      </c>
      <c r="T370" s="12" t="n">
        <v>7.05</v>
      </c>
      <c r="U370" s="23" t="n">
        <v>17773.85</v>
      </c>
      <c r="V370" s="23" t="n">
        <v>26.87</v>
      </c>
      <c r="W370" s="7">
        <f>U370/V370</f>
        <v/>
      </c>
      <c r="X370" s="7">
        <f>(W370/U370)*100</f>
        <v/>
      </c>
      <c r="Y370" s="23" t="n">
        <v>14829.25</v>
      </c>
      <c r="Z370" s="23" t="n">
        <v>27.93</v>
      </c>
      <c r="AA370" s="7">
        <f>Y370/Z370</f>
        <v/>
      </c>
      <c r="AB370" s="7">
        <f>(AA370/Y370)*100</f>
        <v/>
      </c>
    </row>
    <row r="371">
      <c r="A371" s="5" t="n">
        <v>378</v>
      </c>
      <c r="B371" s="9" t="n">
        <v>45337</v>
      </c>
      <c r="C371" s="4" t="n">
        <v>39273480.19</v>
      </c>
      <c r="D371" s="4">
        <f>C371/E371</f>
        <v/>
      </c>
      <c r="E371" s="4" t="n">
        <v>83.08</v>
      </c>
      <c r="F371" s="4">
        <f>D371/100000</f>
        <v/>
      </c>
      <c r="G371" s="7">
        <f>(F371/DataSheet!$C$11*100)</f>
        <v/>
      </c>
      <c r="H371" s="4">
        <f>K371/I371</f>
        <v/>
      </c>
      <c r="I371" s="4">
        <f>(J371/L371)*100</f>
        <v/>
      </c>
      <c r="J371" s="7">
        <f>L371/O371</f>
        <v/>
      </c>
      <c r="K371" s="4" t="n">
        <v>7.08</v>
      </c>
      <c r="L371" s="4" t="n">
        <v>21910.75</v>
      </c>
      <c r="M371" s="4" t="n">
        <v>3.84</v>
      </c>
      <c r="N371" s="4">
        <f>K371-I371</f>
        <v/>
      </c>
      <c r="O371" s="4" t="n">
        <v>22.62</v>
      </c>
      <c r="P371" s="4" t="n">
        <v>4.22</v>
      </c>
      <c r="Q371" s="7">
        <f>K371-P371</f>
        <v/>
      </c>
      <c r="R371" s="4" t="n">
        <v>104.52</v>
      </c>
      <c r="S371" s="7">
        <f>(O371*T371)</f>
        <v/>
      </c>
      <c r="T371" s="12" t="n">
        <v>7.06</v>
      </c>
      <c r="U371" s="23" t="n">
        <v>17941.8</v>
      </c>
      <c r="V371" s="23" t="n">
        <v>27.15</v>
      </c>
      <c r="W371" s="7">
        <f>U371/V371</f>
        <v/>
      </c>
      <c r="X371" s="7">
        <f>(W371/U371)*100</f>
        <v/>
      </c>
      <c r="Y371" s="23" t="n">
        <v>15002.05</v>
      </c>
      <c r="Z371" s="23" t="n">
        <v>28.29</v>
      </c>
      <c r="AA371" s="7">
        <f>Y371/Z371</f>
        <v/>
      </c>
      <c r="AB371" s="7">
        <f>(AA371/Y371)*100</f>
        <v/>
      </c>
    </row>
    <row r="372">
      <c r="A372" s="14" t="n">
        <v>379</v>
      </c>
      <c r="B372" s="9" t="n">
        <v>45338</v>
      </c>
      <c r="C372" s="4" t="n">
        <v>39495674.89</v>
      </c>
      <c r="D372" s="4">
        <f>C372/E372</f>
        <v/>
      </c>
      <c r="E372" s="4" t="n">
        <v>83.01000000000001</v>
      </c>
      <c r="F372" s="4">
        <f>D372/100000</f>
        <v/>
      </c>
      <c r="G372" s="7">
        <f>(F372/DataSheet!$C$11*100)</f>
        <v/>
      </c>
      <c r="H372" s="4">
        <f>K372/I372</f>
        <v/>
      </c>
      <c r="I372" s="4">
        <f>(J372/L372)*100</f>
        <v/>
      </c>
      <c r="J372" s="7">
        <f>L372/O372</f>
        <v/>
      </c>
      <c r="K372" s="4" t="n">
        <v>7.09</v>
      </c>
      <c r="L372" s="4" t="n">
        <v>22040.7</v>
      </c>
      <c r="M372" s="4" t="n">
        <v>3.86</v>
      </c>
      <c r="N372" s="4">
        <f>K372-I372</f>
        <v/>
      </c>
      <c r="O372" s="4" t="n">
        <v>22.76</v>
      </c>
      <c r="P372" s="4" t="n">
        <v>4.27</v>
      </c>
      <c r="Q372" s="7">
        <f>K372-P372</f>
        <v/>
      </c>
      <c r="R372" s="4" t="n">
        <v>104.29</v>
      </c>
      <c r="S372" s="7">
        <f>(O372*T372)</f>
        <v/>
      </c>
      <c r="T372" s="12" t="n">
        <v>7.05</v>
      </c>
      <c r="U372" s="23" t="n">
        <v>18081.7</v>
      </c>
      <c r="V372" s="23" t="n">
        <v>27.35</v>
      </c>
      <c r="W372" s="7">
        <f>U372/V372</f>
        <v/>
      </c>
      <c r="X372" s="7">
        <f>(W372/U372)*100</f>
        <v/>
      </c>
      <c r="Y372" s="23" t="n">
        <v>15098.9</v>
      </c>
      <c r="Z372" s="23" t="n">
        <v>28.6</v>
      </c>
      <c r="AA372" s="7">
        <f>Y372/Z372</f>
        <v/>
      </c>
      <c r="AB372" s="7">
        <f>(AA372/Y372)*100</f>
        <v/>
      </c>
    </row>
    <row r="373">
      <c r="A373" s="14" t="n">
        <v>380</v>
      </c>
      <c r="B373" s="9" t="n">
        <v>45341</v>
      </c>
      <c r="C373" s="4" t="n">
        <v>39706844.16</v>
      </c>
      <c r="D373" s="4">
        <f>C373/E373</f>
        <v/>
      </c>
      <c r="E373" s="4" t="n">
        <v>83.02</v>
      </c>
      <c r="F373" s="4">
        <f>D373/100000</f>
        <v/>
      </c>
      <c r="G373" s="7">
        <f>(F373/DataSheet!$C$11*100)</f>
        <v/>
      </c>
      <c r="H373" s="4">
        <f>K373/I373</f>
        <v/>
      </c>
      <c r="I373" s="4">
        <f>(J373/L373)*100</f>
        <v/>
      </c>
      <c r="J373" s="7">
        <f>L373/O373</f>
        <v/>
      </c>
      <c r="K373" s="4" t="n">
        <v>7.09</v>
      </c>
      <c r="L373" s="4" t="n">
        <v>22122.25</v>
      </c>
      <c r="M373" s="4" t="n">
        <v>3.88</v>
      </c>
      <c r="N373" s="4">
        <f>K373-I373</f>
        <v/>
      </c>
      <c r="O373" s="4" t="n">
        <v>22.84</v>
      </c>
      <c r="P373" s="4" t="n">
        <v>4.31</v>
      </c>
      <c r="Q373" s="7">
        <f>K373-P373</f>
        <v/>
      </c>
      <c r="R373" s="4" t="n">
        <v>104.18</v>
      </c>
      <c r="S373" s="7">
        <f>(O373*T373)</f>
        <v/>
      </c>
      <c r="T373" s="12" t="n">
        <v>7.05</v>
      </c>
      <c r="U373" s="23" t="n">
        <v>18166.65</v>
      </c>
      <c r="V373" s="23" t="n">
        <v>27.48</v>
      </c>
      <c r="W373" s="7">
        <f>U373/V373</f>
        <v/>
      </c>
      <c r="X373" s="7">
        <f>(W373/U373)*100</f>
        <v/>
      </c>
      <c r="Y373" s="23" t="n">
        <v>15171</v>
      </c>
      <c r="Z373" s="23" t="n">
        <v>28.85</v>
      </c>
      <c r="AA373" s="7">
        <f>Y373/Z373</f>
        <v/>
      </c>
      <c r="AB373" s="7">
        <f>(AA373/Y373)*100</f>
        <v/>
      </c>
    </row>
    <row r="374">
      <c r="A374" s="5" t="n">
        <v>381</v>
      </c>
      <c r="B374" s="9" t="n">
        <v>45342</v>
      </c>
      <c r="C374" s="4" t="n">
        <v>39695109.5</v>
      </c>
      <c r="D374" s="4">
        <f>C374/E374</f>
        <v/>
      </c>
      <c r="E374" s="4" t="n">
        <v>82.81999999999999</v>
      </c>
      <c r="F374" s="4">
        <f>D374/100000</f>
        <v/>
      </c>
      <c r="G374" s="7">
        <f>(F374/DataSheet!$C$11*100)</f>
        <v/>
      </c>
      <c r="H374" s="4">
        <f>K374/I374</f>
        <v/>
      </c>
      <c r="I374" s="4">
        <f>(J374/L374)*100</f>
        <v/>
      </c>
      <c r="J374" s="7">
        <f>L374/O374</f>
        <v/>
      </c>
      <c r="K374" s="4" t="n">
        <v>7.06</v>
      </c>
      <c r="L374" s="4" t="n">
        <v>22196.95</v>
      </c>
      <c r="M374" s="4" t="n">
        <v>3.89</v>
      </c>
      <c r="N374" s="4">
        <f>K374-I374</f>
        <v/>
      </c>
      <c r="O374" s="4" t="n">
        <v>22.92</v>
      </c>
      <c r="P374" s="4" t="n">
        <v>4.27</v>
      </c>
      <c r="Q374" s="7">
        <f>K374-P374</f>
        <v/>
      </c>
      <c r="R374" s="4" t="n">
        <v>103.96</v>
      </c>
      <c r="S374" s="7">
        <f>(O374*T374)</f>
        <v/>
      </c>
      <c r="T374" s="12" t="n">
        <v>7.06</v>
      </c>
      <c r="U374" s="23" t="n">
        <v>18137.4</v>
      </c>
      <c r="V374" s="23" t="n">
        <v>27.42</v>
      </c>
      <c r="W374" s="7">
        <f>U374/V374</f>
        <v/>
      </c>
      <c r="X374" s="7">
        <f>(W374/U374)*100</f>
        <v/>
      </c>
      <c r="Y374" s="23" t="n">
        <v>15110.7</v>
      </c>
      <c r="Z374" s="23" t="n">
        <v>28.74</v>
      </c>
      <c r="AA374" s="7">
        <f>Y374/Z374</f>
        <v/>
      </c>
      <c r="AB374" s="7">
        <f>(AA374/Y374)*100</f>
        <v/>
      </c>
    </row>
    <row r="375">
      <c r="A375" s="14" t="n">
        <v>382</v>
      </c>
      <c r="B375" s="9" t="n">
        <v>45343</v>
      </c>
      <c r="C375" s="4" t="n">
        <v>39432876.06</v>
      </c>
      <c r="D375" s="4">
        <f>C375/E375</f>
        <v/>
      </c>
      <c r="E375" s="4" t="n">
        <v>82.93000000000001</v>
      </c>
      <c r="F375" s="4">
        <f>D375/100000</f>
        <v/>
      </c>
      <c r="G375" s="7">
        <f>(F375/DataSheet!$C$11*100)</f>
        <v/>
      </c>
      <c r="H375" s="4">
        <f>K375/I375</f>
        <v/>
      </c>
      <c r="I375" s="4">
        <f>(J375/L375)*100</f>
        <v/>
      </c>
      <c r="J375" s="7">
        <f>L375/O375</f>
        <v/>
      </c>
      <c r="K375" s="4" t="n">
        <v>7.04</v>
      </c>
      <c r="L375" s="4" t="n">
        <v>22055.05</v>
      </c>
      <c r="M375" s="4" t="n">
        <v>3.86</v>
      </c>
      <c r="N375" s="4">
        <f>K375-I375</f>
        <v/>
      </c>
      <c r="O375" s="4" t="n">
        <v>22.77</v>
      </c>
      <c r="P375" s="4" t="n">
        <v>4.31</v>
      </c>
      <c r="Q375" s="7">
        <f>K375-P375</f>
        <v/>
      </c>
      <c r="R375" s="4" t="n">
        <v>103.91</v>
      </c>
      <c r="S375" s="7">
        <f>(O375*T375)</f>
        <v/>
      </c>
      <c r="T375" s="12" t="n">
        <v>7.06</v>
      </c>
      <c r="U375" s="23" t="n">
        <v>17939.45</v>
      </c>
      <c r="V375" s="23" t="n">
        <v>27.13</v>
      </c>
      <c r="W375" s="7">
        <f>U375/V375</f>
        <v/>
      </c>
      <c r="X375" s="7">
        <f>(W375/U375)*100</f>
        <v/>
      </c>
      <c r="Y375" s="23" t="n">
        <v>14992.15</v>
      </c>
      <c r="Z375" s="23" t="n">
        <v>28.52</v>
      </c>
      <c r="AA375" s="7">
        <f>Y375/Z375</f>
        <v/>
      </c>
      <c r="AB375" s="7">
        <f>(AA375/Y375)*100</f>
        <v/>
      </c>
    </row>
    <row r="376">
      <c r="A376" s="14" t="n">
        <v>383</v>
      </c>
      <c r="B376" s="9" t="n">
        <v>45344</v>
      </c>
      <c r="C376" s="4" t="n">
        <v>39762271.88</v>
      </c>
      <c r="D376" s="4">
        <f>C376/E376</f>
        <v/>
      </c>
      <c r="E376" s="4" t="n">
        <v>82.83</v>
      </c>
      <c r="F376" s="4">
        <f>D376/100000</f>
        <v/>
      </c>
      <c r="G376" s="7">
        <f>(F376/DataSheet!$C$11*100)</f>
        <v/>
      </c>
      <c r="H376" s="4">
        <f>K376/I376</f>
        <v/>
      </c>
      <c r="I376" s="4">
        <f>(J376/L376)*100</f>
        <v/>
      </c>
      <c r="J376" s="7">
        <f>L376/O376</f>
        <v/>
      </c>
      <c r="K376" s="4" t="n">
        <v>7.06</v>
      </c>
      <c r="L376" s="4" t="n">
        <v>22217.45</v>
      </c>
      <c r="M376" s="4" t="n">
        <v>3.89</v>
      </c>
      <c r="N376" s="4">
        <f>K376-I376</f>
        <v/>
      </c>
      <c r="O376" s="4" t="n">
        <v>22.94</v>
      </c>
      <c r="P376" s="4" t="n">
        <v>4.33</v>
      </c>
      <c r="Q376" s="7">
        <f>K376-P376</f>
        <v/>
      </c>
      <c r="R376" s="4" t="n">
        <v>103.87</v>
      </c>
      <c r="S376" s="7">
        <f>(O376*T376)</f>
        <v/>
      </c>
      <c r="T376" s="12" t="n">
        <v>7.05</v>
      </c>
      <c r="U376" s="23" t="n">
        <v>18082.9</v>
      </c>
      <c r="V376" s="23" t="n">
        <v>27.34</v>
      </c>
      <c r="W376" s="7">
        <f>U376/V376</f>
        <v/>
      </c>
      <c r="X376" s="7">
        <f>(W376/U376)*100</f>
        <v/>
      </c>
      <c r="Y376" s="23" t="n">
        <v>15083.55</v>
      </c>
      <c r="Z376" s="23" t="n">
        <v>28.69</v>
      </c>
      <c r="AA376" s="7">
        <f>Y376/Z376</f>
        <v/>
      </c>
      <c r="AB376" s="7">
        <f>(AA376/Y376)*100</f>
        <v/>
      </c>
    </row>
    <row r="377">
      <c r="A377" s="5" t="n">
        <v>384</v>
      </c>
      <c r="B377" s="9" t="n">
        <v>45345</v>
      </c>
      <c r="C377" s="4" t="n">
        <v>39851982.1</v>
      </c>
      <c r="D377" s="4">
        <f>C377/E377</f>
        <v/>
      </c>
      <c r="E377" s="4" t="n">
        <v>82.84999999999999</v>
      </c>
      <c r="F377" s="4">
        <f>D377/100000</f>
        <v/>
      </c>
      <c r="G377" s="7">
        <f>(F377/DataSheet!$C$11*100)</f>
        <v/>
      </c>
      <c r="H377" s="4">
        <f>K377/I377</f>
        <v/>
      </c>
      <c r="I377" s="4">
        <f>(J377/L377)*100</f>
        <v/>
      </c>
      <c r="J377" s="7">
        <f>L377/O377</f>
        <v/>
      </c>
      <c r="K377" s="4" t="n">
        <v>7.07</v>
      </c>
      <c r="L377" s="4" t="n">
        <v>22212.7</v>
      </c>
      <c r="M377" s="4" t="n">
        <v>3.89</v>
      </c>
      <c r="N377" s="4">
        <f>K377-I377</f>
        <v/>
      </c>
      <c r="O377" s="4" t="n">
        <v>22.93</v>
      </c>
      <c r="P377" s="4" t="n">
        <v>4.24</v>
      </c>
      <c r="Q377" s="7">
        <f>K377-P377</f>
        <v/>
      </c>
      <c r="R377" s="4" t="n">
        <v>103.85</v>
      </c>
      <c r="S377" s="7">
        <f>(O377*T377)</f>
        <v/>
      </c>
      <c r="T377" s="12" t="n">
        <v>7.05</v>
      </c>
      <c r="U377" s="23" t="n">
        <v>18149.05</v>
      </c>
      <c r="V377" s="23" t="n">
        <v>27.44</v>
      </c>
      <c r="W377" s="7">
        <f>U377/V377</f>
        <v/>
      </c>
      <c r="X377" s="7">
        <f>(W377/U377)*100</f>
        <v/>
      </c>
      <c r="Y377" s="23" t="n">
        <v>15169.5</v>
      </c>
      <c r="Z377" s="23" t="n">
        <v>28.85</v>
      </c>
      <c r="AA377" s="7">
        <f>Y377/Z377</f>
        <v/>
      </c>
      <c r="AB377" s="7">
        <f>(AA377/Y377)*100</f>
        <v/>
      </c>
    </row>
    <row r="378">
      <c r="A378" s="14" t="n">
        <v>385</v>
      </c>
      <c r="B378" s="9" t="n">
        <v>45348</v>
      </c>
      <c r="C378" s="4" t="n">
        <v>39741568.38</v>
      </c>
      <c r="D378" s="4">
        <f>C378/E378</f>
        <v/>
      </c>
      <c r="E378" s="4" t="n">
        <v>82.84</v>
      </c>
      <c r="F378" s="4">
        <f>D378/100000</f>
        <v/>
      </c>
      <c r="G378" s="7">
        <f>(F378/DataSheet!$C$11*100)</f>
        <v/>
      </c>
      <c r="H378" s="4">
        <f>K378/I378</f>
        <v/>
      </c>
      <c r="I378" s="4">
        <f>(J378/L378)*100</f>
        <v/>
      </c>
      <c r="J378" s="7">
        <f>L378/O378</f>
        <v/>
      </c>
      <c r="K378" s="4" t="n">
        <v>7.06</v>
      </c>
      <c r="L378" s="4" t="n">
        <v>22122.05</v>
      </c>
      <c r="M378" s="4" t="n">
        <v>3.87</v>
      </c>
      <c r="N378" s="4">
        <f>K378-I378</f>
        <v/>
      </c>
      <c r="O378" s="4" t="n">
        <v>22.84</v>
      </c>
      <c r="P378" s="4" t="n">
        <v>4.28</v>
      </c>
      <c r="Q378" s="7">
        <f>K378-P378</f>
        <v/>
      </c>
      <c r="R378" s="4" t="n">
        <v>103.75</v>
      </c>
      <c r="S378" s="7">
        <f>(O378*T378)</f>
        <v/>
      </c>
      <c r="T378" s="12" t="n">
        <v>7.02</v>
      </c>
      <c r="U378" s="23" t="n">
        <v>18093</v>
      </c>
      <c r="V378" s="23" t="n">
        <v>27.36</v>
      </c>
      <c r="W378" s="7">
        <f>U378/V378</f>
        <v/>
      </c>
      <c r="X378" s="7">
        <f>(W378/U378)*100</f>
        <v/>
      </c>
      <c r="Y378" s="23" t="n">
        <v>15143.4</v>
      </c>
      <c r="Z378" s="23" t="n">
        <v>28.81</v>
      </c>
      <c r="AA378" s="7">
        <f>Y378/Z378</f>
        <v/>
      </c>
      <c r="AB378" s="7">
        <f>(AA378/Y378)*100</f>
        <v/>
      </c>
    </row>
    <row r="379">
      <c r="A379" s="14" t="n">
        <v>386</v>
      </c>
      <c r="B379" s="9" t="n">
        <v>45349</v>
      </c>
      <c r="C379" s="4" t="n">
        <v>39746429.94</v>
      </c>
      <c r="D379" s="4">
        <f>C379/E379</f>
        <v/>
      </c>
      <c r="E379" s="4" t="n">
        <v>82.87</v>
      </c>
      <c r="F379" s="4">
        <f>D379/100000</f>
        <v/>
      </c>
      <c r="G379" s="7">
        <f>(F379/DataSheet!$C$11*100)</f>
        <v/>
      </c>
      <c r="H379" s="4">
        <f>K379/I379</f>
        <v/>
      </c>
      <c r="I379" s="4">
        <f>(J379/L379)*100</f>
        <v/>
      </c>
      <c r="J379" s="7">
        <f>L379/O379</f>
        <v/>
      </c>
      <c r="K379" s="4" t="n">
        <v>7.06</v>
      </c>
      <c r="L379" s="4" t="n">
        <v>22198.35</v>
      </c>
      <c r="M379" s="4" t="n">
        <v>3.89</v>
      </c>
      <c r="N379" s="4">
        <f>K379-I379</f>
        <v/>
      </c>
      <c r="O379" s="4" t="n">
        <v>22.92</v>
      </c>
      <c r="P379" s="4" t="n">
        <v>4.3</v>
      </c>
      <c r="Q379" s="7">
        <f>K379-P379</f>
        <v/>
      </c>
      <c r="R379" s="4" t="n">
        <v>103.75</v>
      </c>
      <c r="S379" s="7">
        <f>(O379*T379)</f>
        <v/>
      </c>
      <c r="T379" s="12" t="n">
        <v>7.02</v>
      </c>
      <c r="U379" s="23" t="n">
        <v>18074.3</v>
      </c>
      <c r="V379" s="23" t="n">
        <v>27.32</v>
      </c>
      <c r="W379" s="7">
        <f>U379/V379</f>
        <v/>
      </c>
      <c r="X379" s="7">
        <f>(W379/U379)*100</f>
        <v/>
      </c>
      <c r="Y379" s="23" t="n">
        <v>15181.95</v>
      </c>
      <c r="Z379" s="23" t="n">
        <v>29.27</v>
      </c>
      <c r="AA379" s="7">
        <f>Y379/Z379</f>
        <v/>
      </c>
      <c r="AB379" s="7">
        <f>(AA379/Y379)*100</f>
        <v/>
      </c>
    </row>
    <row r="380">
      <c r="A380" s="5" t="n">
        <v>387</v>
      </c>
      <c r="B380" s="9" t="n">
        <v>45350</v>
      </c>
      <c r="C380" s="4" t="n">
        <v>39148154.53</v>
      </c>
      <c r="D380" s="4">
        <f>C380/E380</f>
        <v/>
      </c>
      <c r="E380" s="4" t="n">
        <v>82.90000000000001</v>
      </c>
      <c r="F380" s="4">
        <f>D380/100000</f>
        <v/>
      </c>
      <c r="G380" s="7">
        <f>(F380/DataSheet!$C$11*100)</f>
        <v/>
      </c>
      <c r="H380" s="4">
        <f>K380/I380</f>
        <v/>
      </c>
      <c r="I380" s="4">
        <f>(J380/L380)*100</f>
        <v/>
      </c>
      <c r="J380" s="7">
        <f>L380/O380</f>
        <v/>
      </c>
      <c r="K380" s="4" t="n">
        <v>7.06</v>
      </c>
      <c r="L380" s="4" t="n">
        <v>21951.15</v>
      </c>
      <c r="M380" s="4" t="n">
        <v>3.84</v>
      </c>
      <c r="N380" s="4">
        <f>K380-I380</f>
        <v/>
      </c>
      <c r="O380" s="4" t="n">
        <v>22.66</v>
      </c>
      <c r="P380" s="4" t="n">
        <v>4.26</v>
      </c>
      <c r="Q380" s="7">
        <f>K380-P380</f>
        <v/>
      </c>
      <c r="R380" s="4" t="n">
        <v>103.9</v>
      </c>
      <c r="S380" s="7">
        <f>(O380*T380)</f>
        <v/>
      </c>
      <c r="T380" s="12" t="n">
        <v>6.97</v>
      </c>
      <c r="U380" s="23" t="n">
        <v>17749</v>
      </c>
      <c r="V380" s="23" t="n">
        <v>26.83</v>
      </c>
      <c r="W380" s="7">
        <f>U380/V380</f>
        <v/>
      </c>
      <c r="X380" s="7">
        <f>(W380/U380)*100</f>
        <v/>
      </c>
      <c r="Y380" s="23" t="n">
        <v>14895.25</v>
      </c>
      <c r="Z380" s="23" t="n">
        <v>28.71</v>
      </c>
      <c r="AA380" s="7">
        <f>Y380/Z380</f>
        <v/>
      </c>
      <c r="AB380" s="7">
        <f>(AA380/Y380)*100</f>
        <v/>
      </c>
    </row>
    <row r="381">
      <c r="A381" s="14" t="n">
        <v>388</v>
      </c>
      <c r="B381" s="9" t="n">
        <v>45351</v>
      </c>
      <c r="C381" s="4" t="n">
        <v>39329609.6</v>
      </c>
      <c r="D381" s="4">
        <f>C381/E381</f>
        <v/>
      </c>
      <c r="E381" s="4" t="n">
        <v>82.90000000000001</v>
      </c>
      <c r="F381" s="4">
        <f>D381/100000</f>
        <v/>
      </c>
      <c r="G381" s="7">
        <f>(F381/DataSheet!$C$11*100)</f>
        <v/>
      </c>
      <c r="H381" s="4">
        <f>K381/I381</f>
        <v/>
      </c>
      <c r="I381" s="4">
        <f>(J381/L381)*100</f>
        <v/>
      </c>
      <c r="J381" s="7">
        <f>L381/O381</f>
        <v/>
      </c>
      <c r="K381" s="4" t="n">
        <v>7.07</v>
      </c>
      <c r="L381" s="4" t="n">
        <v>21982.8</v>
      </c>
      <c r="M381" s="4" t="n">
        <v>3.85</v>
      </c>
      <c r="N381" s="4">
        <f>K381-I381</f>
        <v/>
      </c>
      <c r="O381" s="4" t="n">
        <v>22.7</v>
      </c>
      <c r="P381" s="4" t="n">
        <v>4.25</v>
      </c>
      <c r="Q381" s="7">
        <f>K381-P381</f>
        <v/>
      </c>
      <c r="R381" s="4" t="n">
        <v>104.09</v>
      </c>
      <c r="S381" s="7">
        <f>(O381*T381)</f>
        <v/>
      </c>
      <c r="T381" s="12" t="n">
        <v>6.89</v>
      </c>
      <c r="U381" s="23" t="n">
        <v>17831.1</v>
      </c>
      <c r="V381" s="23" t="n">
        <v>26.96</v>
      </c>
      <c r="W381" s="7">
        <f>U381/V381</f>
        <v/>
      </c>
      <c r="X381" s="7">
        <f>(W381/U381)*100</f>
        <v/>
      </c>
      <c r="Y381" s="23" t="n">
        <v>14965.05</v>
      </c>
      <c r="Z381" s="23" t="n">
        <v>28.85</v>
      </c>
      <c r="AA381" s="7">
        <f>Y381/Z381</f>
        <v/>
      </c>
      <c r="AB381" s="7">
        <f>(AA381/Y381)*100</f>
        <v/>
      </c>
    </row>
    <row r="382">
      <c r="A382" s="14" t="n">
        <v>389</v>
      </c>
      <c r="B382" s="9" t="n">
        <v>45352</v>
      </c>
      <c r="C382" s="4" t="n">
        <v>39763870.91</v>
      </c>
      <c r="D382" s="4">
        <f>C382/E382</f>
        <v/>
      </c>
      <c r="E382" s="4" t="n">
        <v>82.84</v>
      </c>
      <c r="F382" s="4">
        <f>D382/100000</f>
        <v/>
      </c>
      <c r="G382" s="7">
        <f>(F382/DataSheet!$C$11*100)</f>
        <v/>
      </c>
      <c r="H382" s="4">
        <f>K382/I382</f>
        <v/>
      </c>
      <c r="I382" s="4">
        <f>(J382/L382)*100</f>
        <v/>
      </c>
      <c r="J382" s="7">
        <f>L382/O382</f>
        <v/>
      </c>
      <c r="K382" s="4" t="n">
        <v>7.06</v>
      </c>
      <c r="L382" s="4" t="n">
        <v>22338.75</v>
      </c>
      <c r="M382" s="4" t="n">
        <v>3.91</v>
      </c>
      <c r="N382" s="4">
        <f>K382-I382</f>
        <v/>
      </c>
      <c r="O382" s="4" t="n">
        <v>23.06</v>
      </c>
      <c r="P382" s="4" t="n">
        <v>4.18</v>
      </c>
      <c r="Q382" s="7">
        <f>K382-P382</f>
        <v/>
      </c>
      <c r="R382" s="4" t="n">
        <v>103.79</v>
      </c>
      <c r="S382" s="7">
        <f>(O382*T382)</f>
        <v/>
      </c>
      <c r="T382" s="12" t="n">
        <v>6.9</v>
      </c>
      <c r="U382" s="7" t="n">
        <v>17974.65</v>
      </c>
      <c r="V382" s="7" t="n">
        <v>27.17</v>
      </c>
      <c r="W382" s="7">
        <f>U382/V382</f>
        <v/>
      </c>
      <c r="X382" s="7">
        <f>(W382/U382)*100</f>
        <v/>
      </c>
      <c r="Y382" s="7" t="n">
        <v>15061.35</v>
      </c>
      <c r="Z382" s="7" t="n">
        <v>29.03</v>
      </c>
      <c r="AA382" s="7">
        <f>Y382/Z382</f>
        <v/>
      </c>
      <c r="AB382" s="7">
        <f>(AA382/Y382)*100</f>
        <v/>
      </c>
    </row>
    <row r="383">
      <c r="A383" s="5" t="n">
        <v>390</v>
      </c>
      <c r="B383" s="9" t="n">
        <v>45353</v>
      </c>
      <c r="C383" s="4" t="n">
        <v>39922379.45</v>
      </c>
      <c r="D383" s="4">
        <f>C383/E383</f>
        <v/>
      </c>
      <c r="E383" s="4" t="n">
        <v>82.84</v>
      </c>
      <c r="F383" s="4">
        <f>D383/100000</f>
        <v/>
      </c>
      <c r="G383" s="7">
        <f>(F383/DataSheet!$C$11*100)</f>
        <v/>
      </c>
      <c r="H383" s="4">
        <f>K383/I383</f>
        <v/>
      </c>
      <c r="I383" s="4">
        <f>(J383/L383)*100</f>
        <v/>
      </c>
      <c r="J383" s="7">
        <f>L383/O383</f>
        <v/>
      </c>
      <c r="K383" s="4" t="n">
        <v>7.06</v>
      </c>
      <c r="L383" s="4" t="n">
        <v>22378.4</v>
      </c>
      <c r="M383" s="4" t="n">
        <v>3.92</v>
      </c>
      <c r="N383" s="4">
        <f>K383-I383</f>
        <v/>
      </c>
      <c r="O383" s="4" t="n">
        <v>23.1</v>
      </c>
      <c r="P383" s="4" t="n">
        <v>4.18</v>
      </c>
      <c r="Q383" s="7">
        <f>K383-P383</f>
        <v/>
      </c>
      <c r="R383" s="4" t="n">
        <v>103.79</v>
      </c>
      <c r="S383" s="7">
        <f>(O383*T383)</f>
        <v/>
      </c>
      <c r="T383" s="12" t="n">
        <v>6.9</v>
      </c>
      <c r="U383" s="7" t="n">
        <v>18093</v>
      </c>
      <c r="V383" s="7" t="n">
        <v>27.35</v>
      </c>
      <c r="W383" s="7">
        <f>U383/V383</f>
        <v/>
      </c>
      <c r="X383" s="7">
        <f>(W383/U383)*100</f>
        <v/>
      </c>
      <c r="Y383" s="7" t="n">
        <v>15168.15</v>
      </c>
      <c r="Z383" s="7" t="n">
        <v>29.24</v>
      </c>
      <c r="AA383" s="7">
        <f>Y383/Z383</f>
        <v/>
      </c>
      <c r="AB383" s="7">
        <f>(AA383/Y383)*100</f>
        <v/>
      </c>
    </row>
    <row r="384">
      <c r="A384" s="14" t="n">
        <v>391</v>
      </c>
      <c r="B384" s="9" t="n">
        <v>45355</v>
      </c>
      <c r="C384" s="4" t="n">
        <v>39889768.11</v>
      </c>
      <c r="D384" s="4">
        <f>C384/E384</f>
        <v/>
      </c>
      <c r="E384" s="4" t="n">
        <v>82.91</v>
      </c>
      <c r="F384" s="4">
        <f>D384/100000</f>
        <v/>
      </c>
      <c r="G384" s="7">
        <f>(F384/DataSheet!$C$11*100)</f>
        <v/>
      </c>
      <c r="H384" s="4">
        <f>K384/I384</f>
        <v/>
      </c>
      <c r="I384" s="4">
        <f>(J384/L384)*100</f>
        <v/>
      </c>
      <c r="J384" s="7">
        <f>L384/O384</f>
        <v/>
      </c>
      <c r="K384" s="4" t="n">
        <v>7.06</v>
      </c>
      <c r="L384" s="4" t="n">
        <v>22405.6</v>
      </c>
      <c r="M384" s="4" t="n">
        <v>3.92</v>
      </c>
      <c r="N384" s="4">
        <f>K384-I384</f>
        <v/>
      </c>
      <c r="O384" s="4" t="n">
        <v>23.13</v>
      </c>
      <c r="P384" s="4" t="n">
        <v>4.21</v>
      </c>
      <c r="Q384" s="7">
        <f>K384-P384</f>
        <v/>
      </c>
      <c r="R384" s="4" t="n">
        <v>103.77</v>
      </c>
      <c r="S384" s="7">
        <f>(O384*T384)</f>
        <v/>
      </c>
      <c r="T384" s="12" t="n">
        <v>6.9</v>
      </c>
      <c r="U384" s="7" t="n">
        <v>18110.05</v>
      </c>
      <c r="V384" s="7" t="n">
        <v>27.38</v>
      </c>
      <c r="W384" s="7">
        <f>U384/V384</f>
        <v/>
      </c>
      <c r="X384" s="7">
        <f>(W384/U384)*100</f>
        <v/>
      </c>
      <c r="Y384" s="7" t="n">
        <v>15077.1</v>
      </c>
      <c r="Z384" s="7" t="n">
        <v>29.06</v>
      </c>
      <c r="AA384" s="7">
        <f>Y384/Z384</f>
        <v/>
      </c>
      <c r="AB384" s="7">
        <f>(AA384/Y384)*100</f>
        <v/>
      </c>
    </row>
    <row r="385">
      <c r="A385" s="14" t="n">
        <v>392</v>
      </c>
      <c r="B385" s="9" t="n">
        <v>45356</v>
      </c>
      <c r="C385" s="4" t="n">
        <v>39810301.9</v>
      </c>
      <c r="D385" s="4">
        <f>C385/E385</f>
        <v/>
      </c>
      <c r="E385" s="4" t="n">
        <v>82.89</v>
      </c>
      <c r="F385" s="4">
        <f>D385/100000</f>
        <v/>
      </c>
      <c r="G385" s="7">
        <f>(F385/DataSheet!$C$11*100)</f>
        <v/>
      </c>
      <c r="H385" s="4">
        <f>K385/I385</f>
        <v/>
      </c>
      <c r="I385" s="4">
        <f>(J385/L385)*100</f>
        <v/>
      </c>
      <c r="J385" s="7">
        <f>L385/O385</f>
        <v/>
      </c>
      <c r="K385" s="4" t="n">
        <v>7.05</v>
      </c>
      <c r="L385" s="4" t="n">
        <v>22356.3</v>
      </c>
      <c r="M385" s="4" t="n">
        <v>3.92</v>
      </c>
      <c r="N385" s="4">
        <f>K385-I385</f>
        <v/>
      </c>
      <c r="O385" s="4" t="n">
        <v>23.08</v>
      </c>
      <c r="P385" s="4" t="n">
        <v>4.15</v>
      </c>
      <c r="Q385" s="7">
        <f>K385-P385</f>
        <v/>
      </c>
      <c r="R385" s="4" t="n">
        <v>103.75</v>
      </c>
      <c r="S385" s="7">
        <f>(O385*T385)</f>
        <v/>
      </c>
      <c r="T385" s="12" t="n">
        <v>6.94</v>
      </c>
      <c r="U385" s="7" t="n">
        <v>18065.2</v>
      </c>
      <c r="V385" s="7" t="n">
        <v>27.31</v>
      </c>
      <c r="W385" s="7">
        <f>U385/V385</f>
        <v/>
      </c>
      <c r="X385" s="7">
        <f>(W385/U385)*100</f>
        <v/>
      </c>
      <c r="Y385" s="7" t="n">
        <v>14979.6</v>
      </c>
      <c r="Z385" s="7" t="n">
        <v>28.87</v>
      </c>
      <c r="AA385" s="7">
        <f>Y385/Z385</f>
        <v/>
      </c>
      <c r="AB385" s="7">
        <f>(AA385/Y385)*100</f>
        <v/>
      </c>
    </row>
    <row r="386">
      <c r="A386" s="5" t="n">
        <v>393</v>
      </c>
      <c r="B386" s="9" t="n">
        <v>45357</v>
      </c>
      <c r="C386" s="4" t="n">
        <v>39640109.44</v>
      </c>
      <c r="D386" s="4">
        <f>C386/E386</f>
        <v/>
      </c>
      <c r="E386" s="4" t="n">
        <v>82.78</v>
      </c>
      <c r="F386" s="4">
        <f>D386/100000</f>
        <v/>
      </c>
      <c r="G386" s="7">
        <f>(F386/DataSheet!$C$11*100)</f>
        <v/>
      </c>
      <c r="H386" s="4">
        <f>K386/I386</f>
        <v/>
      </c>
      <c r="I386" s="4">
        <f>(J386/L386)*100</f>
        <v/>
      </c>
      <c r="J386" s="7">
        <f>L386/O386</f>
        <v/>
      </c>
      <c r="K386" s="4" t="n">
        <v>7.05</v>
      </c>
      <c r="L386" s="4" t="n">
        <v>22474.05</v>
      </c>
      <c r="M386" s="4" t="n">
        <v>3.94</v>
      </c>
      <c r="N386" s="4">
        <f>K386-I386</f>
        <v/>
      </c>
      <c r="O386" s="4" t="n">
        <v>23.2</v>
      </c>
      <c r="P386" s="4" t="n">
        <v>4.1</v>
      </c>
      <c r="Q386" s="7">
        <f>K386-P386</f>
        <v/>
      </c>
      <c r="R386" s="4" t="n">
        <v>103.32</v>
      </c>
      <c r="S386" s="7">
        <f>(O386*T386)</f>
        <v/>
      </c>
      <c r="T386" s="12" t="n">
        <v>6.93</v>
      </c>
      <c r="U386" s="7" t="n">
        <v>17950</v>
      </c>
      <c r="V386" s="7" t="n">
        <v>27.14</v>
      </c>
      <c r="W386" s="7">
        <f>U386/V386</f>
        <v/>
      </c>
      <c r="X386" s="7">
        <f>(W386/U386)*100</f>
        <v/>
      </c>
      <c r="Y386" s="7" t="n">
        <v>14684.2</v>
      </c>
      <c r="Z386" s="7" t="n">
        <v>28.3</v>
      </c>
      <c r="AA386" s="7">
        <f>Y386/Z386</f>
        <v/>
      </c>
      <c r="AB386" s="7">
        <f>(AA386/Y386)*100</f>
        <v/>
      </c>
    </row>
    <row r="387">
      <c r="A387" s="14" t="n">
        <v>394</v>
      </c>
      <c r="B387" s="9" t="n">
        <v>45358</v>
      </c>
      <c r="C387" s="4" t="n">
        <v>39790010.48</v>
      </c>
      <c r="D387" s="4">
        <f>C387/E387</f>
        <v/>
      </c>
      <c r="E387" s="4" t="n">
        <v>82.7</v>
      </c>
      <c r="F387" s="4">
        <f>D387/100000</f>
        <v/>
      </c>
      <c r="G387" s="7">
        <f>(F387/DataSheet!$C$11*100)</f>
        <v/>
      </c>
      <c r="H387" s="4">
        <f>K387/I387</f>
        <v/>
      </c>
      <c r="I387" s="4">
        <f>(J387/L387)*100</f>
        <v/>
      </c>
      <c r="J387" s="7">
        <f>L387/O387</f>
        <v/>
      </c>
      <c r="K387" s="4" t="n">
        <v>7.03</v>
      </c>
      <c r="L387" s="4" t="n">
        <v>22493.55</v>
      </c>
      <c r="M387" s="4" t="n">
        <v>3.94</v>
      </c>
      <c r="N387" s="4">
        <f>K387-I387</f>
        <v/>
      </c>
      <c r="O387" s="4" t="n">
        <v>23.22</v>
      </c>
      <c r="P387" s="4" t="n">
        <v>4.08</v>
      </c>
      <c r="Q387" s="7">
        <f>K387-P387</f>
        <v/>
      </c>
      <c r="R387" s="4" t="n">
        <v>102.77</v>
      </c>
      <c r="S387" s="7">
        <f>(O387*T387)</f>
        <v/>
      </c>
      <c r="T387" s="12" t="n">
        <v>6.91</v>
      </c>
      <c r="U387" s="7" t="n">
        <v>17995.7</v>
      </c>
      <c r="V387" s="7" t="n">
        <v>27.21</v>
      </c>
      <c r="W387" s="7">
        <f>U387/V387</f>
        <v/>
      </c>
      <c r="X387" s="7">
        <f>(W387/U387)*100</f>
        <v/>
      </c>
      <c r="Y387" s="7" t="n">
        <v>14803.2</v>
      </c>
      <c r="Z387" s="7" t="n">
        <v>28.53</v>
      </c>
      <c r="AA387" s="7">
        <f>Y387/Z387</f>
        <v/>
      </c>
      <c r="AB387" s="7">
        <f>(AA387/Y387)*100</f>
        <v/>
      </c>
    </row>
    <row r="388">
      <c r="A388" s="14" t="n">
        <v>395</v>
      </c>
      <c r="B388" s="9" t="n">
        <v>45362</v>
      </c>
      <c r="C388" s="4" t="n">
        <v>39468166.37</v>
      </c>
      <c r="D388" s="4">
        <f>C388/E388</f>
        <v/>
      </c>
      <c r="E388" s="4" t="n">
        <v>82.73</v>
      </c>
      <c r="F388" s="4">
        <f>D388/100000</f>
        <v/>
      </c>
      <c r="G388" s="7">
        <f>(F388/DataSheet!$C$11*100)</f>
        <v/>
      </c>
      <c r="H388" s="4">
        <f>K388/I388</f>
        <v/>
      </c>
      <c r="I388" s="4">
        <f>(J388/L388)*100</f>
        <v/>
      </c>
      <c r="J388" s="7">
        <f>L388/O388</f>
        <v/>
      </c>
      <c r="K388" s="4" t="n">
        <v>7.01</v>
      </c>
      <c r="L388" s="4" t="n">
        <v>22332.65</v>
      </c>
      <c r="M388" s="4" t="n">
        <v>3.91</v>
      </c>
      <c r="N388" s="4">
        <f>K388-I388</f>
        <v/>
      </c>
      <c r="O388" s="4" t="n">
        <v>23.06</v>
      </c>
      <c r="P388" s="4" t="n">
        <v>4.09</v>
      </c>
      <c r="Q388" s="7">
        <f>K388-P388</f>
        <v/>
      </c>
      <c r="R388" s="4" t="n">
        <v>102.46</v>
      </c>
      <c r="S388" s="7">
        <f>(O388*T388)</f>
        <v/>
      </c>
      <c r="T388" s="12" t="n">
        <v>6.92</v>
      </c>
      <c r="U388" s="7" t="n">
        <v>17911.75</v>
      </c>
      <c r="V388" s="7" t="n">
        <v>27.08</v>
      </c>
      <c r="W388" s="7">
        <f>U388/V388</f>
        <v/>
      </c>
      <c r="X388" s="7">
        <f>(W388/U388)*100</f>
        <v/>
      </c>
      <c r="Y388" s="7" t="n">
        <v>14507.15</v>
      </c>
      <c r="Z388" s="7" t="n">
        <v>27.96</v>
      </c>
      <c r="AA388" s="7">
        <f>Y388/Z388</f>
        <v/>
      </c>
      <c r="AB388" s="7">
        <f>(AA388/Y388)*100</f>
        <v/>
      </c>
    </row>
    <row r="389">
      <c r="A389" s="5" t="n">
        <v>396</v>
      </c>
      <c r="B389" s="9" t="n">
        <v>45363</v>
      </c>
      <c r="C389" s="4" t="n">
        <v>39069312.74</v>
      </c>
      <c r="D389" s="4">
        <f>C389/E389</f>
        <v/>
      </c>
      <c r="E389" s="4" t="n">
        <v>82.78</v>
      </c>
      <c r="F389" s="4">
        <f>D389/100000</f>
        <v/>
      </c>
      <c r="G389" s="7">
        <f>(F389/DataSheet!$C$11*100)</f>
        <v/>
      </c>
      <c r="H389" s="4">
        <f>K389/I389</f>
        <v/>
      </c>
      <c r="I389" s="4">
        <f>(J389/L389)*100</f>
        <v/>
      </c>
      <c r="J389" s="7">
        <f>L389/O389</f>
        <v/>
      </c>
      <c r="K389" s="4" t="n">
        <v>7.02</v>
      </c>
      <c r="L389" s="4" t="n">
        <v>22335.7</v>
      </c>
      <c r="M389" s="4" t="n">
        <v>3.91</v>
      </c>
      <c r="N389" s="4">
        <f>K389-I389</f>
        <v/>
      </c>
      <c r="O389" s="4" t="n">
        <v>23.06</v>
      </c>
      <c r="P389" s="4" t="n">
        <v>4.15</v>
      </c>
      <c r="Q389" s="7">
        <f>K389-P389</f>
        <v/>
      </c>
      <c r="R389" s="4" t="n">
        <v>102.54</v>
      </c>
      <c r="S389" s="7">
        <f>(O389*T389)</f>
        <v/>
      </c>
      <c r="T389" s="12" t="n">
        <v>6.89</v>
      </c>
      <c r="U389" s="7" t="n">
        <v>17685.6</v>
      </c>
      <c r="V389" s="7" t="n">
        <v>26.74</v>
      </c>
      <c r="W389" s="7">
        <f>U389/V389</f>
        <v/>
      </c>
      <c r="X389" s="7">
        <f>(W389/U389)*100</f>
        <v/>
      </c>
      <c r="Y389" s="7" t="n">
        <v>14208.65</v>
      </c>
      <c r="Z389" s="7" t="n">
        <v>27.39</v>
      </c>
      <c r="AA389" s="7">
        <f>Y389/Z389</f>
        <v/>
      </c>
      <c r="AB389" s="7">
        <f>(AA389/Y389)*100</f>
        <v/>
      </c>
    </row>
    <row r="390">
      <c r="A390" s="14" t="n">
        <v>397</v>
      </c>
      <c r="B390" s="9" t="n">
        <v>45364</v>
      </c>
      <c r="C390" s="4" t="n">
        <v>37715421.05</v>
      </c>
      <c r="D390" s="4">
        <f>C390/E390</f>
        <v/>
      </c>
      <c r="E390" s="4" t="n">
        <v>82.81999999999999</v>
      </c>
      <c r="F390" s="4">
        <f>D390/100000</f>
        <v/>
      </c>
      <c r="G390" s="7">
        <f>(F390/DataSheet!$C$11*100)</f>
        <v/>
      </c>
      <c r="H390" s="4">
        <f>K390/I390</f>
        <v/>
      </c>
      <c r="I390" s="4">
        <f>(J390/L390)*100</f>
        <v/>
      </c>
      <c r="J390" s="7">
        <f>L390/O390</f>
        <v/>
      </c>
      <c r="K390" s="4" t="n">
        <v>7.03</v>
      </c>
      <c r="L390" s="4" t="n">
        <v>21997.7</v>
      </c>
      <c r="M390" s="4" t="n">
        <v>3.85</v>
      </c>
      <c r="N390" s="4">
        <f>K390-I390</f>
        <v/>
      </c>
      <c r="O390" s="4" t="n">
        <v>22.71</v>
      </c>
      <c r="P390" s="4" t="n">
        <v>4.18</v>
      </c>
      <c r="Q390" s="7">
        <f>K390-P390</f>
        <v/>
      </c>
      <c r="R390" s="4" t="n">
        <v>102.39</v>
      </c>
      <c r="S390" s="7">
        <f>(O390*T390)</f>
        <v/>
      </c>
      <c r="T390" s="12" t="n">
        <v>6.91</v>
      </c>
      <c r="U390" s="7" t="n">
        <v>16948.25</v>
      </c>
      <c r="V390" s="7" t="n">
        <v>25.62</v>
      </c>
      <c r="W390" s="7">
        <f>U390/V390</f>
        <v/>
      </c>
      <c r="X390" s="7">
        <f>(W390/U390)*100</f>
        <v/>
      </c>
      <c r="Y390" s="7" t="n">
        <v>13473.2</v>
      </c>
      <c r="Z390" s="7" t="n">
        <v>25.97</v>
      </c>
      <c r="AA390" s="7">
        <f>Y390/Z390</f>
        <v/>
      </c>
      <c r="AB390" s="7">
        <f>(AA390/Y390)*100</f>
        <v/>
      </c>
    </row>
    <row r="391">
      <c r="A391" s="14" t="n">
        <v>398</v>
      </c>
      <c r="B391" s="9" t="n">
        <v>45365</v>
      </c>
      <c r="C391" s="4" t="n">
        <v>38493522.27</v>
      </c>
      <c r="D391" s="4">
        <f>C391/E391</f>
        <v/>
      </c>
      <c r="E391" s="4" t="n">
        <v>82.91</v>
      </c>
      <c r="F391" s="4">
        <f>D391/100000</f>
        <v/>
      </c>
      <c r="G391" s="7">
        <f>(F391/DataSheet!$C$11*100)</f>
        <v/>
      </c>
      <c r="H391" s="4">
        <f>K391/I391</f>
        <v/>
      </c>
      <c r="I391" s="4">
        <f>(J391/L391)*100</f>
        <v/>
      </c>
      <c r="J391" s="7">
        <f>L391/O391</f>
        <v/>
      </c>
      <c r="K391" s="4" t="n">
        <v>7.04</v>
      </c>
      <c r="L391" s="4" t="n">
        <v>22146.65</v>
      </c>
      <c r="M391" s="4" t="n">
        <v>3.88</v>
      </c>
      <c r="N391" s="4">
        <f>K391-I391</f>
        <v/>
      </c>
      <c r="O391" s="4" t="n">
        <v>22.86</v>
      </c>
      <c r="P391" s="4" t="n">
        <v>4.29</v>
      </c>
      <c r="Q391" s="7">
        <f>K391-P391</f>
        <v/>
      </c>
      <c r="R391" s="4" t="n">
        <v>102.99</v>
      </c>
      <c r="S391" s="7">
        <f>(O391*T391)</f>
        <v/>
      </c>
      <c r="T391" s="12" t="n">
        <v>6.9</v>
      </c>
      <c r="U391" s="7" t="n">
        <v>17308.75</v>
      </c>
      <c r="V391" s="7" t="n">
        <v>26.17</v>
      </c>
      <c r="W391" s="7">
        <f>U391/V391</f>
        <v/>
      </c>
      <c r="X391" s="7">
        <f>(W391/U391)*100</f>
        <v/>
      </c>
      <c r="Y391" s="7" t="n">
        <v>13892.7</v>
      </c>
      <c r="Z391" s="7" t="n">
        <v>26.78</v>
      </c>
      <c r="AA391" s="7">
        <f>Y391/Z391</f>
        <v/>
      </c>
      <c r="AB391" s="7">
        <f>(AA391/Y391)*100</f>
        <v/>
      </c>
    </row>
    <row r="392">
      <c r="A392" s="5" t="n">
        <v>399</v>
      </c>
      <c r="B392" s="8" t="n">
        <v>45366</v>
      </c>
      <c r="C392" s="4" t="n">
        <v>38347978.08</v>
      </c>
      <c r="D392" s="4">
        <f>C392/E392</f>
        <v/>
      </c>
      <c r="E392" s="4" t="n">
        <v>82.88</v>
      </c>
      <c r="F392" s="4">
        <f>D392/100000</f>
        <v/>
      </c>
      <c r="G392" s="7">
        <f>(F392/DataSheet!$C$11*100)</f>
        <v/>
      </c>
      <c r="H392" s="4">
        <f>K392/I392</f>
        <v/>
      </c>
      <c r="I392" s="4">
        <f>(J392/L392)*100</f>
        <v/>
      </c>
      <c r="J392" s="7">
        <f>L392/O392</f>
        <v/>
      </c>
      <c r="K392" s="4" t="n">
        <v>7.06</v>
      </c>
      <c r="L392" s="4" t="n">
        <v>22023.35</v>
      </c>
      <c r="M392" s="4" t="n">
        <v>3.86</v>
      </c>
      <c r="N392" s="4">
        <f>K392-I392</f>
        <v/>
      </c>
      <c r="O392" s="4" t="n">
        <v>22.74</v>
      </c>
      <c r="P392" s="4" t="n">
        <v>4.3</v>
      </c>
      <c r="Q392" s="7">
        <f>K392-P392</f>
        <v/>
      </c>
      <c r="R392" s="4" t="n">
        <v>103.06</v>
      </c>
      <c r="S392" s="7">
        <f>(O392*T392)</f>
        <v/>
      </c>
      <c r="T392" s="12" t="n">
        <v>6.88</v>
      </c>
      <c r="U392" s="7" t="n">
        <v>17254.2</v>
      </c>
      <c r="V392" s="7" t="n">
        <v>26.09</v>
      </c>
      <c r="W392" s="7">
        <f>U392/V392</f>
        <v/>
      </c>
      <c r="X392" s="7">
        <f>(W392/U392)*100</f>
        <v/>
      </c>
      <c r="Y392" s="7" t="n">
        <v>13922.35</v>
      </c>
      <c r="Z392" s="7" t="n">
        <v>26.84</v>
      </c>
      <c r="AA392" s="7">
        <f>Y392/Z392</f>
        <v/>
      </c>
      <c r="AB392" s="7">
        <f>(AA392/Y392)*100</f>
        <v/>
      </c>
    </row>
    <row r="393">
      <c r="A393" s="5" t="n">
        <v>402</v>
      </c>
      <c r="B393" s="9" t="n">
        <v>45369</v>
      </c>
      <c r="C393" s="4" t="n">
        <v>38383634.31</v>
      </c>
      <c r="D393" s="4">
        <f>C393/E393</f>
        <v/>
      </c>
      <c r="E393" s="4" t="n">
        <v>82.90000000000001</v>
      </c>
      <c r="F393" s="4">
        <f>D393/100000</f>
        <v/>
      </c>
      <c r="G393" s="7">
        <f>(F393/DataSheet!$C$11*100)</f>
        <v/>
      </c>
      <c r="H393" s="4">
        <f>K393/I393</f>
        <v/>
      </c>
      <c r="I393" s="4">
        <f>(J393/L393)*100</f>
        <v/>
      </c>
      <c r="J393" s="7">
        <f>L393/O393</f>
        <v/>
      </c>
      <c r="K393" s="4" t="n">
        <v>7.08</v>
      </c>
      <c r="L393" s="4" t="n">
        <v>22055.7</v>
      </c>
      <c r="M393" s="4" t="n">
        <v>3.88</v>
      </c>
      <c r="N393" s="4">
        <f>K393-I393</f>
        <v/>
      </c>
      <c r="O393" s="4" t="n">
        <v>22.77</v>
      </c>
      <c r="P393" s="4" t="n">
        <v>4.32</v>
      </c>
      <c r="Q393" s="7">
        <f>K393-P393</f>
        <v/>
      </c>
      <c r="R393" s="4" t="n">
        <v>103.46</v>
      </c>
      <c r="S393" s="4">
        <f>(O393*T393)</f>
        <v/>
      </c>
      <c r="T393" s="12" t="n">
        <v>6.87</v>
      </c>
      <c r="U393" s="4" t="n">
        <v>17215.85</v>
      </c>
      <c r="V393" s="4" t="n">
        <v>26.03</v>
      </c>
      <c r="W393" s="7">
        <f>U393/V393</f>
        <v/>
      </c>
      <c r="X393" s="7">
        <f>(W393/U393)*100</f>
        <v/>
      </c>
      <c r="Y393" s="7" t="n">
        <v>13882.25</v>
      </c>
      <c r="Z393" s="7" t="n">
        <v>26.76</v>
      </c>
      <c r="AA393" s="7">
        <f>Y393/Z393</f>
        <v/>
      </c>
      <c r="AB393" s="7">
        <f>(AA393/Y393)*100</f>
        <v/>
      </c>
    </row>
    <row r="394">
      <c r="A394" s="5" t="n">
        <v>403</v>
      </c>
      <c r="B394" s="9" t="n">
        <v>45370</v>
      </c>
      <c r="C394" s="4" t="n">
        <v>37895639.8</v>
      </c>
      <c r="D394" s="4">
        <f>C394/E394</f>
        <v/>
      </c>
      <c r="E394" s="4" t="n">
        <v>83</v>
      </c>
      <c r="F394" s="4">
        <f>D394/100000</f>
        <v/>
      </c>
      <c r="G394" s="7">
        <f>(F394/DataSheet!$C$11*100)</f>
        <v/>
      </c>
      <c r="H394" s="4">
        <f>K394/I394</f>
        <v/>
      </c>
      <c r="I394" s="4">
        <f>(J394/L394)*100</f>
        <v/>
      </c>
      <c r="J394" s="7">
        <f>L394/O394</f>
        <v/>
      </c>
      <c r="K394" s="4" t="n">
        <v>7.09</v>
      </c>
      <c r="L394" s="4" t="n">
        <v>21817.45</v>
      </c>
      <c r="M394" s="4" t="n">
        <v>3.84</v>
      </c>
      <c r="N394" s="4">
        <f>K394-I394</f>
        <v/>
      </c>
      <c r="O394" s="4" t="n">
        <v>22.52</v>
      </c>
      <c r="P394" s="4" t="n">
        <v>4.29</v>
      </c>
      <c r="Q394" s="7">
        <f>K394-P394</f>
        <v/>
      </c>
      <c r="R394" s="4" t="n">
        <v>103.48</v>
      </c>
      <c r="S394" s="4">
        <f>(O394*T394)</f>
        <v/>
      </c>
      <c r="T394" s="12" t="n">
        <v>6.87</v>
      </c>
      <c r="U394" s="4" t="n">
        <v>17022.65</v>
      </c>
      <c r="V394" s="4" t="n">
        <v>25.74</v>
      </c>
      <c r="W394" s="7">
        <f>U394/V394</f>
        <v/>
      </c>
      <c r="X394" s="7">
        <f>(W394/U394)*100</f>
        <v/>
      </c>
      <c r="Y394" s="7" t="n">
        <v>13718.4</v>
      </c>
      <c r="Z394" s="7" t="n">
        <v>26.44</v>
      </c>
      <c r="AA394" s="7">
        <f>Y394/Z394</f>
        <v/>
      </c>
      <c r="AB394" s="7">
        <f>(AA394/Y394)*100</f>
        <v/>
      </c>
    </row>
    <row r="395">
      <c r="A395" s="5" t="n">
        <v>404</v>
      </c>
      <c r="B395" s="8" t="n">
        <v>45371</v>
      </c>
      <c r="C395" s="4" t="n">
        <v>37923765.92</v>
      </c>
      <c r="D395" s="4">
        <f>C395/E395</f>
        <v/>
      </c>
      <c r="E395" s="4" t="n">
        <v>83.17</v>
      </c>
      <c r="F395" s="4">
        <f>D395/100000</f>
        <v/>
      </c>
      <c r="G395" s="7">
        <f>(F395/DataSheet!$C$11*100)</f>
        <v/>
      </c>
      <c r="H395" s="4">
        <f>K395/I395</f>
        <v/>
      </c>
      <c r="I395" s="4">
        <f>(J395/L395)*100</f>
        <v/>
      </c>
      <c r="J395" s="7">
        <f>L395/O395</f>
        <v/>
      </c>
      <c r="K395" s="4" t="n">
        <v>7.09</v>
      </c>
      <c r="L395" s="4" t="n">
        <v>21839.1</v>
      </c>
      <c r="M395" s="4" t="n">
        <v>3.85</v>
      </c>
      <c r="N395" s="4">
        <f>K395-I395</f>
        <v/>
      </c>
      <c r="O395" s="4" t="n">
        <v>22.55</v>
      </c>
      <c r="P395" s="4" t="n">
        <v>4.27</v>
      </c>
      <c r="Q395" s="7">
        <f>K395-P395</f>
        <v/>
      </c>
      <c r="R395" s="4" t="n">
        <v>103.04</v>
      </c>
      <c r="S395" s="4">
        <f>(O395*T395)</f>
        <v/>
      </c>
      <c r="T395" s="12" t="n">
        <v>6.93</v>
      </c>
      <c r="U395" s="4" t="n">
        <v>17011.75</v>
      </c>
      <c r="V395" s="4" t="n">
        <v>25.72</v>
      </c>
      <c r="W395" s="7">
        <f>U395/V395</f>
        <v/>
      </c>
      <c r="X395" s="7">
        <f>(W395/U395)*100</f>
        <v/>
      </c>
      <c r="Y395" s="7" t="n">
        <v>13733.55</v>
      </c>
      <c r="Z395" s="7" t="n">
        <v>26.47</v>
      </c>
      <c r="AA395" s="7">
        <f>Y395/Z395</f>
        <v/>
      </c>
      <c r="AB395" s="7">
        <f>(AA395/Y395)*100</f>
        <v/>
      </c>
    </row>
    <row r="396">
      <c r="A396" s="5" t="n">
        <v>405</v>
      </c>
      <c r="B396" s="9" t="n">
        <v>45372</v>
      </c>
      <c r="C396" s="21" t="n">
        <v>38493731.82</v>
      </c>
      <c r="D396" s="4">
        <f>C396/E396</f>
        <v/>
      </c>
      <c r="E396" s="4" t="n">
        <v>83.17</v>
      </c>
      <c r="F396" s="4">
        <f>D396/100000</f>
        <v/>
      </c>
      <c r="G396" s="7">
        <f>(F396/DataSheet!$C$11*100)</f>
        <v/>
      </c>
      <c r="H396" s="4">
        <f>K396/I396</f>
        <v/>
      </c>
      <c r="I396" s="4">
        <f>(J396/L396)*100</f>
        <v/>
      </c>
      <c r="J396" s="7">
        <f>L396/O396</f>
        <v/>
      </c>
      <c r="K396" s="4" t="n">
        <v>7.05</v>
      </c>
      <c r="L396" s="4" t="n">
        <v>22011.95</v>
      </c>
      <c r="M396" s="4" t="n">
        <v>3.88</v>
      </c>
      <c r="N396" s="4">
        <f>K396-I396</f>
        <v/>
      </c>
      <c r="O396" s="4" t="n">
        <v>22.73</v>
      </c>
      <c r="P396" s="4" t="n">
        <v>4.26</v>
      </c>
      <c r="Q396" s="7">
        <f>K396-P396</f>
        <v/>
      </c>
      <c r="R396" s="4" t="n">
        <v>103.66</v>
      </c>
      <c r="S396" s="4">
        <f>(O396*T396)</f>
        <v/>
      </c>
      <c r="T396" s="12" t="n">
        <v>6.9</v>
      </c>
      <c r="U396" s="4" t="n">
        <v>17396.3</v>
      </c>
      <c r="V396" s="4" t="n">
        <v>26.3</v>
      </c>
      <c r="W396" s="7">
        <f>U396/V396</f>
        <v/>
      </c>
      <c r="X396" s="7">
        <f>(W396/U396)*100</f>
        <v/>
      </c>
      <c r="Y396" s="7" t="n">
        <v>14047.3</v>
      </c>
      <c r="Z396" s="7" t="n">
        <v>27.07</v>
      </c>
      <c r="AA396" s="7">
        <f>Y396/Z396</f>
        <v/>
      </c>
      <c r="AB396" s="7">
        <f>(AA396/Y396)*100</f>
        <v/>
      </c>
    </row>
    <row r="397">
      <c r="A397" s="5" t="n">
        <v>406</v>
      </c>
      <c r="B397" s="9" t="n">
        <v>45373</v>
      </c>
      <c r="C397" s="4" t="n">
        <v>38742636.97</v>
      </c>
      <c r="D397" s="4">
        <f>C397/E397</f>
        <v/>
      </c>
      <c r="E397" s="4" t="n">
        <v>83.58</v>
      </c>
      <c r="F397" s="4">
        <f>D397/100000</f>
        <v/>
      </c>
      <c r="G397" s="7">
        <f>(F397/DataSheet!$C$11*100)</f>
        <v/>
      </c>
      <c r="H397" s="4">
        <f>K397/I397</f>
        <v/>
      </c>
      <c r="I397" s="4">
        <f>(J397/L397)*100</f>
        <v/>
      </c>
      <c r="J397" s="7">
        <f>L397/O397</f>
        <v/>
      </c>
      <c r="K397" s="4" t="n">
        <v>7.08</v>
      </c>
      <c r="L397" s="4" t="n">
        <v>22096.75</v>
      </c>
      <c r="M397" s="4" t="n">
        <v>3.89</v>
      </c>
      <c r="N397" s="4">
        <f>K397-I397</f>
        <v/>
      </c>
      <c r="O397" s="4" t="n">
        <v>22.81</v>
      </c>
      <c r="P397" s="4" t="n">
        <v>4.2</v>
      </c>
      <c r="Q397" s="7">
        <f>K397-P397</f>
        <v/>
      </c>
      <c r="R397" s="4" t="n">
        <v>104.17</v>
      </c>
      <c r="S397" s="4">
        <f>(O397*T397)</f>
        <v/>
      </c>
      <c r="T397" s="12" t="n">
        <v>6.87</v>
      </c>
      <c r="U397" s="4" t="n">
        <v>17502.8</v>
      </c>
      <c r="V397" s="4" t="n">
        <v>26.46</v>
      </c>
      <c r="W397" s="7">
        <f>U397/V397</f>
        <v/>
      </c>
      <c r="X397" s="7">
        <f>(W397/U397)*100</f>
        <v/>
      </c>
      <c r="Y397" s="7" t="n">
        <v>14161.4</v>
      </c>
      <c r="Z397" s="7" t="n">
        <v>27.29</v>
      </c>
      <c r="AA397" s="7">
        <f>Y397/Z397</f>
        <v/>
      </c>
      <c r="AB397" s="7">
        <f>(AA397/Y397)*100</f>
        <v/>
      </c>
    </row>
    <row r="398">
      <c r="A398" s="5" t="n">
        <v>410</v>
      </c>
      <c r="B398" s="9" t="n">
        <v>45377</v>
      </c>
      <c r="C398" s="4" t="n">
        <v>38760537.56</v>
      </c>
      <c r="D398" s="4">
        <f>C398/E398</f>
        <v/>
      </c>
      <c r="E398" s="4" t="n">
        <v>83.3</v>
      </c>
      <c r="F398" s="4">
        <f>D398/100000</f>
        <v/>
      </c>
      <c r="G398" s="7">
        <f>(F398/DataSheet!$C$11*100)</f>
        <v/>
      </c>
      <c r="H398" s="4">
        <f>K398/I398</f>
        <v/>
      </c>
      <c r="I398" s="4">
        <f>(J398/L398)*100</f>
        <v/>
      </c>
      <c r="J398" s="7">
        <f>L398/O398</f>
        <v/>
      </c>
      <c r="K398" s="4" t="n">
        <v>7.08</v>
      </c>
      <c r="L398" s="4" t="n">
        <v>22004.7</v>
      </c>
      <c r="M398" s="4" t="n">
        <v>3.87</v>
      </c>
      <c r="N398" s="4">
        <f>K398-I398</f>
        <v/>
      </c>
      <c r="O398" s="4" t="n">
        <v>22.72</v>
      </c>
      <c r="P398" s="4" t="n">
        <v>4.23</v>
      </c>
      <c r="Q398" s="7">
        <f>K398-P398</f>
        <v/>
      </c>
      <c r="R398" s="4" t="n">
        <v>103.99</v>
      </c>
      <c r="S398" s="4">
        <f>(O398*T398)</f>
        <v/>
      </c>
      <c r="T398" s="12" t="n">
        <v>6.94</v>
      </c>
      <c r="U398" s="4" t="n">
        <v>17664.35</v>
      </c>
      <c r="V398" s="4" t="n">
        <v>26.71</v>
      </c>
      <c r="W398" s="7">
        <f>U398/V398</f>
        <v/>
      </c>
      <c r="X398" s="7">
        <f>(W398/U398)*100</f>
        <v/>
      </c>
      <c r="Y398" s="7" t="n">
        <v>14167.85</v>
      </c>
      <c r="Z398" s="7" t="n">
        <v>27.3</v>
      </c>
      <c r="AA398" s="7">
        <f>Y398/Z398</f>
        <v/>
      </c>
      <c r="AB398" s="7">
        <f>(AA398/Y398)*100</f>
        <v/>
      </c>
    </row>
    <row r="399">
      <c r="A399" s="5" t="n">
        <v>411</v>
      </c>
      <c r="B399" s="9" t="n">
        <v>45378</v>
      </c>
      <c r="C399" s="4" t="n">
        <v>38870992.02</v>
      </c>
      <c r="D399" s="4">
        <f>C399/E399</f>
        <v/>
      </c>
      <c r="E399" s="4" t="n">
        <v>83.29000000000001</v>
      </c>
      <c r="F399" s="4">
        <f>D399/100000</f>
        <v/>
      </c>
      <c r="G399" s="7">
        <f>(F399/DataSheet!$C$11*100)</f>
        <v/>
      </c>
      <c r="H399" s="4">
        <f>K399/I399</f>
        <v/>
      </c>
      <c r="I399" s="4">
        <f>(J399/L399)*100</f>
        <v/>
      </c>
      <c r="J399" s="7">
        <f>L399/O399</f>
        <v/>
      </c>
      <c r="K399" s="4" t="n">
        <v>7.07</v>
      </c>
      <c r="L399" s="4" t="n">
        <v>22123.65</v>
      </c>
      <c r="M399" s="4" t="n">
        <v>3.9</v>
      </c>
      <c r="N399" s="4">
        <f>K399-I399</f>
        <v/>
      </c>
      <c r="O399" s="4" t="n">
        <v>22.84</v>
      </c>
      <c r="P399" s="4" t="n">
        <v>4.18</v>
      </c>
      <c r="Q399" s="7">
        <f>K399-P399</f>
        <v/>
      </c>
      <c r="R399" s="4" t="n">
        <v>104.06</v>
      </c>
      <c r="S399" s="4">
        <f>(O399*T399)</f>
        <v/>
      </c>
      <c r="T399" s="12" t="n">
        <v>6.97</v>
      </c>
      <c r="U399" s="4" t="n">
        <v>17685.85</v>
      </c>
      <c r="V399" s="4" t="n">
        <v>26.74</v>
      </c>
      <c r="W399" s="7">
        <f>U399/V399</f>
        <v/>
      </c>
      <c r="X399" s="7">
        <f>(W399/U399)*100</f>
        <v/>
      </c>
      <c r="Y399" s="7" t="n">
        <v>14283.6</v>
      </c>
      <c r="Z399" s="7" t="n">
        <v>27.53</v>
      </c>
      <c r="AA399" s="7">
        <f>Y399/Z399</f>
        <v/>
      </c>
      <c r="AB399" s="7">
        <f>(AA399/Y399)*100</f>
        <v/>
      </c>
    </row>
    <row r="400">
      <c r="A400" s="5" t="n">
        <v>412</v>
      </c>
      <c r="B400" s="8" t="n">
        <v>45379</v>
      </c>
      <c r="C400" s="4" t="n">
        <v>38697657.52</v>
      </c>
      <c r="D400" s="4">
        <f>C400/E400</f>
        <v/>
      </c>
      <c r="E400" s="4" t="n">
        <v>83.34999999999999</v>
      </c>
      <c r="F400" s="4">
        <f>D400/100000</f>
        <v/>
      </c>
      <c r="G400" s="7">
        <f>(F400/DataSheet!$C$11*100)</f>
        <v/>
      </c>
      <c r="H400" s="4">
        <f>K400/I400</f>
        <v/>
      </c>
      <c r="I400" s="4">
        <f>(J400/L400)*100</f>
        <v/>
      </c>
      <c r="J400" s="7">
        <f>L400/O400</f>
        <v/>
      </c>
      <c r="K400" s="4" t="n">
        <v>7.05</v>
      </c>
      <c r="L400" s="4" t="n">
        <v>22326.9</v>
      </c>
      <c r="M400" s="4" t="n">
        <v>3.94</v>
      </c>
      <c r="N400" s="4">
        <f>K400-I400</f>
        <v/>
      </c>
      <c r="O400" s="4" t="n">
        <v>22.88</v>
      </c>
      <c r="P400" s="4" t="n">
        <v>4.2</v>
      </c>
      <c r="Q400" s="7">
        <f>K400-P400</f>
        <v/>
      </c>
      <c r="R400" s="4" t="n">
        <v>104.26</v>
      </c>
      <c r="S400" s="4">
        <f>(O400*T400)</f>
        <v/>
      </c>
      <c r="T400" s="12" t="n">
        <v>7.02</v>
      </c>
      <c r="U400" s="4" t="n">
        <v>17766</v>
      </c>
      <c r="V400" s="4" t="n">
        <v>33.63</v>
      </c>
      <c r="W400" s="7">
        <f>U400/V400</f>
        <v/>
      </c>
      <c r="X400" s="7">
        <f>(W400/U400)*100</f>
        <v/>
      </c>
      <c r="Y400" s="7" t="n">
        <v>14330.5</v>
      </c>
      <c r="Z400" s="7" t="n">
        <v>26.6</v>
      </c>
      <c r="AA400" s="7">
        <f>Y400/Z400</f>
        <v/>
      </c>
      <c r="AB400" s="7">
        <f>(AA400/Y400)*100</f>
        <v/>
      </c>
    </row>
    <row r="401">
      <c r="A401" s="5" t="n">
        <v>416</v>
      </c>
      <c r="B401" s="8" t="n">
        <v>45383</v>
      </c>
      <c r="C401" s="4" t="n">
        <v>39320089.74</v>
      </c>
      <c r="D401" s="4">
        <f>C401/E401</f>
        <v/>
      </c>
      <c r="E401" s="4" t="n">
        <v>83.36</v>
      </c>
      <c r="F401" s="4">
        <f>D401/100000</f>
        <v/>
      </c>
      <c r="G401" s="7">
        <f>(F401/DataSheet!$C$11*100)</f>
        <v/>
      </c>
      <c r="H401" s="4">
        <f>K401/I401</f>
        <v/>
      </c>
      <c r="I401" s="4">
        <f>(J401/L401)*100</f>
        <v/>
      </c>
      <c r="J401" s="7">
        <f>L401/O401</f>
        <v/>
      </c>
      <c r="K401" s="4" t="n">
        <v>7.1</v>
      </c>
      <c r="L401" s="4" t="n">
        <v>22462</v>
      </c>
      <c r="M401" s="4" t="n">
        <v>3.96</v>
      </c>
      <c r="N401" s="4">
        <f>K401-I401</f>
        <v/>
      </c>
      <c r="O401" s="4" t="n">
        <v>23.02</v>
      </c>
      <c r="P401" s="4" t="n">
        <v>4.31</v>
      </c>
      <c r="Q401" s="7">
        <f>K401-P401</f>
        <v/>
      </c>
      <c r="R401" s="4" t="n">
        <v>104.76</v>
      </c>
      <c r="S401" s="4">
        <f>(O401*T401)</f>
        <v/>
      </c>
      <c r="T401" s="12" t="n">
        <v>7.02</v>
      </c>
      <c r="U401" s="4" t="n">
        <v>18084.7</v>
      </c>
      <c r="V401" s="4" t="n">
        <v>34.24</v>
      </c>
      <c r="W401" s="7">
        <f>U401/V401</f>
        <v/>
      </c>
      <c r="X401" s="7">
        <f>(W401/U401)*100</f>
        <v/>
      </c>
      <c r="Y401" s="7" t="n">
        <v>14762.15</v>
      </c>
      <c r="Z401" s="7" t="n">
        <v>27.41</v>
      </c>
      <c r="AA401" s="7">
        <f>Y401/Z401</f>
        <v/>
      </c>
      <c r="AB401" s="7">
        <f>(AA401/Y401)*100</f>
        <v/>
      </c>
    </row>
    <row r="402">
      <c r="A402" s="5" t="n">
        <v>417</v>
      </c>
      <c r="B402" s="9" t="n">
        <v>45384</v>
      </c>
      <c r="C402" s="4" t="n">
        <v>39571607.96</v>
      </c>
      <c r="D402" s="4">
        <f>C402/E402</f>
        <v/>
      </c>
      <c r="E402" s="4" t="n">
        <v>83.31999999999999</v>
      </c>
      <c r="F402" s="4">
        <f>D402/100000</f>
        <v/>
      </c>
      <c r="G402" s="7">
        <f>(F402/DataSheet!$C$11*100)</f>
        <v/>
      </c>
      <c r="H402" s="4">
        <f>K402/I402</f>
        <v/>
      </c>
      <c r="I402" s="4">
        <f>(J402/L402)*100</f>
        <v/>
      </c>
      <c r="J402" s="7">
        <f>L402/O402</f>
        <v/>
      </c>
      <c r="K402" s="4" t="n">
        <v>7.1</v>
      </c>
      <c r="L402" s="4" t="n">
        <v>22453.3</v>
      </c>
      <c r="M402" s="4" t="n">
        <v>3.96</v>
      </c>
      <c r="N402" s="4">
        <f>K402-I402</f>
        <v/>
      </c>
      <c r="O402" s="4" t="n">
        <v>23.01</v>
      </c>
      <c r="P402" s="4" t="n">
        <v>4.35</v>
      </c>
      <c r="Q402" s="7">
        <f>K402-P402</f>
        <v/>
      </c>
      <c r="R402" s="4" t="n">
        <v>104.56</v>
      </c>
      <c r="S402" s="4">
        <f>(O402*T402)</f>
        <v/>
      </c>
      <c r="T402" s="12" t="n">
        <v>6.83</v>
      </c>
      <c r="U402" s="4" t="n">
        <v>18286.35</v>
      </c>
      <c r="V402" s="4" t="n">
        <v>34.62</v>
      </c>
      <c r="W402" s="7">
        <f>U402/V402</f>
        <v/>
      </c>
      <c r="X402" s="7">
        <f>(W402/U402)*100</f>
        <v/>
      </c>
      <c r="Y402" s="7" t="n">
        <v>14908.3</v>
      </c>
      <c r="Z402" s="7" t="n">
        <v>27.68</v>
      </c>
      <c r="AA402" s="7">
        <f>Y402/Z402</f>
        <v/>
      </c>
      <c r="AB402" s="7">
        <f>(AA402/Y402)*100</f>
        <v/>
      </c>
    </row>
    <row r="403">
      <c r="A403" s="5" t="n">
        <v>418</v>
      </c>
      <c r="B403" s="9" t="n">
        <v>45385</v>
      </c>
      <c r="C403" s="4" t="n">
        <v>39749671.79</v>
      </c>
      <c r="D403" s="4">
        <f>C403/E403</f>
        <v/>
      </c>
      <c r="E403" s="4" t="n">
        <v>83.5</v>
      </c>
      <c r="F403" s="4">
        <f>D403/100000</f>
        <v/>
      </c>
      <c r="G403" s="7">
        <f>(F403/DataSheet!$C$11*100)</f>
        <v/>
      </c>
      <c r="H403" s="4">
        <f>K403/I403</f>
        <v/>
      </c>
      <c r="I403" s="4">
        <f>(J403/L403)*100</f>
        <v/>
      </c>
      <c r="J403" s="7">
        <f>L403/O403</f>
        <v/>
      </c>
      <c r="K403" s="4" t="n">
        <v>7.09</v>
      </c>
      <c r="L403" s="4" t="n">
        <v>22434.65</v>
      </c>
      <c r="M403" s="4" t="n">
        <v>3.96</v>
      </c>
      <c r="N403" s="4">
        <f>K403-I403</f>
        <v/>
      </c>
      <c r="O403" s="4" t="n">
        <v>22.99</v>
      </c>
      <c r="P403" s="4" t="n">
        <v>4.35</v>
      </c>
      <c r="Q403" s="7">
        <f>K403-P403</f>
        <v/>
      </c>
      <c r="R403" s="4" t="n">
        <v>103.99</v>
      </c>
      <c r="S403" s="4">
        <f>(O403*T403)</f>
        <v/>
      </c>
      <c r="T403" s="12" t="n">
        <v>6.83</v>
      </c>
      <c r="U403" s="4" t="n">
        <v>18378.6</v>
      </c>
      <c r="V403" s="4" t="n">
        <v>34.78</v>
      </c>
      <c r="W403" s="7">
        <f>U403/V403</f>
        <v/>
      </c>
      <c r="X403" s="7">
        <f>(W403/U403)*100</f>
        <v/>
      </c>
      <c r="Y403" s="7" t="n">
        <v>15065.35</v>
      </c>
      <c r="Z403" s="7" t="n">
        <v>27.97</v>
      </c>
      <c r="AA403" s="7">
        <f>Y403/Z403</f>
        <v/>
      </c>
      <c r="AB403" s="7">
        <f>(AA403/Y403)*100</f>
        <v/>
      </c>
    </row>
    <row r="404">
      <c r="A404" s="5" t="n">
        <v>419</v>
      </c>
      <c r="B404" s="9" t="n">
        <v>45386</v>
      </c>
      <c r="C404" s="4" t="n">
        <v>39839596.9</v>
      </c>
      <c r="D404" s="4">
        <f>C404/E404</f>
        <v/>
      </c>
      <c r="E404" s="4" t="n">
        <v>83.34</v>
      </c>
      <c r="F404" s="4">
        <f>D404/100000</f>
        <v/>
      </c>
      <c r="G404" s="7">
        <f>(F404/DataSheet!$C$11*100)</f>
        <v/>
      </c>
      <c r="H404" s="4">
        <f>K404/I404</f>
        <v/>
      </c>
      <c r="I404" s="4">
        <f>(J404/L404)*100</f>
        <v/>
      </c>
      <c r="J404" s="7">
        <f>L404/O404</f>
        <v/>
      </c>
      <c r="K404" s="4" t="n">
        <v>7.11</v>
      </c>
      <c r="L404" s="4" t="n">
        <v>22514.65</v>
      </c>
      <c r="M404" s="4" t="n">
        <v>3.97</v>
      </c>
      <c r="N404" s="4">
        <f>K404-I404</f>
        <v/>
      </c>
      <c r="O404" s="4" t="n">
        <v>23.07</v>
      </c>
      <c r="P404" s="4" t="n">
        <v>4.3</v>
      </c>
      <c r="Q404" s="7">
        <f>K404-P404</f>
        <v/>
      </c>
      <c r="R404" s="4" t="n">
        <v>103.89</v>
      </c>
      <c r="S404" s="4">
        <f>(O404*T404)</f>
        <v/>
      </c>
      <c r="T404" s="12" t="n">
        <v>6.85</v>
      </c>
      <c r="U404" s="4" t="n">
        <v>18385.95</v>
      </c>
      <c r="V404" s="4" t="n">
        <v>34.8</v>
      </c>
      <c r="W404" s="7">
        <f>U404/V404</f>
        <v/>
      </c>
      <c r="X404" s="7">
        <f>(W404/U404)*100</f>
        <v/>
      </c>
      <c r="Y404" s="7" t="n">
        <v>15159.25</v>
      </c>
      <c r="Z404" s="7" t="n">
        <v>28.14</v>
      </c>
      <c r="AA404" s="7">
        <f>Y404/Z404</f>
        <v/>
      </c>
      <c r="AB404" s="7">
        <f>(AA404/Y404)*100</f>
        <v/>
      </c>
    </row>
    <row r="405">
      <c r="A405" s="5" t="n">
        <v>420</v>
      </c>
      <c r="B405" s="8" t="n">
        <v>45387</v>
      </c>
      <c r="C405" s="4" t="n">
        <v>39946754.22</v>
      </c>
      <c r="D405" s="4">
        <f>C405/E405</f>
        <v/>
      </c>
      <c r="E405" s="4" t="n">
        <v>83.29000000000001</v>
      </c>
      <c r="F405" s="4">
        <f>D405/100000</f>
        <v/>
      </c>
      <c r="G405" s="7">
        <f>(F405/DataSheet!$C$11*100)</f>
        <v/>
      </c>
      <c r="H405" s="4">
        <f>K405/I405</f>
        <v/>
      </c>
      <c r="I405" s="4">
        <f>(J405/L405)*100</f>
        <v/>
      </c>
      <c r="J405" s="7">
        <f>L405/O405</f>
        <v/>
      </c>
      <c r="K405" s="4" t="n">
        <v>7.15</v>
      </c>
      <c r="L405" s="4" t="n">
        <v>22513.7</v>
      </c>
      <c r="M405" s="4" t="n">
        <v>3.97</v>
      </c>
      <c r="N405" s="4">
        <f>K405-I405</f>
        <v/>
      </c>
      <c r="O405" s="4" t="n">
        <v>23.07</v>
      </c>
      <c r="P405" s="4" t="n">
        <v>4.4</v>
      </c>
      <c r="Q405" s="7">
        <f>K405-P405</f>
        <v/>
      </c>
      <c r="R405" s="4" t="n">
        <v>104.07</v>
      </c>
      <c r="S405" s="4">
        <f>(O405*T405)</f>
        <v/>
      </c>
      <c r="T405" s="12" t="n">
        <v>6.86</v>
      </c>
      <c r="U405" s="4" t="n">
        <v>18473.25</v>
      </c>
      <c r="V405" s="4" t="n">
        <v>34.96</v>
      </c>
      <c r="W405" s="7">
        <f>U405/V405</f>
        <v/>
      </c>
      <c r="X405" s="7">
        <f>(W405/U405)*100</f>
        <v/>
      </c>
      <c r="Y405" s="7" t="n">
        <v>15248.2</v>
      </c>
      <c r="Z405" s="7" t="n">
        <v>28.31</v>
      </c>
      <c r="AA405" s="7">
        <f>Y405/Z405</f>
        <v/>
      </c>
      <c r="AB405" s="7">
        <f>(AA405/Y405)*100</f>
        <v/>
      </c>
    </row>
    <row r="406">
      <c r="A406" s="5" t="n">
        <v>423</v>
      </c>
      <c r="B406" s="9" t="n">
        <v>45390</v>
      </c>
      <c r="C406" s="4" t="n">
        <v>40099215.37</v>
      </c>
      <c r="D406" s="4">
        <f>C406/E406</f>
        <v/>
      </c>
      <c r="E406" s="4" t="n">
        <v>83.27</v>
      </c>
      <c r="F406" s="4">
        <f>D406/100000</f>
        <v/>
      </c>
      <c r="G406" s="7">
        <f>(F406/DataSheet!$C$11*100)</f>
        <v/>
      </c>
      <c r="H406" s="4">
        <f>K406/I406</f>
        <v/>
      </c>
      <c r="I406" s="4">
        <f>(J406/L406)*100</f>
        <v/>
      </c>
      <c r="J406" s="7">
        <f>L406/O406</f>
        <v/>
      </c>
      <c r="K406" s="4" t="n">
        <v>7.11</v>
      </c>
      <c r="L406" s="4" t="n">
        <v>22666.3</v>
      </c>
      <c r="M406" s="4" t="n">
        <v>4</v>
      </c>
      <c r="N406" s="4">
        <f>K406-I406</f>
        <v/>
      </c>
      <c r="O406" s="4" t="n">
        <v>23.23</v>
      </c>
      <c r="P406" s="4" t="n">
        <v>4.42</v>
      </c>
      <c r="Q406" s="7">
        <f>K406-P406</f>
        <v/>
      </c>
      <c r="R406" s="4" t="n">
        <v>103.9</v>
      </c>
      <c r="S406" s="4">
        <f>(O406*T406)</f>
        <v/>
      </c>
      <c r="T406" s="12" t="n">
        <v>6.86</v>
      </c>
      <c r="U406" s="4" t="n">
        <v>18511.15</v>
      </c>
      <c r="V406" s="4" t="n">
        <v>35.04</v>
      </c>
      <c r="W406" s="7">
        <f>U406/V406</f>
        <v/>
      </c>
      <c r="X406" s="7">
        <f>(W406/U406)*100</f>
        <v/>
      </c>
      <c r="Y406" s="7" t="n">
        <v>15286.55</v>
      </c>
      <c r="Z406" s="7" t="n">
        <v>28.38</v>
      </c>
      <c r="AA406" s="7">
        <f>Y406/Z406</f>
        <v/>
      </c>
      <c r="AB406" s="7">
        <f>(AA406/Y406)*100</f>
        <v/>
      </c>
    </row>
    <row r="407">
      <c r="A407" s="5" t="n">
        <v>424</v>
      </c>
      <c r="B407" s="8" t="n">
        <v>45391</v>
      </c>
      <c r="C407" s="4" t="n">
        <v>40011543.28</v>
      </c>
      <c r="D407" s="4">
        <f>C407/E407</f>
        <v/>
      </c>
      <c r="E407" s="4" t="n">
        <v>83.18000000000001</v>
      </c>
      <c r="F407" s="4">
        <f>D407/100000</f>
        <v/>
      </c>
      <c r="G407" s="7">
        <f>(F407/DataSheet!$C$11*100)</f>
        <v/>
      </c>
      <c r="H407" s="4">
        <f>K407/I407</f>
        <v/>
      </c>
      <c r="I407" s="4">
        <f>(J407/L407)*100</f>
        <v/>
      </c>
      <c r="J407" s="7">
        <f>L407/O407</f>
        <v/>
      </c>
      <c r="K407" s="4" t="n">
        <v>7.15</v>
      </c>
      <c r="L407" s="4" t="n">
        <v>22642.75</v>
      </c>
      <c r="M407" s="4" t="n">
        <v>3.99</v>
      </c>
      <c r="N407" s="4">
        <f>K407-I407</f>
        <v/>
      </c>
      <c r="O407" s="4" t="n">
        <v>23.2</v>
      </c>
      <c r="P407" s="4" t="n">
        <v>4.36</v>
      </c>
      <c r="Q407" s="7">
        <f>K407-P407</f>
        <v/>
      </c>
      <c r="R407" s="4" t="n">
        <v>103.92</v>
      </c>
      <c r="S407" s="4">
        <f>(O407*T407)</f>
        <v/>
      </c>
      <c r="T407" s="12" t="n">
        <v>6.86</v>
      </c>
      <c r="U407" s="4" t="n">
        <v>18465.55</v>
      </c>
      <c r="V407" s="4" t="n">
        <v>34.95</v>
      </c>
      <c r="W407" s="7">
        <f>U407/V407</f>
        <v/>
      </c>
      <c r="X407" s="7">
        <f>(W407/U407)*100</f>
        <v/>
      </c>
      <c r="Y407" s="7" t="n">
        <v>15293.4</v>
      </c>
      <c r="Z407" s="7" t="n">
        <v>28.39</v>
      </c>
      <c r="AA407" s="7">
        <f>Y407/Z407</f>
        <v/>
      </c>
      <c r="AB407" s="7">
        <f>(AA407/Y407)*100</f>
        <v/>
      </c>
    </row>
    <row r="408">
      <c r="A408" s="5" t="n">
        <v>425</v>
      </c>
      <c r="B408" s="9" t="n">
        <v>45392</v>
      </c>
      <c r="C408" s="4" t="n">
        <v>40240219.26</v>
      </c>
      <c r="D408" s="4">
        <f>C408/E408</f>
        <v/>
      </c>
      <c r="E408" s="4" t="n">
        <v>83.38</v>
      </c>
      <c r="F408" s="4">
        <f>D408/100000</f>
        <v/>
      </c>
      <c r="G408" s="7">
        <f>(F408/DataSheet!$C$11*100)</f>
        <v/>
      </c>
      <c r="H408" s="4">
        <f>K408/I408</f>
        <v/>
      </c>
      <c r="I408" s="4">
        <f>(J408/L408)*100</f>
        <v/>
      </c>
      <c r="J408" s="7">
        <f>L408/O408</f>
        <v/>
      </c>
      <c r="K408" s="4" t="n">
        <v>7.11</v>
      </c>
      <c r="L408" s="4" t="n">
        <v>22753.8</v>
      </c>
      <c r="M408" s="4" t="n">
        <v>4.01</v>
      </c>
      <c r="N408" s="4">
        <f>K408-I408</f>
        <v/>
      </c>
      <c r="O408" s="4" t="n">
        <v>23.32</v>
      </c>
      <c r="P408" s="4" t="n">
        <v>4.54</v>
      </c>
      <c r="Q408" s="7">
        <f>K408-P408</f>
        <v/>
      </c>
      <c r="R408" s="4" t="n">
        <v>105.03</v>
      </c>
      <c r="S408" s="4">
        <f>(O408*T408)</f>
        <v/>
      </c>
      <c r="T408" s="12" t="n">
        <v>6.85</v>
      </c>
      <c r="U408" s="4" t="n">
        <v>18625.4</v>
      </c>
      <c r="V408" s="4" t="n">
        <v>35.19</v>
      </c>
      <c r="W408" s="7">
        <f>U408/V408</f>
        <v/>
      </c>
      <c r="X408" s="7">
        <f>(W408/U408)*100</f>
        <v/>
      </c>
      <c r="Y408" s="7" t="n">
        <v>15384.5</v>
      </c>
      <c r="Z408" s="7" t="n">
        <v>28.56</v>
      </c>
      <c r="AA408" s="7">
        <f>Y408/Z408</f>
        <v/>
      </c>
      <c r="AB408" s="7">
        <f>(AA408/Y408)*100</f>
        <v/>
      </c>
    </row>
    <row r="409">
      <c r="A409" s="5" t="n">
        <v>427</v>
      </c>
      <c r="B409" s="9" t="n">
        <v>45394</v>
      </c>
      <c r="C409" s="4" t="n">
        <v>39989013.97</v>
      </c>
      <c r="D409" s="4">
        <f>C409/E409</f>
        <v/>
      </c>
      <c r="E409" s="4" t="n">
        <v>83.54000000000001</v>
      </c>
      <c r="F409" s="4">
        <f>D409/100000</f>
        <v/>
      </c>
      <c r="G409" s="7">
        <f>(F409/DataSheet!$C$11*100)</f>
        <v/>
      </c>
      <c r="H409" s="4">
        <f>K409/I409</f>
        <v/>
      </c>
      <c r="I409" s="4">
        <f>(J409/L409)*100</f>
        <v/>
      </c>
      <c r="J409" s="7">
        <f>L409/O409</f>
        <v/>
      </c>
      <c r="K409" s="4" t="n">
        <v>7.17</v>
      </c>
      <c r="L409" s="4" t="n">
        <v>22519.4</v>
      </c>
      <c r="M409" s="4" t="n">
        <v>3.95</v>
      </c>
      <c r="N409" s="4">
        <f>K409-I409</f>
        <v/>
      </c>
      <c r="O409" s="4" t="n">
        <v>23.08</v>
      </c>
      <c r="P409" s="4" t="n">
        <v>4.51</v>
      </c>
      <c r="Q409" s="7">
        <f>K409-P409</f>
        <v/>
      </c>
      <c r="R409" s="4" t="n">
        <v>105.83</v>
      </c>
      <c r="S409" s="4">
        <f>(O409*T409)</f>
        <v/>
      </c>
      <c r="T409" s="12" t="n">
        <v>6.86</v>
      </c>
      <c r="U409" s="4" t="n">
        <v>18534.7</v>
      </c>
      <c r="V409" s="4" t="n">
        <v>35.02</v>
      </c>
      <c r="W409" s="7">
        <f>U409/V409</f>
        <v/>
      </c>
      <c r="X409" s="7">
        <f>(W409/U409)*100</f>
        <v/>
      </c>
      <c r="Y409" s="7" t="n">
        <v>15322.15</v>
      </c>
      <c r="Z409" s="7" t="n">
        <v>28.44</v>
      </c>
      <c r="AA409" s="7">
        <f>Y409/Z409</f>
        <v/>
      </c>
      <c r="AB409" s="7">
        <f>(AA409/Y409)*100</f>
        <v/>
      </c>
    </row>
    <row r="410">
      <c r="A410" s="5" t="n">
        <v>430</v>
      </c>
      <c r="B410" s="9" t="n">
        <v>45397</v>
      </c>
      <c r="C410" s="4" t="n">
        <v>39456548.15</v>
      </c>
      <c r="D410" s="4">
        <f>C410/E410</f>
        <v/>
      </c>
      <c r="E410" s="4" t="n">
        <v>83.48</v>
      </c>
      <c r="F410" s="4">
        <f>D410/100000</f>
        <v/>
      </c>
      <c r="G410" s="7">
        <f>(F410/DataSheet!$C$11*100)</f>
        <v/>
      </c>
      <c r="H410" s="4">
        <f>K410/I410</f>
        <v/>
      </c>
      <c r="I410" s="4">
        <f>(J410/L410)*100</f>
        <v/>
      </c>
      <c r="J410" s="7">
        <f>L410/O410</f>
        <v/>
      </c>
      <c r="K410" s="4" t="n">
        <v>7.17</v>
      </c>
      <c r="L410" s="4" t="n">
        <v>22272.5</v>
      </c>
      <c r="M410" s="4" t="n">
        <v>3.91</v>
      </c>
      <c r="N410" s="4">
        <f>K410-I410</f>
        <v/>
      </c>
      <c r="O410" s="4" t="n">
        <v>22.82</v>
      </c>
      <c r="P410" s="4" t="n">
        <v>4.61</v>
      </c>
      <c r="Q410" s="7">
        <f>K410-P410</f>
        <v/>
      </c>
      <c r="R410" s="4" t="n">
        <v>105.99</v>
      </c>
      <c r="S410" s="4">
        <f>(O410*T410)</f>
        <v/>
      </c>
      <c r="T410" s="12" t="n">
        <v>6.86</v>
      </c>
      <c r="U410" s="4" t="n">
        <v>18283.2</v>
      </c>
      <c r="V410" s="4" t="n">
        <v>34.55</v>
      </c>
      <c r="W410" s="7">
        <f>U410/V410</f>
        <v/>
      </c>
      <c r="X410" s="7">
        <f>(W410/U410)*100</f>
        <v/>
      </c>
      <c r="Y410" s="7" t="n">
        <v>15086.65</v>
      </c>
      <c r="Z410" s="7" t="n">
        <v>28.01</v>
      </c>
      <c r="AA410" s="7">
        <f>Y410/Z410</f>
        <v/>
      </c>
      <c r="AB410" s="7">
        <f>(AA410/Y410)*100</f>
        <v/>
      </c>
    </row>
    <row r="411">
      <c r="A411" s="5" t="n">
        <v>431</v>
      </c>
      <c r="B411" s="9" t="n">
        <v>45398</v>
      </c>
      <c r="C411" s="4" t="n">
        <v>39444173.19</v>
      </c>
      <c r="D411" s="4">
        <f>C411/E411</f>
        <v/>
      </c>
      <c r="E411" s="4" t="n">
        <v>83.63</v>
      </c>
      <c r="F411" s="4">
        <f>D411/100000</f>
        <v/>
      </c>
      <c r="G411" s="7">
        <f>(F411/DataSheet!$C$11*100)</f>
        <v/>
      </c>
      <c r="H411" s="4">
        <f>K411/I411</f>
        <v/>
      </c>
      <c r="I411" s="4">
        <f>(J411/L411)*100</f>
        <v/>
      </c>
      <c r="J411" s="7">
        <f>L411/O411</f>
        <v/>
      </c>
      <c r="K411" s="4" t="n">
        <v>7.19</v>
      </c>
      <c r="L411" s="4" t="n">
        <v>22147.9</v>
      </c>
      <c r="M411" s="4" t="n">
        <v>3.88</v>
      </c>
      <c r="N411" s="4">
        <f>K411-I411</f>
        <v/>
      </c>
      <c r="O411" s="4" t="n">
        <v>22.68</v>
      </c>
      <c r="P411" s="4" t="n">
        <v>4.66</v>
      </c>
      <c r="Q411" s="7">
        <f>K411-P411</f>
        <v/>
      </c>
      <c r="R411" s="4" t="n">
        <v>106.06</v>
      </c>
      <c r="S411" s="4">
        <f>(O411*T411)</f>
        <v/>
      </c>
      <c r="T411" s="12" t="n">
        <v>6.86</v>
      </c>
      <c r="U411" s="4" t="n">
        <v>18260.6</v>
      </c>
      <c r="V411" s="4" t="n">
        <v>34.5</v>
      </c>
      <c r="W411" s="7">
        <f>U411/V411</f>
        <v/>
      </c>
      <c r="X411" s="7">
        <f>(W411/U411)*100</f>
        <v/>
      </c>
      <c r="Y411" s="7" t="n">
        <v>15183.7</v>
      </c>
      <c r="Z411" s="7" t="n">
        <v>28.18</v>
      </c>
      <c r="AA411" s="7">
        <f>Y411/Z411</f>
        <v/>
      </c>
      <c r="AB411" s="7">
        <f>(AA411/Y411)*100</f>
        <v/>
      </c>
    </row>
    <row r="412">
      <c r="A412" s="5" t="n">
        <v>433</v>
      </c>
      <c r="B412" s="9" t="n">
        <v>45400</v>
      </c>
      <c r="C412" s="4" t="n">
        <v>39308157.05</v>
      </c>
      <c r="D412" s="4">
        <f>C412/E412</f>
        <v/>
      </c>
      <c r="E412" s="4" t="n">
        <v>83.53</v>
      </c>
      <c r="F412" s="4">
        <f>D412/100000</f>
        <v/>
      </c>
      <c r="G412" s="7">
        <f>(F412/DataSheet!$C$11*100)</f>
        <v/>
      </c>
      <c r="H412" s="4">
        <f>K412/I412</f>
        <v/>
      </c>
      <c r="I412" s="4">
        <f>(J412/L412)*100</f>
        <v/>
      </c>
      <c r="J412" s="7">
        <f>L412/O412</f>
        <v/>
      </c>
      <c r="K412" s="4" t="n">
        <v>7.18</v>
      </c>
      <c r="L412" s="4" t="n">
        <v>21995.85</v>
      </c>
      <c r="M412" s="4" t="n">
        <v>3.86</v>
      </c>
      <c r="N412" s="4">
        <f>K412-I412</f>
        <v/>
      </c>
      <c r="O412" s="4" t="n">
        <v>22.53</v>
      </c>
      <c r="P412" s="4" t="n">
        <v>4.63</v>
      </c>
      <c r="Q412" s="7">
        <f>K412-P412</f>
        <v/>
      </c>
      <c r="R412" s="4" t="n">
        <v>105.98</v>
      </c>
      <c r="S412" s="4">
        <f>(O412*T412)</f>
        <v/>
      </c>
      <c r="T412" s="12" t="n">
        <v>6.88</v>
      </c>
      <c r="U412" s="4" t="n">
        <v>18195.65</v>
      </c>
      <c r="V412" s="4" t="n">
        <v>34.38</v>
      </c>
      <c r="W412" s="7">
        <f>U412/V412</f>
        <v/>
      </c>
      <c r="X412" s="7">
        <f>(W412/U412)*100</f>
        <v/>
      </c>
      <c r="Y412" s="7" t="n">
        <v>15180.6</v>
      </c>
      <c r="Z412" s="7" t="n">
        <v>28.18</v>
      </c>
      <c r="AA412" s="7">
        <f>Y412/Z412</f>
        <v/>
      </c>
      <c r="AB412" s="7">
        <f>(AA412/Y412)*100</f>
        <v/>
      </c>
    </row>
    <row r="413">
      <c r="A413" s="5" t="n">
        <v>434</v>
      </c>
      <c r="B413" s="9" t="n">
        <v>45401</v>
      </c>
      <c r="C413" s="4" t="n">
        <v>39361808.41</v>
      </c>
      <c r="D413" s="4">
        <f>C413/E413</f>
        <v/>
      </c>
      <c r="E413" s="4" t="n">
        <v>83.34999999999999</v>
      </c>
      <c r="F413" s="4">
        <f>D413/100000</f>
        <v/>
      </c>
      <c r="G413" s="7">
        <f>(F413/DataSheet!$C$11*100)</f>
        <v/>
      </c>
      <c r="H413" s="4">
        <f>K413/I413</f>
        <v/>
      </c>
      <c r="I413" s="4">
        <f>(J413/L413)*100</f>
        <v/>
      </c>
      <c r="J413" s="7">
        <f>L413/O413</f>
        <v/>
      </c>
      <c r="K413" s="4" t="n">
        <v>7.22</v>
      </c>
      <c r="L413" s="4" t="n">
        <v>22147</v>
      </c>
      <c r="M413" s="4" t="n">
        <v>3.88</v>
      </c>
      <c r="N413" s="4">
        <f>K413-I413</f>
        <v/>
      </c>
      <c r="O413" s="4" t="n">
        <v>22.68</v>
      </c>
      <c r="P413" s="4" t="n">
        <v>4.62</v>
      </c>
      <c r="Q413" s="7">
        <f>K413-P413</f>
        <v/>
      </c>
      <c r="R413" s="4" t="n">
        <v>105.98</v>
      </c>
      <c r="S413" s="4">
        <f>(O413*T413)</f>
        <v/>
      </c>
      <c r="T413" s="12" t="n">
        <v>6.88</v>
      </c>
      <c r="U413" s="4" t="n">
        <v>18111.25</v>
      </c>
      <c r="V413" s="4" t="n">
        <v>34.22</v>
      </c>
      <c r="W413" s="7">
        <f>U413/V413</f>
        <v/>
      </c>
      <c r="X413" s="7">
        <f>(W413/U413)*100</f>
        <v/>
      </c>
      <c r="Y413" s="7" t="n">
        <v>15162.2</v>
      </c>
      <c r="Z413" s="7" t="n">
        <v>28.12</v>
      </c>
      <c r="AA413" s="7">
        <f>Y413/Z413</f>
        <v/>
      </c>
      <c r="AB413" s="7">
        <f>(AA413/Y413)*100</f>
        <v/>
      </c>
    </row>
    <row r="414">
      <c r="A414" s="5" t="n">
        <v>437</v>
      </c>
      <c r="B414" s="9" t="n">
        <v>45404</v>
      </c>
      <c r="C414" s="4" t="n">
        <v>39796943.29</v>
      </c>
      <c r="D414" s="4">
        <f>C414/E414</f>
        <v/>
      </c>
      <c r="E414" s="4" t="n">
        <v>83.36</v>
      </c>
      <c r="F414" s="4">
        <f>D414/100000</f>
        <v/>
      </c>
      <c r="G414" s="7">
        <f>(F414/DataSheet!$C$11*100)</f>
        <v/>
      </c>
      <c r="H414" s="4">
        <f>K414/I414</f>
        <v/>
      </c>
      <c r="I414" s="4">
        <f>(J414/L414)*100</f>
        <v/>
      </c>
      <c r="J414" s="7">
        <f>L414/O414</f>
        <v/>
      </c>
      <c r="K414" s="4" t="n">
        <v>7.19</v>
      </c>
      <c r="L414" s="4" t="n">
        <v>22336.4</v>
      </c>
      <c r="M414" s="4" t="n">
        <v>3.92</v>
      </c>
      <c r="N414" s="4">
        <f>K414-I414</f>
        <v/>
      </c>
      <c r="O414" s="4" t="n">
        <v>22.78</v>
      </c>
      <c r="P414" s="4" t="n">
        <v>4.61</v>
      </c>
      <c r="Q414" s="7">
        <f>K414-P414</f>
        <v/>
      </c>
      <c r="R414" s="4" t="n">
        <v>105.91</v>
      </c>
      <c r="S414" s="4">
        <f>(O414*T414)</f>
        <v/>
      </c>
      <c r="T414" s="12" t="n">
        <v>6.88</v>
      </c>
      <c r="U414" s="4" t="n">
        <v>18234.3</v>
      </c>
      <c r="V414" s="4" t="n">
        <v>34.43</v>
      </c>
      <c r="W414" s="7">
        <f>U414/V414</f>
        <v/>
      </c>
      <c r="X414" s="7">
        <f>(W414/U414)*100</f>
        <v/>
      </c>
      <c r="Y414" s="7" t="n">
        <v>15338</v>
      </c>
      <c r="Z414" s="7" t="n">
        <v>28.5</v>
      </c>
      <c r="AA414" s="7">
        <f>Y414/Z414</f>
        <v/>
      </c>
      <c r="AB414" s="7">
        <f>(AA414/Y414)*100</f>
        <v/>
      </c>
    </row>
    <row r="415">
      <c r="A415" s="5" t="n">
        <v>438</v>
      </c>
      <c r="B415" s="9" t="n">
        <v>45405</v>
      </c>
      <c r="C415" s="4" t="n">
        <v>39989720.64</v>
      </c>
      <c r="D415" s="4">
        <f>C415/E415</f>
        <v/>
      </c>
      <c r="E415" s="4" t="n">
        <v>83.26000000000001</v>
      </c>
      <c r="F415" s="4">
        <f>D415/100000</f>
        <v/>
      </c>
      <c r="G415" s="7">
        <f>(F415/DataSheet!$C$11*100)</f>
        <v/>
      </c>
      <c r="H415" s="4">
        <f>K415/I415</f>
        <v/>
      </c>
      <c r="I415" s="4">
        <f>(J415/L415)*100</f>
        <v/>
      </c>
      <c r="J415" s="7">
        <f>L415/O415</f>
        <v/>
      </c>
      <c r="K415" s="4" t="n">
        <v>7.16</v>
      </c>
      <c r="L415" s="4" t="n">
        <v>22368</v>
      </c>
      <c r="M415" s="4" t="n">
        <v>3.92</v>
      </c>
      <c r="N415" s="4">
        <f>K415-I415</f>
        <v/>
      </c>
      <c r="O415" s="4" t="n">
        <v>22.54</v>
      </c>
      <c r="P415" s="4" t="n">
        <v>4.6</v>
      </c>
      <c r="Q415" s="7">
        <f>K415-P415</f>
        <v/>
      </c>
      <c r="R415" s="4" t="n">
        <v>105.5</v>
      </c>
      <c r="S415" s="4">
        <f>(O415*T415)</f>
        <v/>
      </c>
      <c r="T415" s="12" t="n">
        <v>6.88</v>
      </c>
      <c r="U415" s="4" t="n">
        <v>18417.95</v>
      </c>
      <c r="V415" s="4" t="n">
        <v>34.75</v>
      </c>
      <c r="W415" s="7">
        <f>U415/V415</f>
        <v/>
      </c>
      <c r="X415" s="7">
        <f>(W415/U415)*100</f>
        <v/>
      </c>
      <c r="Y415" s="7" t="n">
        <v>15486</v>
      </c>
      <c r="Z415" s="7" t="n">
        <v>28.65</v>
      </c>
      <c r="AA415" s="7">
        <f>Y415/Z415</f>
        <v/>
      </c>
      <c r="AB415" s="7">
        <f>(AA415/Y415)*100</f>
        <v/>
      </c>
    </row>
    <row r="416">
      <c r="A416" s="5" t="n">
        <v>439</v>
      </c>
      <c r="B416" s="9" t="n">
        <v>45406</v>
      </c>
      <c r="C416" s="4" t="n">
        <v>40158925.94</v>
      </c>
      <c r="D416" s="4">
        <f>C416/E416</f>
        <v/>
      </c>
      <c r="E416" s="4" t="n">
        <v>83.31</v>
      </c>
      <c r="F416" s="4">
        <f>D416/100000</f>
        <v/>
      </c>
      <c r="G416" s="7">
        <f>(F416/DataSheet!$C$11*100)</f>
        <v/>
      </c>
      <c r="H416" s="4">
        <f>K416/I416</f>
        <v/>
      </c>
      <c r="I416" s="4">
        <f>(J416/L416)*100</f>
        <v/>
      </c>
      <c r="J416" s="7">
        <f>L416/O416</f>
        <v/>
      </c>
      <c r="K416" s="4" t="n">
        <v>7.18</v>
      </c>
      <c r="L416" s="4" t="n">
        <v>22402.4</v>
      </c>
      <c r="M416" s="4" t="n">
        <v>3.93</v>
      </c>
      <c r="N416" s="4">
        <f>K416-I416</f>
        <v/>
      </c>
      <c r="O416" s="4" t="n">
        <v>22.58</v>
      </c>
      <c r="P416" s="4" t="n">
        <v>4.64</v>
      </c>
      <c r="Q416" s="7">
        <f>K416-P416</f>
        <v/>
      </c>
      <c r="R416" s="4" t="n">
        <v>105.7</v>
      </c>
      <c r="S416" s="4">
        <f>(O416*T416)</f>
        <v/>
      </c>
      <c r="T416" s="12" t="n">
        <v>6.88</v>
      </c>
      <c r="U416" s="4" t="n">
        <v>18568.3</v>
      </c>
      <c r="V416" s="4" t="n">
        <v>35.04</v>
      </c>
      <c r="W416" s="7">
        <f>U416/V416</f>
        <v/>
      </c>
      <c r="X416" s="7">
        <f>(W416/U416)*100</f>
        <v/>
      </c>
      <c r="Y416" s="7" t="n">
        <v>15609.2</v>
      </c>
      <c r="Z416" s="7" t="n">
        <v>28.83</v>
      </c>
      <c r="AA416" s="7">
        <f>Y416/Z416</f>
        <v/>
      </c>
      <c r="AB416" s="7">
        <f>(AA416/Y416)*100</f>
        <v/>
      </c>
    </row>
    <row r="417">
      <c r="A417" s="5" t="n">
        <v>440</v>
      </c>
      <c r="B417" s="8" t="n">
        <v>45407</v>
      </c>
      <c r="C417" s="4" t="n">
        <v>40328639</v>
      </c>
      <c r="D417" s="4">
        <f>C417/E417</f>
        <v/>
      </c>
      <c r="E417" s="4" t="n">
        <v>83.31</v>
      </c>
      <c r="F417" s="4">
        <f>D417/100000</f>
        <v/>
      </c>
      <c r="G417" s="7">
        <f>(F417/DataSheet!$C$11*100)</f>
        <v/>
      </c>
      <c r="H417" s="4">
        <f>K417/I417</f>
        <v/>
      </c>
      <c r="I417" s="4">
        <f>(J417/L417)*100</f>
        <v/>
      </c>
      <c r="J417" s="7">
        <f>L417/O417</f>
        <v/>
      </c>
      <c r="K417" s="4" t="n">
        <v>7.2</v>
      </c>
      <c r="L417" s="4" t="n">
        <v>22570.35</v>
      </c>
      <c r="M417" s="4" t="n">
        <v>3.96</v>
      </c>
      <c r="N417" s="4">
        <f>K417-I417</f>
        <v/>
      </c>
      <c r="O417" s="4" t="n">
        <v>22.75</v>
      </c>
      <c r="P417" s="4" t="n">
        <v>4.7</v>
      </c>
      <c r="Q417" s="7">
        <f>K417-P417</f>
        <v/>
      </c>
      <c r="R417" s="4" t="n">
        <v>105.45</v>
      </c>
      <c r="S417" s="4">
        <f>(O417*T417)</f>
        <v/>
      </c>
      <c r="T417" s="12" t="n">
        <v>6.94</v>
      </c>
      <c r="U417" s="4" t="n">
        <v>18643.25</v>
      </c>
      <c r="V417" s="4" t="n">
        <v>35.16</v>
      </c>
      <c r="W417" s="7">
        <f>U417/V417</f>
        <v/>
      </c>
      <c r="X417" s="7">
        <f>(W417/U417)*100</f>
        <v/>
      </c>
      <c r="Y417" s="7" t="n">
        <v>15739.15</v>
      </c>
      <c r="Z417" s="7" t="n">
        <v>29.05</v>
      </c>
      <c r="AA417" s="7">
        <f>Y417/Z417</f>
        <v/>
      </c>
      <c r="AB417" s="7">
        <f>(AA417/Y417)*100</f>
        <v/>
      </c>
    </row>
    <row r="418">
      <c r="A418" s="5" t="n">
        <v>441</v>
      </c>
      <c r="B418" s="9" t="n">
        <v>45408</v>
      </c>
      <c r="C418" s="4" t="n">
        <v>40430580.53</v>
      </c>
      <c r="D418" s="4">
        <f>C418/E418</f>
        <v/>
      </c>
      <c r="E418" s="4" t="n">
        <v>83.40000000000001</v>
      </c>
      <c r="F418" s="4">
        <f>D418/100000</f>
        <v/>
      </c>
      <c r="G418" s="7">
        <f>(F418/DataSheet!$C$11*100)</f>
        <v/>
      </c>
      <c r="H418" s="4">
        <f>K418/I418</f>
        <v/>
      </c>
      <c r="I418" s="4">
        <f>(J418/L418)*100</f>
        <v/>
      </c>
      <c r="J418" s="7">
        <f>L418/O418</f>
        <v/>
      </c>
      <c r="K418" s="4" t="n">
        <v>7.19</v>
      </c>
      <c r="L418" s="4" t="n">
        <v>22419.95</v>
      </c>
      <c r="M418" s="4" t="n">
        <v>3.93</v>
      </c>
      <c r="N418" s="4">
        <f>K418-I418</f>
        <v/>
      </c>
      <c r="O418" s="4" t="n">
        <v>22</v>
      </c>
      <c r="P418" s="4" t="n">
        <v>4.66</v>
      </c>
      <c r="Q418" s="7">
        <f>K418-P418</f>
        <v/>
      </c>
      <c r="R418" s="4" t="n">
        <v>105.8</v>
      </c>
      <c r="S418" s="4">
        <f>(O418*T418)</f>
        <v/>
      </c>
      <c r="T418" s="12" t="n">
        <v>6.96</v>
      </c>
      <c r="U418" s="4" t="n">
        <v>18782.5</v>
      </c>
      <c r="V418" s="4" t="n">
        <v>35.45</v>
      </c>
      <c r="W418" s="7">
        <f>U418/V418</f>
        <v/>
      </c>
      <c r="X418" s="7">
        <f>(W418/U418)*100</f>
        <v/>
      </c>
      <c r="Y418" s="7" t="n">
        <v>15814.5</v>
      </c>
      <c r="Z418" s="7" t="n">
        <v>29.18</v>
      </c>
      <c r="AA418" s="7">
        <f>Y418/Z418</f>
        <v/>
      </c>
      <c r="AB418" s="7">
        <f>(AA418/Y418)*100</f>
        <v/>
      </c>
    </row>
    <row r="419">
      <c r="A419" s="5" t="n">
        <v>444</v>
      </c>
      <c r="B419" s="8" t="n">
        <v>45411</v>
      </c>
      <c r="C419" s="5" t="n">
        <v>40667264.94</v>
      </c>
      <c r="D419" s="4">
        <f>C419/E419</f>
        <v/>
      </c>
      <c r="E419" s="4" t="n">
        <v>83.41</v>
      </c>
      <c r="F419" s="4">
        <f>D419/100000</f>
        <v/>
      </c>
      <c r="G419" s="7">
        <f>(F419/DataSheet!$C$11*100)</f>
        <v/>
      </c>
      <c r="H419" s="4">
        <f>K419/I419</f>
        <v/>
      </c>
      <c r="I419" s="4">
        <f>(J419/L419)*100</f>
        <v/>
      </c>
      <c r="J419" s="7">
        <f>L419/O419</f>
        <v/>
      </c>
      <c r="K419" s="4" t="n">
        <v>7.19</v>
      </c>
      <c r="L419" s="4" t="n">
        <v>22643.4</v>
      </c>
      <c r="M419" s="4" t="n">
        <v>3.97</v>
      </c>
      <c r="N419" s="4">
        <f>K419-I419</f>
        <v/>
      </c>
      <c r="O419" s="4" t="n">
        <v>22.2</v>
      </c>
      <c r="P419" s="4" t="n">
        <v>4.61</v>
      </c>
      <c r="Q419" s="7">
        <f>K419-P419</f>
        <v/>
      </c>
      <c r="R419" s="4" t="n">
        <v>105.44</v>
      </c>
      <c r="S419" s="4">
        <f>(O419*T419)</f>
        <v/>
      </c>
      <c r="T419" s="12" t="n">
        <v>7</v>
      </c>
      <c r="U419" s="4" t="n">
        <v>18847</v>
      </c>
      <c r="V419" s="4" t="n">
        <v>35.48</v>
      </c>
      <c r="W419" s="7">
        <f>U419/V419</f>
        <v/>
      </c>
      <c r="X419" s="7">
        <f>(W419/U419)*100</f>
        <v/>
      </c>
      <c r="Y419" s="7" t="n">
        <v>15824.55</v>
      </c>
      <c r="Z419" s="7" t="n">
        <v>29.1</v>
      </c>
      <c r="AA419" s="7">
        <f>Y419/Z419</f>
        <v/>
      </c>
      <c r="AB419" s="7">
        <f>(AA419/Y419)*100</f>
        <v/>
      </c>
    </row>
    <row r="420">
      <c r="A420" s="5" t="n">
        <v>445</v>
      </c>
      <c r="B420" s="9" t="n">
        <v>45412</v>
      </c>
      <c r="C420" s="5" t="n">
        <v>40682160.53</v>
      </c>
      <c r="D420" s="4">
        <f>C420/E420</f>
        <v/>
      </c>
      <c r="E420" s="4" t="n">
        <v>83.45</v>
      </c>
      <c r="F420" s="4">
        <f>D420/100000</f>
        <v/>
      </c>
      <c r="G420" s="7">
        <f>(F420/DataSheet!$C$11*100)</f>
        <v/>
      </c>
      <c r="H420" s="4">
        <f>K420/I420</f>
        <v/>
      </c>
      <c r="I420" s="4">
        <f>(J420/L420)*100</f>
        <v/>
      </c>
      <c r="J420" s="7">
        <f>L420/O420</f>
        <v/>
      </c>
      <c r="K420" s="4" t="n">
        <v>7.19</v>
      </c>
      <c r="L420" s="4" t="n">
        <v>22604.85</v>
      </c>
      <c r="M420" s="4" t="n">
        <v>3.96</v>
      </c>
      <c r="N420" s="4">
        <f>K420-I420</f>
        <v/>
      </c>
      <c r="O420" s="4" t="n">
        <v>22</v>
      </c>
      <c r="P420" s="4" t="n">
        <v>4.68</v>
      </c>
      <c r="Q420" s="7">
        <f>K420-P420</f>
        <v/>
      </c>
      <c r="R420" s="4" t="n">
        <v>106.1</v>
      </c>
      <c r="S420" s="4">
        <f>(O420*T420)</f>
        <v/>
      </c>
      <c r="T420" s="12" t="n">
        <v>7.01</v>
      </c>
      <c r="U420" s="4" t="n">
        <v>18893</v>
      </c>
      <c r="V420" s="4" t="n">
        <v>35.49</v>
      </c>
      <c r="W420" s="7">
        <f>U420/V420</f>
        <v/>
      </c>
      <c r="X420" s="7">
        <f>(W420/U420)*100</f>
        <v/>
      </c>
      <c r="Y420" s="7" t="n">
        <v>15833.4</v>
      </c>
      <c r="Z420" s="7" t="n">
        <v>28.98</v>
      </c>
      <c r="AA420" s="7">
        <f>Y420/Z420</f>
        <v/>
      </c>
      <c r="AB420" s="7">
        <f>(AA420/Y420)*100</f>
        <v/>
      </c>
    </row>
    <row r="421">
      <c r="A421" s="5" t="n">
        <v>447</v>
      </c>
      <c r="B421" s="9" t="n">
        <v>45414</v>
      </c>
      <c r="C421" s="5" t="n">
        <v>40873843.69</v>
      </c>
      <c r="D421" s="4">
        <f>C421/E421</f>
        <v/>
      </c>
      <c r="E421" s="4" t="n">
        <v>83.43000000000001</v>
      </c>
      <c r="F421" s="4">
        <f>D421/100000</f>
        <v/>
      </c>
      <c r="G421" s="7">
        <f>(F421/DataSheet!$C$11*100)</f>
        <v/>
      </c>
      <c r="H421" s="4">
        <f>K421/I421</f>
        <v/>
      </c>
      <c r="I421" s="4">
        <f>(J421/L421)*100</f>
        <v/>
      </c>
      <c r="J421" s="7">
        <f>L421/O421</f>
        <v/>
      </c>
      <c r="K421" s="4" t="n">
        <v>7.16</v>
      </c>
      <c r="L421" s="4" t="n">
        <v>22648.2</v>
      </c>
      <c r="M421" s="4" t="n">
        <v>3.97</v>
      </c>
      <c r="N421" s="4">
        <f>K421-I421</f>
        <v/>
      </c>
      <c r="O421" s="4" t="n">
        <v>22.03</v>
      </c>
      <c r="P421" s="4" t="n">
        <v>4.58</v>
      </c>
      <c r="Q421" s="7">
        <f>K421-P421</f>
        <v/>
      </c>
      <c r="R421" s="4" t="n">
        <v>105.17</v>
      </c>
      <c r="S421" s="4">
        <f>(O421*T421)</f>
        <v/>
      </c>
      <c r="T421" s="12" t="n">
        <v>7.01</v>
      </c>
      <c r="U421" s="4" t="n">
        <v>18975.25</v>
      </c>
      <c r="V421" s="4" t="n">
        <v>35.95</v>
      </c>
      <c r="W421" s="7">
        <f>U421/V421</f>
        <v/>
      </c>
      <c r="X421" s="7">
        <f>(W421/U421)*100</f>
        <v/>
      </c>
      <c r="Y421" s="7" t="n">
        <v>15848.4</v>
      </c>
      <c r="Z421" s="7" t="n">
        <v>28.87</v>
      </c>
      <c r="AA421" s="7">
        <f>Y421/Z421</f>
        <v/>
      </c>
      <c r="AB421" s="7">
        <f>(AA421/Y421)*100</f>
        <v/>
      </c>
    </row>
    <row r="422">
      <c r="A422" s="5" t="n">
        <v>448</v>
      </c>
      <c r="B422" s="8" t="n">
        <v>45415</v>
      </c>
      <c r="C422" s="5" t="n">
        <v>40662149.85</v>
      </c>
      <c r="D422" s="4">
        <f>C422/E422</f>
        <v/>
      </c>
      <c r="E422" s="4" t="n">
        <v>83.37</v>
      </c>
      <c r="F422" s="4">
        <f>D422/100000</f>
        <v/>
      </c>
      <c r="G422" s="7">
        <f>(F422/DataSheet!$C$11*100)</f>
        <v/>
      </c>
      <c r="H422" s="4">
        <f>K422/I422</f>
        <v/>
      </c>
      <c r="I422" s="4">
        <f>(J422/L422)*100</f>
        <v/>
      </c>
      <c r="J422" s="7">
        <f>L422/O422</f>
        <v/>
      </c>
      <c r="K422" s="4" t="n">
        <v>7.14</v>
      </c>
      <c r="L422" s="4" t="n">
        <v>22475.85</v>
      </c>
      <c r="M422" s="4" t="n">
        <v>3.94</v>
      </c>
      <c r="N422" s="4">
        <f>K422-I422</f>
        <v/>
      </c>
      <c r="O422" s="4" t="n">
        <v>21.87</v>
      </c>
      <c r="P422" s="4" t="n">
        <v>4.49</v>
      </c>
      <c r="Q422" s="7">
        <f>K422-P422</f>
        <v/>
      </c>
      <c r="R422" s="4" t="n">
        <v>104.91</v>
      </c>
      <c r="S422" s="4">
        <f>(O422*T422)</f>
        <v/>
      </c>
      <c r="T422" s="12" t="n">
        <v>7.03</v>
      </c>
      <c r="U422" s="4" t="n">
        <v>18907.7</v>
      </c>
      <c r="V422" s="4" t="n">
        <v>35.87</v>
      </c>
      <c r="W422" s="7">
        <f>U422/V422</f>
        <v/>
      </c>
      <c r="X422" s="7">
        <f>(W422/U422)*100</f>
        <v/>
      </c>
      <c r="Y422" s="7" t="n">
        <v>15793.3</v>
      </c>
      <c r="Z422" s="7" t="n">
        <v>28.51</v>
      </c>
      <c r="AA422" s="7">
        <f>Y422/Z422</f>
        <v/>
      </c>
      <c r="AB422" s="7">
        <f>(AA422/Y422)*100</f>
        <v/>
      </c>
    </row>
    <row r="423">
      <c r="A423" s="5" t="n">
        <v>451</v>
      </c>
      <c r="B423" s="9" t="n">
        <v>45418</v>
      </c>
      <c r="C423" s="5" t="n">
        <v>40366309.43</v>
      </c>
      <c r="D423" s="4">
        <f>C423/E423</f>
        <v/>
      </c>
      <c r="E423" s="4" t="n">
        <v>83.47</v>
      </c>
      <c r="F423" s="4">
        <f>D423/100000</f>
        <v/>
      </c>
      <c r="G423" s="7">
        <f>(F423/DataSheet!$C$11*100)</f>
        <v/>
      </c>
      <c r="H423" s="4">
        <f>K423/I423</f>
        <v/>
      </c>
      <c r="I423" s="4">
        <f>(J423/L423)*100</f>
        <v/>
      </c>
      <c r="J423" s="7">
        <f>L423/O423</f>
        <v/>
      </c>
      <c r="K423" s="4" t="n">
        <v>7.1</v>
      </c>
      <c r="L423" s="4" t="n">
        <v>22442.7</v>
      </c>
      <c r="M423" s="4" t="n">
        <v>3.94</v>
      </c>
      <c r="N423" s="4">
        <f>K423-I423</f>
        <v/>
      </c>
      <c r="O423" s="4" t="n">
        <v>21.77</v>
      </c>
      <c r="P423" s="4" t="n">
        <v>4.48</v>
      </c>
      <c r="Q423" s="7">
        <f>K423-P423</f>
        <v/>
      </c>
      <c r="R423" s="4" t="n">
        <v>104.91</v>
      </c>
      <c r="S423" s="4">
        <f>(O423*T423)</f>
        <v/>
      </c>
      <c r="T423" s="12" t="n">
        <v>6.96</v>
      </c>
      <c r="U423" s="4" t="n">
        <v>18821.3</v>
      </c>
      <c r="V423" s="4" t="n">
        <v>35.64</v>
      </c>
      <c r="W423" s="7">
        <f>U423/V423</f>
        <v/>
      </c>
      <c r="X423" s="7">
        <f>(W423/U423)*100</f>
        <v/>
      </c>
      <c r="Y423" s="7" t="n">
        <v>15617.15</v>
      </c>
      <c r="Z423" s="7" t="n">
        <v>28.2</v>
      </c>
      <c r="AA423" s="7">
        <f>Y423/Z423</f>
        <v/>
      </c>
      <c r="AB423" s="7">
        <f>(AA423/Y423)*100</f>
        <v/>
      </c>
    </row>
    <row r="424">
      <c r="A424" s="5" t="n">
        <v>452</v>
      </c>
      <c r="B424" s="8" t="n">
        <v>45419</v>
      </c>
      <c r="C424" s="5" t="n">
        <v>39879565.52</v>
      </c>
      <c r="D424" s="4">
        <f>C424/E424</f>
        <v/>
      </c>
      <c r="E424" s="4" t="n">
        <v>83.45</v>
      </c>
      <c r="F424" s="4">
        <f>D424/100000</f>
        <v/>
      </c>
      <c r="G424" s="7">
        <f>(F424/DataSheet!$C$11*100)</f>
        <v/>
      </c>
      <c r="H424" s="4">
        <f>K424/I424</f>
        <v/>
      </c>
      <c r="I424" s="4">
        <f>(J424/L424)*100</f>
        <v/>
      </c>
      <c r="J424" s="7">
        <f>L424/O424</f>
        <v/>
      </c>
      <c r="K424" s="4" t="n">
        <v>7.12</v>
      </c>
      <c r="L424" s="4" t="n">
        <v>22302.5</v>
      </c>
      <c r="M424" s="4" t="n">
        <v>3.91</v>
      </c>
      <c r="N424" s="4">
        <f>K424-I424</f>
        <v/>
      </c>
      <c r="O424" s="4" t="n">
        <v>21.61</v>
      </c>
      <c r="P424" s="4" t="n">
        <v>4.46</v>
      </c>
      <c r="Q424" s="7">
        <f>K424-P424</f>
        <v/>
      </c>
      <c r="R424" s="4" t="n">
        <v>105.3</v>
      </c>
      <c r="S424" s="4">
        <f>(O424*T424)</f>
        <v/>
      </c>
      <c r="T424" s="12" t="n">
        <v>6.97</v>
      </c>
      <c r="U424" s="4" t="n">
        <v>18471.85</v>
      </c>
      <c r="V424" s="4" t="n">
        <v>34.93</v>
      </c>
      <c r="W424" s="7">
        <f>U424/V424</f>
        <v/>
      </c>
      <c r="X424" s="7">
        <f>(W424/U424)*100</f>
        <v/>
      </c>
      <c r="Y424" s="7" t="n">
        <v>15339.25</v>
      </c>
      <c r="Z424" s="7" t="n">
        <v>27.61</v>
      </c>
      <c r="AA424" s="7">
        <f>Y424/Z424</f>
        <v/>
      </c>
      <c r="AB424" s="7">
        <f>(AA424/Y424)*100</f>
        <v/>
      </c>
    </row>
    <row r="425">
      <c r="A425" s="5" t="n">
        <v>453</v>
      </c>
      <c r="B425" s="9" t="n">
        <v>45420</v>
      </c>
      <c r="C425" s="5" t="n">
        <v>40097894.26</v>
      </c>
      <c r="D425" s="4">
        <f>C425/E425</f>
        <v/>
      </c>
      <c r="E425" s="4" t="n">
        <v>83.45999999999999</v>
      </c>
      <c r="F425" s="4">
        <f>D425/100000</f>
        <v/>
      </c>
      <c r="G425" s="7">
        <f>(F425/DataSheet!$C$11*100)</f>
        <v/>
      </c>
      <c r="H425" s="4">
        <f>K425/I425</f>
        <v/>
      </c>
      <c r="I425" s="4">
        <f>(J425/L425)*100</f>
        <v/>
      </c>
      <c r="J425" s="7">
        <f>L425/O425</f>
        <v/>
      </c>
      <c r="K425" s="4" t="n">
        <v>7.13</v>
      </c>
      <c r="L425" s="4" t="n">
        <v>22302.5</v>
      </c>
      <c r="M425" s="4" t="n">
        <v>3.91</v>
      </c>
      <c r="N425" s="4">
        <f>K425-I425</f>
        <v/>
      </c>
      <c r="O425" s="4" t="n">
        <v>21.61</v>
      </c>
      <c r="P425" s="4" t="n">
        <v>4.5</v>
      </c>
      <c r="Q425" s="7">
        <f>K425-P425</f>
        <v/>
      </c>
      <c r="R425" s="4" t="n">
        <v>105.42</v>
      </c>
      <c r="S425" s="4">
        <f>(O425*T425)</f>
        <v/>
      </c>
      <c r="T425" s="12" t="n">
        <v>7</v>
      </c>
      <c r="U425" s="4" t="n">
        <v>18568.7</v>
      </c>
      <c r="V425" s="4" t="n">
        <v>35.07</v>
      </c>
      <c r="W425" s="7">
        <f>U425/V425</f>
        <v/>
      </c>
      <c r="X425" s="7">
        <f>(W425/U425)*100</f>
        <v/>
      </c>
      <c r="Y425" s="7" t="n">
        <v>15414.9</v>
      </c>
      <c r="Z425" s="7" t="n">
        <v>27.76</v>
      </c>
      <c r="AA425" s="7">
        <f>Y425/Z425</f>
        <v/>
      </c>
      <c r="AB425" s="7">
        <f>(AA425/Y425)*100</f>
        <v/>
      </c>
    </row>
    <row r="426">
      <c r="A426" s="5" t="n">
        <v>454</v>
      </c>
      <c r="B426" s="9" t="n">
        <v>45421</v>
      </c>
      <c r="C426" s="4" t="n">
        <v>39363100.48</v>
      </c>
      <c r="D426" s="4">
        <f>C426/E426</f>
        <v/>
      </c>
      <c r="E426" s="4" t="n">
        <v>83.44</v>
      </c>
      <c r="F426" s="4">
        <f>D426/100000</f>
        <v/>
      </c>
      <c r="G426" s="7">
        <f>(F426/DataSheet!$C$11*100)</f>
        <v/>
      </c>
      <c r="H426" s="4">
        <f>K426/I426</f>
        <v/>
      </c>
      <c r="I426" s="4">
        <f>(J426/L426)*100</f>
        <v/>
      </c>
      <c r="J426" s="7">
        <f>L426/O426</f>
        <v/>
      </c>
      <c r="K426" s="4" t="n">
        <v>7.13</v>
      </c>
      <c r="L426" s="4" t="n">
        <v>21957.5</v>
      </c>
      <c r="M426" s="4" t="n">
        <v>3.85</v>
      </c>
      <c r="N426" s="4">
        <f>K426-I426</f>
        <v/>
      </c>
      <c r="O426" s="4" t="n">
        <v>21.26</v>
      </c>
      <c r="P426" s="4" t="n">
        <v>4.45</v>
      </c>
      <c r="Q426" s="7">
        <f>K426-P426</f>
        <v/>
      </c>
      <c r="R426" s="4" t="n">
        <v>105.1</v>
      </c>
      <c r="S426" s="4">
        <f>(O426*T426)</f>
        <v/>
      </c>
      <c r="T426" s="12" t="n">
        <v>7.02</v>
      </c>
      <c r="U426" s="4" t="n">
        <v>18245.35</v>
      </c>
      <c r="V426" s="4" t="n">
        <v>34.46</v>
      </c>
      <c r="W426" s="7">
        <f>U426/V426</f>
        <v/>
      </c>
      <c r="X426" s="7">
        <f>(W426/U426)*100</f>
        <v/>
      </c>
      <c r="Y426" s="7" t="n">
        <v>15006.35</v>
      </c>
      <c r="Z426" s="7" t="n">
        <v>26.82</v>
      </c>
      <c r="AA426" s="7">
        <f>Y426/Z426</f>
        <v/>
      </c>
      <c r="AB426" s="7">
        <f>(AA426/Y426)*100</f>
        <v/>
      </c>
    </row>
    <row r="427">
      <c r="A427" s="5" t="n">
        <v>455</v>
      </c>
      <c r="B427" s="9" t="n">
        <v>45422</v>
      </c>
      <c r="C427" s="4" t="n">
        <v>39666011.9</v>
      </c>
      <c r="D427" s="4">
        <f>C427/E427</f>
        <v/>
      </c>
      <c r="E427" s="4" t="n">
        <v>83.54000000000001</v>
      </c>
      <c r="F427" s="4">
        <f>D427/100000</f>
        <v/>
      </c>
      <c r="G427" s="7">
        <f>(F427/DataSheet!$C$11*100)</f>
        <v/>
      </c>
      <c r="H427" s="4">
        <f>K427/I427</f>
        <v/>
      </c>
      <c r="I427" s="4">
        <f>(J427/L427)*100</f>
        <v/>
      </c>
      <c r="J427" s="7">
        <f>L427/O427</f>
        <v/>
      </c>
      <c r="K427" s="4" t="n">
        <v>7.12</v>
      </c>
      <c r="L427" s="4" t="n">
        <v>22055.2</v>
      </c>
      <c r="M427" s="4" t="n">
        <v>3.87</v>
      </c>
      <c r="N427" s="4">
        <f>K427-I427</f>
        <v/>
      </c>
      <c r="O427" s="4" t="n">
        <v>21.33</v>
      </c>
      <c r="P427" s="4" t="n">
        <v>4.5</v>
      </c>
      <c r="Q427" s="7">
        <f>K427-P427</f>
        <v/>
      </c>
      <c r="R427" s="4" t="n">
        <v>105.17</v>
      </c>
      <c r="S427" s="4">
        <f>(O427*T427)</f>
        <v/>
      </c>
      <c r="T427" s="12" t="n">
        <v>7.02</v>
      </c>
      <c r="U427" s="4" t="n">
        <v>18423.3</v>
      </c>
      <c r="V427" s="4" t="n">
        <v>34.67</v>
      </c>
      <c r="W427" s="7">
        <f>U427/V427</f>
        <v/>
      </c>
      <c r="X427" s="7">
        <f>(W427/U427)*100</f>
        <v/>
      </c>
      <c r="Y427" s="7" t="n">
        <v>15104.9</v>
      </c>
      <c r="Z427" s="7" t="n">
        <v>26.96</v>
      </c>
      <c r="AA427" s="7">
        <f>Y427/Z427</f>
        <v/>
      </c>
      <c r="AB427" s="7">
        <f>(AA427/Y427)*100</f>
        <v/>
      </c>
    </row>
    <row r="428">
      <c r="A428" s="5" t="n">
        <v>458</v>
      </c>
      <c r="B428" s="9" t="n">
        <v>45425</v>
      </c>
      <c r="C428" s="4" t="n">
        <v>39743403.98</v>
      </c>
      <c r="D428" s="4">
        <f>C428/E428</f>
        <v/>
      </c>
      <c r="E428" s="4" t="n">
        <v>83.45999999999999</v>
      </c>
      <c r="F428" s="4">
        <f>D428/100000</f>
        <v/>
      </c>
      <c r="G428" s="7">
        <f>(F428/DataSheet!$C$11*100)</f>
        <v/>
      </c>
      <c r="H428" s="4">
        <f>K428/I428</f>
        <v/>
      </c>
      <c r="I428" s="4">
        <f>(J428/L428)*100</f>
        <v/>
      </c>
      <c r="J428" s="7">
        <f>L428/O428</f>
        <v/>
      </c>
      <c r="K428" s="4" t="n">
        <v>7.11</v>
      </c>
      <c r="L428" s="4" t="n">
        <v>22104.05</v>
      </c>
      <c r="M428" s="4" t="n">
        <v>3.88</v>
      </c>
      <c r="N428" s="4">
        <f>K428-I428</f>
        <v/>
      </c>
      <c r="O428" s="4" t="n">
        <v>21.35</v>
      </c>
      <c r="P428" s="4" t="n">
        <v>4.49</v>
      </c>
      <c r="Q428" s="7">
        <f>K428-P428</f>
        <v/>
      </c>
      <c r="R428" s="4" t="n">
        <v>105.1</v>
      </c>
      <c r="S428" s="4">
        <f>(O428*T428)</f>
        <v/>
      </c>
      <c r="T428" s="12" t="n">
        <v>7.03</v>
      </c>
      <c r="U428" s="4" t="n">
        <v>18516.75</v>
      </c>
      <c r="V428" s="4" t="n">
        <v>35.01</v>
      </c>
      <c r="W428" s="7">
        <f>U428/V428</f>
        <v/>
      </c>
      <c r="X428" s="7">
        <f>(W428/U428)*100</f>
        <v/>
      </c>
      <c r="Y428" s="7" t="n">
        <v>15050.75</v>
      </c>
      <c r="Z428" s="7" t="n">
        <v>26.87</v>
      </c>
      <c r="AA428" s="7">
        <f>Y428/Z428</f>
        <v/>
      </c>
      <c r="AB428" s="7">
        <f>(AA428/Y428)*100</f>
        <v/>
      </c>
    </row>
    <row r="429">
      <c r="A429" s="5" t="n">
        <v>459</v>
      </c>
      <c r="B429" s="9" t="n">
        <v>45426</v>
      </c>
      <c r="C429" s="4" t="n">
        <v>40199785.69</v>
      </c>
      <c r="D429" s="4">
        <f>C429/E429</f>
        <v/>
      </c>
      <c r="E429" s="4" t="n">
        <v>83.48</v>
      </c>
      <c r="F429" s="4">
        <f>D429/100000</f>
        <v/>
      </c>
      <c r="G429" s="7">
        <f>(F429/DataSheet!$C$11*100)</f>
        <v/>
      </c>
      <c r="H429" s="4">
        <f>K429/I429</f>
        <v/>
      </c>
      <c r="I429" s="4">
        <f>(J429/L429)*100</f>
        <v/>
      </c>
      <c r="J429" s="7">
        <f>L429/O429</f>
        <v/>
      </c>
      <c r="K429" s="4" t="n">
        <v>7.1</v>
      </c>
      <c r="L429" s="4" t="n">
        <v>22217.85</v>
      </c>
      <c r="M429" s="4" t="n">
        <v>3.9</v>
      </c>
      <c r="N429" s="4">
        <f>K429-I429</f>
        <v/>
      </c>
      <c r="O429" s="4" t="n">
        <v>21.19</v>
      </c>
      <c r="P429" s="4" t="n">
        <v>4.44</v>
      </c>
      <c r="Q429" s="7">
        <f>K429-P429</f>
        <v/>
      </c>
      <c r="R429" s="4" t="n">
        <v>104.89</v>
      </c>
      <c r="S429" s="4">
        <f>(O429*T429)</f>
        <v/>
      </c>
      <c r="T429" s="12" t="n">
        <v>7.02</v>
      </c>
      <c r="U429" s="4" t="n">
        <v>18690.1</v>
      </c>
      <c r="V429" s="4" t="n">
        <v>35.23</v>
      </c>
      <c r="W429" s="7">
        <f>U429/V429</f>
        <v/>
      </c>
      <c r="X429" s="7">
        <f>(W429/U429)*100</f>
        <v/>
      </c>
      <c r="Y429" s="7" t="n">
        <v>15315.45</v>
      </c>
      <c r="Z429" s="7" t="n">
        <v>27.25</v>
      </c>
      <c r="AA429" s="7">
        <f>Y429/Z429</f>
        <v/>
      </c>
      <c r="AB429" s="7">
        <f>(AA429/Y429)*100</f>
        <v/>
      </c>
    </row>
    <row r="430">
      <c r="A430" s="5" t="n">
        <v>460</v>
      </c>
      <c r="B430" s="8" t="n">
        <v>45427</v>
      </c>
      <c r="C430" s="4" t="n">
        <v>40436646.87</v>
      </c>
      <c r="D430" s="4">
        <f>C430/E430</f>
        <v/>
      </c>
      <c r="E430" s="4" t="n">
        <v>83.41</v>
      </c>
      <c r="F430" s="4">
        <f>D430/100000</f>
        <v/>
      </c>
      <c r="G430" s="7">
        <f>(F430/DataSheet!$C$11*100)</f>
        <v/>
      </c>
      <c r="H430" s="4">
        <f>K430/I430</f>
        <v/>
      </c>
      <c r="I430" s="4">
        <f>(J430/L430)*100</f>
        <v/>
      </c>
      <c r="J430" s="7">
        <f>L430/O430</f>
        <v/>
      </c>
      <c r="K430" s="4" t="n">
        <v>7.08</v>
      </c>
      <c r="L430" s="4" t="n">
        <v>22200.55</v>
      </c>
      <c r="M430" s="4" t="n">
        <v>3.89</v>
      </c>
      <c r="N430" s="4">
        <f>K430-I430</f>
        <v/>
      </c>
      <c r="O430" s="4" t="n">
        <v>21.17</v>
      </c>
      <c r="P430" s="4" t="n">
        <v>4.34</v>
      </c>
      <c r="Q430" s="7">
        <f>K430-P430</f>
        <v/>
      </c>
      <c r="R430" s="4" t="n">
        <v>104.21</v>
      </c>
      <c r="S430" s="4">
        <f>(O430*T430)</f>
        <v/>
      </c>
      <c r="T430" s="12" t="n">
        <v>7.02</v>
      </c>
      <c r="U430" s="4" t="n">
        <v>18865.2</v>
      </c>
      <c r="V430" s="4" t="n">
        <v>35.84</v>
      </c>
      <c r="W430" s="7">
        <f>U430/V430</f>
        <v/>
      </c>
      <c r="X430" s="7">
        <f>(W430/U430)*100</f>
        <v/>
      </c>
      <c r="Y430" s="7" t="n">
        <v>15431.2</v>
      </c>
      <c r="Z430" s="7" t="n">
        <v>27.4</v>
      </c>
      <c r="AA430" s="7">
        <f>Y430/Z430</f>
        <v/>
      </c>
      <c r="AB430" s="7">
        <f>(AA430/Y430)*100</f>
        <v/>
      </c>
    </row>
    <row r="431">
      <c r="A431" s="5" t="n">
        <v>461</v>
      </c>
      <c r="B431" s="9" t="n">
        <v>45428</v>
      </c>
      <c r="C431" s="4" t="n">
        <v>40749121.16</v>
      </c>
      <c r="D431" s="4">
        <f>C431/E431</f>
        <v/>
      </c>
      <c r="E431" s="4" t="n">
        <v>83.45</v>
      </c>
      <c r="F431" s="4">
        <f>D431/100000</f>
        <v/>
      </c>
      <c r="G431" s="7">
        <f>(F431/DataSheet!$C$11*100)</f>
        <v/>
      </c>
      <c r="H431" s="4">
        <f>K431/I431</f>
        <v/>
      </c>
      <c r="I431" s="4">
        <f>(J431/L431)*100</f>
        <v/>
      </c>
      <c r="J431" s="7">
        <f>L431/O431</f>
        <v/>
      </c>
      <c r="K431" s="4" t="n">
        <v>7.07</v>
      </c>
      <c r="L431" s="4" t="n">
        <v>22403.85</v>
      </c>
      <c r="M431" s="4" t="n">
        <v>3.93</v>
      </c>
      <c r="N431" s="4">
        <f>K431-I431</f>
        <v/>
      </c>
      <c r="O431" s="4" t="n">
        <v>21.41</v>
      </c>
      <c r="P431" s="4" t="n">
        <v>4.37</v>
      </c>
      <c r="Q431" s="7">
        <f>K431-P431</f>
        <v/>
      </c>
      <c r="R431" s="4" t="n">
        <v>104.34</v>
      </c>
      <c r="S431" s="4">
        <f>(O431*T431)</f>
        <v/>
      </c>
      <c r="T431" s="12" t="n">
        <v>7.03</v>
      </c>
      <c r="U431" s="4" t="n">
        <v>19048.8</v>
      </c>
      <c r="V431" s="4" t="n">
        <v>36.18</v>
      </c>
      <c r="W431" s="7">
        <f>U431/V431</f>
        <v/>
      </c>
      <c r="X431" s="7">
        <f>(W431/U431)*100</f>
        <v/>
      </c>
      <c r="Y431" s="7" t="n">
        <v>15545.75</v>
      </c>
      <c r="Z431" s="7" t="n">
        <v>27.31</v>
      </c>
      <c r="AA431" s="7">
        <f>Y431/Z431</f>
        <v/>
      </c>
      <c r="AB431" s="7">
        <f>(AA431/Y431)*100</f>
        <v/>
      </c>
    </row>
    <row r="432">
      <c r="A432" s="5" t="n">
        <v>462</v>
      </c>
      <c r="B432" s="9" t="n">
        <v>45429</v>
      </c>
      <c r="C432" s="4" t="n">
        <v>41039455.76</v>
      </c>
      <c r="D432" s="4">
        <f>C432/E432</f>
        <v/>
      </c>
      <c r="E432" s="4" t="n">
        <v>83.28</v>
      </c>
      <c r="F432" s="4">
        <f>D432/100000</f>
        <v/>
      </c>
      <c r="G432" s="7">
        <f>(F432/DataSheet!$C$11*100)</f>
        <v/>
      </c>
      <c r="H432" s="4">
        <f>K432/I432</f>
        <v/>
      </c>
      <c r="I432" s="4">
        <f>(J432/L432)*100</f>
        <v/>
      </c>
      <c r="J432" s="7">
        <f>L432/O432</f>
        <v/>
      </c>
      <c r="K432" s="4" t="n">
        <v>7.09</v>
      </c>
      <c r="L432" s="4" t="n">
        <v>22466.1</v>
      </c>
      <c r="M432" s="4" t="n">
        <v>3.94</v>
      </c>
      <c r="N432" s="4">
        <f>K432-I432</f>
        <v/>
      </c>
      <c r="O432" s="4" t="n">
        <v>21.47</v>
      </c>
      <c r="P432" s="4" t="n">
        <v>4.42</v>
      </c>
      <c r="Q432" s="7">
        <f>K432-P432</f>
        <v/>
      </c>
      <c r="R432" s="4" t="n">
        <v>104.33</v>
      </c>
      <c r="S432" s="4">
        <f>(O432*T432)</f>
        <v/>
      </c>
      <c r="T432" s="12" t="n">
        <v>6.99</v>
      </c>
      <c r="U432" s="4" t="n">
        <v>19249.2</v>
      </c>
      <c r="V432" s="4" t="n">
        <v>36.61</v>
      </c>
      <c r="W432" s="7">
        <f>U432/V432</f>
        <v/>
      </c>
      <c r="X432" s="7">
        <f>(W432/U432)*100</f>
        <v/>
      </c>
      <c r="Y432" s="7" t="n">
        <v>15792.9</v>
      </c>
      <c r="Z432" s="7" t="n">
        <v>27.79</v>
      </c>
      <c r="AA432" s="7">
        <f>Y432/Z432</f>
        <v/>
      </c>
      <c r="AB432" s="7">
        <f>(AA432/Y432)*100</f>
        <v/>
      </c>
    </row>
    <row r="433">
      <c r="A433" s="5" t="n">
        <v>463</v>
      </c>
      <c r="B433" s="9" t="n">
        <v>45430</v>
      </c>
      <c r="C433" s="4" t="n">
        <v>41255336.84</v>
      </c>
      <c r="D433" s="4">
        <f>C433/E433</f>
        <v/>
      </c>
      <c r="E433" s="4" t="n">
        <v>83.28</v>
      </c>
      <c r="F433" s="4">
        <f>D433/100000</f>
        <v/>
      </c>
      <c r="G433" s="7">
        <f>(F433/DataSheet!$C$11*100)</f>
        <v/>
      </c>
      <c r="H433" s="4">
        <f>K433/I433</f>
        <v/>
      </c>
      <c r="I433" s="4">
        <f>(J433/L433)*100</f>
        <v/>
      </c>
      <c r="J433" s="7">
        <f>L433/O433</f>
        <v/>
      </c>
      <c r="K433" s="4" t="n">
        <v>7.07</v>
      </c>
      <c r="L433" s="4" t="n">
        <v>22502</v>
      </c>
      <c r="M433" s="4" t="n">
        <v>3.95</v>
      </c>
      <c r="N433" s="4">
        <f>K433-I433</f>
        <v/>
      </c>
      <c r="O433" s="4" t="n">
        <v>21.5</v>
      </c>
      <c r="P433" s="4" t="n">
        <v>4.42</v>
      </c>
      <c r="Q433" s="7">
        <f>K433-P433</f>
        <v/>
      </c>
      <c r="R433" s="4" t="n">
        <v>104.46</v>
      </c>
      <c r="S433" s="4">
        <f>(O433*T433)</f>
        <v/>
      </c>
      <c r="T433" s="12" t="n">
        <v>6.99</v>
      </c>
      <c r="U433" s="4" t="n">
        <v>19352.6</v>
      </c>
      <c r="V433" s="4" t="n">
        <v>36.8</v>
      </c>
      <c r="W433" s="7">
        <f>U433/V433</f>
        <v/>
      </c>
      <c r="X433" s="7">
        <f>(W433/U433)*100</f>
        <v/>
      </c>
      <c r="Y433" s="7" t="n">
        <v>15935.5</v>
      </c>
      <c r="Z433" s="7" t="n">
        <v>28.04</v>
      </c>
      <c r="AA433" s="7">
        <f>Y433/Z433</f>
        <v/>
      </c>
      <c r="AB433" s="7">
        <f>(AA433/Y433)*100</f>
        <v/>
      </c>
    </row>
    <row r="434">
      <c r="A434" s="5" t="n">
        <v>466</v>
      </c>
      <c r="B434" s="9" t="n">
        <v>45433</v>
      </c>
      <c r="C434" s="4" t="n">
        <v>41472492.49</v>
      </c>
      <c r="D434" s="4">
        <f>C434/E434</f>
        <v/>
      </c>
      <c r="E434" s="4" t="n">
        <v>83.25</v>
      </c>
      <c r="F434" s="4">
        <f>D434/100000</f>
        <v/>
      </c>
      <c r="G434" s="7">
        <f>(F434/DataSheet!$C$11*100)</f>
        <v/>
      </c>
      <c r="H434" s="4">
        <f>K434/I434</f>
        <v/>
      </c>
      <c r="I434" s="4">
        <f>(J434/L434)*100</f>
        <v/>
      </c>
      <c r="J434" s="7">
        <f>L434/O434</f>
        <v/>
      </c>
      <c r="K434" s="4" t="n">
        <v>6.99</v>
      </c>
      <c r="L434" s="4" t="n">
        <v>22529.05</v>
      </c>
      <c r="M434" s="4" t="n">
        <v>3.95</v>
      </c>
      <c r="N434" s="4">
        <f>K434-I434</f>
        <v/>
      </c>
      <c r="O434" s="4" t="n">
        <v>21.52</v>
      </c>
      <c r="P434" s="4" t="n">
        <v>4.41</v>
      </c>
      <c r="Q434" s="7">
        <f>K434-P434</f>
        <v/>
      </c>
      <c r="R434" s="4" t="n">
        <v>104.55</v>
      </c>
      <c r="S434" s="4">
        <f>(O434*T434)</f>
        <v/>
      </c>
      <c r="T434" s="12" t="n">
        <v>6.86</v>
      </c>
      <c r="U434" s="4" t="n">
        <v>19413.2</v>
      </c>
      <c r="V434" s="4" t="n">
        <v>37.04</v>
      </c>
      <c r="W434" s="7">
        <f>U434/V434</f>
        <v/>
      </c>
      <c r="X434" s="7">
        <f>(W434/U434)*100</f>
        <v/>
      </c>
      <c r="Y434" s="7" t="n">
        <v>15867.75</v>
      </c>
      <c r="Z434" s="7" t="n">
        <v>27.92</v>
      </c>
      <c r="AA434" s="7">
        <f>Y434/Z434</f>
        <v/>
      </c>
      <c r="AB434" s="7">
        <f>(AA434/Y434)*100</f>
        <v/>
      </c>
    </row>
    <row r="435">
      <c r="A435" s="5" t="n">
        <v>467</v>
      </c>
      <c r="B435" s="9" t="n">
        <v>45434</v>
      </c>
      <c r="C435" s="4" t="n">
        <v>41612682.8</v>
      </c>
      <c r="D435" s="4">
        <f>C435/E435</f>
        <v/>
      </c>
      <c r="E435" s="4" t="n">
        <v>83.22</v>
      </c>
      <c r="F435" s="4">
        <f>D435/100000</f>
        <v/>
      </c>
      <c r="G435" s="7">
        <f>(F435/DataSheet!$C$11*100)</f>
        <v/>
      </c>
      <c r="H435" s="4">
        <f>K435/I435</f>
        <v/>
      </c>
      <c r="I435" s="4">
        <f>(J435/L435)*100</f>
        <v/>
      </c>
      <c r="J435" s="7">
        <f>L435/O435</f>
        <v/>
      </c>
      <c r="K435" s="4" t="n">
        <v>6.99</v>
      </c>
      <c r="L435" s="4" t="n">
        <v>22597.8</v>
      </c>
      <c r="M435" s="4" t="n">
        <v>3.96</v>
      </c>
      <c r="N435" s="4">
        <f>K435-I435</f>
        <v/>
      </c>
      <c r="O435" s="4" t="n">
        <v>21.55</v>
      </c>
      <c r="P435" s="4" t="n">
        <v>4.42</v>
      </c>
      <c r="Q435" s="7">
        <f>K435-P435</f>
        <v/>
      </c>
      <c r="R435" s="4" t="n">
        <v>104.83</v>
      </c>
      <c r="S435" s="4">
        <f>(O435*T435)</f>
        <v/>
      </c>
      <c r="T435" s="12" t="n">
        <v>6.87</v>
      </c>
      <c r="U435" s="4" t="n">
        <v>19469.35</v>
      </c>
      <c r="V435" s="4" t="n">
        <v>37.21</v>
      </c>
      <c r="W435" s="7">
        <f>U435/V435</f>
        <v/>
      </c>
      <c r="X435" s="7">
        <f>(W435/U435)*100</f>
        <v/>
      </c>
      <c r="Y435" s="7" t="n">
        <v>15847.05</v>
      </c>
      <c r="Z435" s="7" t="n">
        <v>27.92</v>
      </c>
      <c r="AA435" s="7">
        <f>Y435/Z435</f>
        <v/>
      </c>
      <c r="AB435" s="7">
        <f>(AA435/Y435)*100</f>
        <v/>
      </c>
    </row>
    <row r="436">
      <c r="A436" s="5" t="n">
        <v>468</v>
      </c>
      <c r="B436" s="8" t="n">
        <v>45435</v>
      </c>
      <c r="C436" s="4" t="n">
        <v>42034696.43</v>
      </c>
      <c r="D436" s="4">
        <f>C436/E436</f>
        <v/>
      </c>
      <c r="E436" s="4" t="n">
        <v>83.23999999999999</v>
      </c>
      <c r="F436" s="4">
        <f>D436/100000</f>
        <v/>
      </c>
      <c r="G436" s="7">
        <f>(F436/DataSheet!$C$11*100)</f>
        <v/>
      </c>
      <c r="H436" s="4">
        <f>K436/I436</f>
        <v/>
      </c>
      <c r="I436" s="4">
        <f>(J436/L436)*100</f>
        <v/>
      </c>
      <c r="J436" s="7">
        <f>L436/O436</f>
        <v/>
      </c>
      <c r="K436" s="4" t="n">
        <v>6.98</v>
      </c>
      <c r="L436" s="4" t="n">
        <v>22967.65</v>
      </c>
      <c r="M436" s="4" t="n">
        <v>4.03</v>
      </c>
      <c r="N436" s="4">
        <f>K436-I436</f>
        <v/>
      </c>
      <c r="O436" s="4" t="n">
        <v>21.9</v>
      </c>
      <c r="P436" s="4" t="n">
        <v>4.47</v>
      </c>
      <c r="Q436" s="7">
        <f>K436-P436</f>
        <v/>
      </c>
      <c r="R436" s="4" t="n">
        <v>105.03</v>
      </c>
      <c r="S436" s="4">
        <f>(O436*T436)</f>
        <v/>
      </c>
      <c r="T436" s="12" t="n">
        <v>6.87</v>
      </c>
      <c r="U436" s="4" t="n">
        <v>19562.55</v>
      </c>
      <c r="V436" s="4" t="n">
        <v>37.39</v>
      </c>
      <c r="W436" s="7">
        <f>U436/V436</f>
        <v/>
      </c>
      <c r="X436" s="7">
        <f>(W436/U436)*100</f>
        <v/>
      </c>
      <c r="Y436" s="7" t="n">
        <v>15885.85</v>
      </c>
      <c r="Z436" s="7" t="n">
        <v>27.99</v>
      </c>
      <c r="AA436" s="7">
        <f>Y436/Z436</f>
        <v/>
      </c>
      <c r="AB436" s="7">
        <f>(AA436/Y436)*100</f>
        <v/>
      </c>
    </row>
    <row r="437">
      <c r="A437" s="5" t="n">
        <v>469</v>
      </c>
      <c r="B437" s="9" t="n">
        <v>45436</v>
      </c>
      <c r="C437" s="4" t="n">
        <v>42012888.33</v>
      </c>
      <c r="D437" s="4">
        <f>C437/E437</f>
        <v/>
      </c>
      <c r="E437" s="4" t="n">
        <v>83.06</v>
      </c>
      <c r="F437" s="4">
        <f>D437/100000</f>
        <v/>
      </c>
      <c r="G437" s="7">
        <f>(F437/DataSheet!$C$11*100)</f>
        <v/>
      </c>
      <c r="H437" s="4">
        <f>K437/I437</f>
        <v/>
      </c>
      <c r="I437" s="4">
        <f>(J437/L437)*100</f>
        <v/>
      </c>
      <c r="J437" s="7">
        <f>L437/O437</f>
        <v/>
      </c>
      <c r="K437" s="4" t="n">
        <v>6.99</v>
      </c>
      <c r="L437" s="4" t="n">
        <v>22957.1</v>
      </c>
      <c r="M437" s="4" t="n">
        <v>4.03</v>
      </c>
      <c r="N437" s="4">
        <f>K437-I437</f>
        <v/>
      </c>
      <c r="O437" s="4" t="n">
        <v>21.88</v>
      </c>
      <c r="P437" s="4" t="n">
        <v>4.46</v>
      </c>
      <c r="Q437" s="7">
        <f>K437-P437</f>
        <v/>
      </c>
      <c r="R437" s="4" t="n">
        <v>104.63</v>
      </c>
      <c r="S437" s="4">
        <f>(O437*T437)</f>
        <v/>
      </c>
      <c r="T437" s="12" t="n">
        <v>6.88</v>
      </c>
      <c r="U437" s="4" t="n">
        <v>19553.15</v>
      </c>
      <c r="V437" s="4" t="n">
        <v>37.33</v>
      </c>
      <c r="W437" s="7">
        <f>U437/V437</f>
        <v/>
      </c>
      <c r="X437" s="7">
        <f>(W437/U437)*100</f>
        <v/>
      </c>
      <c r="Y437" s="7" t="n">
        <v>15865.65</v>
      </c>
      <c r="Z437" s="7" t="n">
        <v>27.98</v>
      </c>
      <c r="AA437" s="7">
        <f>Y437/Z437</f>
        <v/>
      </c>
      <c r="AB437" s="7">
        <f>(AA437/Y437)*100</f>
        <v/>
      </c>
    </row>
    <row r="438">
      <c r="A438" s="5" t="n">
        <v>472</v>
      </c>
      <c r="B438" s="8" t="n">
        <v>45439</v>
      </c>
      <c r="C438" s="4" t="n">
        <v>41997745.34</v>
      </c>
      <c r="D438" s="4">
        <f>C438/E438</f>
        <v/>
      </c>
      <c r="E438" s="4" t="n">
        <v>83.09999999999999</v>
      </c>
      <c r="F438" s="4">
        <f>D438/100000</f>
        <v/>
      </c>
      <c r="G438" s="7">
        <f>(F438/DataSheet!$C$11*100)</f>
        <v/>
      </c>
      <c r="H438" s="4">
        <f>K438/I438</f>
        <v/>
      </c>
      <c r="I438" s="4">
        <f>(J438/L438)*100</f>
        <v/>
      </c>
      <c r="J438" s="7">
        <f>L438/O438</f>
        <v/>
      </c>
      <c r="K438" s="4" t="n">
        <v>6.98</v>
      </c>
      <c r="L438" s="4" t="n">
        <v>22932.45</v>
      </c>
      <c r="M438" s="4" t="n">
        <v>4.02</v>
      </c>
      <c r="N438" s="4">
        <f>K438-I438</f>
        <v/>
      </c>
      <c r="O438" s="4" t="n">
        <v>21.85</v>
      </c>
      <c r="P438" s="4" t="n">
        <v>4.46</v>
      </c>
      <c r="Q438" s="7">
        <f>K438-P438</f>
        <v/>
      </c>
      <c r="R438" s="4" t="n">
        <v>104.63</v>
      </c>
      <c r="S438" s="4">
        <f>(O438*T438)</f>
        <v/>
      </c>
      <c r="T438" s="12" t="n">
        <v>6.91</v>
      </c>
      <c r="U438" s="4" t="n">
        <v>19625.9</v>
      </c>
      <c r="V438" s="4" t="n">
        <v>37.43</v>
      </c>
      <c r="W438" s="7">
        <f>U438/V438</f>
        <v/>
      </c>
      <c r="X438" s="7">
        <f>(W438/U438)*100</f>
        <v/>
      </c>
      <c r="Y438" s="7" t="n">
        <v>15935.55</v>
      </c>
      <c r="Z438" s="7" t="n">
        <v>28.08</v>
      </c>
      <c r="AA438" s="7">
        <f>Y438/Z438</f>
        <v/>
      </c>
      <c r="AB438" s="7">
        <f>(AA438/Y438)*100</f>
        <v/>
      </c>
    </row>
    <row r="439">
      <c r="A439" s="5" t="n">
        <v>473</v>
      </c>
      <c r="B439" s="9" t="n">
        <v>45440</v>
      </c>
      <c r="C439" s="4" t="n">
        <v>41704680.41</v>
      </c>
      <c r="D439" s="4">
        <f>C439/E439</f>
        <v/>
      </c>
      <c r="E439" s="4" t="n">
        <v>83.16</v>
      </c>
      <c r="F439" s="4">
        <f>D439/100000</f>
        <v/>
      </c>
      <c r="G439" s="7">
        <f>(F439/DataSheet!$C$11*100)</f>
        <v/>
      </c>
      <c r="H439" s="4">
        <f>K439/I439</f>
        <v/>
      </c>
      <c r="I439" s="4">
        <f>(J439/L439)*100</f>
        <v/>
      </c>
      <c r="J439" s="7">
        <f>L439/O439</f>
        <v/>
      </c>
      <c r="K439" s="4" t="n">
        <v>6.99</v>
      </c>
      <c r="L439" s="4" t="n">
        <v>22888.15</v>
      </c>
      <c r="M439" s="4" t="n">
        <v>4.01</v>
      </c>
      <c r="N439" s="4">
        <f>K439-I439</f>
        <v/>
      </c>
      <c r="O439" s="4" t="n">
        <v>21.74</v>
      </c>
      <c r="P439" s="4" t="n">
        <v>4.54</v>
      </c>
      <c r="Q439" s="7">
        <f>K439-P439</f>
        <v/>
      </c>
      <c r="R439" s="4" t="n">
        <v>104.53</v>
      </c>
      <c r="S439" s="4">
        <f>(O439*T439)</f>
        <v/>
      </c>
      <c r="T439" s="12" t="n">
        <v>6.91</v>
      </c>
      <c r="U439" s="4" t="n">
        <v>19474.95</v>
      </c>
      <c r="V439" s="4" t="n">
        <v>37.06</v>
      </c>
      <c r="W439" s="7">
        <f>U439/V439</f>
        <v/>
      </c>
      <c r="X439" s="7">
        <f>(W439/U439)*100</f>
        <v/>
      </c>
      <c r="Y439" s="7" t="n">
        <v>15773.05</v>
      </c>
      <c r="Z439" s="7" t="n">
        <v>28.05</v>
      </c>
      <c r="AA439" s="7">
        <f>Y439/Z439</f>
        <v/>
      </c>
      <c r="AB439" s="7">
        <f>(AA439/Y439)*100</f>
        <v/>
      </c>
    </row>
    <row r="440">
      <c r="A440" s="5" t="n">
        <v>474</v>
      </c>
      <c r="B440" s="9" t="n">
        <v>45441</v>
      </c>
      <c r="C440" s="4" t="n">
        <v>41520721.83</v>
      </c>
      <c r="D440" s="4">
        <f>C440/E440</f>
        <v/>
      </c>
      <c r="E440" s="4" t="n">
        <v>83.34</v>
      </c>
      <c r="F440" s="4">
        <f>D440/100000</f>
        <v/>
      </c>
      <c r="G440" s="7">
        <f>(F440/DataSheet!$C$11*100)</f>
        <v/>
      </c>
      <c r="H440" s="4">
        <f>K440/I440</f>
        <v/>
      </c>
      <c r="I440" s="4">
        <f>(J440/L440)*100</f>
        <v/>
      </c>
      <c r="J440" s="7">
        <f>L440/O440</f>
        <v/>
      </c>
      <c r="K440" s="4" t="n">
        <v>7</v>
      </c>
      <c r="L440" s="4" t="n">
        <v>22704.7</v>
      </c>
      <c r="M440" s="4" t="n">
        <v>3.98</v>
      </c>
      <c r="N440" s="4">
        <f>K440-I440</f>
        <v/>
      </c>
      <c r="O440" s="4" t="n">
        <v>21.57</v>
      </c>
      <c r="P440" s="4" t="n">
        <v>4.61</v>
      </c>
      <c r="Q440" s="7">
        <f>K440-P440</f>
        <v/>
      </c>
      <c r="R440" s="4" t="n">
        <v>105.03</v>
      </c>
      <c r="S440" s="4">
        <f>(O440*T440)</f>
        <v/>
      </c>
      <c r="T440" s="12" t="n">
        <v>6.9</v>
      </c>
      <c r="U440" s="4" t="n">
        <v>19421.2</v>
      </c>
      <c r="V440" s="4" t="n">
        <v>36.95</v>
      </c>
      <c r="W440" s="7">
        <f>U440/V440</f>
        <v/>
      </c>
      <c r="X440" s="7">
        <f>(W440/U440)*100</f>
        <v/>
      </c>
      <c r="Y440" s="7" t="n">
        <v>15786.2</v>
      </c>
      <c r="Z440" s="7" t="n">
        <v>27.96</v>
      </c>
      <c r="AA440" s="7">
        <f>Y440/Z440</f>
        <v/>
      </c>
      <c r="AB440" s="7">
        <f>(AA440/Y440)*100</f>
        <v/>
      </c>
    </row>
    <row r="441">
      <c r="A441" s="5" t="n">
        <v>475</v>
      </c>
      <c r="B441" s="9" t="n">
        <v>45442</v>
      </c>
      <c r="C441" s="4" t="n">
        <v>41044220.46</v>
      </c>
      <c r="D441" s="4">
        <f>C441/E441</f>
        <v/>
      </c>
      <c r="E441" s="4" t="n">
        <v>83.28</v>
      </c>
      <c r="F441" s="4">
        <f>D441/100000</f>
        <v/>
      </c>
      <c r="G441" s="7">
        <f>(F441/DataSheet!$C$11*100)</f>
        <v/>
      </c>
      <c r="H441" s="4">
        <f>K441/I441</f>
        <v/>
      </c>
      <c r="I441" s="4">
        <f>(J441/L441)*100</f>
        <v/>
      </c>
      <c r="J441" s="7">
        <f>L441/O441</f>
        <v/>
      </c>
      <c r="K441" s="4" t="n">
        <v>7</v>
      </c>
      <c r="L441" s="4" t="n">
        <v>22488.65</v>
      </c>
      <c r="M441" s="4" t="n">
        <v>3.94</v>
      </c>
      <c r="N441" s="4">
        <f>K441-I441</f>
        <v/>
      </c>
      <c r="O441" s="4" t="n">
        <v>21.36</v>
      </c>
      <c r="P441" s="4" t="n">
        <v>4.55</v>
      </c>
      <c r="Q441" s="7">
        <f>K441-P441</f>
        <v/>
      </c>
      <c r="R441" s="4" t="n">
        <v>104.65</v>
      </c>
      <c r="S441" s="4">
        <f>(O441*T441)</f>
        <v/>
      </c>
      <c r="T441" s="12" t="n">
        <v>6.88</v>
      </c>
      <c r="U441" s="4" t="n">
        <v>19196.7</v>
      </c>
      <c r="V441" s="4" t="n">
        <v>36.65</v>
      </c>
      <c r="W441" s="7">
        <f>U441/V441</f>
        <v/>
      </c>
      <c r="X441" s="7">
        <f>(W441/U441)*100</f>
        <v/>
      </c>
      <c r="Y441" s="7" t="n">
        <v>15551.95</v>
      </c>
      <c r="Z441" s="7" t="n">
        <v>27.58</v>
      </c>
      <c r="AA441" s="7">
        <f>Y441/Z441</f>
        <v/>
      </c>
      <c r="AB441" s="7">
        <f>(AA441/Y441)*100</f>
        <v/>
      </c>
    </row>
    <row r="442">
      <c r="A442" s="5" t="n">
        <v>476</v>
      </c>
      <c r="B442" s="8" t="n">
        <v>45443</v>
      </c>
      <c r="C442" s="4" t="n">
        <v>41220552.19</v>
      </c>
      <c r="D442" s="4">
        <f>C442/E442</f>
        <v/>
      </c>
      <c r="E442" s="4" t="n">
        <v>83.42</v>
      </c>
      <c r="F442" s="4">
        <f>D442/100000</f>
        <v/>
      </c>
      <c r="G442" s="7">
        <f>(F442/DataSheet!$C$11*100)</f>
        <v/>
      </c>
      <c r="H442" s="4">
        <f>K442/I442</f>
        <v/>
      </c>
      <c r="I442" s="4">
        <f>(J442/L442)*100</f>
        <v/>
      </c>
      <c r="J442" s="7">
        <f>L442/O442</f>
        <v/>
      </c>
      <c r="K442" s="4" t="n">
        <v>6.98</v>
      </c>
      <c r="L442" s="4" t="n">
        <v>22530.7</v>
      </c>
      <c r="M442" s="4" t="n">
        <v>3.95</v>
      </c>
      <c r="N442" s="4">
        <f>K442-I442</f>
        <v/>
      </c>
      <c r="O442" s="4" t="n">
        <v>21.4</v>
      </c>
      <c r="P442" s="4" t="n">
        <v>4.5</v>
      </c>
      <c r="Q442" s="7">
        <f>K442-P442</f>
        <v/>
      </c>
      <c r="R442" s="4" t="n">
        <v>104.62</v>
      </c>
      <c r="S442" s="4">
        <f>(O442*T442)</f>
        <v/>
      </c>
      <c r="T442" s="12" t="n">
        <v>6.89</v>
      </c>
      <c r="U442" s="4" t="n">
        <v>19308.75</v>
      </c>
      <c r="V442" s="4" t="n">
        <v>39.46</v>
      </c>
      <c r="W442" s="7">
        <f>U442/V442</f>
        <v/>
      </c>
      <c r="X442" s="7">
        <f>(W442/U442)*100</f>
        <v/>
      </c>
      <c r="Y442" s="7" t="n">
        <v>15626.65</v>
      </c>
      <c r="Z442" s="7" t="n">
        <v>27.72</v>
      </c>
      <c r="AA442" s="7">
        <f>Y442/Z442</f>
        <v/>
      </c>
      <c r="AB442" s="7">
        <f>(AA442/Y442)*100</f>
        <v/>
      </c>
    </row>
    <row r="443">
      <c r="A443" s="5" t="n">
        <v>479</v>
      </c>
      <c r="B443" s="9" t="n">
        <v>45446</v>
      </c>
      <c r="C443" s="4" t="n">
        <v>42587013.04</v>
      </c>
      <c r="D443" s="4">
        <f>C443/E443</f>
        <v/>
      </c>
      <c r="E443" s="4" t="n">
        <v>83.08</v>
      </c>
      <c r="F443" s="4">
        <f>D443/100000</f>
        <v/>
      </c>
      <c r="G443" s="7">
        <f>(F443/DataSheet!$C$11*100)</f>
        <v/>
      </c>
      <c r="H443" s="4">
        <f>K443/I443</f>
        <v/>
      </c>
      <c r="I443" s="4">
        <f>(J443/L443)*100</f>
        <v/>
      </c>
      <c r="J443" s="7">
        <f>L443/O443</f>
        <v/>
      </c>
      <c r="K443" s="4" t="n">
        <v>6.94</v>
      </c>
      <c r="L443" s="4" t="n">
        <v>23263.9</v>
      </c>
      <c r="M443" s="4" t="n">
        <v>4.08</v>
      </c>
      <c r="N443" s="4">
        <f>K443-I443</f>
        <v/>
      </c>
      <c r="O443" s="4" t="n">
        <v>22.13</v>
      </c>
      <c r="P443" s="4" t="n">
        <v>4.39</v>
      </c>
      <c r="Q443" s="7">
        <f>K443-P443</f>
        <v/>
      </c>
      <c r="R443" s="4" t="n">
        <v>104.07</v>
      </c>
      <c r="S443" s="4">
        <f>(O443*T443)</f>
        <v/>
      </c>
      <c r="T443" s="12" t="n">
        <v>6.89</v>
      </c>
      <c r="U443" s="4" t="n">
        <v>19889.85</v>
      </c>
      <c r="V443" s="4" t="n">
        <v>40.47</v>
      </c>
      <c r="W443" s="7">
        <f>U443/V443</f>
        <v/>
      </c>
      <c r="X443" s="7">
        <f>(W443/U443)*100</f>
        <v/>
      </c>
      <c r="Y443" s="7" t="n">
        <v>15948.75</v>
      </c>
      <c r="Z443" s="7" t="n">
        <v>28.25</v>
      </c>
      <c r="AA443" s="7">
        <f>Y443/Z443</f>
        <v/>
      </c>
      <c r="AB443" s="7">
        <f>(AA443/Y443)*100</f>
        <v/>
      </c>
    </row>
    <row r="444">
      <c r="A444" s="5" t="n">
        <v>480</v>
      </c>
      <c r="B444" s="8" t="n">
        <v>45447</v>
      </c>
      <c r="C444" s="4" t="n">
        <v>39481254.77</v>
      </c>
      <c r="D444" s="4">
        <f>C444/E444</f>
        <v/>
      </c>
      <c r="E444" s="4" t="n">
        <v>83.52</v>
      </c>
      <c r="F444" s="4">
        <f>D444/100000</f>
        <v/>
      </c>
      <c r="G444" s="7">
        <f>(F444/DataSheet!$C$11*100)</f>
        <v/>
      </c>
      <c r="H444" s="4">
        <f>K444/I444</f>
        <v/>
      </c>
      <c r="I444" s="4">
        <f>(J444/L444)*100</f>
        <v/>
      </c>
      <c r="J444" s="7">
        <f>L444/O444</f>
        <v/>
      </c>
      <c r="K444" s="4" t="n">
        <v>7.03</v>
      </c>
      <c r="L444" s="4" t="n">
        <v>21884.5</v>
      </c>
      <c r="M444" s="4" t="n">
        <v>3.84</v>
      </c>
      <c r="N444" s="4">
        <f>K444-I444</f>
        <v/>
      </c>
      <c r="O444" s="4" t="n">
        <v>20.81</v>
      </c>
      <c r="P444" s="4" t="n">
        <v>4.33</v>
      </c>
      <c r="Q444" s="7">
        <f>K444-P444</f>
        <v/>
      </c>
      <c r="R444" s="4" t="n">
        <v>104.05</v>
      </c>
      <c r="S444" s="4">
        <f>(O444*T444)</f>
        <v/>
      </c>
      <c r="T444" s="12" t="n">
        <v>6.89</v>
      </c>
      <c r="U444" s="4" t="n">
        <v>18476.25</v>
      </c>
      <c r="V444" s="4" t="n">
        <v>37.58</v>
      </c>
      <c r="W444" s="7">
        <f>U444/V444</f>
        <v/>
      </c>
      <c r="X444" s="7">
        <f>(W444/U444)*100</f>
        <v/>
      </c>
      <c r="Y444" s="7" t="n">
        <v>14761.1</v>
      </c>
      <c r="Z444" s="7" t="n">
        <v>26.36</v>
      </c>
      <c r="AA444" s="7">
        <f>Y444/Z444</f>
        <v/>
      </c>
      <c r="AB444" s="7">
        <f>(AA444/Y444)*100</f>
        <v/>
      </c>
    </row>
    <row r="445">
      <c r="A445" s="5" t="n">
        <v>481</v>
      </c>
      <c r="B445" s="9" t="n">
        <v>45448</v>
      </c>
      <c r="C445" s="4" t="n">
        <v>40808337.45</v>
      </c>
      <c r="D445" s="4">
        <f>C445/E445</f>
        <v/>
      </c>
      <c r="E445" s="4" t="n">
        <v>83.37</v>
      </c>
      <c r="F445" s="4">
        <f>D445/100000</f>
        <v/>
      </c>
      <c r="G445" s="7">
        <f>(F445/DataSheet!$C$11*100)</f>
        <v/>
      </c>
      <c r="H445" s="4">
        <f>K445/I445</f>
        <v/>
      </c>
      <c r="I445" s="4">
        <f>(J445/L445)*100</f>
        <v/>
      </c>
      <c r="J445" s="7">
        <f>L445/O445</f>
        <v/>
      </c>
      <c r="K445" s="4" t="n">
        <v>7.02</v>
      </c>
      <c r="L445" s="4" t="n">
        <v>22620.35</v>
      </c>
      <c r="M445" s="4" t="n">
        <v>3.97</v>
      </c>
      <c r="N445" s="4">
        <f>K445-I445</f>
        <v/>
      </c>
      <c r="O445" s="4" t="n">
        <v>21.51</v>
      </c>
      <c r="P445" s="4" t="n">
        <v>4.27</v>
      </c>
      <c r="Q445" s="7">
        <f>K445-P445</f>
        <v/>
      </c>
      <c r="R445" s="4" t="n">
        <v>104.22</v>
      </c>
      <c r="S445" s="4">
        <f>(O445*T445)</f>
        <v/>
      </c>
      <c r="T445" s="12" t="n">
        <v>6.87</v>
      </c>
      <c r="U445" s="4" t="n">
        <v>19189.8</v>
      </c>
      <c r="V445" s="4" t="n">
        <v>39.03</v>
      </c>
      <c r="W445" s="7">
        <f>U445/V445</f>
        <v/>
      </c>
      <c r="X445" s="7">
        <f>(W445/U445)*100</f>
        <v/>
      </c>
      <c r="Y445" s="7" t="n">
        <v>15250</v>
      </c>
      <c r="Z445" s="7" t="n">
        <v>27.25</v>
      </c>
      <c r="AA445" s="7">
        <f>Y445/Z445</f>
        <v/>
      </c>
      <c r="AB445" s="7">
        <f>(AA445/Y445)*100</f>
        <v/>
      </c>
    </row>
    <row r="446">
      <c r="A446" s="5" t="n">
        <v>482</v>
      </c>
      <c r="B446" s="9" t="n">
        <v>45449</v>
      </c>
      <c r="C446" s="4" t="n">
        <v>41593792.43</v>
      </c>
      <c r="D446" s="4">
        <f>C446/E446</f>
        <v/>
      </c>
      <c r="E446" s="4" t="n">
        <v>83.45999999999999</v>
      </c>
      <c r="F446" s="4">
        <f>D446/100000</f>
        <v/>
      </c>
      <c r="G446" s="7">
        <f>(F446/DataSheet!$C$11*100)</f>
        <v/>
      </c>
      <c r="H446" s="4">
        <f>K446/I446</f>
        <v/>
      </c>
      <c r="I446" s="4">
        <f>(J446/L446)*100</f>
        <v/>
      </c>
      <c r="J446" s="7">
        <f>L446/O446</f>
        <v/>
      </c>
      <c r="K446" s="4" t="n">
        <v>7.01</v>
      </c>
      <c r="L446" s="4" t="n">
        <v>22821.4</v>
      </c>
      <c r="M446" s="4" t="n">
        <v>4</v>
      </c>
      <c r="N446" s="4">
        <f>K446-I446</f>
        <v/>
      </c>
      <c r="O446" s="4" t="n">
        <v>21.71</v>
      </c>
      <c r="P446" s="4" t="n">
        <v>4.28</v>
      </c>
      <c r="Q446" s="7">
        <f>K446-P446</f>
        <v/>
      </c>
      <c r="R446" s="4" t="n">
        <v>104.05</v>
      </c>
      <c r="S446" s="4">
        <f>(O446*T446)</f>
        <v/>
      </c>
      <c r="T446" s="12" t="n">
        <v>6.88</v>
      </c>
      <c r="U446" s="4" t="n">
        <v>19607.2</v>
      </c>
      <c r="V446" s="4" t="n">
        <v>39.88</v>
      </c>
      <c r="W446" s="7">
        <f>U446/V446</f>
        <v/>
      </c>
      <c r="X446" s="7">
        <f>(W446/U446)*100</f>
        <v/>
      </c>
      <c r="Y446" s="7" t="n">
        <v>15745.9</v>
      </c>
      <c r="Z446" s="7" t="n">
        <v>28.08</v>
      </c>
      <c r="AA446" s="7">
        <f>Y446/Z446</f>
        <v/>
      </c>
      <c r="AB446" s="7">
        <f>(AA446/Y446)*100</f>
        <v/>
      </c>
    </row>
    <row r="447">
      <c r="A447" s="5" t="n">
        <v>483</v>
      </c>
      <c r="B447" s="9" t="n">
        <v>45450</v>
      </c>
      <c r="C447" s="4" t="n">
        <v>42362278.53</v>
      </c>
      <c r="D447" s="4">
        <f>C447/E447</f>
        <v/>
      </c>
      <c r="E447" s="4" t="n">
        <v>83.52</v>
      </c>
      <c r="F447" s="4">
        <f>D447/100000</f>
        <v/>
      </c>
      <c r="G447" s="7">
        <f>(F447/DataSheet!$C$11*100)</f>
        <v/>
      </c>
      <c r="H447" s="4">
        <f>K447/I447</f>
        <v/>
      </c>
      <c r="I447" s="4">
        <f>(J447/L447)*100</f>
        <v/>
      </c>
      <c r="J447" s="7">
        <f>L447/O447</f>
        <v/>
      </c>
      <c r="K447" s="4" t="n">
        <v>7.01</v>
      </c>
      <c r="L447" s="4" t="n">
        <v>23290.15</v>
      </c>
      <c r="M447" s="4" t="n">
        <v>4.08</v>
      </c>
      <c r="N447" s="4">
        <f>K447-I447</f>
        <v/>
      </c>
      <c r="O447" s="4" t="n">
        <v>22.15</v>
      </c>
      <c r="P447" s="4" t="n">
        <v>4.43</v>
      </c>
      <c r="Q447" s="7">
        <f>K447-P447</f>
        <v/>
      </c>
      <c r="R447" s="4" t="n">
        <v>104.85</v>
      </c>
      <c r="S447" s="4">
        <f>(O447*T447)</f>
        <v/>
      </c>
      <c r="T447" s="12" t="n">
        <v>6.88</v>
      </c>
      <c r="U447" s="4" t="n">
        <v>19884.25</v>
      </c>
      <c r="V447" s="4" t="n">
        <v>40.44</v>
      </c>
      <c r="W447" s="7">
        <f>U447/V447</f>
        <v/>
      </c>
      <c r="X447" s="7">
        <f>(W447/U447)*100</f>
        <v/>
      </c>
      <c r="Y447" s="7" t="n">
        <v>16100</v>
      </c>
      <c r="Z447" s="7" t="n">
        <v>28.68</v>
      </c>
      <c r="AA447" s="7">
        <f>Y447/Z447</f>
        <v/>
      </c>
      <c r="AB447" s="7">
        <f>(AA447/Y447)*100</f>
        <v/>
      </c>
    </row>
    <row r="448">
      <c r="A448" s="5" t="n">
        <v>486</v>
      </c>
      <c r="B448" s="9" t="n">
        <v>45453</v>
      </c>
      <c r="C448" s="4" t="n">
        <v>42532403.08</v>
      </c>
      <c r="D448" s="4">
        <f>C448/E448</f>
        <v/>
      </c>
      <c r="E448" s="4" t="n">
        <v>83.5</v>
      </c>
      <c r="F448" s="4">
        <f>D448/100000</f>
        <v/>
      </c>
      <c r="G448" s="7">
        <f>(F448/DataSheet!$C$11*100)</f>
        <v/>
      </c>
      <c r="H448" s="4">
        <f>K448/I448</f>
        <v/>
      </c>
      <c r="I448" s="4">
        <f>(J448/L448)*100</f>
        <v/>
      </c>
      <c r="J448" s="7">
        <f>L448/O448</f>
        <v/>
      </c>
      <c r="K448" s="4" t="n">
        <v>7.03</v>
      </c>
      <c r="L448" s="4" t="n">
        <v>23259.2</v>
      </c>
      <c r="M448" s="4" t="n">
        <v>4.08</v>
      </c>
      <c r="N448" s="4">
        <f>K448-I448</f>
        <v/>
      </c>
      <c r="O448" s="4" t="n">
        <v>22.12</v>
      </c>
      <c r="P448" s="4" t="n">
        <v>4.47</v>
      </c>
      <c r="Q448" s="7">
        <f>K448-P448</f>
        <v/>
      </c>
      <c r="R448" s="4" t="n">
        <v>105.11</v>
      </c>
      <c r="S448" s="4">
        <f>(O448*T448)</f>
        <v/>
      </c>
      <c r="T448" s="12" t="n">
        <v>6.88</v>
      </c>
      <c r="U448" s="4" t="n">
        <v>19956.65</v>
      </c>
      <c r="V448" s="4" t="n">
        <v>40.55</v>
      </c>
      <c r="W448" s="7">
        <f>U448/V448</f>
        <v/>
      </c>
      <c r="X448" s="7">
        <f>(W448/U448)*100</f>
        <v/>
      </c>
      <c r="Y448" s="7" t="n">
        <v>16312.5</v>
      </c>
      <c r="Z448" s="7" t="n">
        <v>29.06</v>
      </c>
      <c r="AA448" s="7">
        <f>Y448/Z448</f>
        <v/>
      </c>
      <c r="AB448" s="7">
        <f>(AA448/Y448)*100</f>
        <v/>
      </c>
    </row>
    <row r="449">
      <c r="A449" s="5" t="n">
        <v>487</v>
      </c>
      <c r="B449" s="9" t="n">
        <v>45454</v>
      </c>
      <c r="C449" s="4" t="n">
        <v>42707122.5</v>
      </c>
      <c r="D449" s="4">
        <f>C449/E449</f>
        <v/>
      </c>
      <c r="E449" s="4" t="n">
        <v>83.59999999999999</v>
      </c>
      <c r="F449" s="4">
        <f>D449/100000</f>
        <v/>
      </c>
      <c r="G449" s="7">
        <f>(F449/DataSheet!$C$11*100)</f>
        <v/>
      </c>
      <c r="H449" s="4">
        <f>K449/I449</f>
        <v/>
      </c>
      <c r="I449" s="4">
        <f>(J449/L449)*100</f>
        <v/>
      </c>
      <c r="J449" s="7">
        <f>L449/O449</f>
        <v/>
      </c>
      <c r="K449" s="4" t="n">
        <v>7.01</v>
      </c>
      <c r="L449" s="4" t="n">
        <v>23264.85</v>
      </c>
      <c r="M449" s="4" t="n">
        <v>4.08</v>
      </c>
      <c r="N449" s="4">
        <f>K449-I449</f>
        <v/>
      </c>
      <c r="O449" s="4" t="n">
        <v>22.13</v>
      </c>
      <c r="P449" s="4" t="n">
        <v>4.4</v>
      </c>
      <c r="Q449" s="7">
        <f>K449-P449</f>
        <v/>
      </c>
      <c r="R449" s="4" t="n">
        <v>105.19</v>
      </c>
      <c r="S449" s="4">
        <f>(O449*T449)</f>
        <v/>
      </c>
      <c r="T449" s="12" t="n">
        <v>6.88</v>
      </c>
      <c r="U449" s="4" t="n">
        <v>20119.55</v>
      </c>
      <c r="V449" s="4" t="n">
        <v>40.88</v>
      </c>
      <c r="W449" s="7">
        <f>U449/V449</f>
        <v/>
      </c>
      <c r="X449" s="7">
        <f>(W449/U449)*100</f>
        <v/>
      </c>
      <c r="Y449" s="7" t="n">
        <v>16413.65</v>
      </c>
      <c r="Z449" s="7" t="n">
        <v>29.24</v>
      </c>
      <c r="AA449" s="7">
        <f>Y449/Z449</f>
        <v/>
      </c>
      <c r="AB449" s="7">
        <f>(AA449/Y449)*100</f>
        <v/>
      </c>
    </row>
    <row r="450">
      <c r="A450" s="5" t="n">
        <v>488</v>
      </c>
      <c r="B450" s="8" t="n">
        <v>45455</v>
      </c>
      <c r="C450" s="4" t="n">
        <v>42951615.61</v>
      </c>
      <c r="D450" s="4">
        <f>C450/E450</f>
        <v/>
      </c>
      <c r="E450" s="4" t="n">
        <v>83.43000000000001</v>
      </c>
      <c r="F450" s="4">
        <f>D450/100000</f>
        <v/>
      </c>
      <c r="G450" s="7">
        <f>(F450/DataSheet!$C$11*100)</f>
        <v/>
      </c>
      <c r="H450" s="4">
        <f>K450/I450</f>
        <v/>
      </c>
      <c r="I450" s="4">
        <f>(J450/L450)*100</f>
        <v/>
      </c>
      <c r="J450" s="7">
        <f>L450/O450</f>
        <v/>
      </c>
      <c r="K450" s="4" t="n">
        <v>6.98</v>
      </c>
      <c r="L450" s="4" t="n">
        <v>23322.95</v>
      </c>
      <c r="M450" s="4" t="n">
        <v>4.09</v>
      </c>
      <c r="N450" s="4">
        <f>K450-I450</f>
        <v/>
      </c>
      <c r="O450" s="4" t="n">
        <v>22.18</v>
      </c>
      <c r="P450" s="4" t="n">
        <v>4.31</v>
      </c>
      <c r="Q450" s="7">
        <f>K450-P450</f>
        <v/>
      </c>
      <c r="R450" s="4" t="n">
        <v>104.61</v>
      </c>
      <c r="S450" s="4">
        <f>(O450*T450)</f>
        <v/>
      </c>
      <c r="T450" s="12" t="n">
        <v>6.88</v>
      </c>
      <c r="U450" s="4" t="n">
        <v>20321.2</v>
      </c>
      <c r="V450" s="4" t="n">
        <v>41.29</v>
      </c>
      <c r="W450" s="7">
        <f>U450/V450</f>
        <v/>
      </c>
      <c r="X450" s="7">
        <f>(W450/U450)*100</f>
        <v/>
      </c>
      <c r="Y450" s="7" t="n">
        <v>16567.7</v>
      </c>
      <c r="Z450" s="7" t="n">
        <v>29.52</v>
      </c>
      <c r="AA450" s="7">
        <f>Y450/Z450</f>
        <v/>
      </c>
      <c r="AB450" s="7">
        <f>(AA450/Y450)*100</f>
        <v/>
      </c>
    </row>
    <row r="451">
      <c r="A451" s="5" t="n">
        <v>489</v>
      </c>
      <c r="B451" s="9" t="n">
        <v>45456</v>
      </c>
      <c r="C451" s="4" t="n">
        <v>43190115.96</v>
      </c>
      <c r="D451" s="4">
        <f>C451/E451</f>
        <v/>
      </c>
      <c r="E451" s="4" t="n">
        <v>83.54000000000001</v>
      </c>
      <c r="F451" s="4">
        <f>D451/100000</f>
        <v/>
      </c>
      <c r="G451" s="7">
        <f>(F451/DataSheet!$C$11*100)</f>
        <v/>
      </c>
      <c r="H451" s="4">
        <f>K451/I451</f>
        <v/>
      </c>
      <c r="I451" s="4">
        <f>(J451/L451)*100</f>
        <v/>
      </c>
      <c r="J451" s="7">
        <f>L451/O451</f>
        <v/>
      </c>
      <c r="K451" s="4" t="n">
        <v>6.98</v>
      </c>
      <c r="L451" s="4" t="n">
        <v>23398.9</v>
      </c>
      <c r="M451" s="4" t="n">
        <v>4.06</v>
      </c>
      <c r="N451" s="4">
        <f>K451-I451</f>
        <v/>
      </c>
      <c r="O451" s="4" t="n">
        <v>22.25</v>
      </c>
      <c r="P451" s="4" t="n">
        <v>4.24</v>
      </c>
      <c r="Q451" s="7">
        <f>K451-P451</f>
        <v/>
      </c>
      <c r="R451" s="4" t="n">
        <v>105.18</v>
      </c>
      <c r="S451" s="4">
        <f>(O451*T451)</f>
        <v/>
      </c>
      <c r="T451" s="12" t="n">
        <v>6.86</v>
      </c>
      <c r="U451" s="4" t="n">
        <v>20480.05</v>
      </c>
      <c r="V451" s="4" t="n">
        <v>41.6</v>
      </c>
      <c r="W451" s="7">
        <f>U451/V451</f>
        <v/>
      </c>
      <c r="X451" s="7">
        <f>(W451/U451)*100</f>
        <v/>
      </c>
      <c r="Y451" s="7" t="n">
        <v>16701.65</v>
      </c>
      <c r="Z451" s="7" t="n">
        <v>29.76</v>
      </c>
      <c r="AA451" s="7">
        <f>Y451/Z451</f>
        <v/>
      </c>
      <c r="AB451" s="7">
        <f>(AA451/Y451)*100</f>
        <v/>
      </c>
    </row>
    <row r="452">
      <c r="A452" s="5" t="n">
        <v>490</v>
      </c>
      <c r="B452" s="9" t="n">
        <v>45457</v>
      </c>
      <c r="C452" s="4" t="n">
        <v>43513560.25</v>
      </c>
      <c r="D452" s="4">
        <f>C452/E452</f>
        <v/>
      </c>
      <c r="E452" s="4" t="n">
        <v>83.54000000000001</v>
      </c>
      <c r="F452" s="4">
        <f>D452/100000</f>
        <v/>
      </c>
      <c r="G452" s="7">
        <f>(F452/DataSheet!$C$11*100)</f>
        <v/>
      </c>
      <c r="H452" s="4">
        <f>K452/I452</f>
        <v/>
      </c>
      <c r="I452" s="4">
        <f>(J452/L452)*100</f>
        <v/>
      </c>
      <c r="J452" s="7">
        <f>L452/O452</f>
        <v/>
      </c>
      <c r="K452" s="4" t="n">
        <v>6.98</v>
      </c>
      <c r="L452" s="4" t="n">
        <v>23465.6</v>
      </c>
      <c r="M452" s="4" t="n">
        <v>4.07</v>
      </c>
      <c r="N452" s="4">
        <f>K452-I452</f>
        <v/>
      </c>
      <c r="O452" s="4" t="n">
        <v>22.32</v>
      </c>
      <c r="P452" s="4" t="n">
        <v>4.22</v>
      </c>
      <c r="Q452" s="7">
        <f>K452-P452</f>
        <v/>
      </c>
      <c r="R452" s="4" t="n">
        <v>105.54</v>
      </c>
      <c r="S452" s="4">
        <f>(O452*T452)</f>
        <v/>
      </c>
      <c r="T452" s="12" t="n">
        <v>6.85</v>
      </c>
      <c r="U452" s="4" t="n">
        <v>20698.25</v>
      </c>
      <c r="V452" s="4" t="n">
        <v>42.04</v>
      </c>
      <c r="W452" s="7">
        <f>U452/V452</f>
        <v/>
      </c>
      <c r="X452" s="7">
        <f>(W452/U452)*100</f>
        <v/>
      </c>
      <c r="Y452" s="7" t="n">
        <v>16845.55</v>
      </c>
      <c r="Z452" s="7" t="n">
        <v>30.01</v>
      </c>
      <c r="AA452" s="7">
        <f>Y452/Z452</f>
        <v/>
      </c>
      <c r="AB452" s="7">
        <f>(AA452/Y452)*100</f>
        <v/>
      </c>
    </row>
    <row r="453">
      <c r="A453" s="5" t="n">
        <v>494</v>
      </c>
      <c r="B453" s="9" t="n">
        <v>45461</v>
      </c>
      <c r="C453" s="4" t="n">
        <v>43742181.18</v>
      </c>
      <c r="D453" s="4">
        <f>C453/E453</f>
        <v/>
      </c>
      <c r="E453" s="4" t="n">
        <v>83.33</v>
      </c>
      <c r="F453" s="4">
        <f>D453/100000</f>
        <v/>
      </c>
      <c r="G453" s="7">
        <f>(F453/DataSheet!$C$11*100)</f>
        <v/>
      </c>
      <c r="H453" s="4">
        <f>K453/I453</f>
        <v/>
      </c>
      <c r="I453" s="4">
        <f>(J453/L453)*100</f>
        <v/>
      </c>
      <c r="J453" s="7">
        <f>L453/O453</f>
        <v/>
      </c>
      <c r="K453" s="4" t="n">
        <v>6.98</v>
      </c>
      <c r="L453" s="4" t="n">
        <v>23557.9</v>
      </c>
      <c r="M453" s="4" t="n">
        <v>4.08</v>
      </c>
      <c r="N453" s="4">
        <f>K453-I453</f>
        <v/>
      </c>
      <c r="O453" s="4" t="n">
        <v>22.4</v>
      </c>
      <c r="P453" s="4" t="n">
        <v>4.21</v>
      </c>
      <c r="Q453" s="7">
        <f>K453-P453</f>
        <v/>
      </c>
      <c r="R453" s="4" t="n">
        <v>104.87</v>
      </c>
      <c r="S453" s="4">
        <f>(O453*T453)</f>
        <v/>
      </c>
      <c r="T453" s="12" t="n">
        <v>6.86</v>
      </c>
      <c r="U453" s="4" t="n">
        <v>20809.75</v>
      </c>
      <c r="V453" s="4" t="n">
        <v>42.27</v>
      </c>
      <c r="W453" s="7">
        <f>U453/V453</f>
        <v/>
      </c>
      <c r="X453" s="7">
        <f>(W453/U453)*100</f>
        <v/>
      </c>
      <c r="Y453" s="7" t="n">
        <v>17007.85</v>
      </c>
      <c r="Z453" s="7" t="n">
        <v>30.31</v>
      </c>
      <c r="AA453" s="7">
        <f>Y453/Z453</f>
        <v/>
      </c>
      <c r="AB453" s="7">
        <f>(AA453/Y453)*100</f>
        <v/>
      </c>
    </row>
    <row r="454">
      <c r="A454" s="5" t="n">
        <v>495</v>
      </c>
      <c r="B454" s="9" t="n">
        <v>45462</v>
      </c>
      <c r="C454" s="4" t="n">
        <v>43423245.43</v>
      </c>
      <c r="D454" s="4">
        <f>C454/E454</f>
        <v/>
      </c>
      <c r="E454" s="4" t="n">
        <v>83.45999999999999</v>
      </c>
      <c r="F454" s="4">
        <f>D454/100000</f>
        <v/>
      </c>
      <c r="G454" s="7">
        <f>(F454/DataSheet!$C$11*100)</f>
        <v/>
      </c>
      <c r="H454" s="4">
        <f>K454/I454</f>
        <v/>
      </c>
      <c r="I454" s="4">
        <f>(J454/L454)*100</f>
        <v/>
      </c>
      <c r="J454" s="7">
        <f>L454/O454</f>
        <v/>
      </c>
      <c r="K454" s="4" t="n">
        <v>6.97</v>
      </c>
      <c r="L454" s="4" t="n">
        <v>23516</v>
      </c>
      <c r="M454" s="4" t="n">
        <v>4.08</v>
      </c>
      <c r="N454" s="4">
        <f>K454-I454</f>
        <v/>
      </c>
      <c r="O454" s="4" t="n">
        <v>22.36</v>
      </c>
      <c r="P454" s="4" t="n">
        <v>4.23</v>
      </c>
      <c r="Q454" s="7">
        <f>K454-P454</f>
        <v/>
      </c>
      <c r="R454" s="4" t="n">
        <v>104.87</v>
      </c>
      <c r="S454" s="4">
        <f>(O454*T454)</f>
        <v/>
      </c>
      <c r="T454" s="12" t="n">
        <v>6.87</v>
      </c>
      <c r="U454" s="4" t="n">
        <v>20591.65</v>
      </c>
      <c r="V454" s="4" t="n">
        <v>41.82</v>
      </c>
      <c r="W454" s="7">
        <f>U454/V454</f>
        <v/>
      </c>
      <c r="X454" s="7">
        <f>(W454/U454)*100</f>
        <v/>
      </c>
      <c r="Y454" s="7" t="n">
        <v>16942.8</v>
      </c>
      <c r="Z454" s="7" t="n">
        <v>30.15</v>
      </c>
      <c r="AA454" s="7">
        <f>Y454/Z454</f>
        <v/>
      </c>
      <c r="AB454" s="7">
        <f>(AA454/Y454)*100</f>
        <v/>
      </c>
    </row>
    <row r="455">
      <c r="A455" s="5" t="n">
        <v>496</v>
      </c>
      <c r="B455" s="8" t="n">
        <v>45463</v>
      </c>
      <c r="C455" s="4" t="n">
        <v>43602241.6</v>
      </c>
      <c r="D455" s="4">
        <f>C455/E455</f>
        <v/>
      </c>
      <c r="E455" s="4" t="n">
        <v>83.62</v>
      </c>
      <c r="F455" s="4">
        <f>D455/100000</f>
        <v/>
      </c>
      <c r="G455" s="7">
        <f>(F455/DataSheet!$C$11*100)</f>
        <v/>
      </c>
      <c r="H455" s="4">
        <f>K455/I455</f>
        <v/>
      </c>
      <c r="I455" s="4">
        <f>(J455/L455)*100</f>
        <v/>
      </c>
      <c r="J455" s="7">
        <f>L455/O455</f>
        <v/>
      </c>
      <c r="K455" s="4" t="n">
        <v>6.97</v>
      </c>
      <c r="L455" s="4" t="n">
        <v>23567</v>
      </c>
      <c r="M455" s="4" t="n">
        <v>4.05</v>
      </c>
      <c r="N455" s="4">
        <f>K455-I455</f>
        <v/>
      </c>
      <c r="O455" s="4" t="n">
        <v>22.41</v>
      </c>
      <c r="P455" s="4" t="n">
        <v>4.26</v>
      </c>
      <c r="Q455" s="7">
        <f>K455-P455</f>
        <v/>
      </c>
      <c r="R455" s="4" t="n">
        <v>105.22</v>
      </c>
      <c r="S455" s="4">
        <f>(O455*T455)</f>
        <v/>
      </c>
      <c r="T455" s="12" t="n">
        <v>6.83</v>
      </c>
      <c r="U455" s="4" t="n">
        <v>20766.7</v>
      </c>
      <c r="V455" s="4" t="n">
        <v>42.18</v>
      </c>
      <c r="W455" s="7">
        <f>U455/V455</f>
        <v/>
      </c>
      <c r="X455" s="7">
        <f>(W455/U455)*100</f>
        <v/>
      </c>
      <c r="Y455" s="7" t="n">
        <v>17054</v>
      </c>
      <c r="Z455" s="7" t="n">
        <v>30.35</v>
      </c>
      <c r="AA455" s="7">
        <f>Y455/Z455</f>
        <v/>
      </c>
      <c r="AB455" s="7">
        <f>(AA455/Y455)*100</f>
        <v/>
      </c>
    </row>
    <row r="456">
      <c r="A456" s="5" t="n">
        <v>497</v>
      </c>
      <c r="B456" s="9" t="n">
        <v>45464</v>
      </c>
      <c r="C456" s="4" t="n">
        <v>43480399.44</v>
      </c>
      <c r="D456" s="4">
        <f>C456/E456</f>
        <v/>
      </c>
      <c r="E456" s="4" t="n">
        <v>83.55</v>
      </c>
      <c r="F456" s="4">
        <f>D456/100000</f>
        <v/>
      </c>
      <c r="G456" s="7">
        <f>(F456/DataSheet!$C$11*100)</f>
        <v/>
      </c>
      <c r="H456" s="4">
        <f>K456/I456</f>
        <v/>
      </c>
      <c r="I456" s="4">
        <f>(J456/L456)*100</f>
        <v/>
      </c>
      <c r="J456" s="7">
        <f>L456/O456</f>
        <v/>
      </c>
      <c r="K456" s="4" t="n">
        <v>6.97</v>
      </c>
      <c r="L456" s="4" t="n">
        <v>23501.1</v>
      </c>
      <c r="M456" s="4" t="n">
        <v>4.04</v>
      </c>
      <c r="N456" s="4">
        <f>K456-I456</f>
        <v/>
      </c>
      <c r="O456" s="4" t="n">
        <v>22.34</v>
      </c>
      <c r="P456" s="4" t="n">
        <v>4.25</v>
      </c>
      <c r="Q456" s="7">
        <f>K456-P456</f>
        <v/>
      </c>
      <c r="R456" s="4" t="n">
        <v>105.44</v>
      </c>
      <c r="S456" s="4">
        <f>(O456*T456)</f>
        <v/>
      </c>
      <c r="T456" s="12" t="n">
        <v>6.83</v>
      </c>
      <c r="U456" s="4" t="n">
        <v>20735.25</v>
      </c>
      <c r="V456" s="4" t="n">
        <v>42.11</v>
      </c>
      <c r="W456" s="7">
        <f>U456/V456</f>
        <v/>
      </c>
      <c r="X456" s="7">
        <f>(W456/U456)*100</f>
        <v/>
      </c>
      <c r="Y456" s="7" t="n">
        <v>17046.55</v>
      </c>
      <c r="Z456" s="7" t="n">
        <v>30.33</v>
      </c>
      <c r="AA456" s="7">
        <f>Y456/Z456</f>
        <v/>
      </c>
      <c r="AB456" s="7">
        <f>(AA456/Y456)*100</f>
        <v/>
      </c>
    </row>
    <row r="457">
      <c r="A457" s="5" t="n">
        <v>500</v>
      </c>
      <c r="B457" s="8" t="n">
        <v>45467</v>
      </c>
      <c r="C457" s="4" t="n">
        <v>43580375.93</v>
      </c>
      <c r="D457" s="4">
        <f>C457/E457</f>
        <v/>
      </c>
      <c r="E457" s="4" t="n">
        <v>83.45</v>
      </c>
      <c r="F457" s="4">
        <f>D457/100000</f>
        <v/>
      </c>
      <c r="G457" s="7">
        <f>(F457/DataSheet!$C$11*100)</f>
        <v/>
      </c>
      <c r="H457" s="4">
        <f>K457/I457</f>
        <v/>
      </c>
      <c r="I457" s="4">
        <f>(J457/L457)*100</f>
        <v/>
      </c>
      <c r="J457" s="7">
        <f>L457/O457</f>
        <v/>
      </c>
      <c r="K457" s="4" t="n">
        <v>6.97</v>
      </c>
      <c r="L457" s="4" t="n">
        <v>23537.85</v>
      </c>
      <c r="M457" s="4" t="n">
        <v>4.05</v>
      </c>
      <c r="N457" s="4">
        <f>K457-I457</f>
        <v/>
      </c>
      <c r="O457" s="4" t="n">
        <v>22.38</v>
      </c>
      <c r="P457" s="4" t="n">
        <v>4.23</v>
      </c>
      <c r="Q457" s="7">
        <f>K457-P457</f>
        <v/>
      </c>
      <c r="R457" s="4" t="n">
        <v>105.12</v>
      </c>
      <c r="S457" s="4">
        <f>(O457*T457)</f>
        <v/>
      </c>
      <c r="T457" s="12" t="n">
        <v>6.83</v>
      </c>
      <c r="U457" s="4" t="n">
        <v>20784</v>
      </c>
      <c r="V457" s="4" t="n">
        <v>42.21</v>
      </c>
      <c r="W457" s="7">
        <f>U457/V457</f>
        <v/>
      </c>
      <c r="X457" s="7">
        <f>(W457/U457)*100</f>
        <v/>
      </c>
      <c r="Y457" s="7" t="n">
        <v>17048.15</v>
      </c>
      <c r="Z457" s="7" t="n">
        <v>30.34</v>
      </c>
      <c r="AA457" s="7">
        <f>Y457/Z457</f>
        <v/>
      </c>
      <c r="AB457" s="7">
        <f>(AA457/Y457)*100</f>
        <v/>
      </c>
    </row>
    <row r="458">
      <c r="A458" s="5" t="n">
        <v>501</v>
      </c>
      <c r="B458" s="9" t="n">
        <v>45468</v>
      </c>
      <c r="C458" s="4" t="n">
        <v>43606749.49</v>
      </c>
      <c r="D458" s="4">
        <f>C458/E458</f>
        <v/>
      </c>
      <c r="E458" s="4" t="n">
        <v>83.40000000000001</v>
      </c>
      <c r="F458" s="4">
        <f>D458/100000</f>
        <v/>
      </c>
      <c r="G458" s="7">
        <f>(F458/DataSheet!$C$11*100)</f>
        <v/>
      </c>
      <c r="H458" s="4">
        <f>K458/I458</f>
        <v/>
      </c>
      <c r="I458" s="4">
        <f>(J458/L458)*100</f>
        <v/>
      </c>
      <c r="J458" s="7">
        <f>L458/O458</f>
        <v/>
      </c>
      <c r="K458" s="4" t="n">
        <v>6.98</v>
      </c>
      <c r="L458" s="4" t="n">
        <v>23721.3</v>
      </c>
      <c r="M458" s="4" t="n">
        <v>4.08</v>
      </c>
      <c r="N458" s="4">
        <f>K458-I458</f>
        <v/>
      </c>
      <c r="O458" s="4" t="n">
        <v>22.55</v>
      </c>
      <c r="P458" s="4" t="n">
        <v>4.24</v>
      </c>
      <c r="Q458" s="7">
        <f>K458-P458</f>
        <v/>
      </c>
      <c r="R458" s="4" t="n">
        <v>105.25</v>
      </c>
      <c r="S458" s="4">
        <f>(O458*T458)</f>
        <v/>
      </c>
      <c r="T458" s="12" t="n">
        <v>6.84</v>
      </c>
      <c r="U458" s="4" t="n">
        <v>20734.55</v>
      </c>
      <c r="V458" s="4" t="n">
        <v>42.11</v>
      </c>
      <c r="W458" s="7">
        <f>U458/V458</f>
        <v/>
      </c>
      <c r="X458" s="7">
        <f>(W458/U458)*100</f>
        <v/>
      </c>
      <c r="Y458" s="7" t="n">
        <v>17059.7</v>
      </c>
      <c r="Z458" s="7" t="n">
        <v>30.36</v>
      </c>
      <c r="AA458" s="7">
        <f>Y458/Z458</f>
        <v/>
      </c>
      <c r="AB458" s="7">
        <f>(AA458/Y458)*100</f>
        <v/>
      </c>
    </row>
    <row r="459">
      <c r="A459" s="5" t="n">
        <v>502</v>
      </c>
      <c r="B459" s="9" t="n">
        <v>45469</v>
      </c>
      <c r="C459" s="4" t="n">
        <v>43733308.06</v>
      </c>
      <c r="D459" s="4">
        <f>C459/E459</f>
        <v/>
      </c>
      <c r="E459" s="4" t="n">
        <v>83.56</v>
      </c>
      <c r="F459" s="4">
        <f>D459/100000</f>
        <v/>
      </c>
      <c r="G459" s="7">
        <f>(F459/DataSheet!$C$11*100)</f>
        <v/>
      </c>
      <c r="H459" s="4">
        <f>K459/I459</f>
        <v/>
      </c>
      <c r="I459" s="4">
        <f>(J459/L459)*100</f>
        <v/>
      </c>
      <c r="J459" s="7">
        <f>L459/O459</f>
        <v/>
      </c>
      <c r="K459" s="4" t="n">
        <v>6.99</v>
      </c>
      <c r="L459" s="4" t="n">
        <v>23868.8</v>
      </c>
      <c r="M459" s="4" t="n">
        <v>4.1</v>
      </c>
      <c r="N459" s="4">
        <f>K459-I459</f>
        <v/>
      </c>
      <c r="O459" s="4" t="n">
        <v>22.69</v>
      </c>
      <c r="P459" s="4" t="n">
        <v>4.32</v>
      </c>
      <c r="Q459" s="7">
        <f>K459-P459</f>
        <v/>
      </c>
      <c r="R459" s="4" t="n">
        <v>105.71</v>
      </c>
      <c r="S459" s="4">
        <f>(O459*T459)</f>
        <v/>
      </c>
      <c r="T459" s="12" t="n">
        <v>6.84</v>
      </c>
      <c r="U459" s="4" t="n">
        <v>20680.7</v>
      </c>
      <c r="V459" s="4" t="n">
        <v>42</v>
      </c>
      <c r="W459" s="7">
        <f>U459/V459</f>
        <v/>
      </c>
      <c r="X459" s="7">
        <f>(W459/U459)*100</f>
        <v/>
      </c>
      <c r="Y459" s="7" t="n">
        <v>17095.7</v>
      </c>
      <c r="Z459" s="7" t="n">
        <v>30.42</v>
      </c>
      <c r="AA459" s="7">
        <f>Y459/Z459</f>
        <v/>
      </c>
      <c r="AB459" s="7">
        <f>(AA459/Y459)*100</f>
        <v/>
      </c>
    </row>
    <row r="460">
      <c r="A460" s="5" t="n">
        <v>503</v>
      </c>
      <c r="B460" s="9" t="n">
        <v>45470</v>
      </c>
      <c r="C460" s="4" t="n">
        <v>43871681.82</v>
      </c>
      <c r="D460" s="4">
        <f>C460/E460</f>
        <v/>
      </c>
      <c r="E460" s="4" t="n">
        <v>83.43000000000001</v>
      </c>
      <c r="F460" s="4">
        <f>D460/100000</f>
        <v/>
      </c>
      <c r="G460" s="7">
        <f>(F460/DataSheet!$C$11*100)</f>
        <v/>
      </c>
      <c r="H460" s="4">
        <f>K460/I460</f>
        <v/>
      </c>
      <c r="I460" s="4">
        <f>(J460/L460)*100</f>
        <v/>
      </c>
      <c r="J460" s="7">
        <f>L460/O460</f>
        <v/>
      </c>
      <c r="K460" s="4" t="n">
        <v>7</v>
      </c>
      <c r="L460" s="4" t="n">
        <v>24044.5</v>
      </c>
      <c r="M460" s="4" t="n">
        <v>4.13</v>
      </c>
      <c r="N460" s="4">
        <f>K460-I460</f>
        <v/>
      </c>
      <c r="O460" s="4" t="n">
        <v>22.86</v>
      </c>
      <c r="P460" s="4" t="n">
        <v>4.28</v>
      </c>
      <c r="Q460" s="7">
        <f>K460-P460</f>
        <v/>
      </c>
      <c r="R460" s="4" t="n">
        <v>105.57</v>
      </c>
      <c r="S460" s="4">
        <f>(O460*T460)</f>
        <v/>
      </c>
      <c r="T460" s="12" t="n">
        <v>6.83</v>
      </c>
      <c r="U460" s="4" t="n">
        <v>20723.15</v>
      </c>
      <c r="V460" s="4" t="n">
        <v>42.09</v>
      </c>
      <c r="W460" s="7">
        <f>U460/V460</f>
        <v/>
      </c>
      <c r="X460" s="7">
        <f>(W460/U460)*100</f>
        <v/>
      </c>
      <c r="Y460" s="7" t="n">
        <v>16999.55</v>
      </c>
      <c r="Z460" s="7" t="n">
        <v>30.25</v>
      </c>
      <c r="AA460" s="7">
        <f>Y460/Z460</f>
        <v/>
      </c>
      <c r="AB460" s="7">
        <f>(AA460/Y460)*100</f>
        <v/>
      </c>
    </row>
    <row r="461">
      <c r="A461" s="5" t="n">
        <v>504</v>
      </c>
      <c r="B461" s="8" t="n">
        <v>45471</v>
      </c>
      <c r="C461" s="4" t="n">
        <v>43967789.06</v>
      </c>
      <c r="D461" s="4">
        <f>C461/E461</f>
        <v/>
      </c>
      <c r="E461" s="4" t="n">
        <v>83.34999999999999</v>
      </c>
      <c r="F461" s="4">
        <f>D461/100000</f>
        <v/>
      </c>
      <c r="G461" s="7">
        <f>(F461/DataSheet!$C$11*100)</f>
        <v/>
      </c>
      <c r="H461" s="4">
        <f>K461/I461</f>
        <v/>
      </c>
      <c r="I461" s="4">
        <f>(J461/L461)*100</f>
        <v/>
      </c>
      <c r="J461" s="7">
        <f>L461/O461</f>
        <v/>
      </c>
      <c r="K461" s="4" t="n">
        <v>7</v>
      </c>
      <c r="L461" s="4" t="n">
        <v>24010.6</v>
      </c>
      <c r="M461" s="4" t="n">
        <v>4.14</v>
      </c>
      <c r="N461" s="4">
        <f>K461-I461</f>
        <v/>
      </c>
      <c r="O461" s="4" t="n">
        <v>22.85</v>
      </c>
      <c r="P461" s="4" t="n">
        <v>4.39</v>
      </c>
      <c r="Q461" s="7">
        <f>K461-P461</f>
        <v/>
      </c>
      <c r="R461" s="4" t="n">
        <v>105.54</v>
      </c>
      <c r="S461" s="4">
        <f>(O461*T461)</f>
        <v/>
      </c>
      <c r="T461" s="12" t="n">
        <v>6.83</v>
      </c>
      <c r="U461" s="4" t="n">
        <v>20831.95</v>
      </c>
      <c r="V461" s="4" t="n">
        <v>42.33</v>
      </c>
      <c r="W461" s="7">
        <f>U461/V461</f>
        <v/>
      </c>
      <c r="X461" s="7">
        <f>(W461/U461)*100</f>
        <v/>
      </c>
      <c r="Y461" s="7" t="n">
        <v>17111.05</v>
      </c>
      <c r="Z461" s="7" t="n">
        <v>30.7</v>
      </c>
      <c r="AA461" s="7">
        <f>Y461/Z461</f>
        <v/>
      </c>
      <c r="AB461" s="7">
        <f>(AA461/Y461)*100</f>
        <v/>
      </c>
    </row>
    <row r="462">
      <c r="A462" s="5" t="n">
        <v>507</v>
      </c>
      <c r="B462" s="9" t="n">
        <v>45474</v>
      </c>
      <c r="C462" s="4" t="n">
        <v>44341027</v>
      </c>
      <c r="D462" s="4">
        <f>C462/E462</f>
        <v/>
      </c>
      <c r="E462" s="4" t="n">
        <v>83.43000000000001</v>
      </c>
      <c r="F462" s="4">
        <f>D462/100000</f>
        <v/>
      </c>
      <c r="G462" s="7">
        <f>(F462/DataSheet!$C$11*100)</f>
        <v/>
      </c>
      <c r="H462" s="4">
        <f>K462/I462</f>
        <v/>
      </c>
      <c r="I462" s="4">
        <f>(J462/L462)*100</f>
        <v/>
      </c>
      <c r="J462" s="7">
        <f>L462/O462</f>
        <v/>
      </c>
      <c r="K462" s="4" t="n">
        <v>7.01</v>
      </c>
      <c r="L462" s="4" t="n">
        <v>24141.95</v>
      </c>
      <c r="M462" s="4" t="n">
        <v>4.16</v>
      </c>
      <c r="N462" s="4">
        <f>K462-I462</f>
        <v/>
      </c>
      <c r="O462" s="4" t="n">
        <v>22.97</v>
      </c>
      <c r="P462" s="4" t="n">
        <v>4.47</v>
      </c>
      <c r="Q462" s="7">
        <f>K462-P462</f>
        <v/>
      </c>
      <c r="R462" s="4" t="n">
        <v>105.63</v>
      </c>
      <c r="S462" s="4">
        <f>(O462*T462)</f>
        <v/>
      </c>
      <c r="T462" s="12" t="n">
        <v>6.83</v>
      </c>
      <c r="U462" s="4" t="n">
        <v>21029.9</v>
      </c>
      <c r="V462" s="4" t="n">
        <v>42.73</v>
      </c>
      <c r="W462" s="7">
        <f>U462/V462</f>
        <v/>
      </c>
      <c r="X462" s="7">
        <f>(W462/U462)*100</f>
        <v/>
      </c>
      <c r="Y462" s="7" t="n">
        <v>17367.65</v>
      </c>
      <c r="Z462" s="7" t="n">
        <v>31.16</v>
      </c>
      <c r="AA462" s="7">
        <f>Y462/Z462</f>
        <v/>
      </c>
      <c r="AB462" s="7">
        <f>(AA462/Y462)*100</f>
        <v/>
      </c>
    </row>
    <row r="463">
      <c r="A463" s="5" t="n">
        <v>508</v>
      </c>
      <c r="B463" s="8" t="n">
        <v>45475</v>
      </c>
      <c r="C463" s="4" t="n">
        <v>44271573.34</v>
      </c>
      <c r="D463" s="7">
        <f>C463/E463</f>
        <v/>
      </c>
      <c r="E463" s="7" t="n">
        <v>83.5</v>
      </c>
      <c r="F463" s="7">
        <f>D463/100000</f>
        <v/>
      </c>
      <c r="G463" s="7">
        <f>(F463/DataSheet!$C$11*100)</f>
        <v/>
      </c>
      <c r="H463" s="4">
        <f>K463/I463</f>
        <v/>
      </c>
      <c r="I463" s="4">
        <f>(J463/L463)*100</f>
        <v/>
      </c>
      <c r="J463" s="7">
        <f>L463/O463</f>
        <v/>
      </c>
      <c r="K463" s="4" t="n">
        <v>7</v>
      </c>
      <c r="L463" s="29" t="n">
        <v>24123.85</v>
      </c>
      <c r="M463" s="4" t="n">
        <v>4.16</v>
      </c>
      <c r="N463" s="4">
        <f>K463-I463</f>
        <v/>
      </c>
      <c r="O463" s="4" t="n">
        <v>22.96</v>
      </c>
      <c r="P463" s="4" t="n">
        <v>4.43</v>
      </c>
      <c r="Q463" s="7">
        <f>K463-P463</f>
        <v/>
      </c>
      <c r="R463" s="4" t="n">
        <v>105.72</v>
      </c>
      <c r="S463" s="4">
        <f>(O463*T463)</f>
        <v/>
      </c>
      <c r="T463" s="12" t="n">
        <v>6.82</v>
      </c>
      <c r="U463" s="4" t="n">
        <v>20909.9</v>
      </c>
      <c r="V463" s="4" t="n">
        <v>42.49</v>
      </c>
      <c r="W463" s="4">
        <f>U463/V463</f>
        <v/>
      </c>
      <c r="X463" s="4">
        <f>(W463/U463)*100</f>
        <v/>
      </c>
      <c r="Y463" s="4" t="n">
        <v>17339.35</v>
      </c>
      <c r="Z463" s="4" t="n">
        <v>31.11</v>
      </c>
      <c r="AA463" s="4">
        <f>Y463/Z463</f>
        <v/>
      </c>
      <c r="AB463" s="4">
        <f>(AA463/Y463)*100</f>
        <v/>
      </c>
    </row>
    <row r="464">
      <c r="A464" s="5" t="n">
        <v>509</v>
      </c>
      <c r="B464" s="9" t="n">
        <v>45476</v>
      </c>
      <c r="C464" s="4" t="n">
        <v>44602042.92</v>
      </c>
      <c r="D464" s="7">
        <f>C464/E464</f>
        <v/>
      </c>
      <c r="E464" s="7" t="n">
        <v>83.52</v>
      </c>
      <c r="F464" s="7">
        <f>D464/100000</f>
        <v/>
      </c>
      <c r="G464" s="7">
        <f>(F464/DataSheet!$C$11*100)</f>
        <v/>
      </c>
      <c r="H464" s="4">
        <f>K464/I464</f>
        <v/>
      </c>
      <c r="I464" s="4">
        <f>(J464/L464)*100</f>
        <v/>
      </c>
      <c r="J464" s="7">
        <f>L464/O464</f>
        <v/>
      </c>
      <c r="K464" s="4" t="n">
        <v>7</v>
      </c>
      <c r="L464" s="4" t="n">
        <v>24286.5</v>
      </c>
      <c r="M464" s="4" t="n">
        <v>4.18</v>
      </c>
      <c r="N464" s="4">
        <f>K464-I464</f>
        <v/>
      </c>
      <c r="O464" s="4" t="n">
        <v>23.11</v>
      </c>
      <c r="P464" s="4" t="n">
        <v>4.35</v>
      </c>
      <c r="Q464" s="7">
        <f>K464-P464</f>
        <v/>
      </c>
      <c r="R464" s="4" t="n">
        <v>105.4</v>
      </c>
      <c r="S464" s="4">
        <f>(O464*T464)</f>
        <v/>
      </c>
      <c r="T464" s="12" t="n">
        <v>6.78</v>
      </c>
      <c r="U464" s="4" t="n">
        <v>21072.75</v>
      </c>
      <c r="V464" s="4" t="n">
        <v>42.82</v>
      </c>
      <c r="W464" s="4">
        <f>U464/V464</f>
        <v/>
      </c>
      <c r="X464" s="4">
        <f>(W464/U464)*100</f>
        <v/>
      </c>
      <c r="Y464" s="4" t="n">
        <v>17494.7</v>
      </c>
      <c r="Z464" s="4" t="n">
        <v>31.39</v>
      </c>
      <c r="AA464" s="4">
        <f>Y464/Z464</f>
        <v/>
      </c>
      <c r="AB464" s="4">
        <f>(AA464/Y464)*100</f>
        <v/>
      </c>
    </row>
    <row r="465">
      <c r="A465" s="5" t="n">
        <v>510</v>
      </c>
      <c r="B465" s="9" t="n">
        <v>45477</v>
      </c>
      <c r="C465" s="4" t="n">
        <v>44787012.68</v>
      </c>
      <c r="D465" s="7">
        <f>C465/E465</f>
        <v/>
      </c>
      <c r="E465" s="7" t="n">
        <v>83.47</v>
      </c>
      <c r="F465" s="7">
        <f>D465/100000</f>
        <v/>
      </c>
      <c r="G465" s="7">
        <f>(F465/DataSheet!$C$11*100)</f>
        <v/>
      </c>
      <c r="H465" s="4">
        <f>K465/I465</f>
        <v/>
      </c>
      <c r="I465" s="4">
        <f>(J465/L465)*100</f>
        <v/>
      </c>
      <c r="J465" s="7">
        <f>L465/O465</f>
        <v/>
      </c>
      <c r="K465" s="4" t="n">
        <v>6.99</v>
      </c>
      <c r="L465" s="4" t="n">
        <v>24302.15</v>
      </c>
      <c r="M465" s="4" t="n">
        <v>4.19</v>
      </c>
      <c r="N465" s="4">
        <f>K465-I465</f>
        <v/>
      </c>
      <c r="O465" s="4" t="n">
        <v>23.13</v>
      </c>
      <c r="P465" s="4" t="n">
        <v>4.37</v>
      </c>
      <c r="Q465" s="7">
        <f>K465-P465</f>
        <v/>
      </c>
      <c r="R465" s="4" t="n">
        <v>105.13</v>
      </c>
      <c r="S465" s="4">
        <f>(O465*T465)</f>
        <v/>
      </c>
      <c r="T465" s="12" t="n">
        <v>6.78</v>
      </c>
      <c r="U465" s="4" t="n">
        <v>21215.3</v>
      </c>
      <c r="V465" s="4" t="n">
        <v>43.1</v>
      </c>
      <c r="W465" s="4">
        <f>U465/V465</f>
        <v/>
      </c>
      <c r="X465" s="4">
        <f>(W465/U465)*100</f>
        <v/>
      </c>
      <c r="Y465" s="4" t="n">
        <v>17591.95</v>
      </c>
      <c r="Z465" s="4" t="n">
        <v>31.56</v>
      </c>
      <c r="AA465" s="4">
        <f>Y465/Z465</f>
        <v/>
      </c>
      <c r="AB465" s="4">
        <f>(AA465/Y465)*100</f>
        <v/>
      </c>
    </row>
    <row r="466">
      <c r="A466" s="5" t="n">
        <v>511</v>
      </c>
      <c r="B466" s="9" t="n">
        <v>45478</v>
      </c>
      <c r="C466" s="4" t="n">
        <v>45043956.25</v>
      </c>
      <c r="D466" s="7">
        <f>C466/E466</f>
        <v/>
      </c>
      <c r="E466" s="7" t="n">
        <v>83.5</v>
      </c>
      <c r="F466" s="7">
        <f>D466/100000</f>
        <v/>
      </c>
      <c r="G466" s="7">
        <f>(F466/DataSheet!$C$11*100)</f>
        <v/>
      </c>
      <c r="H466" s="4">
        <f>K466/I466</f>
        <v/>
      </c>
      <c r="I466" s="4">
        <f>(J466/L466)*100</f>
        <v/>
      </c>
      <c r="J466" s="7">
        <f>L466/O466</f>
        <v/>
      </c>
      <c r="K466" s="4" t="n">
        <v>6.99</v>
      </c>
      <c r="L466" s="4" t="n">
        <v>24323.85</v>
      </c>
      <c r="M466" s="4" t="n">
        <v>4.19</v>
      </c>
      <c r="N466" s="4">
        <f>K466-I466</f>
        <v/>
      </c>
      <c r="O466" s="4" t="n">
        <v>23.15</v>
      </c>
      <c r="P466" s="4" t="n">
        <v>4.27</v>
      </c>
      <c r="Q466" s="7">
        <f>K466-P466</f>
        <v/>
      </c>
      <c r="R466" s="4" t="n">
        <v>104.88</v>
      </c>
      <c r="S466" s="4">
        <f>(O466*T466)</f>
        <v/>
      </c>
      <c r="T466" s="12" t="n">
        <v>6.78</v>
      </c>
      <c r="U466" s="4" t="n">
        <v>21352.5</v>
      </c>
      <c r="V466" s="4" t="n">
        <v>43.38</v>
      </c>
      <c r="W466" s="4">
        <f>U466/V466</f>
        <v/>
      </c>
      <c r="X466" s="4">
        <f>(W466/U466)*100</f>
        <v/>
      </c>
      <c r="Y466" s="4" t="n">
        <v>17712.3</v>
      </c>
      <c r="Z466" s="4" t="n">
        <v>31.77</v>
      </c>
      <c r="AA466" s="4">
        <f>Y466/Z466</f>
        <v/>
      </c>
      <c r="AB466" s="4">
        <f>(AA466/Y466)*100</f>
        <v/>
      </c>
    </row>
    <row r="467">
      <c r="A467" s="5" t="n">
        <v>514</v>
      </c>
      <c r="B467" s="9" t="n">
        <v>45481</v>
      </c>
      <c r="C467" s="4" t="n">
        <v>45018897.51</v>
      </c>
      <c r="D467" s="7">
        <f>C467/E467</f>
        <v/>
      </c>
      <c r="E467" s="7" t="n">
        <v>83.5</v>
      </c>
      <c r="F467" s="7">
        <f>D467/100000</f>
        <v/>
      </c>
      <c r="G467" s="7">
        <f>(F467/DataSheet!$C$11*100)</f>
        <v/>
      </c>
      <c r="H467" s="4">
        <f>K467/I467</f>
        <v/>
      </c>
      <c r="I467" s="4">
        <f>(J467/L467)*100</f>
        <v/>
      </c>
      <c r="J467" s="7">
        <f>L467/O467</f>
        <v/>
      </c>
      <c r="K467" s="4" t="n">
        <v>6.98</v>
      </c>
      <c r="L467" s="4" t="n">
        <v>24320.55</v>
      </c>
      <c r="M467" s="4" t="n">
        <v>4.19</v>
      </c>
      <c r="N467" s="4">
        <f>K467-I467</f>
        <v/>
      </c>
      <c r="O467" s="4" t="n">
        <v>23.14</v>
      </c>
      <c r="P467" s="4" t="n">
        <v>4.28</v>
      </c>
      <c r="Q467" s="7">
        <f>K467-P467</f>
        <v/>
      </c>
      <c r="R467" s="4" t="n">
        <v>105</v>
      </c>
      <c r="S467" s="4">
        <f>(O467*T467)</f>
        <v/>
      </c>
      <c r="T467" s="12" t="n">
        <v>6.78</v>
      </c>
      <c r="U467" s="4" t="n">
        <v>21289.35</v>
      </c>
      <c r="V467" s="4" t="n">
        <v>43.25</v>
      </c>
      <c r="W467" s="4">
        <f>U467/V467</f>
        <v/>
      </c>
      <c r="X467" s="4">
        <f>(W467/U467)*100</f>
        <v/>
      </c>
      <c r="Y467" s="4" t="n">
        <v>17665.75</v>
      </c>
      <c r="Z467" s="4" t="n">
        <v>31.69</v>
      </c>
      <c r="AA467" s="4">
        <f>Y467/Z467</f>
        <v/>
      </c>
      <c r="AB467" s="4">
        <f>(AA467/Y467)*100</f>
        <v/>
      </c>
    </row>
    <row r="468">
      <c r="A468" s="5" t="n">
        <v>515</v>
      </c>
      <c r="B468" s="9" t="n">
        <v>45482</v>
      </c>
      <c r="C468" s="4" t="n">
        <v>45179204.66</v>
      </c>
      <c r="D468" s="7">
        <f>C468/E468</f>
        <v/>
      </c>
      <c r="E468" s="7" t="n">
        <v>83.45999999999999</v>
      </c>
      <c r="F468" s="7">
        <f>D468/100000</f>
        <v/>
      </c>
      <c r="G468" s="7">
        <f>(F468/DataSheet!$C$11*100)</f>
        <v/>
      </c>
      <c r="H468" s="4">
        <f>K468/I468</f>
        <v/>
      </c>
      <c r="I468" s="4">
        <f>(J468/L468)*100</f>
        <v/>
      </c>
      <c r="J468" s="7">
        <f>L468/O468</f>
        <v/>
      </c>
      <c r="K468" s="4" t="n">
        <v>6.98</v>
      </c>
      <c r="L468" s="4" t="n">
        <v>24433.2</v>
      </c>
      <c r="M468" s="4" t="n">
        <v>4.21</v>
      </c>
      <c r="N468" s="4">
        <f>K468-I468</f>
        <v/>
      </c>
      <c r="O468" s="4" t="n">
        <v>23.25</v>
      </c>
      <c r="P468" s="4" t="n">
        <v>4.29</v>
      </c>
      <c r="Q468" s="7">
        <f>K468-P468</f>
        <v/>
      </c>
      <c r="R468" s="4" t="n">
        <v>105.13</v>
      </c>
      <c r="S468" s="4">
        <f>(O468*T468)</f>
        <v/>
      </c>
      <c r="T468" s="12" t="n">
        <v>6.78</v>
      </c>
      <c r="U468" s="4" t="n">
        <v>21347.5</v>
      </c>
      <c r="V468" s="4" t="n">
        <v>43.37</v>
      </c>
      <c r="W468" s="4">
        <f>U468/V468</f>
        <v/>
      </c>
      <c r="X468" s="4">
        <f>(W468/U468)*100</f>
        <v/>
      </c>
      <c r="Y468" s="4" t="n">
        <v>17707.65</v>
      </c>
      <c r="Z468" s="4" t="n">
        <v>31.76</v>
      </c>
      <c r="AA468" s="4">
        <f>Y468/Z468</f>
        <v/>
      </c>
      <c r="AB468" s="4">
        <f>(AA468/Y468)*100</f>
        <v/>
      </c>
    </row>
    <row r="469">
      <c r="A469" s="5" t="n">
        <v>516</v>
      </c>
      <c r="B469" s="8" t="n">
        <v>45483</v>
      </c>
      <c r="C469" s="4" t="n">
        <v>45055469.66</v>
      </c>
      <c r="D469" s="7">
        <f>C469/E469</f>
        <v/>
      </c>
      <c r="E469" s="7" t="n">
        <v>83.51000000000001</v>
      </c>
      <c r="F469" s="7">
        <f>D469/100000</f>
        <v/>
      </c>
      <c r="G469" s="7">
        <f>(F469/DataSheet!$C$11*100)</f>
        <v/>
      </c>
      <c r="H469" s="4">
        <f>K469/I469</f>
        <v/>
      </c>
      <c r="I469" s="4">
        <f>(J469/L469)*100</f>
        <v/>
      </c>
      <c r="J469" s="7">
        <f>L469/O469</f>
        <v/>
      </c>
      <c r="K469" s="4" t="n">
        <v>6.97</v>
      </c>
      <c r="L469" s="4" t="n">
        <v>24324.45</v>
      </c>
      <c r="M469" s="4" t="n">
        <v>4.19</v>
      </c>
      <c r="N469" s="4">
        <f>K469-I469</f>
        <v/>
      </c>
      <c r="O469" s="4" t="n">
        <v>23.15</v>
      </c>
      <c r="P469" s="4" t="n">
        <v>4.28</v>
      </c>
      <c r="Q469" s="7">
        <f>K469-P469</f>
        <v/>
      </c>
      <c r="R469" s="4" t="n">
        <v>105.05</v>
      </c>
      <c r="S469" s="4">
        <f>(O469*T469)</f>
        <v/>
      </c>
      <c r="T469" s="12" t="n">
        <v>6.78</v>
      </c>
      <c r="U469" s="4" t="n">
        <v>21266.6</v>
      </c>
      <c r="V469" s="4" t="n">
        <v>43.2</v>
      </c>
      <c r="W469" s="4">
        <f>U469/V469</f>
        <v/>
      </c>
      <c r="X469" s="4">
        <f>(W469/U469)*100</f>
        <v/>
      </c>
      <c r="Y469" s="4" t="n">
        <v>17585.7</v>
      </c>
      <c r="Z469" s="4" t="n">
        <v>31.55</v>
      </c>
      <c r="AA469" s="4">
        <f>Y469/Z469</f>
        <v/>
      </c>
      <c r="AB469" s="4">
        <f>(AA469/Y469)*100</f>
        <v/>
      </c>
    </row>
    <row r="470">
      <c r="A470" s="5" t="n">
        <v>517</v>
      </c>
      <c r="B470" s="9" t="n">
        <v>45484</v>
      </c>
      <c r="C470" s="4" t="n">
        <v>45170277.05</v>
      </c>
      <c r="D470" s="7">
        <f>C470/E470</f>
        <v/>
      </c>
      <c r="E470" s="7" t="n">
        <v>83.5</v>
      </c>
      <c r="F470" s="7">
        <f>D470/100000</f>
        <v/>
      </c>
      <c r="G470" s="7">
        <f>(F470/DataSheet!$C$11*100)</f>
        <v/>
      </c>
      <c r="H470" s="4">
        <f>K470/I470</f>
        <v/>
      </c>
      <c r="I470" s="4">
        <f>(J470/L470)*100</f>
        <v/>
      </c>
      <c r="J470" s="7">
        <f>L470/O470</f>
        <v/>
      </c>
      <c r="K470" s="4" t="n">
        <v>6.98</v>
      </c>
      <c r="L470" s="4" t="n">
        <v>24315.95</v>
      </c>
      <c r="M470" s="4" t="n">
        <v>4.19</v>
      </c>
      <c r="N470" s="4">
        <f>K470-I470</f>
        <v/>
      </c>
      <c r="O470" s="4" t="n">
        <v>23.14</v>
      </c>
      <c r="P470" s="4" t="n">
        <v>4.21</v>
      </c>
      <c r="Q470" s="7">
        <f>K470-P470</f>
        <v/>
      </c>
      <c r="R470" s="4" t="n">
        <v>104.44</v>
      </c>
      <c r="S470" s="4">
        <f>(O470*T470)</f>
        <v/>
      </c>
      <c r="T470" s="12" t="n">
        <v>6.77</v>
      </c>
      <c r="U470" s="4" t="n">
        <v>21312.15</v>
      </c>
      <c r="V470" s="4" t="n">
        <v>43.29</v>
      </c>
      <c r="W470" s="4">
        <f>U470/V470</f>
        <v/>
      </c>
      <c r="X470" s="4">
        <f>(W470/U470)*100</f>
        <v/>
      </c>
      <c r="Y470" s="4" t="n">
        <v>17692.15</v>
      </c>
      <c r="Z470" s="4" t="n">
        <v>31.74</v>
      </c>
      <c r="AA470" s="4">
        <f>Y470/Z470</f>
        <v/>
      </c>
      <c r="AB470" s="4">
        <f>(AA470/Y470)*100</f>
        <v/>
      </c>
    </row>
    <row r="471">
      <c r="A471" s="5" t="n">
        <v>518</v>
      </c>
      <c r="B471" s="9" t="n">
        <v>45485</v>
      </c>
      <c r="C471" s="4" t="n">
        <v>45290317.48</v>
      </c>
      <c r="D471" s="7">
        <f>C471/E471</f>
        <v/>
      </c>
      <c r="E471" s="7" t="n">
        <v>83.51000000000001</v>
      </c>
      <c r="F471" s="7">
        <f>D471/100000</f>
        <v/>
      </c>
      <c r="G471" s="7">
        <f>(F471/DataSheet!$C$11*100)</f>
        <v/>
      </c>
      <c r="H471" s="4">
        <f>K471/I471</f>
        <v/>
      </c>
      <c r="I471" s="4">
        <f>(J471/L471)*100</f>
        <v/>
      </c>
      <c r="J471" s="7">
        <f>L471/O471</f>
        <v/>
      </c>
      <c r="K471" s="4" t="n">
        <v>6.98</v>
      </c>
      <c r="L471" s="4" t="n">
        <v>24502.15</v>
      </c>
      <c r="M471" s="4" t="n">
        <v>4.22</v>
      </c>
      <c r="N471" s="4">
        <f>K471-I471</f>
        <v/>
      </c>
      <c r="O471" s="4" t="n">
        <v>23.32</v>
      </c>
      <c r="P471" s="4" t="n">
        <v>4.18</v>
      </c>
      <c r="Q471" s="7">
        <f>K471-P471</f>
        <v/>
      </c>
      <c r="R471" s="4" t="n">
        <v>104.09</v>
      </c>
      <c r="S471" s="4">
        <f>(O471*T471)</f>
        <v/>
      </c>
      <c r="T471" s="12" t="n">
        <v>6.76</v>
      </c>
      <c r="U471" s="4" t="n">
        <v>21300.25</v>
      </c>
      <c r="V471" s="4" t="n">
        <v>43.27</v>
      </c>
      <c r="W471" s="4">
        <f>U471/V471</f>
        <v/>
      </c>
      <c r="X471" s="4">
        <f>(W471/U471)*100</f>
        <v/>
      </c>
      <c r="Y471" s="4" t="n">
        <v>17679.2</v>
      </c>
      <c r="Z471" s="4" t="n">
        <v>31.71</v>
      </c>
      <c r="AA471" s="4">
        <f>Y471/Z471</f>
        <v/>
      </c>
      <c r="AB471" s="4">
        <f>(AA471/Y471)*100</f>
        <v/>
      </c>
    </row>
    <row r="472">
      <c r="A472" s="5" t="n">
        <v>521</v>
      </c>
      <c r="B472" s="9" t="n">
        <v>45488</v>
      </c>
      <c r="C472" s="4" t="n">
        <v>45550695.16</v>
      </c>
      <c r="D472" s="7">
        <f>C472/E472</f>
        <v/>
      </c>
      <c r="E472" s="7" t="n">
        <v>83.55</v>
      </c>
      <c r="F472" s="7">
        <f>D472/100000</f>
        <v/>
      </c>
      <c r="G472" s="7">
        <f>(F472/DataSheet!$C$11*100)</f>
        <v/>
      </c>
      <c r="H472" s="4">
        <f>K472/I472</f>
        <v/>
      </c>
      <c r="I472" s="4">
        <f>(J472/L472)*100</f>
        <v/>
      </c>
      <c r="J472" s="7">
        <f>L472/O472</f>
        <v/>
      </c>
      <c r="K472" s="4" t="n">
        <v>6.98</v>
      </c>
      <c r="L472" s="4" t="n">
        <v>24586.7</v>
      </c>
      <c r="M472" s="4" t="n">
        <v>4.16</v>
      </c>
      <c r="N472" s="4">
        <f>K472-I472</f>
        <v/>
      </c>
      <c r="O472" s="4" t="n">
        <v>23.38</v>
      </c>
      <c r="P472" s="4" t="n">
        <v>4.23</v>
      </c>
      <c r="Q472" s="7">
        <f>K472-P472</f>
        <v/>
      </c>
      <c r="R472" s="4" t="n">
        <v>104.19</v>
      </c>
      <c r="S472" s="4">
        <f>(O472*T472)</f>
        <v/>
      </c>
      <c r="T472" s="12" t="n">
        <v>6.76</v>
      </c>
      <c r="U472" s="4" t="n">
        <v>21448.85</v>
      </c>
      <c r="V472" s="4" t="n">
        <v>43.57</v>
      </c>
      <c r="W472" s="4">
        <f>U472/V472</f>
        <v/>
      </c>
      <c r="X472" s="4">
        <f>(W472/U472)*100</f>
        <v/>
      </c>
      <c r="Y472" s="4" t="n">
        <v>17743.15</v>
      </c>
      <c r="Z472" s="4" t="n">
        <v>31.82</v>
      </c>
      <c r="AA472" s="4">
        <f>Y472/Z472</f>
        <v/>
      </c>
      <c r="AB472" s="4">
        <f>(AA472/Y472)*100</f>
        <v/>
      </c>
    </row>
    <row r="473">
      <c r="A473" s="5" t="n">
        <v>522</v>
      </c>
      <c r="B473" s="9" t="n">
        <v>45489</v>
      </c>
      <c r="C473" s="4" t="n">
        <v>45577615.32</v>
      </c>
      <c r="D473" s="7">
        <f>C473/E473</f>
        <v/>
      </c>
      <c r="E473" s="7" t="n">
        <v>83.52</v>
      </c>
      <c r="F473" s="7">
        <f>D473/100000</f>
        <v/>
      </c>
      <c r="G473" s="7">
        <f>(F473/DataSheet!$C$11*100)</f>
        <v/>
      </c>
      <c r="H473" s="4">
        <f>K473/I473</f>
        <v/>
      </c>
      <c r="I473" s="4">
        <f>(J473/L473)*100</f>
        <v/>
      </c>
      <c r="J473" s="7">
        <f>L473/O473</f>
        <v/>
      </c>
      <c r="K473" s="4" t="n">
        <v>6.96</v>
      </c>
      <c r="L473" s="4" t="n">
        <v>24613</v>
      </c>
      <c r="M473" s="4" t="n">
        <v>4.17</v>
      </c>
      <c r="N473" s="4">
        <f>K473-I473</f>
        <v/>
      </c>
      <c r="O473" s="4" t="n">
        <v>23.39</v>
      </c>
      <c r="P473" s="4" t="n">
        <v>4.16</v>
      </c>
      <c r="Q473" s="7">
        <f>K473-P473</f>
        <v/>
      </c>
      <c r="R473" s="4" t="n">
        <v>104.27</v>
      </c>
      <c r="S473" s="4">
        <f>(O473*T473)</f>
        <v/>
      </c>
      <c r="T473" s="12" t="n">
        <v>6.76</v>
      </c>
      <c r="U473" s="4" t="n">
        <v>21456.5</v>
      </c>
      <c r="V473" s="4" t="n">
        <v>43.58</v>
      </c>
      <c r="W473" s="4">
        <f>U473/V473</f>
        <v/>
      </c>
      <c r="X473" s="4">
        <f>(W473/U473)*100</f>
        <v/>
      </c>
      <c r="Y473" s="4" t="n">
        <v>17774.9</v>
      </c>
      <c r="Z473" s="4" t="n">
        <v>31.88</v>
      </c>
      <c r="AA473" s="4">
        <f>Y473/Z473</f>
        <v/>
      </c>
      <c r="AB473" s="4">
        <f>(AA473/Y473)*100</f>
        <v/>
      </c>
    </row>
    <row r="474">
      <c r="A474" s="5" t="n">
        <v>524</v>
      </c>
      <c r="B474" s="8" t="n">
        <v>45491</v>
      </c>
      <c r="C474" s="4" t="n">
        <v>45484159.17</v>
      </c>
      <c r="D474" s="7">
        <f>C474/E474</f>
        <v/>
      </c>
      <c r="E474" s="7" t="n">
        <v>83.58</v>
      </c>
      <c r="F474" s="7">
        <f>D474/100000</f>
        <v/>
      </c>
      <c r="G474" s="7">
        <f>(F474/DataSheet!$C$11*100)</f>
        <v/>
      </c>
      <c r="H474" s="4">
        <f>K474/I474</f>
        <v/>
      </c>
      <c r="I474" s="4">
        <f>(J474/L474)*100</f>
        <v/>
      </c>
      <c r="J474" s="7">
        <f>L474/O474</f>
        <v/>
      </c>
      <c r="K474" s="4" t="n">
        <v>6.96</v>
      </c>
      <c r="L474" s="4" t="n">
        <v>24800.85</v>
      </c>
      <c r="M474" s="4" t="n">
        <v>4.19</v>
      </c>
      <c r="N474" s="4">
        <f>K474-I474</f>
        <v/>
      </c>
      <c r="O474" s="4" t="n">
        <v>23.57</v>
      </c>
      <c r="P474" s="4" t="n">
        <v>4.2</v>
      </c>
      <c r="Q474" s="7">
        <f>K474-P474</f>
        <v/>
      </c>
      <c r="R474" s="4" t="n">
        <v>104.17</v>
      </c>
      <c r="S474" s="4">
        <f>(O474*T474)</f>
        <v/>
      </c>
      <c r="T474" s="12" t="n">
        <v>6.75</v>
      </c>
      <c r="U474" s="4" t="n">
        <v>21255.6</v>
      </c>
      <c r="V474" s="4" t="n">
        <v>43.11</v>
      </c>
      <c r="W474" s="4">
        <f>U474/V474</f>
        <v/>
      </c>
      <c r="X474" s="4">
        <f>(W474/U474)*100</f>
        <v/>
      </c>
      <c r="Y474" s="4" t="n">
        <v>17577.65</v>
      </c>
      <c r="Z474" s="4" t="n">
        <v>31.49</v>
      </c>
      <c r="AA474" s="4">
        <f>Y474/Z474</f>
        <v/>
      </c>
      <c r="AB474" s="4">
        <f>(AA474/Y474)*100</f>
        <v/>
      </c>
    </row>
    <row r="475">
      <c r="A475" s="5" t="n">
        <v>525</v>
      </c>
      <c r="B475" s="9" t="n">
        <v>45492</v>
      </c>
      <c r="C475" s="4" t="n">
        <v>44491920.21</v>
      </c>
      <c r="D475" s="7">
        <f>C475/E475</f>
        <v/>
      </c>
      <c r="E475" s="7" t="n">
        <v>83.72</v>
      </c>
      <c r="F475" s="7">
        <f>D475/100000</f>
        <v/>
      </c>
      <c r="G475" s="7">
        <f>(F475/DataSheet!$C$11*100)</f>
        <v/>
      </c>
      <c r="H475" s="4">
        <f>K475/I475</f>
        <v/>
      </c>
      <c r="I475" s="4">
        <f>(J475/L475)*100</f>
        <v/>
      </c>
      <c r="J475" s="7">
        <f>L475/O475</f>
        <v/>
      </c>
      <c r="K475" s="4" t="n">
        <v>6.96</v>
      </c>
      <c r="L475" s="4" t="n">
        <v>24530.9</v>
      </c>
      <c r="M475" s="4" t="n">
        <v>4.16</v>
      </c>
      <c r="N475" s="4">
        <f>K475-I475</f>
        <v/>
      </c>
      <c r="O475" s="4" t="n">
        <v>23.31</v>
      </c>
      <c r="P475" s="4" t="n">
        <v>4.24</v>
      </c>
      <c r="Q475" s="7">
        <f>K475-P475</f>
        <v/>
      </c>
      <c r="R475" s="4" t="n">
        <v>104.4</v>
      </c>
      <c r="S475" s="4">
        <f>(O475*T475)</f>
        <v/>
      </c>
      <c r="T475" s="12" t="n">
        <v>6.76</v>
      </c>
      <c r="U475" s="4" t="n">
        <v>20812.25</v>
      </c>
      <c r="V475" s="4" t="n">
        <v>42.17</v>
      </c>
      <c r="W475" s="4">
        <f>U475/V475</f>
        <v/>
      </c>
      <c r="X475" s="4">
        <f>(W475/U475)*100</f>
        <v/>
      </c>
      <c r="Y475" s="4" t="n">
        <v>17163.4</v>
      </c>
      <c r="Z475" s="4" t="n">
        <v>30.8</v>
      </c>
      <c r="AA475" s="4">
        <f>Y475/Z475</f>
        <v/>
      </c>
      <c r="AB475" s="4">
        <f>(AA475/Y475)*100</f>
        <v/>
      </c>
    </row>
    <row r="476">
      <c r="A476" s="5" t="n">
        <v>528</v>
      </c>
      <c r="B476" s="8" t="n">
        <v>45495</v>
      </c>
      <c r="C476" s="4" t="n">
        <v>44868754.27</v>
      </c>
      <c r="D476" s="7">
        <f>C476/E476</f>
        <v/>
      </c>
      <c r="E476" s="7" t="n">
        <v>83.65000000000001</v>
      </c>
      <c r="F476" s="7">
        <f>D476/100000</f>
        <v/>
      </c>
      <c r="G476" s="7">
        <f>(F476/DataSheet!$C$11*100)</f>
        <v/>
      </c>
      <c r="H476" s="4">
        <f>K476/I476</f>
        <v/>
      </c>
      <c r="I476" s="4">
        <f>(J476/L476)*100</f>
        <v/>
      </c>
      <c r="J476" s="7">
        <f>L476/O476</f>
        <v/>
      </c>
      <c r="K476" s="4" t="n">
        <v>6.96</v>
      </c>
      <c r="L476" s="4" t="n">
        <v>24509.25</v>
      </c>
      <c r="M476" s="4" t="n">
        <v>4.15</v>
      </c>
      <c r="N476" s="4">
        <f>K476-I476</f>
        <v/>
      </c>
      <c r="O476" s="4" t="n">
        <v>23.28</v>
      </c>
      <c r="P476" s="4" t="n">
        <v>4.25</v>
      </c>
      <c r="Q476" s="7">
        <f>K476-P476</f>
        <v/>
      </c>
      <c r="R476" s="4" t="n">
        <v>104.31</v>
      </c>
      <c r="S476" s="4">
        <f>(O476*T476)</f>
        <v/>
      </c>
      <c r="T476" s="12" t="n">
        <v>6.75</v>
      </c>
      <c r="U476" s="4" t="n">
        <v>21040.35</v>
      </c>
      <c r="V476" s="4" t="n">
        <v>42.61</v>
      </c>
      <c r="W476" s="4">
        <f>U476/V476</f>
        <v/>
      </c>
      <c r="X476" s="4">
        <f>(W476/U476)*100</f>
        <v/>
      </c>
      <c r="Y476" s="4" t="n">
        <v>17317</v>
      </c>
      <c r="Z476" s="4" t="n">
        <v>30.98</v>
      </c>
      <c r="AA476" s="4">
        <f>Y476/Z476</f>
        <v/>
      </c>
      <c r="AB476" s="4">
        <f>(AA476/Y476)*100</f>
        <v/>
      </c>
    </row>
    <row r="477">
      <c r="A477" s="5" t="n">
        <v>529</v>
      </c>
      <c r="B477" s="9" t="n">
        <v>45496</v>
      </c>
      <c r="C477" s="4" t="n">
        <v>44685467.37</v>
      </c>
      <c r="D477" s="7">
        <f>C477/E477</f>
        <v/>
      </c>
      <c r="E477" s="7" t="n">
        <v>83.67</v>
      </c>
      <c r="F477" s="7">
        <f>D477/100000</f>
        <v/>
      </c>
      <c r="G477" s="7">
        <f>(F477/DataSheet!$C$11*100)</f>
        <v/>
      </c>
      <c r="H477" s="4">
        <f>K477/I477</f>
        <v/>
      </c>
      <c r="I477" s="4">
        <f>(J477/L477)*100</f>
        <v/>
      </c>
      <c r="J477" s="7">
        <f>L477/O477</f>
        <v/>
      </c>
      <c r="K477" s="4" t="n">
        <v>6.97</v>
      </c>
      <c r="L477" s="4" t="n">
        <v>24479.05</v>
      </c>
      <c r="M477" s="4" t="n">
        <v>4.12</v>
      </c>
      <c r="N477" s="4">
        <f>K477-I477</f>
        <v/>
      </c>
      <c r="O477" s="4" t="n">
        <v>23.11</v>
      </c>
      <c r="P477" s="4" t="n">
        <v>4.25</v>
      </c>
      <c r="Q477" s="7">
        <f>K477-P477</f>
        <v/>
      </c>
      <c r="R477" s="4" t="n">
        <v>104.45</v>
      </c>
      <c r="S477" s="4">
        <f>(O477*T477)</f>
        <v/>
      </c>
      <c r="T477" s="12" t="n">
        <v>6.75</v>
      </c>
      <c r="U477" s="4" t="n">
        <v>20947.8</v>
      </c>
      <c r="V477" s="4" t="n">
        <v>42.28</v>
      </c>
      <c r="W477" s="4">
        <f>U477/V477</f>
        <v/>
      </c>
      <c r="X477" s="4">
        <f>(W477/U477)*100</f>
        <v/>
      </c>
      <c r="Y477" s="4" t="n">
        <v>17212.15</v>
      </c>
      <c r="Z477" s="4" t="n">
        <v>30.64</v>
      </c>
      <c r="AA477" s="4">
        <f>Y477/Z477</f>
        <v/>
      </c>
      <c r="AB477" s="4">
        <f>(AA477/Y477)*100</f>
        <v/>
      </c>
    </row>
    <row r="478">
      <c r="A478" s="5" t="n">
        <v>530</v>
      </c>
      <c r="B478" s="9" t="n">
        <v>45497</v>
      </c>
      <c r="C478" s="4" t="n">
        <v>44997221.17</v>
      </c>
      <c r="D478" s="7">
        <f>C478/E478</f>
        <v/>
      </c>
      <c r="E478" s="7" t="n">
        <v>83.70999999999999</v>
      </c>
      <c r="F478" s="7">
        <f>D478/100000</f>
        <v/>
      </c>
      <c r="G478" s="7">
        <f>(F478/DataSheet!$C$11*100)</f>
        <v/>
      </c>
      <c r="H478" s="4">
        <f>K478/I478</f>
        <v/>
      </c>
      <c r="I478" s="4">
        <f>(J478/L478)*100</f>
        <v/>
      </c>
      <c r="J478" s="7">
        <f>L478/O478</f>
        <v/>
      </c>
      <c r="K478" s="4" t="n">
        <v>6.96</v>
      </c>
      <c r="L478" s="4" t="n">
        <v>24413.5</v>
      </c>
      <c r="M478" s="4" t="n">
        <v>4.11</v>
      </c>
      <c r="N478" s="4">
        <f>K478-I478</f>
        <v/>
      </c>
      <c r="O478" s="4" t="n">
        <v>23.05</v>
      </c>
      <c r="P478" s="4" t="n">
        <v>4.28</v>
      </c>
      <c r="Q478" s="7">
        <f>K478-P478</f>
        <v/>
      </c>
      <c r="R478" s="4" t="n">
        <v>104.39</v>
      </c>
      <c r="S478" s="4">
        <f>(O478*T478)</f>
        <v/>
      </c>
      <c r="T478" s="12" t="n">
        <v>6.75</v>
      </c>
      <c r="U478" s="4" t="n">
        <v>21133.35</v>
      </c>
      <c r="V478" s="4" t="n">
        <v>42.54</v>
      </c>
      <c r="W478" s="4">
        <f>U478/V478</f>
        <v/>
      </c>
      <c r="X478" s="4">
        <f>(W478/U478)*100</f>
        <v/>
      </c>
      <c r="Y478" s="4" t="n">
        <v>17532.7</v>
      </c>
      <c r="Z478" s="4" t="n">
        <v>31.25</v>
      </c>
      <c r="AA478" s="4">
        <f>Y478/Z478</f>
        <v/>
      </c>
      <c r="AB478" s="4">
        <f>(AA478/Y478)*100</f>
        <v/>
      </c>
    </row>
    <row r="479">
      <c r="A479" s="5" t="n">
        <v>531</v>
      </c>
      <c r="B479" s="9" t="n">
        <v>45498</v>
      </c>
      <c r="C479" s="4" t="n">
        <v>45031398.62</v>
      </c>
      <c r="D479" s="7">
        <f>C479/E479</f>
        <v/>
      </c>
      <c r="E479" s="7" t="n">
        <v>83.72</v>
      </c>
      <c r="F479" s="7">
        <f>D479/100000</f>
        <v/>
      </c>
      <c r="G479" s="7">
        <f>(F479/DataSheet!$C$11*100)</f>
        <v/>
      </c>
      <c r="H479" s="4">
        <f>K479/I479</f>
        <v/>
      </c>
      <c r="I479" s="4">
        <f>(J479/L479)*100</f>
        <v/>
      </c>
      <c r="J479" s="7">
        <f>L479/O479</f>
        <v/>
      </c>
      <c r="K479" s="4" t="n">
        <v>6.95</v>
      </c>
      <c r="L479" s="4" t="n">
        <v>24406.1</v>
      </c>
      <c r="M479" s="4" t="n">
        <v>4.11</v>
      </c>
      <c r="N479" s="4">
        <f>K479-I479</f>
        <v/>
      </c>
      <c r="O479" s="4" t="n">
        <v>23.03</v>
      </c>
      <c r="P479" s="4" t="n">
        <v>4.24</v>
      </c>
      <c r="Q479" s="7">
        <f>K479-P479</f>
        <v/>
      </c>
      <c r="R479" s="4" t="n">
        <v>104.36</v>
      </c>
      <c r="S479" s="4">
        <f>(O479*T479)</f>
        <v/>
      </c>
      <c r="T479" s="12" t="n">
        <v>6.73</v>
      </c>
      <c r="U479" s="4" t="n">
        <v>21080.45</v>
      </c>
      <c r="V479" s="4" t="n">
        <v>42.42</v>
      </c>
      <c r="W479" s="4">
        <f>U479/V479</f>
        <v/>
      </c>
      <c r="X479" s="4">
        <f>(W479/U479)*100</f>
        <v/>
      </c>
      <c r="Y479" s="4" t="n">
        <v>17483.8</v>
      </c>
      <c r="Z479" s="4" t="n">
        <v>31.16</v>
      </c>
      <c r="AA479" s="4">
        <f>Y479/Z479</f>
        <v/>
      </c>
      <c r="AB479" s="4">
        <f>(AA479/Y479)*100</f>
        <v/>
      </c>
    </row>
    <row r="480">
      <c r="A480" s="5" t="n">
        <v>532</v>
      </c>
      <c r="B480" s="8" t="n">
        <v>45499</v>
      </c>
      <c r="C480" s="4" t="n">
        <v>45739890.28</v>
      </c>
      <c r="D480" s="7">
        <f>C480/E480</f>
        <v/>
      </c>
      <c r="E480" s="7" t="n">
        <v>83.72</v>
      </c>
      <c r="F480" s="7">
        <f>D480/100000</f>
        <v/>
      </c>
      <c r="G480" s="7">
        <f>(F480/DataSheet!$C$11*100)</f>
        <v/>
      </c>
      <c r="H480" s="4">
        <f>K480/I480</f>
        <v/>
      </c>
      <c r="I480" s="4">
        <f>(J480/L480)*100</f>
        <v/>
      </c>
      <c r="J480" s="7">
        <f>L480/O480</f>
        <v/>
      </c>
      <c r="K480" s="4" t="n">
        <v>6.94</v>
      </c>
      <c r="L480" s="4" t="n">
        <v>24834.85</v>
      </c>
      <c r="M480" s="4" t="n">
        <v>4.19</v>
      </c>
      <c r="N480" s="4">
        <f>K480-I480</f>
        <v/>
      </c>
      <c r="O480" s="4" t="n">
        <v>23.4</v>
      </c>
      <c r="P480" s="4" t="n">
        <v>4.23</v>
      </c>
      <c r="Q480" s="7">
        <f>K480-P480</f>
        <v/>
      </c>
      <c r="R480" s="4" t="n">
        <v>104.39</v>
      </c>
      <c r="S480" s="4">
        <f>(O480*T480)</f>
        <v/>
      </c>
      <c r="T480" s="12" t="n">
        <v>6.73</v>
      </c>
      <c r="U480" s="4" t="n">
        <v>21442.4</v>
      </c>
      <c r="V480" s="4" t="n">
        <v>42.9</v>
      </c>
      <c r="W480" s="4">
        <f>U480/V480</f>
        <v/>
      </c>
      <c r="X480" s="4">
        <f>(W480/U480)*100</f>
        <v/>
      </c>
      <c r="Y480" s="4" t="n">
        <v>17647.4</v>
      </c>
      <c r="Z480" s="4" t="n">
        <v>31.46</v>
      </c>
      <c r="AA480" s="4">
        <f>Y480/Z480</f>
        <v/>
      </c>
      <c r="AB480" s="4">
        <f>(AA480/Y480)*100</f>
        <v/>
      </c>
    </row>
    <row r="481">
      <c r="A481" s="5" t="n">
        <v>535</v>
      </c>
      <c r="B481" s="9" t="n">
        <v>45502</v>
      </c>
      <c r="C481" s="4" t="n">
        <v>46023211.2</v>
      </c>
      <c r="D481" s="7">
        <f>C481/E481</f>
        <v/>
      </c>
      <c r="E481" s="7" t="n">
        <v>83.73999999999999</v>
      </c>
      <c r="F481" s="7">
        <f>D481/100000</f>
        <v/>
      </c>
      <c r="G481" s="7">
        <f>(F481/DataSheet!$C$11*100)</f>
        <v/>
      </c>
      <c r="H481" s="4">
        <f>K481/I481</f>
        <v/>
      </c>
      <c r="I481" s="4">
        <f>(J481/L481)*100</f>
        <v/>
      </c>
      <c r="J481" s="7">
        <f>L481/O481</f>
        <v/>
      </c>
      <c r="K481" s="4" t="n">
        <v>6.91</v>
      </c>
      <c r="L481" s="4" t="n">
        <v>24836.1</v>
      </c>
      <c r="M481" s="4" t="n">
        <v>4.19</v>
      </c>
      <c r="N481" s="4">
        <f>K481-I481</f>
        <v/>
      </c>
      <c r="O481" s="4" t="n">
        <v>23.4</v>
      </c>
      <c r="P481" s="4" t="n">
        <v>4.18</v>
      </c>
      <c r="Q481" s="7">
        <f>K481-P481</f>
        <v/>
      </c>
      <c r="R481" s="4" t="n">
        <v>104.56</v>
      </c>
      <c r="S481" s="4">
        <f>(O481*T481)</f>
        <v/>
      </c>
      <c r="T481" s="12" t="n">
        <v>6.63</v>
      </c>
      <c r="U481" s="4" t="n">
        <v>21644.85</v>
      </c>
      <c r="V481" s="4" t="n">
        <v>43.28</v>
      </c>
      <c r="W481" s="4">
        <f>U481/V481</f>
        <v/>
      </c>
      <c r="X481" s="4">
        <f>(W481/U481)*100</f>
        <v/>
      </c>
      <c r="Y481" s="4" t="n">
        <v>17836.55</v>
      </c>
      <c r="Z481" s="4" t="n">
        <v>31.78</v>
      </c>
      <c r="AA481" s="4">
        <f>Y481/Z481</f>
        <v/>
      </c>
      <c r="AB481" s="4">
        <f>(AA481/Y481)*100</f>
        <v/>
      </c>
    </row>
    <row r="482">
      <c r="A482" s="5" t="n">
        <v>536</v>
      </c>
      <c r="B482" s="8" t="n">
        <v>45503</v>
      </c>
      <c r="C482" s="4" t="n">
        <v>46138219.93</v>
      </c>
      <c r="D482" s="7">
        <f>C482/E482</f>
        <v/>
      </c>
      <c r="E482" s="7" t="n">
        <v>83.72</v>
      </c>
      <c r="F482" s="7">
        <f>D482/100000</f>
        <v/>
      </c>
      <c r="G482" s="7">
        <f>(F482/DataSheet!$C$11*100)</f>
        <v/>
      </c>
      <c r="H482" s="4">
        <f>K482/I482</f>
        <v/>
      </c>
      <c r="I482" s="4">
        <f>(J482/L482)*100</f>
        <v/>
      </c>
      <c r="J482" s="7">
        <f>L482/O482</f>
        <v/>
      </c>
      <c r="K482" s="4" t="n">
        <v>6.93</v>
      </c>
      <c r="L482" s="4" t="n">
        <v>24857.3</v>
      </c>
      <c r="M482" s="4" t="n">
        <v>4.19</v>
      </c>
      <c r="N482" s="4">
        <f>K482-I482</f>
        <v/>
      </c>
      <c r="O482" s="4" t="n">
        <v>23.31</v>
      </c>
      <c r="P482" s="4" t="n">
        <v>4.14</v>
      </c>
      <c r="Q482" s="7">
        <f>K482-P482</f>
        <v/>
      </c>
      <c r="R482" s="4" t="n">
        <v>104.55</v>
      </c>
      <c r="S482" s="4">
        <f>(O482*T482)</f>
        <v/>
      </c>
      <c r="T482" s="12" t="n">
        <v>6.63</v>
      </c>
      <c r="U482" s="4" t="n">
        <v>21749.5</v>
      </c>
      <c r="V482" s="4" t="n">
        <v>44.97</v>
      </c>
      <c r="W482" s="4">
        <f>U482/V482</f>
        <v/>
      </c>
      <c r="X482" s="4">
        <f>(W482/U482)*100</f>
        <v/>
      </c>
      <c r="Y482" s="4" t="n">
        <v>17983.3</v>
      </c>
      <c r="Z482" s="4" t="n">
        <v>31.91</v>
      </c>
      <c r="AA482" s="4">
        <f>Y482/Z482</f>
        <v/>
      </c>
      <c r="AB482" s="4">
        <f>(AA482/Y482)*100</f>
        <v/>
      </c>
    </row>
    <row r="483">
      <c r="A483" s="5" t="n">
        <v>537</v>
      </c>
      <c r="B483" s="9" t="n">
        <v>45504</v>
      </c>
      <c r="C483" s="4" t="n">
        <v>46287184.13</v>
      </c>
      <c r="D483" s="7">
        <f>C483/E483</f>
        <v/>
      </c>
      <c r="E483" s="7" t="n">
        <v>83.69</v>
      </c>
      <c r="F483" s="7">
        <f>D483/100000</f>
        <v/>
      </c>
      <c r="G483" s="7">
        <f>(F483/DataSheet!$C$11*100)</f>
        <v/>
      </c>
      <c r="H483" s="4">
        <f>K483/I483</f>
        <v/>
      </c>
      <c r="I483" s="4">
        <f>(J483/L483)*100</f>
        <v/>
      </c>
      <c r="J483" s="7">
        <f>L483/O483</f>
        <v/>
      </c>
      <c r="K483" s="4" t="n">
        <v>6.92</v>
      </c>
      <c r="L483" s="4" t="n">
        <v>24951.15</v>
      </c>
      <c r="M483" s="4" t="n">
        <v>4.21</v>
      </c>
      <c r="N483" s="4">
        <f>K483-I483</f>
        <v/>
      </c>
      <c r="O483" s="4" t="n">
        <v>23.4</v>
      </c>
      <c r="P483" s="4" t="n">
        <v>4.03</v>
      </c>
      <c r="Q483" s="7">
        <f>K483-P483</f>
        <v/>
      </c>
      <c r="R483" s="4" t="n">
        <v>104.1</v>
      </c>
      <c r="S483" s="4">
        <f>(O483*T483)</f>
        <v/>
      </c>
      <c r="T483" s="12" t="n">
        <v>6.65</v>
      </c>
      <c r="U483" s="4" t="n">
        <v>21860.95</v>
      </c>
      <c r="V483" s="4" t="n">
        <v>45.37</v>
      </c>
      <c r="W483" s="4">
        <f>U483/V483</f>
        <v/>
      </c>
      <c r="X483" s="4">
        <f>(W483/U483)*100</f>
        <v/>
      </c>
      <c r="Y483" s="4" t="n">
        <v>17948</v>
      </c>
      <c r="Z483" s="4" t="n">
        <v>31.81</v>
      </c>
      <c r="AA483" s="4">
        <f>Y483/Z483</f>
        <v/>
      </c>
      <c r="AB483" s="4">
        <f>(AA483/Y483)*100</f>
        <v/>
      </c>
    </row>
    <row r="484">
      <c r="A484" s="5" t="n">
        <v>538</v>
      </c>
      <c r="B484" s="9" t="n">
        <v>45505</v>
      </c>
      <c r="C484" s="4" t="n">
        <v>46206138.76</v>
      </c>
      <c r="D484" s="7">
        <f>C484/E484</f>
        <v/>
      </c>
      <c r="E484" s="7" t="n">
        <v>83.70999999999999</v>
      </c>
      <c r="F484" s="7">
        <f>D484/100000</f>
        <v/>
      </c>
      <c r="G484" s="7">
        <f>(F484/DataSheet!$C$11*100)</f>
        <v/>
      </c>
      <c r="H484" s="4">
        <f>K484/I484</f>
        <v/>
      </c>
      <c r="I484" s="4">
        <f>(J484/L484)*100</f>
        <v/>
      </c>
      <c r="J484" s="7">
        <f>L484/O484</f>
        <v/>
      </c>
      <c r="K484" s="4" t="n">
        <v>6.91</v>
      </c>
      <c r="L484" s="4" t="n">
        <v>25010.9</v>
      </c>
      <c r="M484" s="4" t="n">
        <v>4.22</v>
      </c>
      <c r="N484" s="4">
        <f>K484-I484</f>
        <v/>
      </c>
      <c r="O484" s="4" t="n">
        <v>23.45</v>
      </c>
      <c r="P484" s="4" t="n">
        <v>3.98</v>
      </c>
      <c r="Q484" s="7">
        <f>K484-P484</f>
        <v/>
      </c>
      <c r="R484" s="4" t="n">
        <v>104.42</v>
      </c>
      <c r="S484" s="4">
        <f>(O484*T484)</f>
        <v/>
      </c>
      <c r="T484" s="12" t="n">
        <v>6.68</v>
      </c>
      <c r="U484" s="4" t="n">
        <v>21706.45</v>
      </c>
      <c r="V484" s="4" t="n">
        <v>44.87</v>
      </c>
      <c r="W484" s="4">
        <f>U484/V484</f>
        <v/>
      </c>
      <c r="X484" s="4">
        <f>(W484/U484)*100</f>
        <v/>
      </c>
      <c r="Y484" s="4" t="n">
        <v>17825.05</v>
      </c>
      <c r="Z484" s="4" t="n">
        <v>31.54</v>
      </c>
      <c r="AA484" s="4">
        <f>Y484/Z484</f>
        <v/>
      </c>
      <c r="AB484" s="4">
        <f>(AA484/Y484)*100</f>
        <v/>
      </c>
    </row>
    <row r="485">
      <c r="A485" s="5" t="n">
        <v>539</v>
      </c>
      <c r="B485" s="9" t="n">
        <v>45506</v>
      </c>
      <c r="C485" s="4" t="n">
        <v>45764272.12</v>
      </c>
      <c r="D485" s="7">
        <f>C485/E485</f>
        <v/>
      </c>
      <c r="E485" s="7" t="n">
        <v>83.79000000000001</v>
      </c>
      <c r="F485" s="7">
        <f>D485/100000</f>
        <v/>
      </c>
      <c r="G485" s="7">
        <f>(F485/DataSheet!$C$11*100)</f>
        <v/>
      </c>
      <c r="H485" s="4">
        <f>K485/I485</f>
        <v/>
      </c>
      <c r="I485" s="4">
        <f>(J485/L485)*100</f>
        <v/>
      </c>
      <c r="J485" s="7">
        <f>L485/O485</f>
        <v/>
      </c>
      <c r="K485" s="4" t="n">
        <v>6.9</v>
      </c>
      <c r="L485" s="4" t="n">
        <v>24717.7</v>
      </c>
      <c r="M485" s="4" t="n">
        <v>4.17</v>
      </c>
      <c r="N485" s="4">
        <f>K485-I485</f>
        <v/>
      </c>
      <c r="O485" s="4" t="n">
        <v>23.09</v>
      </c>
      <c r="P485" s="4" t="n">
        <v>3.79</v>
      </c>
      <c r="Q485" s="7">
        <f>K485-P485</f>
        <v/>
      </c>
      <c r="R485" s="4" t="n">
        <v>103.21</v>
      </c>
      <c r="S485" s="4">
        <f>(O485*T485)</f>
        <v/>
      </c>
      <c r="T485" s="12" t="n">
        <v>6.68</v>
      </c>
      <c r="U485" s="4" t="n">
        <v>21492.25</v>
      </c>
      <c r="V485" s="4" t="n">
        <v>44.12</v>
      </c>
      <c r="W485" s="4">
        <f>U485/V485</f>
        <v/>
      </c>
      <c r="X485" s="4">
        <f>(W485/U485)*100</f>
        <v/>
      </c>
      <c r="Y485" s="4" t="n">
        <v>17677.65</v>
      </c>
      <c r="Z485" s="4" t="n">
        <v>31.25</v>
      </c>
      <c r="AA485" s="4">
        <f>Y485/Z485</f>
        <v/>
      </c>
      <c r="AB485" s="4">
        <f>(AA485/Y485)*100</f>
        <v/>
      </c>
    </row>
    <row r="486">
      <c r="A486" s="5" t="n">
        <v>542</v>
      </c>
      <c r="B486" s="9" t="n">
        <v>45509</v>
      </c>
      <c r="C486" s="4" t="n">
        <v>44223258.27</v>
      </c>
      <c r="D486" s="7">
        <f>C486/E486</f>
        <v/>
      </c>
      <c r="E486" s="7" t="n">
        <v>84.01000000000001</v>
      </c>
      <c r="F486" s="7">
        <f>D486/100000</f>
        <v/>
      </c>
      <c r="G486" s="7">
        <f>(F486/DataSheet!$C$11*100)</f>
        <v/>
      </c>
      <c r="H486" s="4">
        <f>K486/I486</f>
        <v/>
      </c>
      <c r="I486" s="4">
        <f>(J486/L486)*100</f>
        <v/>
      </c>
      <c r="J486" s="7">
        <f>L486/O486</f>
        <v/>
      </c>
      <c r="K486" s="4" t="n">
        <v>6.86</v>
      </c>
      <c r="L486" s="4" t="n">
        <v>24055.6</v>
      </c>
      <c r="M486" s="4" t="n">
        <v>4.05</v>
      </c>
      <c r="N486" s="4">
        <f>K486-I486</f>
        <v/>
      </c>
      <c r="O486" s="4" t="n">
        <v>22.38</v>
      </c>
      <c r="P486" s="4" t="n">
        <v>3.77</v>
      </c>
      <c r="Q486" s="7">
        <f>K486-P486</f>
        <v/>
      </c>
      <c r="R486" s="4" t="n">
        <v>102.48</v>
      </c>
      <c r="S486" s="4">
        <f>(O486*T486)</f>
        <v/>
      </c>
      <c r="T486" s="12" t="n">
        <v>6.65</v>
      </c>
      <c r="U486" s="4" t="n">
        <v>20734.85</v>
      </c>
      <c r="V486" s="4" t="n">
        <v>42.52</v>
      </c>
      <c r="W486" s="4">
        <f>U486/V486</f>
        <v/>
      </c>
      <c r="X486" s="4">
        <f>(W486/U486)*100</f>
        <v/>
      </c>
      <c r="Y486" s="4" t="n">
        <v>16937.9</v>
      </c>
      <c r="Z486" s="4" t="n">
        <v>29.86</v>
      </c>
      <c r="AA486" s="4">
        <f>Y486/Z486</f>
        <v/>
      </c>
      <c r="AB486" s="4">
        <f>(AA486/Y486)*100</f>
        <v/>
      </c>
    </row>
    <row r="487">
      <c r="A487" s="5" t="n">
        <v>543</v>
      </c>
      <c r="B487" s="9" t="n">
        <v>45510</v>
      </c>
      <c r="C487" s="4" t="n">
        <v>44011151.82</v>
      </c>
      <c r="D487" s="7">
        <f>C487/E487</f>
        <v/>
      </c>
      <c r="E487" s="7" t="n">
        <v>83.93000000000001</v>
      </c>
      <c r="F487" s="7">
        <f>D487/100000</f>
        <v/>
      </c>
      <c r="G487" s="7">
        <f>(F487/DataSheet!$C$11*100)</f>
        <v/>
      </c>
      <c r="H487" s="4">
        <f>K487/I487</f>
        <v/>
      </c>
      <c r="I487" s="4">
        <f>(J487/L487)*100</f>
        <v/>
      </c>
      <c r="J487" s="7">
        <f>L487/O487</f>
        <v/>
      </c>
      <c r="K487" s="4" t="n">
        <v>6.87</v>
      </c>
      <c r="L487" s="4" t="n">
        <v>23992.55</v>
      </c>
      <c r="M487" s="4" t="n">
        <v>4.04</v>
      </c>
      <c r="N487" s="4">
        <f>K487-I487</f>
        <v/>
      </c>
      <c r="O487" s="4" t="n">
        <v>22.3</v>
      </c>
      <c r="P487" s="4" t="n">
        <v>3.88</v>
      </c>
      <c r="Q487" s="7">
        <f>K487-P487</f>
        <v/>
      </c>
      <c r="R487" s="4" t="n">
        <v>102.75</v>
      </c>
      <c r="S487" s="4">
        <f>(O487*T487)</f>
        <v/>
      </c>
      <c r="T487" s="12" t="n">
        <v>6.63</v>
      </c>
      <c r="U487" s="4" t="n">
        <v>20611.15</v>
      </c>
      <c r="V487" s="4" t="n">
        <v>42.39</v>
      </c>
      <c r="W487" s="4">
        <f>U487/V487</f>
        <v/>
      </c>
      <c r="X487" s="4">
        <f>(W487/U487)*100</f>
        <v/>
      </c>
      <c r="Y487" s="4" t="n">
        <v>16871.85</v>
      </c>
      <c r="Z487" s="4" t="n">
        <v>29.68</v>
      </c>
      <c r="AA487" s="4">
        <f>Y487/Z487</f>
        <v/>
      </c>
      <c r="AB487" s="4">
        <f>(AA487/Y487)*100</f>
        <v/>
      </c>
    </row>
    <row r="488">
      <c r="A488" s="5" t="n">
        <v>544</v>
      </c>
      <c r="B488" s="8" t="n">
        <v>45511</v>
      </c>
      <c r="C488" s="4" t="n">
        <v>44905295.76</v>
      </c>
      <c r="D488" s="7">
        <f>C488/E488</f>
        <v/>
      </c>
      <c r="E488" s="7" t="n">
        <v>83.88</v>
      </c>
      <c r="F488" s="7">
        <f>D488/100000</f>
        <v/>
      </c>
      <c r="G488" s="7">
        <f>(F488/DataSheet!$C$11*100)</f>
        <v/>
      </c>
      <c r="H488" s="4">
        <f>K488/I488</f>
        <v/>
      </c>
      <c r="I488" s="4">
        <f>(J488/L488)*100</f>
        <v/>
      </c>
      <c r="J488" s="7">
        <f>L488/O488</f>
        <v/>
      </c>
      <c r="K488" s="4" t="n">
        <v>6.86</v>
      </c>
      <c r="L488" s="4" t="n">
        <v>24297.5</v>
      </c>
      <c r="M488" s="4" t="n">
        <v>4.09</v>
      </c>
      <c r="N488" s="4">
        <f>K488-I488</f>
        <v/>
      </c>
      <c r="O488" s="4" t="n">
        <v>22.61</v>
      </c>
      <c r="P488" s="4" t="n">
        <v>3.92</v>
      </c>
      <c r="Q488" s="7">
        <f>K488-P488</f>
        <v/>
      </c>
      <c r="R488" s="4" t="n">
        <v>102.99</v>
      </c>
      <c r="S488" s="4">
        <f>(O488*T488)</f>
        <v/>
      </c>
      <c r="T488" s="12" t="n">
        <v>6.63</v>
      </c>
      <c r="U488" s="4" t="n">
        <v>21063.7</v>
      </c>
      <c r="V488" s="4" t="n">
        <v>43.43</v>
      </c>
      <c r="W488" s="4">
        <f>U488/V488</f>
        <v/>
      </c>
      <c r="X488" s="4">
        <f>(W488/U488)*100</f>
        <v/>
      </c>
      <c r="Y488" s="4" t="n">
        <v>17274.9</v>
      </c>
      <c r="Z488" s="4" t="n">
        <v>30.45</v>
      </c>
      <c r="AA488" s="4">
        <f>Y488/Z488</f>
        <v/>
      </c>
      <c r="AB488" s="4">
        <f>(AA488/Y488)*100</f>
        <v/>
      </c>
    </row>
    <row r="489">
      <c r="A489" s="5" t="n">
        <v>545</v>
      </c>
      <c r="B489" s="9" t="n">
        <v>45512</v>
      </c>
      <c r="C489" s="4" t="n">
        <v>44637476.84</v>
      </c>
      <c r="D489" s="7">
        <f>C489/E489</f>
        <v/>
      </c>
      <c r="E489" s="7" t="n">
        <v>83.98999999999999</v>
      </c>
      <c r="F489" s="7">
        <f>D489/100000</f>
        <v/>
      </c>
      <c r="G489" s="7">
        <f>(F489/DataSheet!$C$11*100)</f>
        <v/>
      </c>
      <c r="H489" s="4">
        <f>K489/I489</f>
        <v/>
      </c>
      <c r="I489" s="4">
        <f>(J489/L489)*100</f>
        <v/>
      </c>
      <c r="J489" s="7">
        <f>L489/O489</f>
        <v/>
      </c>
      <c r="K489" s="4" t="n">
        <v>6.87</v>
      </c>
      <c r="L489" s="4" t="n">
        <v>24117</v>
      </c>
      <c r="M489" s="4" t="n">
        <v>4.06</v>
      </c>
      <c r="N489" s="4">
        <f>K489-I489</f>
        <v/>
      </c>
      <c r="O489" s="4" t="n">
        <v>22.44</v>
      </c>
      <c r="P489" s="4" t="n">
        <v>3.99</v>
      </c>
      <c r="Q489" s="7">
        <f>K489-P489</f>
        <v/>
      </c>
      <c r="R489" s="4" t="n">
        <v>103.02</v>
      </c>
      <c r="S489" s="4">
        <f>(O489*T489)</f>
        <v/>
      </c>
      <c r="T489" s="12" t="n">
        <v>6.66</v>
      </c>
      <c r="U489" s="4" t="n">
        <v>20991</v>
      </c>
      <c r="V489" s="4" t="n">
        <v>43.14</v>
      </c>
      <c r="W489" s="4">
        <f>U489/V489</f>
        <v/>
      </c>
      <c r="X489" s="4">
        <f>(W489/U489)*100</f>
        <v/>
      </c>
      <c r="Y489" s="4" t="n">
        <v>17226.15</v>
      </c>
      <c r="Z489" s="4" t="n">
        <v>30.57</v>
      </c>
      <c r="AA489" s="4">
        <f>Y489/Z489</f>
        <v/>
      </c>
      <c r="AB489" s="4">
        <f>(AA489/Y489)*100</f>
        <v/>
      </c>
    </row>
    <row r="490">
      <c r="A490" s="5" t="n">
        <v>546</v>
      </c>
      <c r="B490" s="9" t="n">
        <v>45513</v>
      </c>
      <c r="C490" s="4" t="n">
        <v>45087644.26</v>
      </c>
      <c r="D490" s="4">
        <f>C490/E490</f>
        <v/>
      </c>
      <c r="E490" s="4" t="n">
        <v>83.94</v>
      </c>
      <c r="F490" s="4">
        <f>D490/100000</f>
        <v/>
      </c>
      <c r="G490" s="7">
        <f>(F490/DataSheet!$C$11*100)</f>
        <v/>
      </c>
      <c r="H490" s="4">
        <f>K490/I490</f>
        <v/>
      </c>
      <c r="I490" s="4">
        <f>(J490/L490)*100</f>
        <v/>
      </c>
      <c r="J490" s="7">
        <f>L490/O490</f>
        <v/>
      </c>
      <c r="K490" s="4" t="n">
        <v>6.88</v>
      </c>
      <c r="L490" s="4" t="n">
        <v>24367.5</v>
      </c>
      <c r="M490" s="4" t="n">
        <v>4.11</v>
      </c>
      <c r="N490" s="4">
        <f>K490-I490</f>
        <v/>
      </c>
      <c r="O490" s="4" t="n">
        <v>22.67</v>
      </c>
      <c r="P490" s="4" t="n">
        <v>3.94</v>
      </c>
      <c r="Q490" s="7">
        <f>K490-P490</f>
        <v/>
      </c>
      <c r="R490" s="4" t="n">
        <v>102.95</v>
      </c>
      <c r="S490" s="4">
        <f>(O490*T490)</f>
        <v/>
      </c>
      <c r="T490" s="12" t="n">
        <v>6.65</v>
      </c>
      <c r="U490" s="4" t="n">
        <v>21151.35</v>
      </c>
      <c r="V490" s="4" t="n">
        <v>43.51</v>
      </c>
      <c r="W490" s="4">
        <f>U490/V490</f>
        <v/>
      </c>
      <c r="X490" s="4">
        <f>(W490/U490)*100</f>
        <v/>
      </c>
      <c r="Y490" s="4" t="n">
        <v>17335.9</v>
      </c>
      <c r="Z490" s="4" t="n">
        <v>30.68</v>
      </c>
      <c r="AA490" s="4">
        <f>Y490/Z490</f>
        <v/>
      </c>
      <c r="AB490" s="4">
        <f>(AA490/Y490)*100</f>
        <v/>
      </c>
    </row>
    <row r="491">
      <c r="A491" s="5" t="n">
        <v>549</v>
      </c>
      <c r="B491" s="9" t="n">
        <v>45516</v>
      </c>
      <c r="C491" s="4" t="n">
        <v>45030066.12</v>
      </c>
      <c r="D491" s="4">
        <f>C491/E491</f>
        <v/>
      </c>
      <c r="E491" s="7" t="n">
        <v>83.93000000000001</v>
      </c>
      <c r="F491" s="4">
        <f>D491/100000</f>
        <v/>
      </c>
      <c r="G491" s="7">
        <f>(F491/DataSheet!$C$11*100)</f>
        <v/>
      </c>
      <c r="H491" s="4">
        <f>K491/I491</f>
        <v/>
      </c>
      <c r="I491" s="4">
        <f>(J491/L491)*100</f>
        <v/>
      </c>
      <c r="J491" s="7">
        <f>L491/O491</f>
        <v/>
      </c>
      <c r="K491" s="4" t="n">
        <v>6.879</v>
      </c>
      <c r="L491" s="4" t="n">
        <v>24347</v>
      </c>
      <c r="M491" s="4" t="n">
        <v>4.1</v>
      </c>
      <c r="N491" s="4">
        <f>K491-I491</f>
        <v/>
      </c>
      <c r="O491" s="4" t="n">
        <v>22.65</v>
      </c>
      <c r="P491" s="4" t="n">
        <v>3.907</v>
      </c>
      <c r="Q491" s="7">
        <f>K491-P491</f>
        <v/>
      </c>
      <c r="R491" s="4" t="n">
        <v>103.14</v>
      </c>
      <c r="S491" s="4">
        <f>(O491*T491)</f>
        <v/>
      </c>
      <c r="T491" s="12" t="n">
        <v>6.64</v>
      </c>
      <c r="U491" s="4" t="n">
        <v>21208.7</v>
      </c>
      <c r="V491" s="7" t="n">
        <v>43.41</v>
      </c>
      <c r="W491" s="4">
        <f>U491/V491</f>
        <v/>
      </c>
      <c r="X491" s="4">
        <f>(W491/U491)*100</f>
        <v/>
      </c>
      <c r="Y491" s="4" t="n">
        <v>22379.75</v>
      </c>
      <c r="Z491" s="4" t="n">
        <v>30.67</v>
      </c>
      <c r="AA491" s="4">
        <f>Y491/Z491</f>
        <v/>
      </c>
      <c r="AB491" s="4">
        <f>(AA491/Y491)*100</f>
        <v/>
      </c>
    </row>
    <row r="492">
      <c r="A492" s="5" t="n">
        <v>550</v>
      </c>
      <c r="B492" s="9" t="n">
        <v>45517</v>
      </c>
      <c r="C492" s="4" t="n">
        <v>44597885.12</v>
      </c>
      <c r="D492" s="4">
        <f>C492/E492</f>
        <v/>
      </c>
      <c r="E492" s="7" t="n">
        <v>83.91</v>
      </c>
      <c r="F492" s="4">
        <f>D492/100000</f>
        <v/>
      </c>
      <c r="G492" s="7">
        <f>(F492/DataSheet!$C$11*100)</f>
        <v/>
      </c>
      <c r="H492" s="4">
        <f>K492/I492</f>
        <v/>
      </c>
      <c r="I492" s="4">
        <f>(J492/L492)*100</f>
        <v/>
      </c>
      <c r="J492" s="7">
        <f>L492/O492</f>
        <v/>
      </c>
      <c r="K492" s="4" t="n">
        <v>6.88</v>
      </c>
      <c r="L492" s="4" t="n">
        <v>24139</v>
      </c>
      <c r="M492" s="4" t="n">
        <v>4.07</v>
      </c>
      <c r="N492" s="4">
        <f>K492-I492</f>
        <v/>
      </c>
      <c r="O492" s="4" t="n">
        <v>22.46</v>
      </c>
      <c r="P492" s="4" t="n">
        <v>3.846</v>
      </c>
      <c r="Q492" s="7">
        <f>K492-P492</f>
        <v/>
      </c>
      <c r="R492" s="4" t="n">
        <v>102.56</v>
      </c>
      <c r="S492" s="4">
        <f>(O492*T492)</f>
        <v/>
      </c>
      <c r="T492" s="12" t="n">
        <v>6.64</v>
      </c>
      <c r="U492" s="4" t="n">
        <v>21044.95</v>
      </c>
      <c r="V492" s="7" t="n">
        <v>42.89</v>
      </c>
      <c r="W492" s="4">
        <f>U492/V492</f>
        <v/>
      </c>
      <c r="X492" s="4">
        <f>(W492/U492)*100</f>
        <v/>
      </c>
      <c r="Y492" s="4" t="n">
        <v>22311.95</v>
      </c>
      <c r="Z492" s="4" t="n">
        <v>30.03</v>
      </c>
      <c r="AA492" s="4">
        <f>Y492/Z492</f>
        <v/>
      </c>
      <c r="AB492" s="4">
        <f>(AA492/Y492)*100</f>
        <v/>
      </c>
    </row>
    <row r="493">
      <c r="A493" s="5" t="n">
        <v>551</v>
      </c>
      <c r="B493" s="9" t="n">
        <v>45518</v>
      </c>
      <c r="C493" s="4" t="n">
        <v>44492637.03</v>
      </c>
      <c r="D493" s="4">
        <f>C493/E493</f>
        <v/>
      </c>
      <c r="E493" s="7" t="n">
        <v>83.95999999999999</v>
      </c>
      <c r="F493" s="4">
        <f>D493/100000</f>
        <v/>
      </c>
      <c r="G493" s="7">
        <f>(F493/DataSheet!$C$11*100)</f>
        <v/>
      </c>
      <c r="H493" s="4">
        <f>K493/I493</f>
        <v/>
      </c>
      <c r="I493" s="4">
        <f>(J493/L493)*100</f>
        <v/>
      </c>
      <c r="J493" s="7">
        <f>L493/O493</f>
        <v/>
      </c>
      <c r="K493" s="4" t="n">
        <v>6.858</v>
      </c>
      <c r="L493" s="4" t="n">
        <v>24143.75</v>
      </c>
      <c r="M493" s="4" t="n">
        <v>4.07</v>
      </c>
      <c r="N493" s="4">
        <f>K493-I493</f>
        <v/>
      </c>
      <c r="O493" s="4" t="n">
        <v>22.47</v>
      </c>
      <c r="P493" s="4" t="n">
        <v>3.839</v>
      </c>
      <c r="Q493" s="7">
        <f>K493-P493</f>
        <v/>
      </c>
      <c r="R493" s="4" t="n">
        <v>102.57</v>
      </c>
      <c r="S493" s="4">
        <f>(O493*T493)</f>
        <v/>
      </c>
      <c r="T493" s="12" t="n">
        <v>6.62</v>
      </c>
      <c r="U493" s="4" t="n">
        <v>20917.75</v>
      </c>
      <c r="V493" s="7" t="n">
        <v>42.56</v>
      </c>
      <c r="W493" s="4">
        <f>U493/V493</f>
        <v/>
      </c>
      <c r="X493" s="4">
        <f>(W493/U493)*100</f>
        <v/>
      </c>
      <c r="Y493" s="4" t="n">
        <v>22360.85</v>
      </c>
      <c r="Z493" s="4" t="n">
        <v>29.65</v>
      </c>
      <c r="AA493" s="4">
        <f>Y493/Z493</f>
        <v/>
      </c>
      <c r="AB493" s="4">
        <f>(AA493/Y493)*100</f>
        <v/>
      </c>
    </row>
    <row r="494">
      <c r="A494" s="5" t="n">
        <v>553</v>
      </c>
      <c r="B494" s="9" t="n">
        <v>45520</v>
      </c>
      <c r="C494" s="4" t="n">
        <v>45222585.44</v>
      </c>
      <c r="D494" s="4">
        <f>C494/E494</f>
        <v/>
      </c>
      <c r="E494" s="7" t="n">
        <v>83.88</v>
      </c>
      <c r="F494" s="4">
        <f>D494/100000</f>
        <v/>
      </c>
      <c r="G494" s="7">
        <f>(F494/DataSheet!$C$11*100)</f>
        <v/>
      </c>
      <c r="H494" s="4">
        <f>K494/I494</f>
        <v/>
      </c>
      <c r="I494" s="4">
        <f>(J494/L494)*100</f>
        <v/>
      </c>
      <c r="J494" s="7">
        <f>L494/O494</f>
        <v/>
      </c>
      <c r="K494" s="4" t="n">
        <v>6.867</v>
      </c>
      <c r="L494" s="4" t="n">
        <v>24541.15</v>
      </c>
      <c r="M494" s="4" t="n">
        <v>4.14</v>
      </c>
      <c r="N494" s="4">
        <f>K494-I494</f>
        <v/>
      </c>
      <c r="O494" s="4" t="n">
        <v>22.8</v>
      </c>
      <c r="P494" s="4" t="n">
        <v>3.883</v>
      </c>
      <c r="Q494" s="7">
        <f>K494-P494</f>
        <v/>
      </c>
      <c r="R494" s="4" t="n">
        <v>102.46</v>
      </c>
      <c r="S494" s="4">
        <f>(O494*T494)</f>
        <v/>
      </c>
      <c r="T494" s="12" t="n">
        <v>6.63</v>
      </c>
      <c r="U494" s="4" t="n">
        <v>21298.35</v>
      </c>
      <c r="V494" s="7" t="n">
        <v>43.09</v>
      </c>
      <c r="W494" s="4">
        <f>U494/V494</f>
        <v/>
      </c>
      <c r="X494" s="4">
        <f>(W494/U494)*100</f>
        <v/>
      </c>
      <c r="Y494" s="4" t="n">
        <v>22367.85</v>
      </c>
      <c r="Z494" s="4" t="n">
        <v>30.21</v>
      </c>
      <c r="AA494" s="4">
        <f>Y494/Z494</f>
        <v/>
      </c>
      <c r="AB494" s="4">
        <f>(AA494/Y494)*100</f>
        <v/>
      </c>
    </row>
    <row r="495">
      <c r="A495" s="5" t="n">
        <v>556</v>
      </c>
      <c r="B495" s="8" t="n">
        <v>45523</v>
      </c>
      <c r="C495" s="4" t="n">
        <v>45495630.17</v>
      </c>
      <c r="D495" s="4">
        <f>C495/E495</f>
        <v/>
      </c>
      <c r="E495" s="7" t="n">
        <v>83.84999999999999</v>
      </c>
      <c r="F495" s="4">
        <f>D495/100000</f>
        <v/>
      </c>
      <c r="G495" s="7">
        <f>(F495/DataSheet!$C$11*100)</f>
        <v/>
      </c>
      <c r="H495" s="4">
        <f>K495/I495</f>
        <v/>
      </c>
      <c r="I495" s="4">
        <f>(J495/L495)*100</f>
        <v/>
      </c>
      <c r="J495" s="7">
        <f>L495/O495</f>
        <v/>
      </c>
      <c r="K495" s="4" t="n">
        <v>6.864</v>
      </c>
      <c r="L495" s="4" t="n">
        <v>24572.65</v>
      </c>
      <c r="M495" s="4" t="n">
        <v>4.14</v>
      </c>
      <c r="N495" s="4">
        <f>K495-I495</f>
        <v/>
      </c>
      <c r="O495" s="4" t="n">
        <v>22.83</v>
      </c>
      <c r="P495" s="4" t="n">
        <v>3.875</v>
      </c>
      <c r="Q495" s="7">
        <f>K495-P495</f>
        <v/>
      </c>
      <c r="R495" s="4" t="n">
        <v>101.89</v>
      </c>
      <c r="S495" s="4">
        <f>(O495*T495)</f>
        <v/>
      </c>
      <c r="T495" s="12" t="n">
        <v>6.56</v>
      </c>
      <c r="U495" s="4" t="n">
        <v>21351.4</v>
      </c>
      <c r="V495" s="7" t="n">
        <v>43.16</v>
      </c>
      <c r="W495" s="4">
        <f>U495/V495</f>
        <v/>
      </c>
      <c r="X495" s="4">
        <f>(W495/U495)*100</f>
        <v/>
      </c>
      <c r="Y495" s="4" t="n">
        <v>22357.4</v>
      </c>
      <c r="Z495" s="4" t="n">
        <v>30.65</v>
      </c>
      <c r="AA495" s="4">
        <f>Y495/Z495</f>
        <v/>
      </c>
      <c r="AB495" s="4">
        <f>(AA495/Y495)*100</f>
        <v/>
      </c>
    </row>
    <row r="496">
      <c r="A496" s="5" t="n">
        <v>557</v>
      </c>
      <c r="B496" s="9" t="n">
        <v>45524</v>
      </c>
      <c r="C496" s="4" t="n">
        <v>45757953.43</v>
      </c>
      <c r="D496" s="4">
        <f>C496/E496</f>
        <v/>
      </c>
      <c r="E496" s="7" t="n">
        <v>83.75</v>
      </c>
      <c r="F496" s="4">
        <f>D496/100000</f>
        <v/>
      </c>
      <c r="G496" s="7">
        <f>(F496/DataSheet!$C$11*100)</f>
        <v/>
      </c>
      <c r="H496" s="4">
        <f>K496/I496</f>
        <v/>
      </c>
      <c r="I496" s="4">
        <f>(J496/L496)*100</f>
        <v/>
      </c>
      <c r="J496" s="7">
        <f>L496/O496</f>
        <v/>
      </c>
      <c r="K496" s="4" t="n">
        <v>6.856</v>
      </c>
      <c r="L496" s="4" t="n">
        <v>24698.85</v>
      </c>
      <c r="M496" s="4" t="n">
        <v>4.16</v>
      </c>
      <c r="N496" s="4">
        <f>K496-I496</f>
        <v/>
      </c>
      <c r="O496" s="4" t="n">
        <v>22.95</v>
      </c>
      <c r="P496" s="4" t="n">
        <v>3.81</v>
      </c>
      <c r="Q496" s="7">
        <f>K496-P496</f>
        <v/>
      </c>
      <c r="R496" s="4" t="n">
        <v>101.44</v>
      </c>
      <c r="S496" s="4">
        <f>(O496*T496)</f>
        <v/>
      </c>
      <c r="T496" s="12" t="n">
        <v>6.6</v>
      </c>
      <c r="U496" s="4" t="n">
        <v>21529.05</v>
      </c>
      <c r="V496" s="7" t="n">
        <v>43.52</v>
      </c>
      <c r="W496" s="4">
        <f>U496/V496</f>
        <v/>
      </c>
      <c r="X496" s="4">
        <f>(W496/U496)*100</f>
        <v/>
      </c>
      <c r="Y496" s="4" t="n">
        <v>22493.5</v>
      </c>
      <c r="Z496" s="4" t="n">
        <v>30.82</v>
      </c>
      <c r="AA496" s="4">
        <f>Y496/Z496</f>
        <v/>
      </c>
      <c r="AB496" s="4">
        <f>(AA496/Y496)*100</f>
        <v/>
      </c>
    </row>
    <row r="497">
      <c r="A497" s="5" t="n">
        <v>558</v>
      </c>
      <c r="B497" s="9" t="n">
        <v>45525</v>
      </c>
      <c r="C497" s="4" t="n">
        <v>46003536.94</v>
      </c>
      <c r="D497" s="4">
        <f>C497/E497</f>
        <v/>
      </c>
      <c r="E497" s="7" t="n">
        <v>83.87</v>
      </c>
      <c r="F497" s="4">
        <f>D497/100000</f>
        <v/>
      </c>
      <c r="G497" s="7">
        <f>(F497/DataSheet!$C$11*100)</f>
        <v/>
      </c>
      <c r="H497" s="4">
        <f>K497/I497</f>
        <v/>
      </c>
      <c r="I497" s="4">
        <f>(J497/L497)*100</f>
        <v/>
      </c>
      <c r="J497" s="7">
        <f>L497/O497</f>
        <v/>
      </c>
      <c r="K497" s="4" t="n">
        <v>6.853</v>
      </c>
      <c r="L497" s="4" t="n">
        <v>24770.2</v>
      </c>
      <c r="M497" s="4" t="n">
        <v>4.17</v>
      </c>
      <c r="N497" s="4">
        <f>K497-I497</f>
        <v/>
      </c>
      <c r="O497" s="4" t="n">
        <v>23.01</v>
      </c>
      <c r="P497" s="4" t="n">
        <v>3.799</v>
      </c>
      <c r="Q497" s="7">
        <f>K497-P497</f>
        <v/>
      </c>
      <c r="R497" s="4" t="n">
        <v>101.04</v>
      </c>
      <c r="S497" s="4">
        <f>(O497*T497)</f>
        <v/>
      </c>
      <c r="T497" s="12" t="n">
        <v>6.61</v>
      </c>
      <c r="U497" s="4" t="n">
        <v>21617.7</v>
      </c>
      <c r="V497" s="7" t="n">
        <v>43.7</v>
      </c>
      <c r="W497" s="4">
        <f>U497/V497</f>
        <v/>
      </c>
      <c r="X497" s="4">
        <f>(W497/U497)*100</f>
        <v/>
      </c>
      <c r="Y497" s="4" t="n">
        <v>22423.7</v>
      </c>
      <c r="Z497" s="4" t="n">
        <v>31.16</v>
      </c>
      <c r="AA497" s="4">
        <f>Y497/Z497</f>
        <v/>
      </c>
      <c r="AB497" s="4">
        <f>(AA497/Y497)*100</f>
        <v/>
      </c>
    </row>
    <row r="498">
      <c r="A498" s="5" t="n">
        <v>559</v>
      </c>
      <c r="B498" s="9" t="n">
        <v>45526</v>
      </c>
      <c r="C498" s="4" t="n">
        <v>46134977.4</v>
      </c>
      <c r="D498" s="4">
        <f>C498/E498</f>
        <v/>
      </c>
      <c r="E498" s="7" t="n">
        <v>83.93000000000001</v>
      </c>
      <c r="F498" s="4">
        <f>D498/100000</f>
        <v/>
      </c>
      <c r="G498" s="7">
        <f>(F498/DataSheet!$C$11*100)</f>
        <v/>
      </c>
      <c r="H498" s="4">
        <f>K498/I498</f>
        <v/>
      </c>
      <c r="I498" s="4">
        <f>(J498/L498)*100</f>
        <v/>
      </c>
      <c r="J498" s="7">
        <f>L498/O498</f>
        <v/>
      </c>
      <c r="K498" s="4" t="n">
        <v>6.852</v>
      </c>
      <c r="L498" s="4" t="n">
        <v>24811.5</v>
      </c>
      <c r="M498" s="4" t="n">
        <v>4.18</v>
      </c>
      <c r="N498" s="4">
        <f>K498-I498</f>
        <v/>
      </c>
      <c r="O498" s="4" t="n">
        <v>23.05</v>
      </c>
      <c r="P498" s="4" t="n">
        <v>3.858</v>
      </c>
      <c r="Q498" s="7">
        <f>K498-P498</f>
        <v/>
      </c>
      <c r="R498" s="4" t="n">
        <v>101.51</v>
      </c>
      <c r="S498" s="4">
        <f>(O498*T498)</f>
        <v/>
      </c>
      <c r="T498" s="12" t="n">
        <v>6.66</v>
      </c>
      <c r="U498" s="4" t="n">
        <v>21760.35</v>
      </c>
      <c r="V498" s="7" t="n">
        <v>43.99</v>
      </c>
      <c r="W498" s="4">
        <f>U498/V498</f>
        <v/>
      </c>
      <c r="X498" s="4">
        <f>(W498/U498)*100</f>
        <v/>
      </c>
      <c r="Y498" s="4" t="n">
        <v>22256.1</v>
      </c>
      <c r="Z498" s="4" t="n">
        <v>31.25</v>
      </c>
      <c r="AA498" s="4">
        <f>Y498/Z498</f>
        <v/>
      </c>
      <c r="AB498" s="4">
        <f>(AA498/Y498)*100</f>
        <v/>
      </c>
    </row>
    <row r="499">
      <c r="A499" s="5" t="n">
        <v>560</v>
      </c>
      <c r="B499" s="8" t="n">
        <v>45527</v>
      </c>
      <c r="C499" s="4" t="n">
        <v>46076227.7</v>
      </c>
      <c r="D499" s="4">
        <f>C499/E499</f>
        <v/>
      </c>
      <c r="E499" s="7" t="n">
        <v>83.809</v>
      </c>
      <c r="F499" s="4">
        <f>D499/100000</f>
        <v/>
      </c>
      <c r="G499" s="7">
        <f>(F499/DataSheet!$C$11*100)</f>
        <v/>
      </c>
      <c r="H499" s="4">
        <f>K499/I499</f>
        <v/>
      </c>
      <c r="I499" s="4">
        <f>(J499/L499)*100</f>
        <v/>
      </c>
      <c r="J499" s="7">
        <f>L499/O499</f>
        <v/>
      </c>
      <c r="K499" s="4" t="n">
        <v>6.859</v>
      </c>
      <c r="L499" s="4" t="n">
        <v>24823.15</v>
      </c>
      <c r="M499" s="4" t="n">
        <v>4.18</v>
      </c>
      <c r="N499" s="4">
        <f>K499-I499</f>
        <v/>
      </c>
      <c r="O499" s="4" t="n">
        <v>23.06</v>
      </c>
      <c r="P499" s="4" t="n">
        <v>3.795</v>
      </c>
      <c r="Q499" s="7">
        <f>K499-P499</f>
        <v/>
      </c>
      <c r="R499" s="4" t="n">
        <v>100.72</v>
      </c>
      <c r="S499" s="4">
        <f>(O499*T499)</f>
        <v/>
      </c>
      <c r="T499" s="12" t="n">
        <v>6.65</v>
      </c>
      <c r="U499" s="4" t="n">
        <v>21645.65</v>
      </c>
      <c r="V499" s="7" t="n">
        <v>43.76</v>
      </c>
      <c r="W499" s="4">
        <f>U499/V499</f>
        <v/>
      </c>
      <c r="X499" s="4">
        <f>(W499/U499)*100</f>
        <v/>
      </c>
      <c r="Y499" s="4" t="n">
        <v>21965.15</v>
      </c>
      <c r="Z499" s="4" t="n">
        <v>31.29</v>
      </c>
      <c r="AA499" s="4">
        <f>Y499/Z499</f>
        <v/>
      </c>
      <c r="AB499" s="4">
        <f>(AA499/Y499)*100</f>
        <v/>
      </c>
    </row>
    <row r="500">
      <c r="A500" s="5" t="n">
        <v>563</v>
      </c>
      <c r="B500" s="9" t="n">
        <v>45530</v>
      </c>
      <c r="C500" s="4" t="n">
        <v>46295933.68</v>
      </c>
      <c r="D500" s="4">
        <f>C500/E500</f>
        <v/>
      </c>
      <c r="E500" s="7" t="n">
        <v>83.84</v>
      </c>
      <c r="F500" s="4">
        <f>D500/100000</f>
        <v/>
      </c>
      <c r="G500" s="7">
        <f>(F500/DataSheet!$C$11*100)</f>
        <v/>
      </c>
      <c r="H500" s="4">
        <f>K500/I500</f>
        <v/>
      </c>
      <c r="I500" s="4">
        <f>(J500/L500)*100</f>
        <v/>
      </c>
      <c r="J500" s="7">
        <f>L500/O500</f>
        <v/>
      </c>
      <c r="K500" s="4" t="n">
        <v>6.851</v>
      </c>
      <c r="L500" s="4" t="n">
        <v>25010.6</v>
      </c>
      <c r="M500" s="4" t="n">
        <v>4.21</v>
      </c>
      <c r="N500" s="4">
        <f>K500-I500</f>
        <v/>
      </c>
      <c r="O500" s="4" t="n">
        <v>23.24</v>
      </c>
      <c r="P500" s="4" t="n">
        <v>3.82</v>
      </c>
      <c r="Q500" s="7">
        <f>K500-P500</f>
        <v/>
      </c>
      <c r="R500" s="4" t="n">
        <v>100.85</v>
      </c>
      <c r="S500" s="4">
        <f>(O500*T500)</f>
        <v/>
      </c>
      <c r="T500" s="12" t="n">
        <v>6.65</v>
      </c>
      <c r="U500" s="4" t="n">
        <v>21758.45</v>
      </c>
      <c r="V500" s="7" t="n">
        <v>43.99</v>
      </c>
      <c r="W500" s="4">
        <f>U500/V500</f>
        <v/>
      </c>
      <c r="X500" s="4">
        <f>(W500/U500)*100</f>
        <v/>
      </c>
      <c r="Y500" s="4" t="n">
        <v>22079.9</v>
      </c>
      <c r="Z500" s="4" t="n">
        <v>31.42</v>
      </c>
      <c r="AA500" s="4">
        <f>Y500/Z500</f>
        <v/>
      </c>
      <c r="AB500" s="4">
        <f>(AA500/Y500)*100</f>
        <v/>
      </c>
    </row>
    <row r="501">
      <c r="A501" s="5" t="n">
        <v>564</v>
      </c>
      <c r="B501" s="8" t="n">
        <v>45531</v>
      </c>
      <c r="C501" s="4" t="n">
        <v>46401936.54</v>
      </c>
      <c r="D501" s="4">
        <f>C501/E501</f>
        <v/>
      </c>
      <c r="E501" s="7" t="n">
        <v>83.91</v>
      </c>
      <c r="F501" s="4">
        <f>D501/100000</f>
        <v/>
      </c>
      <c r="G501" s="7">
        <f>(F501/DataSheet!$C$11*100)</f>
        <v/>
      </c>
      <c r="H501" s="4">
        <f>K501/I501</f>
        <v/>
      </c>
      <c r="I501" s="4">
        <f>(J501/L501)*100</f>
        <v/>
      </c>
      <c r="J501" s="7">
        <f>L501/O501</f>
        <v/>
      </c>
      <c r="K501" s="4" t="n">
        <v>6.861</v>
      </c>
      <c r="L501" s="4" t="n">
        <v>25017.75</v>
      </c>
      <c r="M501" s="4" t="n">
        <v>4.22</v>
      </c>
      <c r="N501" s="4">
        <f>K501-I501</f>
        <v/>
      </c>
      <c r="O501" s="4" t="n">
        <v>23.24</v>
      </c>
      <c r="P501" s="4" t="n">
        <v>3.829</v>
      </c>
      <c r="Q501" s="7">
        <f>K501-P501</f>
        <v/>
      </c>
      <c r="R501" s="4" t="n">
        <v>100.55</v>
      </c>
      <c r="S501" s="4">
        <f>(O501*T501)</f>
        <v/>
      </c>
      <c r="T501" s="12" t="n">
        <v>6.64</v>
      </c>
      <c r="U501" s="4" t="n">
        <v>21869.75</v>
      </c>
      <c r="V501" s="7" t="n">
        <v>44.21</v>
      </c>
      <c r="W501" s="4">
        <f>U501/V501</f>
        <v/>
      </c>
      <c r="X501" s="4">
        <f>(W501/U501)*100</f>
        <v/>
      </c>
      <c r="Y501" s="4" t="n">
        <v>22235.35</v>
      </c>
      <c r="Z501" s="4" t="n">
        <v>31.66</v>
      </c>
      <c r="AA501" s="4">
        <f>Y501/Z501</f>
        <v/>
      </c>
      <c r="AB501" s="4">
        <f>(AA501/Y501)*100</f>
        <v/>
      </c>
    </row>
    <row r="502">
      <c r="A502" s="5" t="n">
        <v>565</v>
      </c>
      <c r="B502" s="8" t="n">
        <v>45532</v>
      </c>
      <c r="C502" s="4" t="n">
        <v>46387121.74</v>
      </c>
      <c r="D502" s="4">
        <f>C502/E502</f>
        <v/>
      </c>
      <c r="E502" s="7" t="n">
        <v>83.90000000000001</v>
      </c>
      <c r="F502" s="4">
        <f>D502/100000</f>
        <v/>
      </c>
      <c r="G502" s="7">
        <f>(F502/DataSheet!$C$11*100)</f>
        <v/>
      </c>
      <c r="H502" s="4">
        <f>K502/I502</f>
        <v/>
      </c>
      <c r="I502" s="4">
        <f>(J502/L502)*100</f>
        <v/>
      </c>
      <c r="J502" s="7">
        <f>L502/O502</f>
        <v/>
      </c>
      <c r="K502" s="4" t="n">
        <v>6.861</v>
      </c>
      <c r="L502" s="4" t="n">
        <v>25052.35</v>
      </c>
      <c r="M502" s="4" t="n">
        <v>4.22</v>
      </c>
      <c r="N502" s="4">
        <f>K502-I502</f>
        <v/>
      </c>
      <c r="O502" s="4" t="n">
        <v>23.28</v>
      </c>
      <c r="P502" s="4" t="n">
        <v>3.839</v>
      </c>
      <c r="Q502" s="7">
        <f>K502-P502</f>
        <v/>
      </c>
      <c r="R502" s="4" t="n">
        <v>101.09</v>
      </c>
      <c r="S502" s="4">
        <f>(O502*T502)</f>
        <v/>
      </c>
      <c r="T502" s="12" t="n">
        <v>6.64</v>
      </c>
      <c r="U502" s="4" t="n">
        <v>21838.7</v>
      </c>
      <c r="V502" s="7" t="n">
        <v>44.14</v>
      </c>
      <c r="W502" s="4">
        <f>U502/V502</f>
        <v/>
      </c>
      <c r="X502" s="4">
        <f>(W502/U502)*100</f>
        <v/>
      </c>
      <c r="Y502" s="4" t="n">
        <v>22264.7</v>
      </c>
      <c r="Z502" s="4" t="n">
        <v>31.6</v>
      </c>
      <c r="AA502" s="4">
        <f>Y502/Z502</f>
        <v/>
      </c>
      <c r="AB502" s="4">
        <f>(AA502/Y502)*100</f>
        <v/>
      </c>
    </row>
    <row r="503">
      <c r="A503" s="5" t="n">
        <v>566</v>
      </c>
      <c r="B503" s="9" t="n">
        <v>45533</v>
      </c>
      <c r="C503" s="4" t="n">
        <v>46332157.79</v>
      </c>
      <c r="D503" s="4">
        <f>C503/E503</f>
        <v/>
      </c>
      <c r="E503" s="7" t="n">
        <v>83.88</v>
      </c>
      <c r="F503" s="4">
        <f>D503/100000</f>
        <v/>
      </c>
      <c r="G503" s="7">
        <f>(F503/DataSheet!$C$11*100)</f>
        <v/>
      </c>
      <c r="H503" s="4">
        <f>K503/I503</f>
        <v/>
      </c>
      <c r="I503" s="4">
        <f>(J503/L503)*100</f>
        <v/>
      </c>
      <c r="J503" s="7">
        <f>L503/O503</f>
        <v/>
      </c>
      <c r="K503" s="4" t="n">
        <v>6.864</v>
      </c>
      <c r="L503" s="4" t="n">
        <v>25151.95</v>
      </c>
      <c r="M503" s="4" t="n">
        <v>4.24</v>
      </c>
      <c r="N503" s="4">
        <f>K503-I503</f>
        <v/>
      </c>
      <c r="O503" s="4" t="n">
        <v>23.37</v>
      </c>
      <c r="P503" s="4" t="n">
        <v>3.863</v>
      </c>
      <c r="Q503" s="7">
        <f>K503-P503</f>
        <v/>
      </c>
      <c r="R503" s="4" t="n">
        <v>101.34</v>
      </c>
      <c r="S503" s="4">
        <f>(O503*T503)</f>
        <v/>
      </c>
      <c r="T503" s="12" t="n">
        <v>6.65</v>
      </c>
      <c r="U503" s="4" t="n">
        <v>21741.35</v>
      </c>
      <c r="V503" s="7" t="n">
        <v>43.95</v>
      </c>
      <c r="W503" s="4">
        <f>U503/V503</f>
        <v/>
      </c>
      <c r="X503" s="4">
        <f>(W503/U503)*100</f>
        <v/>
      </c>
      <c r="Y503" s="4" t="n">
        <v>22190.35</v>
      </c>
      <c r="Z503" s="4" t="n">
        <v>31.42</v>
      </c>
      <c r="AA503" s="4">
        <f>Y503/Z503</f>
        <v/>
      </c>
      <c r="AB503" s="4">
        <f>(AA503/Y503)*100</f>
        <v/>
      </c>
    </row>
    <row r="504">
      <c r="A504" s="5" t="n">
        <v>567</v>
      </c>
      <c r="B504" s="9" t="n">
        <v>45534</v>
      </c>
      <c r="C504" s="4" t="n">
        <v>46557196.97</v>
      </c>
      <c r="D504" s="4">
        <f>C504/E504</f>
        <v/>
      </c>
      <c r="E504" s="7" t="n">
        <v>83.867</v>
      </c>
      <c r="F504" s="4">
        <f>D504/100000</f>
        <v/>
      </c>
      <c r="G504" s="7">
        <f>(F504/DataSheet!$C$11*100)</f>
        <v/>
      </c>
      <c r="H504" s="4">
        <f>K504/I504</f>
        <v/>
      </c>
      <c r="I504" s="4">
        <f>(J504/L504)*100</f>
        <v/>
      </c>
      <c r="J504" s="7">
        <f>L504/O504</f>
        <v/>
      </c>
      <c r="K504" s="4" t="n">
        <v>6.863</v>
      </c>
      <c r="L504" s="4" t="n">
        <v>25235.9</v>
      </c>
      <c r="M504" s="4" t="n">
        <v>4.26</v>
      </c>
      <c r="N504" s="4">
        <f>K504-I504</f>
        <v/>
      </c>
      <c r="O504" s="4" t="n">
        <v>23.47</v>
      </c>
      <c r="P504" s="4" t="n">
        <v>3.909</v>
      </c>
      <c r="Q504" s="7">
        <f>K504-P504</f>
        <v/>
      </c>
      <c r="R504" s="4" t="n">
        <v>101.7</v>
      </c>
      <c r="S504" s="4">
        <f>(O504*T504)</f>
        <v/>
      </c>
      <c r="T504" s="12" t="n">
        <v>6.65</v>
      </c>
      <c r="U504" s="4" t="n">
        <v>21925.45</v>
      </c>
      <c r="V504" s="7" t="n">
        <v>44.22</v>
      </c>
      <c r="W504" s="4">
        <f>U504/V504</f>
        <v/>
      </c>
      <c r="X504" s="4">
        <f>(W504/U504)*100</f>
        <v/>
      </c>
      <c r="Y504" s="4" t="n">
        <v>22047.7</v>
      </c>
      <c r="Z504" s="4" t="n">
        <v>31.58</v>
      </c>
      <c r="AA504" s="4">
        <f>Y504/Z504</f>
        <v/>
      </c>
      <c r="AB504" s="4">
        <f>(AA504/Y504)*100</f>
        <v/>
      </c>
    </row>
    <row r="505">
      <c r="A505" s="5" t="n">
        <v>568</v>
      </c>
      <c r="B505" s="9" t="n">
        <v>45537</v>
      </c>
      <c r="C505" s="4" t="n">
        <v>46587149.18</v>
      </c>
      <c r="D505" s="4">
        <f>C505/E505</f>
        <v/>
      </c>
      <c r="E505" s="7" t="n">
        <v>83.88</v>
      </c>
      <c r="F505" s="4">
        <f>D505/100000</f>
        <v/>
      </c>
      <c r="G505" s="7">
        <f>(F505/DataSheet!$C$11*100)</f>
        <v/>
      </c>
      <c r="H505" s="4">
        <f>K505/I505</f>
        <v/>
      </c>
      <c r="I505" s="4">
        <f>(J505/L505)*100</f>
        <v/>
      </c>
      <c r="J505" s="7">
        <f>L505/O505</f>
        <v/>
      </c>
      <c r="K505" s="4" t="n">
        <v>6.876</v>
      </c>
      <c r="L505" s="4" t="n">
        <v>25278.7</v>
      </c>
      <c r="M505" s="4" t="n">
        <v>4.27</v>
      </c>
      <c r="N505" s="4">
        <f>K505-I505</f>
        <v/>
      </c>
      <c r="O505" s="4" t="n">
        <v>23.51</v>
      </c>
      <c r="P505" s="4" t="n">
        <v>3.926</v>
      </c>
      <c r="Q505" s="7">
        <f>K505-P505</f>
        <v/>
      </c>
      <c r="R505" s="4" t="n">
        <v>101.65</v>
      </c>
      <c r="S505" s="4">
        <f>(O505*T505)</f>
        <v/>
      </c>
      <c r="T505" s="12" t="n">
        <v>6.63</v>
      </c>
      <c r="U505" s="4" t="n">
        <v>21862.85</v>
      </c>
      <c r="V505" s="7" t="n">
        <v>44.1</v>
      </c>
      <c r="W505" s="4">
        <f>U505/V505</f>
        <v/>
      </c>
      <c r="X505" s="4">
        <f>(W505/U505)*100</f>
        <v/>
      </c>
      <c r="Y505" s="4" t="n">
        <v>21798.95</v>
      </c>
      <c r="Z505" s="4" t="n">
        <v>31.55</v>
      </c>
      <c r="AA505" s="4">
        <f>Y505/Z505</f>
        <v/>
      </c>
      <c r="AB505" s="4">
        <f>(AA505/Y505)*100</f>
        <v/>
      </c>
    </row>
    <row r="506">
      <c r="A506" s="5" t="n">
        <v>569</v>
      </c>
      <c r="B506" s="8" t="n">
        <v>45538</v>
      </c>
      <c r="C506" s="4" t="n">
        <v>46678436.06</v>
      </c>
      <c r="D506" s="4">
        <f>C506/E506</f>
        <v/>
      </c>
      <c r="E506" s="7" t="n">
        <v>83.95</v>
      </c>
      <c r="F506" s="4">
        <f>D506/100000</f>
        <v/>
      </c>
      <c r="G506" s="7">
        <f>(F506/DataSheet!$C$11*100)</f>
        <v/>
      </c>
      <c r="H506" s="4">
        <f>K506/I506</f>
        <v/>
      </c>
      <c r="I506" s="4">
        <f>(J506/L506)*100</f>
        <v/>
      </c>
      <c r="J506" s="7">
        <f>L506/O506</f>
        <v/>
      </c>
      <c r="K506" s="4" t="n">
        <v>6.87</v>
      </c>
      <c r="L506" s="4" t="n">
        <v>25279.85</v>
      </c>
      <c r="M506" s="4" t="n">
        <v>4.27</v>
      </c>
      <c r="N506" s="4">
        <f>K506-I506</f>
        <v/>
      </c>
      <c r="O506" s="4" t="n">
        <v>23.51</v>
      </c>
      <c r="P506" s="4" t="n">
        <v>3.831</v>
      </c>
      <c r="Q506" s="7">
        <f>K506-P506</f>
        <v/>
      </c>
      <c r="R506" s="4" t="n">
        <v>101.82</v>
      </c>
      <c r="S506" s="4">
        <f>(O506*T506)</f>
        <v/>
      </c>
      <c r="T506" s="12" t="n">
        <v>6.65</v>
      </c>
      <c r="U506" s="4" t="n">
        <v>21913.8</v>
      </c>
      <c r="V506" s="7" t="n">
        <v>44.23</v>
      </c>
      <c r="W506" s="4">
        <f>U506/V506</f>
        <v/>
      </c>
      <c r="X506" s="4">
        <f>(W506/U506)*100</f>
        <v/>
      </c>
      <c r="Y506" s="4" t="n">
        <v>21853.55</v>
      </c>
      <c r="Z506" s="4" t="n">
        <v>31.74</v>
      </c>
      <c r="AA506" s="4">
        <f>Y506/Z506</f>
        <v/>
      </c>
      <c r="AB506" s="4">
        <f>(AA506/Y506)*100</f>
        <v/>
      </c>
    </row>
    <row r="507">
      <c r="A507" s="5" t="n">
        <v>570</v>
      </c>
      <c r="B507" s="9" t="n">
        <v>45539</v>
      </c>
      <c r="C507" s="4" t="n">
        <v>46636960.47</v>
      </c>
      <c r="D507" s="4">
        <f>C507/E507</f>
        <v/>
      </c>
      <c r="E507" s="7" t="n">
        <v>83.95999999999999</v>
      </c>
      <c r="F507" s="4">
        <f>D507/100000</f>
        <v/>
      </c>
      <c r="G507" s="7">
        <f>(F507/DataSheet!$C$11*100)</f>
        <v/>
      </c>
      <c r="H507" s="4">
        <f>K507/I507</f>
        <v/>
      </c>
      <c r="I507" s="4">
        <f>(J507/L507)*100</f>
        <v/>
      </c>
      <c r="J507" s="7">
        <f>L507/O507</f>
        <v/>
      </c>
      <c r="K507" s="4" t="n">
        <v>6.859</v>
      </c>
      <c r="L507" s="4" t="n">
        <v>25198.7</v>
      </c>
      <c r="M507" s="4" t="n">
        <v>4.26</v>
      </c>
      <c r="N507" s="4">
        <f>K507-I507</f>
        <v/>
      </c>
      <c r="O507" s="4" t="n">
        <v>23.43</v>
      </c>
      <c r="P507" s="4" t="n">
        <v>3.757</v>
      </c>
      <c r="Q507" s="7">
        <f>K507-P507</f>
        <v/>
      </c>
      <c r="R507" s="4" t="n">
        <v>101.36</v>
      </c>
      <c r="S507" s="4">
        <f>(O507*T507)</f>
        <v/>
      </c>
      <c r="T507" s="12" t="n">
        <v>6.65</v>
      </c>
      <c r="U507" s="4" t="n">
        <v>21895.35</v>
      </c>
      <c r="V507" s="7" t="n">
        <v>44.2</v>
      </c>
      <c r="W507" s="4">
        <f>U507/V507</f>
        <v/>
      </c>
      <c r="X507" s="4">
        <f>(W507/U507)*100</f>
        <v/>
      </c>
      <c r="Y507" s="4" t="n">
        <v>21621.4</v>
      </c>
      <c r="Z507" s="4" t="n">
        <v>31.84</v>
      </c>
      <c r="AA507" s="4">
        <f>Y507/Z507</f>
        <v/>
      </c>
      <c r="AB507" s="4">
        <f>(AA507/Y507)*100</f>
        <v/>
      </c>
    </row>
    <row r="508">
      <c r="A508" s="5" t="n">
        <v>571</v>
      </c>
      <c r="B508" s="9" t="n">
        <v>45540</v>
      </c>
      <c r="C508" s="4" t="n">
        <v>46693528.88</v>
      </c>
      <c r="D508" s="4">
        <f>C508/E508</f>
        <v/>
      </c>
      <c r="E508" s="7" t="n">
        <v>83.961</v>
      </c>
      <c r="F508" s="4">
        <f>D508/100000</f>
        <v/>
      </c>
      <c r="G508" s="7">
        <f>(F508/DataSheet!$C$11*100)</f>
        <v/>
      </c>
      <c r="H508" s="4">
        <f>K508/I508</f>
        <v/>
      </c>
      <c r="I508" s="4">
        <f>(J508/L508)*100</f>
        <v/>
      </c>
      <c r="J508" s="7">
        <f>L508/O508</f>
        <v/>
      </c>
      <c r="K508" s="4" t="n">
        <v>6.855</v>
      </c>
      <c r="L508" s="4" t="n">
        <v>25145.1</v>
      </c>
      <c r="M508" s="4" t="n">
        <v>4.25</v>
      </c>
      <c r="N508" s="4">
        <f>K508-I508</f>
        <v/>
      </c>
      <c r="O508" s="4" t="n">
        <v>23.38</v>
      </c>
      <c r="P508" s="4" t="n">
        <v>3.725</v>
      </c>
      <c r="Q508" s="7">
        <f>K508-P508</f>
        <v/>
      </c>
      <c r="R508" s="4" t="n">
        <v>101.11</v>
      </c>
      <c r="S508" s="4">
        <f>(O508*T508)</f>
        <v/>
      </c>
      <c r="T508" s="12" t="n">
        <v>6.65</v>
      </c>
      <c r="U508" s="4" t="n">
        <v>21976.9</v>
      </c>
      <c r="V508" s="7" t="n">
        <v>44.36</v>
      </c>
      <c r="W508" s="4">
        <f>U508/V508</f>
        <v/>
      </c>
      <c r="X508" s="4">
        <f>(W508/U508)*100</f>
        <v/>
      </c>
      <c r="Y508" s="4" t="n">
        <v>21675.8</v>
      </c>
      <c r="Z508" s="4" t="n">
        <v>32.14</v>
      </c>
      <c r="AA508" s="4">
        <f>Y508/Z508</f>
        <v/>
      </c>
      <c r="AB508" s="4">
        <f>(AA508/Y508)*100</f>
        <v/>
      </c>
    </row>
    <row r="509">
      <c r="A509" s="5" t="n">
        <v>572</v>
      </c>
      <c r="B509" s="9" t="n">
        <v>45541</v>
      </c>
      <c r="C509" s="4" t="n">
        <v>46139779.52</v>
      </c>
      <c r="D509" s="4">
        <f>C509/E509</f>
        <v/>
      </c>
      <c r="E509" s="7" t="n">
        <v>83.985</v>
      </c>
      <c r="F509" s="4">
        <f>D509/100000</f>
        <v/>
      </c>
      <c r="G509" s="7">
        <f>(F509/DataSheet!$C$11*100)</f>
        <v/>
      </c>
      <c r="H509" s="4">
        <f>K509/I509</f>
        <v/>
      </c>
      <c r="I509" s="4">
        <f>(J509/L509)*100</f>
        <v/>
      </c>
      <c r="J509" s="7">
        <f>L509/O509</f>
        <v/>
      </c>
      <c r="K509" s="4" t="n">
        <v>6.854</v>
      </c>
      <c r="L509" s="4" t="n">
        <v>24852.15</v>
      </c>
      <c r="M509" s="4" t="n">
        <v>4.2</v>
      </c>
      <c r="N509" s="4">
        <f>K509-I509</f>
        <v/>
      </c>
      <c r="O509" s="4" t="n">
        <v>23.11</v>
      </c>
      <c r="P509" s="4" t="n">
        <v>3.716</v>
      </c>
      <c r="Q509" s="7">
        <f>K509-P509</f>
        <v/>
      </c>
      <c r="R509" s="4" t="n">
        <v>101.18</v>
      </c>
      <c r="S509" s="4">
        <f>(O509*T509)</f>
        <v/>
      </c>
      <c r="T509" s="12" t="n">
        <v>6.64</v>
      </c>
      <c r="U509" s="4" t="n">
        <v>21675.8</v>
      </c>
      <c r="V509" s="7" t="n">
        <v>43.75</v>
      </c>
      <c r="W509" s="4">
        <f>U509/V509</f>
        <v/>
      </c>
      <c r="X509" s="4">
        <f>(W509/U509)*100</f>
        <v/>
      </c>
      <c r="Y509" s="4" t="n">
        <v>21976.9</v>
      </c>
      <c r="Z509" s="4" t="n">
        <v>31.81</v>
      </c>
      <c r="AA509" s="4">
        <f>Y509/Z509</f>
        <v/>
      </c>
      <c r="AB509" s="4">
        <f>(AA509/Y509)*100</f>
        <v/>
      </c>
    </row>
    <row r="510">
      <c r="A510" s="5" t="n">
        <v>573</v>
      </c>
      <c r="B510" s="9" t="n">
        <v>45544</v>
      </c>
      <c r="C510" s="4" t="n">
        <v>46111648.47</v>
      </c>
      <c r="D510" s="4">
        <f>C510/E510</f>
        <v/>
      </c>
      <c r="E510" s="7" t="n">
        <v>83.928</v>
      </c>
      <c r="F510" s="4">
        <f>D510/100000</f>
        <v/>
      </c>
      <c r="G510" s="7">
        <f>(F510/DataSheet!$C$11*100)</f>
        <v/>
      </c>
      <c r="H510" s="4">
        <f>K510/I510</f>
        <v/>
      </c>
      <c r="I510" s="4">
        <f>(J510/L510)*100</f>
        <v/>
      </c>
      <c r="J510" s="7">
        <f>L510/O510</f>
        <v/>
      </c>
      <c r="K510" s="4" t="n">
        <v>6.854</v>
      </c>
      <c r="L510" s="4" t="n">
        <v>24936.4</v>
      </c>
      <c r="M510" s="4" t="n">
        <v>4.21</v>
      </c>
      <c r="N510" s="4">
        <f>K510-I510</f>
        <v/>
      </c>
      <c r="O510" s="4" t="n">
        <v>23.19</v>
      </c>
      <c r="P510" s="4" t="n">
        <v>3.702</v>
      </c>
      <c r="Q510" s="7">
        <f>K510-P510</f>
        <v/>
      </c>
      <c r="R510" s="4" t="n">
        <v>101.55</v>
      </c>
      <c r="S510" s="4">
        <f>(O510*T510)</f>
        <v/>
      </c>
      <c r="T510" s="12" t="n">
        <v>6.65</v>
      </c>
      <c r="U510" s="4" t="n">
        <v>21621.4</v>
      </c>
      <c r="V510" s="7" t="n">
        <v>43.64</v>
      </c>
      <c r="W510" s="4">
        <f>U510/V510</f>
        <v/>
      </c>
      <c r="X510" s="4">
        <f>(W510/U510)*100</f>
        <v/>
      </c>
      <c r="Y510" s="4" t="n">
        <v>21895.35</v>
      </c>
      <c r="Z510" s="4" t="n">
        <v>31.55</v>
      </c>
      <c r="AA510" s="4">
        <f>Y510/Z510</f>
        <v/>
      </c>
      <c r="AB510" s="4">
        <f>(AA510/Y510)*100</f>
        <v/>
      </c>
    </row>
    <row r="511">
      <c r="A511" s="5" t="n">
        <v>574</v>
      </c>
      <c r="B511" s="9" t="n">
        <v>45545</v>
      </c>
      <c r="C511" s="4" t="n">
        <v>46464366.6</v>
      </c>
      <c r="D511" s="4">
        <f>C511/E511</f>
        <v/>
      </c>
      <c r="E511" s="7" t="n">
        <v>83.949</v>
      </c>
      <c r="F511" s="4">
        <f>D511/100000</f>
        <v/>
      </c>
      <c r="G511" s="7">
        <f>(F511/DataSheet!$C$11*100)</f>
        <v/>
      </c>
      <c r="H511" s="4">
        <f>K511/I511</f>
        <v/>
      </c>
      <c r="I511" s="4">
        <f>(J511/L511)*100</f>
        <v/>
      </c>
      <c r="J511" s="7">
        <f>L511/O511</f>
        <v/>
      </c>
      <c r="K511" s="4" t="n">
        <v>6.851</v>
      </c>
      <c r="L511" s="4" t="n">
        <v>25041.1</v>
      </c>
      <c r="M511" s="4" t="n">
        <v>4.15</v>
      </c>
      <c r="N511" s="4">
        <f>K511-I511</f>
        <v/>
      </c>
      <c r="O511" s="4" t="n">
        <v>23.29</v>
      </c>
      <c r="P511" s="4" t="n">
        <v>3.64</v>
      </c>
      <c r="Q511" s="7">
        <f>K511-P511</f>
        <v/>
      </c>
      <c r="R511" s="4" t="n">
        <v>101.63</v>
      </c>
      <c r="S511" s="4">
        <f>(O511*T511)</f>
        <v/>
      </c>
      <c r="T511" s="12" t="n">
        <v>6.64</v>
      </c>
      <c r="U511" s="4" t="n">
        <v>21853.55</v>
      </c>
      <c r="V511" s="7" t="n">
        <v>44.11</v>
      </c>
      <c r="W511" s="4">
        <f>U511/V511</f>
        <v/>
      </c>
      <c r="X511" s="4">
        <f>(W511/U511)*100</f>
        <v/>
      </c>
      <c r="Y511" s="4" t="n">
        <v>21913.8</v>
      </c>
      <c r="Z511" s="4" t="n">
        <v>31.94</v>
      </c>
      <c r="AA511" s="4">
        <f>Y511/Z511</f>
        <v/>
      </c>
      <c r="AB511" s="4">
        <f>(AA511/Y511)*100</f>
        <v/>
      </c>
    </row>
    <row r="512">
      <c r="A512" s="5" t="n">
        <v>575</v>
      </c>
      <c r="B512" s="9" t="n">
        <v>45546</v>
      </c>
      <c r="C512" s="4" t="n">
        <v>46188514.38</v>
      </c>
      <c r="D512" s="4">
        <f>C512/E512</f>
        <v/>
      </c>
      <c r="E512" s="7" t="n">
        <v>83.95999999999999</v>
      </c>
      <c r="F512" s="4">
        <f>D512/100000</f>
        <v/>
      </c>
      <c r="G512" s="7">
        <f>(F512/DataSheet!$C$11*100)</f>
        <v/>
      </c>
      <c r="H512" s="4">
        <f>K512/I512</f>
        <v/>
      </c>
      <c r="I512" s="4">
        <f>(J512/L512)*100</f>
        <v/>
      </c>
      <c r="J512" s="7">
        <f>L512/O512</f>
        <v/>
      </c>
      <c r="K512" s="4" t="n">
        <v>6.83</v>
      </c>
      <c r="L512" s="4" t="n">
        <v>24918.45</v>
      </c>
      <c r="M512" s="4" t="n">
        <v>4.11</v>
      </c>
      <c r="N512" s="4">
        <f>K512-I512</f>
        <v/>
      </c>
      <c r="O512" s="4" t="n">
        <v>23.17</v>
      </c>
      <c r="P512" s="4" t="n">
        <v>3.661</v>
      </c>
      <c r="Q512" s="7">
        <f>K512-P512</f>
        <v/>
      </c>
      <c r="R512" s="4" t="n">
        <v>101.68</v>
      </c>
      <c r="S512" s="4">
        <f>(O512*T512)</f>
        <v/>
      </c>
      <c r="T512" s="12" t="n">
        <v>6.63</v>
      </c>
      <c r="U512" s="4" t="n">
        <v>21798.95</v>
      </c>
      <c r="V512" s="7" t="n">
        <v>44</v>
      </c>
      <c r="W512" s="4">
        <f>U512/V512</f>
        <v/>
      </c>
      <c r="X512" s="4">
        <f>(W512/U512)*100</f>
        <v/>
      </c>
      <c r="Y512" s="4" t="n">
        <v>21862.85</v>
      </c>
      <c r="Z512" s="4" t="n">
        <v>31.69</v>
      </c>
      <c r="AA512" s="4">
        <f>Y512/Z512</f>
        <v/>
      </c>
      <c r="AB512" s="4">
        <f>(AA512/Y512)*100</f>
        <v/>
      </c>
    </row>
    <row r="513">
      <c r="A513" s="5" t="n">
        <v>576</v>
      </c>
      <c r="B513" s="8" t="n">
        <v>45547</v>
      </c>
      <c r="C513" s="4" t="n">
        <v>46855202.83</v>
      </c>
      <c r="D513" s="4">
        <f>C513/E513</f>
        <v/>
      </c>
      <c r="E513" s="7" t="n">
        <v>83.92</v>
      </c>
      <c r="F513" s="4">
        <f>D513/100000</f>
        <v/>
      </c>
      <c r="G513" s="7">
        <f>(F513/DataSheet!$C$11*100)</f>
        <v/>
      </c>
      <c r="H513" s="4">
        <f>K513/I513</f>
        <v/>
      </c>
      <c r="I513" s="4">
        <f>(J513/L513)*100</f>
        <v/>
      </c>
      <c r="J513" s="7">
        <f>L513/O513</f>
        <v/>
      </c>
      <c r="K513" s="4" t="n">
        <v>6.811</v>
      </c>
      <c r="L513" s="4" t="n">
        <v>25388.9</v>
      </c>
      <c r="M513" s="4" t="n">
        <v>4.18</v>
      </c>
      <c r="N513" s="4">
        <f>K513-I513</f>
        <v/>
      </c>
      <c r="O513" s="4" t="n">
        <v>23.61</v>
      </c>
      <c r="P513" s="4" t="n">
        <v>3.68</v>
      </c>
      <c r="Q513" s="7">
        <f>K513-P513</f>
        <v/>
      </c>
      <c r="R513" s="4" t="n">
        <v>101.37</v>
      </c>
      <c r="S513" s="4">
        <f>(O513*T513)</f>
        <v/>
      </c>
      <c r="T513" s="12" t="n">
        <v>6.65</v>
      </c>
      <c r="U513" s="4" t="n">
        <v>22047.7</v>
      </c>
      <c r="V513" s="7" t="n">
        <v>44.5</v>
      </c>
      <c r="W513" s="4">
        <f>U513/V513</f>
        <v/>
      </c>
      <c r="X513" s="4">
        <f>(W513/U513)*100</f>
        <v/>
      </c>
      <c r="Y513" s="4" t="n">
        <v>21925.45</v>
      </c>
      <c r="Z513" s="4" t="n">
        <v>31.94</v>
      </c>
      <c r="AA513" s="4">
        <f>Y513/Z513</f>
        <v/>
      </c>
      <c r="AB513" s="4">
        <f>(AA513/Y513)*100</f>
        <v/>
      </c>
    </row>
    <row r="514">
      <c r="A514" s="5" t="n">
        <v>577</v>
      </c>
      <c r="B514" s="9" t="n">
        <v>45548</v>
      </c>
      <c r="C514" s="4" t="n">
        <v>46991524.25</v>
      </c>
      <c r="D514" s="4">
        <f>C514/E514</f>
        <v/>
      </c>
      <c r="E514" s="7" t="n">
        <v>83.88</v>
      </c>
      <c r="F514" s="4">
        <f>D514/100000</f>
        <v/>
      </c>
      <c r="G514" s="7">
        <f>(F514/DataSheet!$C$11*100)</f>
        <v/>
      </c>
      <c r="H514" s="4">
        <f>K514/I514</f>
        <v/>
      </c>
      <c r="I514" s="4">
        <f>(J514/L514)*100</f>
        <v/>
      </c>
      <c r="J514" s="7">
        <f>L514/O514</f>
        <v/>
      </c>
      <c r="K514" s="4" t="n">
        <v>6.792</v>
      </c>
      <c r="L514" s="4" t="n">
        <v>25356.5</v>
      </c>
      <c r="M514" s="4" t="n">
        <v>4.07</v>
      </c>
      <c r="N514" s="4">
        <f>K514-I514</f>
        <v/>
      </c>
      <c r="O514" s="4" t="n">
        <v>23.58</v>
      </c>
      <c r="P514" s="4" t="n">
        <v>3.657</v>
      </c>
      <c r="Q514" s="7">
        <f>K514-P514</f>
        <v/>
      </c>
      <c r="R514" s="4" t="n">
        <v>101.11</v>
      </c>
      <c r="S514" s="4">
        <f>(O514*T514)</f>
        <v/>
      </c>
      <c r="T514" s="12" t="n">
        <v>6.57</v>
      </c>
      <c r="U514" s="4" t="n">
        <v>22190.35</v>
      </c>
      <c r="V514" s="7" t="n">
        <v>44.79</v>
      </c>
      <c r="W514" s="4">
        <f>U514/V514</f>
        <v/>
      </c>
      <c r="X514" s="4">
        <f>(W514/U514)*100</f>
        <v/>
      </c>
      <c r="Y514" s="4" t="n">
        <v>21741.35</v>
      </c>
      <c r="Z514" s="4" t="n">
        <v>32.22</v>
      </c>
      <c r="AA514" s="4">
        <f>Y514/Z514</f>
        <v/>
      </c>
      <c r="AB514" s="4">
        <f>(AA514/Y514)*100</f>
        <v/>
      </c>
    </row>
    <row r="515">
      <c r="A515" s="5" t="n">
        <v>578</v>
      </c>
      <c r="B515" s="9" t="n">
        <v>45551</v>
      </c>
      <c r="C515" s="4" t="n">
        <v>47147099.85</v>
      </c>
      <c r="D515" s="4">
        <f>C515/E515</f>
        <v/>
      </c>
      <c r="E515" s="7" t="n">
        <v>83.84</v>
      </c>
      <c r="F515" s="4">
        <f>D515/100000</f>
        <v/>
      </c>
      <c r="G515" s="7">
        <f>(F515/DataSheet!$C$11*100)</f>
        <v/>
      </c>
      <c r="H515" s="4">
        <f>K515/I515</f>
        <v/>
      </c>
      <c r="I515" s="4">
        <f>(J515/L515)*100</f>
        <v/>
      </c>
      <c r="J515" s="7">
        <f>L515/O515</f>
        <v/>
      </c>
      <c r="K515" s="4" t="n">
        <v>6.762</v>
      </c>
      <c r="L515" s="4" t="n">
        <v>25383.75</v>
      </c>
      <c r="M515" s="4" t="n">
        <v>4.07</v>
      </c>
      <c r="N515" s="4">
        <f>K515-I515</f>
        <v/>
      </c>
      <c r="O515" s="4" t="n">
        <v>23.61</v>
      </c>
      <c r="P515" s="4" t="n">
        <v>3.618</v>
      </c>
      <c r="Q515" s="7">
        <f>K515-P515</f>
        <v/>
      </c>
      <c r="R515" s="4" t="n">
        <v>100.76</v>
      </c>
      <c r="S515" s="4">
        <f>(O515*T515)</f>
        <v/>
      </c>
      <c r="T515" s="12" t="n">
        <v>6.58</v>
      </c>
      <c r="U515" s="4" t="n">
        <v>22264.7</v>
      </c>
      <c r="V515" s="7" t="n">
        <v>44.94</v>
      </c>
      <c r="W515" s="4">
        <f>U515/V515</f>
        <v/>
      </c>
      <c r="X515" s="4">
        <f>(W515/U515)*100</f>
        <v/>
      </c>
      <c r="Y515" s="4" t="n">
        <v>21838.7</v>
      </c>
      <c r="Z515" s="4" t="n">
        <v>32.27</v>
      </c>
      <c r="AA515" s="4">
        <f>Y515/Z515</f>
        <v/>
      </c>
      <c r="AB515" s="4">
        <f>(AA515/Y515)*100</f>
        <v/>
      </c>
    </row>
    <row r="516">
      <c r="A516" s="5" t="n">
        <v>579</v>
      </c>
      <c r="B516" s="9" t="n">
        <v>45552</v>
      </c>
      <c r="C516" s="4" t="n">
        <v>47145940.77</v>
      </c>
      <c r="D516" s="4">
        <f>C516/E516</f>
        <v/>
      </c>
      <c r="E516" s="7" t="n">
        <v>83.747</v>
      </c>
      <c r="F516" s="4">
        <f>D516/100000</f>
        <v/>
      </c>
      <c r="G516" s="7">
        <f>(F516/DataSheet!$C$11*100)</f>
        <v/>
      </c>
      <c r="H516" s="4">
        <f>K516/I516</f>
        <v/>
      </c>
      <c r="I516" s="4">
        <f>(J516/L516)*100</f>
        <v/>
      </c>
      <c r="J516" s="7">
        <f>L516/O516</f>
        <v/>
      </c>
      <c r="K516" s="4" t="n">
        <v>6.779</v>
      </c>
      <c r="L516" s="4" t="n">
        <v>25418.55</v>
      </c>
      <c r="M516" s="4" t="n">
        <v>4.05</v>
      </c>
      <c r="N516" s="4">
        <f>K516-I516</f>
        <v/>
      </c>
      <c r="O516" s="4" t="n">
        <v>23.64</v>
      </c>
      <c r="P516" s="4" t="n">
        <v>3.648</v>
      </c>
      <c r="Q516" s="7">
        <f>K516-P516</f>
        <v/>
      </c>
      <c r="R516" s="4" t="n">
        <v>100.89</v>
      </c>
      <c r="S516" s="4">
        <f>(O516*T516)</f>
        <v/>
      </c>
      <c r="T516" s="12" t="n">
        <v>6.6</v>
      </c>
      <c r="U516" s="4" t="n">
        <v>22235.35</v>
      </c>
      <c r="V516" s="7" t="n">
        <v>44.88</v>
      </c>
      <c r="W516" s="4">
        <f>U516/V516</f>
        <v/>
      </c>
      <c r="X516" s="4">
        <f>(W516/U516)*100</f>
        <v/>
      </c>
      <c r="Y516" s="4" t="n">
        <v>21869.75</v>
      </c>
      <c r="Z516" s="4" t="n">
        <v>32.05</v>
      </c>
      <c r="AA516" s="4">
        <f>Y516/Z516</f>
        <v/>
      </c>
      <c r="AB516" s="4">
        <f>(AA516/Y516)*100</f>
        <v/>
      </c>
    </row>
    <row r="517">
      <c r="A517" s="5" t="n">
        <v>580</v>
      </c>
      <c r="B517" s="8" t="n">
        <v>45553</v>
      </c>
      <c r="C517" s="4" t="n">
        <v>46894452.2</v>
      </c>
      <c r="D517" s="4">
        <f>C517/E517</f>
        <v/>
      </c>
      <c r="E517" s="7" t="n">
        <v>83.65000000000001</v>
      </c>
      <c r="F517" s="4">
        <f>D517/100000</f>
        <v/>
      </c>
      <c r="G517" s="7">
        <f>(F517/DataSheet!$C$11*100)</f>
        <v/>
      </c>
      <c r="H517" s="4">
        <f>K517/I517</f>
        <v/>
      </c>
      <c r="I517" s="4">
        <f>(J517/L517)*100</f>
        <v/>
      </c>
      <c r="J517" s="7">
        <f>L517/O517</f>
        <v/>
      </c>
      <c r="K517" s="4" t="n">
        <v>6.78</v>
      </c>
      <c r="L517" s="4" t="n">
        <v>25377.55</v>
      </c>
      <c r="M517" s="4" t="n">
        <v>4.04</v>
      </c>
      <c r="N517" s="4">
        <f>K517-I517</f>
        <v/>
      </c>
      <c r="O517" s="4" t="n">
        <v>23.6</v>
      </c>
      <c r="P517" s="4" t="n">
        <v>3.713</v>
      </c>
      <c r="Q517" s="7">
        <f>K517-P517</f>
        <v/>
      </c>
      <c r="R517" s="4" t="n">
        <v>100.6</v>
      </c>
      <c r="S517" s="4">
        <f>(O517*T517)</f>
        <v/>
      </c>
      <c r="T517" s="12" t="n">
        <v>6.6</v>
      </c>
      <c r="U517" s="4" t="n">
        <v>22079.9</v>
      </c>
      <c r="V517" s="7" t="n">
        <v>44.57</v>
      </c>
      <c r="W517" s="4">
        <f>U517/V517</f>
        <v/>
      </c>
      <c r="X517" s="4">
        <f>(W517/U517)*100</f>
        <v/>
      </c>
      <c r="Y517" s="4" t="n">
        <v>21758.45</v>
      </c>
      <c r="Z517" s="4" t="n">
        <v>31.94</v>
      </c>
      <c r="AA517" s="4">
        <f>Y517/Z517</f>
        <v/>
      </c>
      <c r="AB517" s="4">
        <f>(AA517/Y517)*100</f>
        <v/>
      </c>
    </row>
    <row r="518">
      <c r="A518" s="5" t="n">
        <v>581</v>
      </c>
      <c r="B518" s="9" t="n">
        <v>45554</v>
      </c>
      <c r="C518" s="4" t="n">
        <v>46652803.38</v>
      </c>
      <c r="D518" s="4">
        <f>C518/E518</f>
        <v/>
      </c>
      <c r="E518" s="7" t="n">
        <v>83.62</v>
      </c>
      <c r="F518" s="4">
        <f>D518/100000</f>
        <v/>
      </c>
      <c r="G518" s="7">
        <f>(F518/DataSheet!$C$11*100)</f>
        <v/>
      </c>
      <c r="H518" s="4">
        <f>K518/I518</f>
        <v/>
      </c>
      <c r="I518" s="4">
        <f>(J518/L518)*100</f>
        <v/>
      </c>
      <c r="J518" s="7">
        <f>L518/O518</f>
        <v/>
      </c>
      <c r="K518" s="4" t="n">
        <v>6.758</v>
      </c>
      <c r="L518" s="4" t="n">
        <v>25415.8</v>
      </c>
      <c r="M518" s="4" t="n">
        <v>4.04</v>
      </c>
      <c r="N518" s="4">
        <f>K518-I518</f>
        <v/>
      </c>
      <c r="O518" s="4" t="n">
        <v>23.64</v>
      </c>
      <c r="P518" s="4" t="n">
        <v>3.719</v>
      </c>
      <c r="Q518" s="7">
        <f>K518-P518</f>
        <v/>
      </c>
      <c r="R518" s="4" t="n">
        <v>100.61</v>
      </c>
      <c r="S518" s="4">
        <f>(O518*T518)</f>
        <v/>
      </c>
      <c r="T518" s="12" t="n">
        <v>6.55</v>
      </c>
      <c r="U518" s="4" t="n">
        <v>21965.15</v>
      </c>
      <c r="V518" s="7" t="n">
        <v>44.33</v>
      </c>
      <c r="W518" s="4">
        <f>U518/V518</f>
        <v/>
      </c>
      <c r="X518" s="4">
        <f>(W518/U518)*100</f>
        <v/>
      </c>
      <c r="Y518" s="4" t="n">
        <v>21645.65</v>
      </c>
      <c r="Z518" s="4" t="n">
        <v>31.58</v>
      </c>
      <c r="AA518" s="4">
        <f>Y518/Z518</f>
        <v/>
      </c>
      <c r="AB518" s="4">
        <f>(AA518/Y518)*100</f>
        <v/>
      </c>
    </row>
    <row r="519">
      <c r="A519" s="5" t="n">
        <v>582</v>
      </c>
      <c r="B519" s="8" t="n">
        <v>45555</v>
      </c>
      <c r="C519" s="4" t="n">
        <v>47278138.28</v>
      </c>
      <c r="D519" s="4">
        <f>C519/E519</f>
        <v/>
      </c>
      <c r="E519" s="7" t="n">
        <v>83.485</v>
      </c>
      <c r="F519" s="4">
        <f>D519/100000</f>
        <v/>
      </c>
      <c r="G519" s="7">
        <f>(F519/DataSheet!$C$11*100)</f>
        <v/>
      </c>
      <c r="H519" s="4">
        <f>K519/I519</f>
        <v/>
      </c>
      <c r="I519" s="4">
        <f>(J519/L519)*100</f>
        <v/>
      </c>
      <c r="J519" s="7">
        <f>L519/O519</f>
        <v/>
      </c>
      <c r="K519" s="4" t="n">
        <v>6.761</v>
      </c>
      <c r="L519" s="4" t="n">
        <v>25790.95</v>
      </c>
      <c r="M519" s="4" t="n">
        <v>4.08</v>
      </c>
      <c r="N519" s="4">
        <f>K519-I519</f>
        <v/>
      </c>
      <c r="O519" s="4" t="n">
        <v>23.98</v>
      </c>
      <c r="P519" s="4" t="n">
        <v>3.741</v>
      </c>
      <c r="Q519" s="7">
        <f>K519-P519</f>
        <v/>
      </c>
      <c r="R519" s="4" t="n">
        <v>100.72</v>
      </c>
      <c r="S519" s="4">
        <f>(O519*T519)</f>
        <v/>
      </c>
      <c r="T519" s="12" t="n">
        <v>6.57</v>
      </c>
      <c r="U519" s="4" t="n">
        <v>22256.1</v>
      </c>
      <c r="V519" s="7" t="n">
        <v>44.92</v>
      </c>
      <c r="W519" s="4">
        <f>U519/V519</f>
        <v/>
      </c>
      <c r="X519" s="4">
        <f>(W519/U519)*100</f>
        <v/>
      </c>
      <c r="Y519" s="4" t="n">
        <v>21760.35</v>
      </c>
      <c r="Z519" s="4" t="n">
        <v>31.91</v>
      </c>
      <c r="AA519" s="4">
        <f>Y519/Z519</f>
        <v/>
      </c>
      <c r="AB519" s="4">
        <f>(AA519/Y519)*100</f>
        <v/>
      </c>
    </row>
    <row r="520">
      <c r="A520" s="5" t="n">
        <v>583</v>
      </c>
      <c r="B520" s="8" t="n">
        <v>45558</v>
      </c>
      <c r="C520" s="4" t="n">
        <v>47701059.95</v>
      </c>
      <c r="D520" s="4">
        <f>C520/E520</f>
        <v/>
      </c>
      <c r="E520" s="7" t="n">
        <v>83.53</v>
      </c>
      <c r="F520" s="4">
        <f>D520/100000</f>
        <v/>
      </c>
      <c r="G520" s="7">
        <f>(F520/DataSheet!$C$11*100)</f>
        <v/>
      </c>
      <c r="H520" s="4">
        <f>K520/I520</f>
        <v/>
      </c>
      <c r="I520" s="4">
        <f>(J520/L520)*100</f>
        <v/>
      </c>
      <c r="J520" s="7">
        <f>L520/O520</f>
        <v/>
      </c>
      <c r="K520" s="4" t="n">
        <v>6.767</v>
      </c>
      <c r="L520" s="4" t="n">
        <v>25939.05</v>
      </c>
      <c r="M520" s="4" t="n">
        <v>3.83</v>
      </c>
      <c r="N520" s="4">
        <f>K520-I520</f>
        <v/>
      </c>
      <c r="O520" s="4" t="n">
        <v>24.12</v>
      </c>
      <c r="P520" s="4" t="n">
        <v>3.751</v>
      </c>
      <c r="Q520" s="7">
        <f>K520-P520</f>
        <v/>
      </c>
      <c r="R520" s="4" t="n">
        <v>100.93</v>
      </c>
      <c r="S520" s="4">
        <f>(O520*T520)</f>
        <v/>
      </c>
      <c r="T520" s="12" t="n">
        <v>6.57</v>
      </c>
      <c r="U520" s="4" t="n">
        <v>22423.7</v>
      </c>
      <c r="V520" s="7" t="n">
        <v>45.26</v>
      </c>
      <c r="W520" s="4">
        <f>U520/V520</f>
        <v/>
      </c>
      <c r="X520" s="4">
        <f>(W520/U520)*100</f>
        <v/>
      </c>
      <c r="Y520" s="4" t="n">
        <v>21617.7</v>
      </c>
      <c r="Z520" s="4" t="n">
        <v>32.15</v>
      </c>
      <c r="AA520" s="4">
        <f>Y520/Z520</f>
        <v/>
      </c>
      <c r="AB520" s="4">
        <f>(AA520/Y520)*100</f>
        <v/>
      </c>
    </row>
    <row r="521">
      <c r="A521" s="5" t="n">
        <v>584</v>
      </c>
      <c r="B521" s="9" t="n">
        <v>45559</v>
      </c>
      <c r="C521" s="4" t="n">
        <v>47725000.13</v>
      </c>
      <c r="D521" s="4">
        <f>C521/E521</f>
        <v/>
      </c>
      <c r="E521" s="7" t="n">
        <v>83.59999999999999</v>
      </c>
      <c r="F521" s="4">
        <f>D521/100000</f>
        <v/>
      </c>
      <c r="G521" s="7">
        <f>(F521/DataSheet!$C$11*100)</f>
        <v/>
      </c>
      <c r="H521" s="4">
        <f>K521/I521</f>
        <v/>
      </c>
      <c r="I521" s="4">
        <f>(J521/L521)*100</f>
        <v/>
      </c>
      <c r="J521" s="7">
        <f>L521/O521</f>
        <v/>
      </c>
      <c r="K521" s="4" t="n">
        <v>6.761</v>
      </c>
      <c r="L521" s="4" t="n">
        <v>25940.4</v>
      </c>
      <c r="M521" s="4" t="n">
        <v>3.83</v>
      </c>
      <c r="N521" s="4">
        <f>K521-I521</f>
        <v/>
      </c>
      <c r="O521" s="4" t="n">
        <v>24.12</v>
      </c>
      <c r="P521" s="4" t="n">
        <v>3.732</v>
      </c>
      <c r="Q521" s="7">
        <f>K521-P521</f>
        <v/>
      </c>
      <c r="R521" s="4" t="n">
        <v>100.24</v>
      </c>
      <c r="S521" s="4">
        <f>(O521*T521)</f>
        <v/>
      </c>
      <c r="T521" s="12" t="n">
        <v>6.58</v>
      </c>
      <c r="U521" s="4" t="n">
        <v>22493.5</v>
      </c>
      <c r="V521" s="7" t="n">
        <v>45.4</v>
      </c>
      <c r="W521" s="4">
        <f>U521/V521</f>
        <v/>
      </c>
      <c r="X521" s="4">
        <f>(W521/U521)*100</f>
        <v/>
      </c>
      <c r="Y521" s="4" t="n">
        <v>21529.05</v>
      </c>
      <c r="Z521" s="4" t="n">
        <v>32.08</v>
      </c>
      <c r="AA521" s="4">
        <f>Y521/Z521</f>
        <v/>
      </c>
      <c r="AB521" s="4">
        <f>(AA521/Y521)*100</f>
        <v/>
      </c>
    </row>
    <row r="522">
      <c r="A522" s="5" t="n">
        <v>585</v>
      </c>
      <c r="B522" s="9" t="n">
        <v>45560</v>
      </c>
      <c r="C522" s="4" t="n">
        <v>47647270.41</v>
      </c>
      <c r="D522" s="4">
        <f>C522/E522</f>
        <v/>
      </c>
      <c r="E522" s="7" t="n">
        <v>83.59999999999999</v>
      </c>
      <c r="F522" s="4">
        <f>D522/100000</f>
        <v/>
      </c>
      <c r="G522" s="7">
        <f>(F522/DataSheet!$C$11*100)</f>
        <v/>
      </c>
      <c r="H522" s="4">
        <f>K522/I522</f>
        <v/>
      </c>
      <c r="I522" s="4">
        <f>(J522/L522)*100</f>
        <v/>
      </c>
      <c r="J522" s="7">
        <f>L522/O522</f>
        <v/>
      </c>
      <c r="K522" s="4" t="n">
        <v>6.738</v>
      </c>
      <c r="L522" s="4" t="n">
        <v>26004.15</v>
      </c>
      <c r="M522" s="4" t="n">
        <v>3.84</v>
      </c>
      <c r="N522" s="4">
        <f>K522-I522</f>
        <v/>
      </c>
      <c r="O522" s="4" t="n">
        <v>24.18</v>
      </c>
      <c r="P522" s="4" t="n">
        <v>3.791</v>
      </c>
      <c r="Q522" s="7">
        <f>K522-P522</f>
        <v/>
      </c>
      <c r="R522" s="4" t="n">
        <v>100.91</v>
      </c>
      <c r="S522" s="4">
        <f>(O522*T522)</f>
        <v/>
      </c>
      <c r="T522" s="12" t="n">
        <v>6.58</v>
      </c>
      <c r="U522" s="4" t="n">
        <v>22357.4</v>
      </c>
      <c r="V522" s="7" t="n">
        <v>45.13</v>
      </c>
      <c r="W522" s="4">
        <f>U522/V522</f>
        <v/>
      </c>
      <c r="X522" s="4">
        <f>(W522/U522)*100</f>
        <v/>
      </c>
      <c r="Y522" s="4" t="n">
        <v>21351.4</v>
      </c>
      <c r="Z522" s="4" t="n">
        <v>31.97</v>
      </c>
      <c r="AA522" s="4">
        <f>Y522/Z522</f>
        <v/>
      </c>
      <c r="AB522" s="4">
        <f>(AA522/Y522)*100</f>
        <v/>
      </c>
    </row>
    <row r="523">
      <c r="A523" s="5" t="n">
        <v>586</v>
      </c>
      <c r="B523" s="8" t="n">
        <v>45561</v>
      </c>
      <c r="C523" s="4" t="n">
        <v>47834255.1</v>
      </c>
      <c r="D523" s="4">
        <f>C523/E523</f>
        <v/>
      </c>
      <c r="E523" s="7" t="n">
        <v>83.601</v>
      </c>
      <c r="F523" s="4">
        <f>D523/100000</f>
        <v/>
      </c>
      <c r="G523" s="7">
        <f>(F523/DataSheet!$C$11*100)</f>
        <v/>
      </c>
      <c r="H523" s="4">
        <f>K523/I523</f>
        <v/>
      </c>
      <c r="I523" s="4">
        <f>(J523/L523)*100</f>
        <v/>
      </c>
      <c r="J523" s="7">
        <f>L523/O523</f>
        <v/>
      </c>
      <c r="K523" s="4" t="n">
        <v>6.718</v>
      </c>
      <c r="L523" s="4" t="n">
        <v>26216.05</v>
      </c>
      <c r="M523" s="4" t="n">
        <v>3.87</v>
      </c>
      <c r="N523" s="4">
        <f>K523-I523</f>
        <v/>
      </c>
      <c r="O523" s="4" t="n">
        <v>24.38</v>
      </c>
      <c r="P523" s="4" t="n">
        <v>3.796</v>
      </c>
      <c r="Q523" s="7">
        <f>K523-P523</f>
        <v/>
      </c>
      <c r="R523" s="4" t="n">
        <v>100.52</v>
      </c>
      <c r="S523" s="4">
        <f>(O523*T523)</f>
        <v/>
      </c>
      <c r="T523" s="12" t="n">
        <v>6.57</v>
      </c>
      <c r="U523" s="4" t="n">
        <v>22367.85</v>
      </c>
      <c r="V523" s="7" t="n">
        <v>45.15</v>
      </c>
      <c r="W523" s="4">
        <f>U523/V523</f>
        <v/>
      </c>
      <c r="X523" s="4">
        <f>(W523/U523)*100</f>
        <v/>
      </c>
      <c r="Y523" s="4" t="n">
        <v>21298.35</v>
      </c>
      <c r="Z523" s="4" t="n">
        <v>31.82</v>
      </c>
      <c r="AA523" s="4">
        <f>Y523/Z523</f>
        <v/>
      </c>
      <c r="AB523" s="4">
        <f>(AA523/Y523)*100</f>
        <v/>
      </c>
    </row>
    <row r="524">
      <c r="A524" s="5" t="n">
        <v>587</v>
      </c>
      <c r="B524" s="9" t="n">
        <v>45562</v>
      </c>
      <c r="C524" s="4" t="n">
        <v>47910402.02</v>
      </c>
      <c r="D524" s="4">
        <f>C524/E524</f>
        <v/>
      </c>
      <c r="E524" s="7" t="n">
        <v>83.70999999999999</v>
      </c>
      <c r="F524" s="4">
        <f>D524/100000</f>
        <v/>
      </c>
      <c r="G524" s="7">
        <f>(F524/DataSheet!$C$11*100)</f>
        <v/>
      </c>
      <c r="H524" s="4">
        <f>K524/I524</f>
        <v/>
      </c>
      <c r="I524" s="4">
        <f>(J524/L524)*100</f>
        <v/>
      </c>
      <c r="J524" s="7">
        <f>L524/O524</f>
        <v/>
      </c>
      <c r="K524" s="4" t="n">
        <v>6.759</v>
      </c>
      <c r="L524" s="4" t="n">
        <v>26178.95</v>
      </c>
      <c r="M524" s="4" t="n">
        <v>3.87</v>
      </c>
      <c r="N524" s="4">
        <f>K524-I524</f>
        <v/>
      </c>
      <c r="O524" s="4" t="n">
        <v>24.34</v>
      </c>
      <c r="P524" s="4" t="n">
        <v>3.751</v>
      </c>
      <c r="Q524" s="7">
        <f>K524-P524</f>
        <v/>
      </c>
      <c r="R524" s="4" t="n">
        <v>100.38</v>
      </c>
      <c r="S524" s="4">
        <f>(O524*T524)</f>
        <v/>
      </c>
      <c r="T524" s="12" t="n">
        <v>6.54</v>
      </c>
      <c r="U524" s="4" t="n">
        <v>22360.85</v>
      </c>
      <c r="V524" s="7" t="n">
        <v>45.13</v>
      </c>
      <c r="W524" s="4">
        <f>U524/V524</f>
        <v/>
      </c>
      <c r="X524" s="4">
        <f>(W524/U524)*100</f>
        <v/>
      </c>
      <c r="Y524" s="4" t="n">
        <v>20917.75</v>
      </c>
      <c r="Z524" s="4" t="n">
        <v>31.76</v>
      </c>
      <c r="AA524" s="4">
        <f>Y524/Z524</f>
        <v/>
      </c>
      <c r="AB524" s="4">
        <f>(AA524/Y524)*100</f>
        <v/>
      </c>
    </row>
    <row r="525">
      <c r="A525" s="5" t="n">
        <v>588</v>
      </c>
      <c r="B525" s="9" t="n">
        <v>45565</v>
      </c>
      <c r="C525" s="4" t="n">
        <v>47531851.61</v>
      </c>
      <c r="D525" s="4">
        <f>C525/E525</f>
        <v/>
      </c>
      <c r="E525" s="7" t="n">
        <v>83.755</v>
      </c>
      <c r="F525" s="4">
        <f>D525/100000</f>
        <v/>
      </c>
      <c r="G525" s="7">
        <f>(F525/DataSheet!$C$11*100)</f>
        <v/>
      </c>
      <c r="H525" s="4">
        <f>K525/I525</f>
        <v/>
      </c>
      <c r="I525" s="4">
        <f>(J525/L525)*100</f>
        <v/>
      </c>
      <c r="J525" s="7">
        <f>L525/O525</f>
        <v/>
      </c>
      <c r="K525" s="4" t="n">
        <v>6.75</v>
      </c>
      <c r="L525" s="4" t="n">
        <v>25810.85</v>
      </c>
      <c r="M525" s="4" t="n">
        <v>3.87</v>
      </c>
      <c r="N525" s="4">
        <f>K525-I525</f>
        <v/>
      </c>
      <c r="O525" s="4" t="n">
        <v>24.26</v>
      </c>
      <c r="P525" s="4" t="n">
        <v>3.787</v>
      </c>
      <c r="Q525" s="7">
        <f>K525-P525</f>
        <v/>
      </c>
      <c r="R525" s="4" t="n">
        <v>100.78</v>
      </c>
      <c r="S525" s="4">
        <f>(O525*T525)</f>
        <v/>
      </c>
      <c r="T525" s="12" t="n">
        <v>6.45</v>
      </c>
      <c r="U525" s="4" t="n">
        <v>22311.95</v>
      </c>
      <c r="V525" s="7" t="n">
        <v>45.66</v>
      </c>
      <c r="W525" s="4">
        <f>U525/V525</f>
        <v/>
      </c>
      <c r="X525" s="4">
        <f>(W525/U525)*100</f>
        <v/>
      </c>
      <c r="Y525" s="4" t="n">
        <v>21044.95</v>
      </c>
      <c r="Z525" s="4" t="n">
        <v>33.49</v>
      </c>
      <c r="AA525" s="4">
        <f>Y525/Z525</f>
        <v/>
      </c>
      <c r="AB525" s="4">
        <f>(AA525/Y525)*100</f>
        <v/>
      </c>
    </row>
    <row r="526">
      <c r="A526" s="5" t="n">
        <v>589</v>
      </c>
      <c r="B526" s="9" t="n">
        <v>45566</v>
      </c>
      <c r="C526" s="4" t="n">
        <v>47596283.68</v>
      </c>
      <c r="D526" s="4">
        <f>C526/E526</f>
        <v/>
      </c>
      <c r="E526" s="7" t="n">
        <v>83.90000000000001</v>
      </c>
      <c r="F526" s="4">
        <f>D526/100000</f>
        <v/>
      </c>
      <c r="G526" s="7">
        <f>(F526/DataSheet!$C$11*100)</f>
        <v/>
      </c>
      <c r="H526" s="4">
        <f>K526/I526</f>
        <v/>
      </c>
      <c r="I526" s="4">
        <f>(J526/L526)*100</f>
        <v/>
      </c>
      <c r="J526" s="7">
        <f>L526/O526</f>
        <v/>
      </c>
      <c r="K526" s="4" t="n">
        <v>6.732</v>
      </c>
      <c r="L526" s="4" t="n">
        <v>25796.9</v>
      </c>
      <c r="M526" s="4" t="n">
        <v>3.86</v>
      </c>
      <c r="N526" s="4">
        <f>K526-I526</f>
        <v/>
      </c>
      <c r="O526" s="4" t="n">
        <v>24.25</v>
      </c>
      <c r="P526" s="4" t="n">
        <v>3.731</v>
      </c>
      <c r="Q526" s="7">
        <f>K526-P526</f>
        <v/>
      </c>
      <c r="R526" s="4" t="n">
        <v>101.19</v>
      </c>
      <c r="S526" s="4">
        <f>(O526*T526)</f>
        <v/>
      </c>
      <c r="T526" s="12" t="n">
        <v>6.48</v>
      </c>
      <c r="U526" s="4" t="n">
        <v>22379.75</v>
      </c>
      <c r="V526" s="7" t="n">
        <v>45.8</v>
      </c>
      <c r="W526" s="4">
        <f>U526/V526</f>
        <v/>
      </c>
      <c r="X526" s="4">
        <f>(W526/U526)*100</f>
        <v/>
      </c>
      <c r="Y526" s="4" t="n">
        <v>21208.7</v>
      </c>
      <c r="Z526" s="4" t="n">
        <v>33.71</v>
      </c>
      <c r="AA526" s="4">
        <f>Y526/Z526</f>
        <v/>
      </c>
      <c r="AB526" s="4">
        <f>(AA526/Y526)*100</f>
        <v/>
      </c>
    </row>
    <row r="527">
      <c r="A527" s="5" t="n">
        <v>591</v>
      </c>
      <c r="B527" s="45" t="n">
        <v>45568</v>
      </c>
      <c r="C527" s="21" t="n">
        <v>46608996.76</v>
      </c>
      <c r="D527" s="4">
        <f>C527/E527</f>
        <v/>
      </c>
      <c r="E527" s="21" t="n">
        <v>83.98999999999999</v>
      </c>
      <c r="F527" s="4">
        <f>D527/100000</f>
        <v/>
      </c>
      <c r="G527" s="7">
        <f>(F527/DataSheet!$C$11*100)</f>
        <v/>
      </c>
      <c r="H527" s="4">
        <f>K527/I527</f>
        <v/>
      </c>
      <c r="I527" s="4">
        <f>(J527/L527)*100</f>
        <v/>
      </c>
      <c r="J527" s="7">
        <f>L527/O527</f>
        <v/>
      </c>
      <c r="K527" s="21" t="n">
        <v>6.777</v>
      </c>
      <c r="L527" s="21" t="n">
        <v>25250.1</v>
      </c>
      <c r="M527" s="21" t="n">
        <v>3.78</v>
      </c>
      <c r="N527" s="4">
        <f>K527-I527</f>
        <v/>
      </c>
      <c r="O527" s="21" t="n">
        <v>23.74</v>
      </c>
      <c r="P527" s="21" t="n">
        <v>3.846</v>
      </c>
      <c r="Q527" s="7">
        <f>K527-P527</f>
        <v/>
      </c>
      <c r="R527" s="21" t="n">
        <v>101.75</v>
      </c>
      <c r="S527" s="4">
        <f>(O527*T527)</f>
        <v/>
      </c>
      <c r="T527" s="12" t="n">
        <v>6.48</v>
      </c>
      <c r="U527" s="21" t="n">
        <v>21904.7</v>
      </c>
      <c r="V527" s="21" t="n">
        <v>44.83</v>
      </c>
      <c r="W527" s="4">
        <f>U527/V527</f>
        <v/>
      </c>
      <c r="X527" s="4">
        <f>(W527/U527)*100</f>
        <v/>
      </c>
      <c r="Y527" s="21" t="n">
        <v>18179.2</v>
      </c>
      <c r="Z527" s="23" t="n">
        <v>33.07</v>
      </c>
      <c r="AA527" s="4">
        <f>Y527/Z527</f>
        <v/>
      </c>
      <c r="AB527" s="4">
        <f>(AA527/Y527)*100</f>
        <v/>
      </c>
    </row>
    <row r="528">
      <c r="A528" s="5" t="n">
        <v>592</v>
      </c>
      <c r="B528" s="45" t="n">
        <v>45569</v>
      </c>
      <c r="C528" s="21" t="n">
        <v>46192308.53</v>
      </c>
      <c r="D528" s="4">
        <f>C528/E528</f>
        <v/>
      </c>
      <c r="E528" s="21" t="n">
        <v>84.023</v>
      </c>
      <c r="F528" s="4">
        <f>D528/100000</f>
        <v/>
      </c>
      <c r="G528" s="7">
        <f>(F528/DataSheet!$C$11*100)</f>
        <v/>
      </c>
      <c r="H528" s="4">
        <f>K528/I528</f>
        <v/>
      </c>
      <c r="I528" s="4">
        <f>(J528/L528)*100</f>
        <v/>
      </c>
      <c r="J528" s="7">
        <f>L528/O528</f>
        <v/>
      </c>
      <c r="K528" s="21" t="n">
        <v>6.829</v>
      </c>
      <c r="L528" s="21" t="n">
        <v>25014.6</v>
      </c>
      <c r="M528" s="21" t="n">
        <v>3.75</v>
      </c>
      <c r="N528" s="4">
        <f>K528-I528</f>
        <v/>
      </c>
      <c r="O528" s="21" t="n">
        <v>23.52</v>
      </c>
      <c r="P528" s="21" t="n">
        <v>3.981</v>
      </c>
      <c r="Q528" s="7">
        <f>K528-P528</f>
        <v/>
      </c>
      <c r="R528" s="21" t="n">
        <v>102.275</v>
      </c>
      <c r="S528" s="4">
        <f>(O528*T528)</f>
        <v/>
      </c>
      <c r="T528" s="12" t="n">
        <v>6.48</v>
      </c>
      <c r="U528" s="21" t="n">
        <v>21710.6</v>
      </c>
      <c r="V528" s="21" t="n">
        <v>44.43</v>
      </c>
      <c r="W528" s="4">
        <f>U528/V528</f>
        <v/>
      </c>
      <c r="X528" s="4">
        <f>(W528/U528)*100</f>
        <v/>
      </c>
      <c r="Y528" s="21" t="n">
        <v>18021.65</v>
      </c>
      <c r="Z528" s="23" t="n">
        <v>32.78</v>
      </c>
      <c r="AA528" s="4">
        <f>Y528/Z528</f>
        <v/>
      </c>
      <c r="AB528" s="4">
        <f>(AA528/Y528)*100</f>
        <v/>
      </c>
    </row>
    <row r="529">
      <c r="A529" s="5" t="n">
        <v>593</v>
      </c>
      <c r="B529" s="45" t="n">
        <v>45572</v>
      </c>
      <c r="C529" s="21" t="n">
        <v>45284402.49</v>
      </c>
      <c r="D529" s="4">
        <f>C529/E529</f>
        <v/>
      </c>
      <c r="E529" s="21" t="n">
        <v>83.98</v>
      </c>
      <c r="F529" s="4">
        <f>D529/100000</f>
        <v/>
      </c>
      <c r="G529" s="7">
        <f>(F529/DataSheet!$C$11*100)</f>
        <v/>
      </c>
      <c r="H529" s="4">
        <f>K529/I529</f>
        <v/>
      </c>
      <c r="I529" s="4">
        <f>(J529/L529)*100</f>
        <v/>
      </c>
      <c r="J529" s="7">
        <f>L529/O529</f>
        <v/>
      </c>
      <c r="K529" s="21" t="n">
        <v>6.846</v>
      </c>
      <c r="L529" s="21" t="n">
        <v>24795.75</v>
      </c>
      <c r="M529" s="21" t="n">
        <v>3.71</v>
      </c>
      <c r="N529" s="4">
        <f>K529-I529</f>
        <v/>
      </c>
      <c r="O529" s="21" t="n">
        <v>23.31</v>
      </c>
      <c r="P529" s="21" t="n">
        <v>4.026</v>
      </c>
      <c r="Q529" s="7">
        <f>K529-P529</f>
        <v/>
      </c>
      <c r="R529" s="21" t="n">
        <v>102.301</v>
      </c>
      <c r="S529" s="4">
        <f>(O529*T529)</f>
        <v/>
      </c>
      <c r="T529" s="12" t="n">
        <v>6.48</v>
      </c>
      <c r="U529" s="21" t="n">
        <v>21264.5</v>
      </c>
      <c r="V529" s="21" t="n">
        <v>43.52</v>
      </c>
      <c r="W529" s="4">
        <f>U529/V529</f>
        <v/>
      </c>
      <c r="X529" s="4">
        <f>(W529/U529)*100</f>
        <v/>
      </c>
      <c r="Y529" s="21" t="n">
        <v>17514.5</v>
      </c>
      <c r="Z529" s="23" t="n">
        <v>31.86</v>
      </c>
      <c r="AA529" s="4">
        <f>Y529/Z529</f>
        <v/>
      </c>
      <c r="AB529" s="4">
        <f>(AA529/Y529)*100</f>
        <v/>
      </c>
    </row>
    <row r="530">
      <c r="A530" s="5" t="n">
        <v>594</v>
      </c>
      <c r="B530" s="45" t="n">
        <v>45573</v>
      </c>
      <c r="C530" s="21" t="n">
        <v>46043124.44</v>
      </c>
      <c r="D530" s="4">
        <f>C530/E530</f>
        <v/>
      </c>
      <c r="E530" s="21" t="n">
        <v>83.94499999999999</v>
      </c>
      <c r="F530" s="4">
        <f>D530/100000</f>
        <v/>
      </c>
      <c r="G530" s="7">
        <f>(F530/DataSheet!$C$11*100)</f>
        <v/>
      </c>
      <c r="H530" s="4">
        <f>K530/I530</f>
        <v/>
      </c>
      <c r="I530" s="4">
        <f>(J530/L530)*100</f>
        <v/>
      </c>
      <c r="J530" s="7">
        <f>L530/O530</f>
        <v/>
      </c>
      <c r="K530" s="21" t="n">
        <v>6.806</v>
      </c>
      <c r="L530" s="21" t="n">
        <v>25013.15</v>
      </c>
      <c r="M530" s="21" t="n">
        <v>3.75</v>
      </c>
      <c r="N530" s="4">
        <f>K530-I530</f>
        <v/>
      </c>
      <c r="O530" s="21" t="n">
        <v>23.51</v>
      </c>
      <c r="P530" s="21" t="n">
        <v>4.035</v>
      </c>
      <c r="Q530" s="7">
        <f>K530-P530</f>
        <v/>
      </c>
      <c r="R530" s="21" t="n">
        <v>102.303</v>
      </c>
      <c r="S530" s="4">
        <f>(O530*T530)</f>
        <v/>
      </c>
      <c r="T530" s="12" t="n">
        <v>6.48</v>
      </c>
      <c r="U530" s="21" t="n">
        <v>21685.65</v>
      </c>
      <c r="V530" s="21" t="n">
        <v>44.38</v>
      </c>
      <c r="W530" s="4">
        <f>U530/V530</f>
        <v/>
      </c>
      <c r="X530" s="4">
        <f>(W530/U530)*100</f>
        <v/>
      </c>
      <c r="Y530" s="21" t="n">
        <v>17882.85</v>
      </c>
      <c r="Z530" s="23" t="n">
        <v>32.53</v>
      </c>
      <c r="AA530" s="4">
        <f>Y530/Z530</f>
        <v/>
      </c>
      <c r="AB530" s="4">
        <f>(AA530/Y530)*100</f>
        <v/>
      </c>
    </row>
    <row r="531">
      <c r="A531" s="5" t="n">
        <v>595</v>
      </c>
      <c r="B531" s="45" t="n">
        <v>45574</v>
      </c>
      <c r="C531" s="21" t="n">
        <v>46321835.9</v>
      </c>
      <c r="D531" s="4">
        <f>C531/E531</f>
        <v/>
      </c>
      <c r="E531" s="21" t="n">
        <v>83.95</v>
      </c>
      <c r="F531" s="4">
        <f>D531/100000</f>
        <v/>
      </c>
      <c r="G531" s="7">
        <f>(F531/DataSheet!$C$11*100)</f>
        <v/>
      </c>
      <c r="H531" s="4">
        <f>K531/I531</f>
        <v/>
      </c>
      <c r="I531" s="4">
        <f>(J531/L531)*100</f>
        <v/>
      </c>
      <c r="J531" s="7">
        <f>L531/O531</f>
        <v/>
      </c>
      <c r="K531" s="21" t="n">
        <v>6.766</v>
      </c>
      <c r="L531" s="21" t="n">
        <v>24981.95</v>
      </c>
      <c r="M531" s="21" t="n">
        <v>3.74</v>
      </c>
      <c r="N531" s="4">
        <f>K531-I531</f>
        <v/>
      </c>
      <c r="O531" s="21" t="n">
        <v>23.48</v>
      </c>
      <c r="P531" s="21" t="n">
        <v>4.067</v>
      </c>
      <c r="Q531" s="7">
        <f>K531-P531</f>
        <v/>
      </c>
      <c r="R531" s="21" t="n">
        <v>102.695</v>
      </c>
      <c r="S531" s="4">
        <f>(O531*T531)</f>
        <v/>
      </c>
      <c r="T531" s="12" t="n">
        <v>6.48</v>
      </c>
      <c r="U531" s="21" t="n">
        <v>21918.3</v>
      </c>
      <c r="V531" s="21" t="n">
        <v>44.85</v>
      </c>
      <c r="W531" s="4">
        <f>U531/V531</f>
        <v/>
      </c>
      <c r="X531" s="4">
        <f>(W531/U531)*100</f>
        <v/>
      </c>
      <c r="Y531" s="21" t="n">
        <v>18103.95</v>
      </c>
      <c r="Z531" s="23" t="n">
        <v>32.93</v>
      </c>
      <c r="AA531" s="4">
        <f>Y531/Z531</f>
        <v/>
      </c>
      <c r="AB531" s="4">
        <f>(AA531/Y531)*100</f>
        <v/>
      </c>
    </row>
    <row r="532">
      <c r="A532" s="5" t="n">
        <v>596</v>
      </c>
      <c r="B532" s="45" t="n">
        <v>45575</v>
      </c>
      <c r="C532" s="21" t="n">
        <v>46325701.41</v>
      </c>
      <c r="D532" s="4">
        <f>C532/E532</f>
        <v/>
      </c>
      <c r="E532" s="21" t="n">
        <v>83.94</v>
      </c>
      <c r="F532" s="4">
        <f>D532/100000</f>
        <v/>
      </c>
      <c r="G532" s="7">
        <f>(F532/DataSheet!$C$11*100)</f>
        <v/>
      </c>
      <c r="H532" s="4">
        <f>K532/I532</f>
        <v/>
      </c>
      <c r="I532" s="4">
        <f>(J532/L532)*100</f>
        <v/>
      </c>
      <c r="J532" s="7">
        <f>L532/O532</f>
        <v/>
      </c>
      <c r="K532" s="21" t="n">
        <v>6.776</v>
      </c>
      <c r="L532" s="21" t="n">
        <v>24998.45</v>
      </c>
      <c r="M532" s="21" t="n">
        <v>3.74</v>
      </c>
      <c r="N532" s="4">
        <f>K532-I532</f>
        <v/>
      </c>
      <c r="O532" s="21" t="n">
        <v>23.5</v>
      </c>
      <c r="P532" s="21" t="n">
        <v>4.094</v>
      </c>
      <c r="Q532" s="7">
        <f>K532-P532</f>
        <v/>
      </c>
      <c r="R532" s="21" t="n">
        <v>102.773</v>
      </c>
      <c r="S532" s="4">
        <f>(O532*T532)</f>
        <v/>
      </c>
      <c r="T532" s="12" t="n">
        <v>6.46</v>
      </c>
      <c r="U532" s="21" t="n">
        <v>21885.65</v>
      </c>
      <c r="V532" s="21" t="n">
        <v>44.49</v>
      </c>
      <c r="W532" s="4">
        <f>U532/V532</f>
        <v/>
      </c>
      <c r="X532" s="4">
        <f>(W532/U532)*100</f>
        <v/>
      </c>
      <c r="Y532" s="21" t="n">
        <v>18127.35</v>
      </c>
      <c r="Z532" s="23" t="n">
        <v>33.15</v>
      </c>
      <c r="AA532" s="4">
        <f>Y532/Z532</f>
        <v/>
      </c>
      <c r="AB532" s="4">
        <f>(AA532/Y532)*100</f>
        <v/>
      </c>
    </row>
    <row r="533">
      <c r="A533" s="5" t="n">
        <v>597</v>
      </c>
      <c r="B533" s="45" t="n">
        <v>45576</v>
      </c>
      <c r="C533" s="21" t="n">
        <v>46357374.2</v>
      </c>
      <c r="D533" s="4">
        <f>C533/E533</f>
        <v/>
      </c>
      <c r="E533" s="21" t="n">
        <v>84.101</v>
      </c>
      <c r="F533" s="4">
        <f>D533/100000</f>
        <v/>
      </c>
      <c r="G533" s="7">
        <f>(F533/DataSheet!$C$11*100)</f>
        <v/>
      </c>
      <c r="H533" s="4">
        <f>K533/I533</f>
        <v/>
      </c>
      <c r="I533" s="4">
        <f>(J533/L533)*100</f>
        <v/>
      </c>
      <c r="J533" s="7">
        <f>L533/O533</f>
        <v/>
      </c>
      <c r="K533" s="21" t="n">
        <v>6.788</v>
      </c>
      <c r="L533" s="21" t="n">
        <v>24964.25</v>
      </c>
      <c r="M533" s="21" t="n">
        <v>3.74</v>
      </c>
      <c r="N533" s="4">
        <f>K533-I533</f>
        <v/>
      </c>
      <c r="O533" s="21" t="n">
        <v>23.47</v>
      </c>
      <c r="P533" s="21" t="n">
        <v>4.073</v>
      </c>
      <c r="Q533" s="7">
        <f>K533-P533</f>
        <v/>
      </c>
      <c r="R533" s="21" t="n">
        <v>102.677</v>
      </c>
      <c r="S533" s="4">
        <f>(O533*T533)</f>
        <v/>
      </c>
      <c r="T533" s="12" t="n">
        <v>6.46</v>
      </c>
      <c r="U533" s="21" t="n">
        <v>21979.15</v>
      </c>
      <c r="V533" s="21" t="n">
        <v>44.69</v>
      </c>
      <c r="W533" s="4">
        <f>U533/V533</f>
        <v/>
      </c>
      <c r="X533" s="4">
        <f>(W533/U533)*100</f>
        <v/>
      </c>
      <c r="Y533" s="21" t="n">
        <v>18213</v>
      </c>
      <c r="Z533" s="23" t="n">
        <v>33.3</v>
      </c>
      <c r="AA533" s="4">
        <f>Y533/Z533</f>
        <v/>
      </c>
      <c r="AB533" s="4">
        <f>(AA533/Y533)*100</f>
        <v/>
      </c>
    </row>
    <row r="534">
      <c r="A534" s="5" t="n">
        <v>598</v>
      </c>
      <c r="B534" s="45" t="n">
        <v>45579</v>
      </c>
      <c r="C534" s="21" t="n">
        <v>46474654.68</v>
      </c>
      <c r="D534" s="4">
        <f>C534/E534</f>
        <v/>
      </c>
      <c r="E534" s="21" t="n">
        <v>84.045</v>
      </c>
      <c r="F534" s="4">
        <f>D534/100000</f>
        <v/>
      </c>
      <c r="G534" s="7">
        <f>(F534/DataSheet!$C$11*100)</f>
        <v/>
      </c>
      <c r="H534" s="4">
        <f>K534/I534</f>
        <v/>
      </c>
      <c r="I534" s="4">
        <f>(J534/L534)*100</f>
        <v/>
      </c>
      <c r="J534" s="7">
        <f>L534/O534</f>
        <v/>
      </c>
      <c r="K534" s="21" t="n">
        <v>6.782</v>
      </c>
      <c r="L534" s="21" t="n">
        <v>25127.95</v>
      </c>
      <c r="M534" s="21" t="n">
        <v>3.76</v>
      </c>
      <c r="N534" s="4">
        <f>K534-I534</f>
        <v/>
      </c>
      <c r="O534" s="21" t="n">
        <v>23.62</v>
      </c>
      <c r="P534" s="21" t="n">
        <v>4.073</v>
      </c>
      <c r="Q534" s="7">
        <f>K534-P534</f>
        <v/>
      </c>
      <c r="R534" s="21" t="n">
        <v>103.082</v>
      </c>
      <c r="S534" s="4">
        <f>(O534*T534)</f>
        <v/>
      </c>
      <c r="T534" s="12" t="n">
        <v>6.46</v>
      </c>
      <c r="U534" s="21" t="n">
        <v>22058.8</v>
      </c>
      <c r="V534" s="21" t="n">
        <v>44.85</v>
      </c>
      <c r="W534" s="4">
        <f>U534/V534</f>
        <v/>
      </c>
      <c r="X534" s="4">
        <f>(W534/U534)*100</f>
        <v/>
      </c>
      <c r="Y534" s="21" t="n">
        <v>18265.1</v>
      </c>
      <c r="Z534" s="23" t="n">
        <v>33.4</v>
      </c>
      <c r="AA534" s="4">
        <f>Y534/Z534</f>
        <v/>
      </c>
      <c r="AB534" s="4">
        <f>(AA534/Y534)*100</f>
        <v/>
      </c>
    </row>
    <row r="535">
      <c r="A535" s="5" t="n">
        <v>599</v>
      </c>
      <c r="B535" s="45" t="n">
        <v>45580</v>
      </c>
      <c r="C535" s="21" t="n">
        <v>46501803.76</v>
      </c>
      <c r="D535" s="4">
        <f>C535/E535</f>
        <v/>
      </c>
      <c r="E535" s="21" t="n">
        <v>84.04000000000001</v>
      </c>
      <c r="F535" s="4">
        <f>D535/100000</f>
        <v/>
      </c>
      <c r="G535" s="7">
        <f>(F535/DataSheet!$C$11*100)</f>
        <v/>
      </c>
      <c r="H535" s="4">
        <f>K535/I535</f>
        <v/>
      </c>
      <c r="I535" s="4">
        <f>(J535/L535)*100</f>
        <v/>
      </c>
      <c r="J535" s="7">
        <f>L535/O535</f>
        <v/>
      </c>
      <c r="K535" s="21" t="n">
        <v>6.769</v>
      </c>
      <c r="L535" s="21" t="n">
        <v>25057.35</v>
      </c>
      <c r="M535" s="21" t="n">
        <v>3.75</v>
      </c>
      <c r="N535" s="4">
        <f>K535-I535</f>
        <v/>
      </c>
      <c r="O535" s="21" t="n">
        <v>23.55</v>
      </c>
      <c r="P535" s="21" t="n">
        <v>4.038</v>
      </c>
      <c r="Q535" s="7">
        <f>K535-P535</f>
        <v/>
      </c>
      <c r="R535" s="21" t="n">
        <v>103.055</v>
      </c>
      <c r="S535" s="4">
        <f>(O535*T535)</f>
        <v/>
      </c>
      <c r="T535" s="12" t="n">
        <v>6.44</v>
      </c>
      <c r="U535" s="21" t="n">
        <v>22128.65</v>
      </c>
      <c r="V535" s="21" t="n">
        <v>44.96</v>
      </c>
      <c r="W535" s="4">
        <f>U535/V535</f>
        <v/>
      </c>
      <c r="X535" s="4">
        <f>(W535/U535)*100</f>
        <v/>
      </c>
      <c r="Y535" s="21" t="n">
        <v>18467.65</v>
      </c>
      <c r="Z535" s="23" t="n">
        <v>33.77</v>
      </c>
      <c r="AA535" s="4">
        <f>Y535/Z535</f>
        <v/>
      </c>
      <c r="AB535" s="4">
        <f>(AA535/Y535)*100</f>
        <v/>
      </c>
    </row>
    <row r="536">
      <c r="A536" s="5" t="n">
        <v>600</v>
      </c>
      <c r="B536" s="45" t="n">
        <v>45581</v>
      </c>
      <c r="C536" s="21" t="n">
        <v>46455987.05</v>
      </c>
      <c r="D536" s="4">
        <f>C536/E536</f>
        <v/>
      </c>
      <c r="E536" s="21" t="n">
        <v>84.03</v>
      </c>
      <c r="F536" s="4">
        <f>D536/100000</f>
        <v/>
      </c>
      <c r="G536" s="7">
        <f>(F536/DataSheet!$C$11*100)</f>
        <v/>
      </c>
      <c r="H536" s="4">
        <f>K536/I536</f>
        <v/>
      </c>
      <c r="I536" s="4">
        <f>(J536/L536)*100</f>
        <v/>
      </c>
      <c r="J536" s="7">
        <f>L536/O536</f>
        <v/>
      </c>
      <c r="K536" s="21" t="n">
        <v>6.773</v>
      </c>
      <c r="L536" s="21" t="n">
        <v>24971.3</v>
      </c>
      <c r="M536" s="21" t="n">
        <v>3.74</v>
      </c>
      <c r="N536" s="4">
        <f>K536-I536</f>
        <v/>
      </c>
      <c r="O536" s="21" t="n">
        <v>23.47</v>
      </c>
      <c r="P536" s="21" t="n">
        <v>4.016</v>
      </c>
      <c r="Q536" s="7">
        <f>K536-P536</f>
        <v/>
      </c>
      <c r="R536" s="21" t="n">
        <v>103.4</v>
      </c>
      <c r="S536" s="4">
        <f>(O536*T536)</f>
        <v/>
      </c>
      <c r="T536" s="12" t="n">
        <v>6.46</v>
      </c>
      <c r="U536" s="21" t="n">
        <v>22085.1</v>
      </c>
      <c r="V536" s="21" t="n">
        <v>44.88</v>
      </c>
      <c r="W536" s="4">
        <f>U536/V536</f>
        <v/>
      </c>
      <c r="X536" s="4">
        <f>(W536/U536)*100</f>
        <v/>
      </c>
      <c r="Y536" s="21" t="n">
        <v>18505.95</v>
      </c>
      <c r="Z536" s="23" t="n">
        <v>33.85</v>
      </c>
      <c r="AA536" s="4">
        <f>Y536/Z536</f>
        <v/>
      </c>
      <c r="AB536" s="4">
        <f>(AA536/Y536)*100</f>
        <v/>
      </c>
    </row>
    <row r="537">
      <c r="A537" s="5" t="n">
        <v>601</v>
      </c>
      <c r="B537" s="45" t="n">
        <v>45582</v>
      </c>
      <c r="C537" s="21" t="n">
        <v>45847349.3</v>
      </c>
      <c r="D537" s="4">
        <f>C537/E537</f>
        <v/>
      </c>
      <c r="E537" s="21" t="n">
        <v>84.035</v>
      </c>
      <c r="F537" s="4">
        <f>D537/100000</f>
        <v/>
      </c>
      <c r="G537" s="7">
        <f>(F537/DataSheet!$C$11*100)</f>
        <v/>
      </c>
      <c r="H537" s="4">
        <f>K537/I537</f>
        <v/>
      </c>
      <c r="I537" s="4">
        <f>(J537/L537)*100</f>
        <v/>
      </c>
      <c r="J537" s="7">
        <f>L537/O537</f>
        <v/>
      </c>
      <c r="K537" s="21" t="n">
        <v>6.784</v>
      </c>
      <c r="L537" s="21" t="n">
        <v>24749.85</v>
      </c>
      <c r="M537" s="21" t="n">
        <v>3.71</v>
      </c>
      <c r="N537" s="4">
        <f>K537-I537</f>
        <v/>
      </c>
      <c r="O537" s="21" t="n">
        <v>23.26</v>
      </c>
      <c r="P537" s="21" t="n">
        <v>4.096</v>
      </c>
      <c r="Q537" s="7">
        <f>K537-P537</f>
        <v/>
      </c>
      <c r="R537" s="21" t="n">
        <v>103.652</v>
      </c>
      <c r="S537" s="4">
        <f>(O537*T537)</f>
        <v/>
      </c>
      <c r="T537" s="12" t="n">
        <v>6.46</v>
      </c>
      <c r="U537" s="21" t="n">
        <v>21718.5</v>
      </c>
      <c r="V537" s="21" t="n">
        <v>44.06</v>
      </c>
      <c r="W537" s="4">
        <f>U537/V537</f>
        <v/>
      </c>
      <c r="X537" s="4">
        <f>(W537/U537)*100</f>
        <v/>
      </c>
      <c r="Y537" s="21" t="n">
        <v>18244.3</v>
      </c>
      <c r="Z537" s="23" t="n">
        <v>33.39</v>
      </c>
      <c r="AA537" s="4">
        <f>Y537/Z537</f>
        <v/>
      </c>
      <c r="AB537" s="4">
        <f>(AA537/Y537)*100</f>
        <v/>
      </c>
    </row>
    <row r="538">
      <c r="A538" s="5" t="n">
        <v>602</v>
      </c>
      <c r="B538" s="45" t="n">
        <v>45583</v>
      </c>
      <c r="C538" s="21" t="n">
        <v>45941908.24</v>
      </c>
      <c r="D538" s="4">
        <f>C538/E538</f>
        <v/>
      </c>
      <c r="E538" s="21" t="n">
        <v>84.065</v>
      </c>
      <c r="F538" s="4">
        <f>D538/100000</f>
        <v/>
      </c>
      <c r="G538" s="7">
        <f>(F538/DataSheet!$C$11*100)</f>
        <v/>
      </c>
      <c r="H538" s="4">
        <f>K538/I538</f>
        <v/>
      </c>
      <c r="I538" s="4">
        <f>(J538/L538)*100</f>
        <v/>
      </c>
      <c r="J538" s="7">
        <f>L538/O538</f>
        <v/>
      </c>
      <c r="K538" s="21" t="n">
        <v>6.809</v>
      </c>
      <c r="L538" s="21" t="n">
        <v>24854.05</v>
      </c>
      <c r="M538" s="21" t="n">
        <v>3.72</v>
      </c>
      <c r="N538" s="4">
        <f>K538-I538</f>
        <v/>
      </c>
      <c r="O538" s="21" t="n">
        <v>23.38</v>
      </c>
      <c r="P538" s="21" t="n">
        <v>4.075</v>
      </c>
      <c r="Q538" s="7">
        <f>K538-P538</f>
        <v/>
      </c>
      <c r="R538" s="21" t="n">
        <v>103.307</v>
      </c>
      <c r="S538" s="4">
        <f>(O538*T538)</f>
        <v/>
      </c>
      <c r="T538" s="12" t="n">
        <v>6.46</v>
      </c>
      <c r="U538" s="21" t="n">
        <v>21755.65</v>
      </c>
      <c r="V538" s="21" t="n">
        <v>44.13</v>
      </c>
      <c r="W538" s="4">
        <f>U538/V538</f>
        <v/>
      </c>
      <c r="X538" s="4">
        <f>(W538/U538)*100</f>
        <v/>
      </c>
      <c r="Y538" s="21" t="n">
        <v>18236.8</v>
      </c>
      <c r="Z538" s="23" t="n">
        <v>33.37</v>
      </c>
      <c r="AA538" s="4">
        <f>Y538/Z538</f>
        <v/>
      </c>
      <c r="AB538" s="4">
        <f>(AA538/Y538)*100</f>
        <v/>
      </c>
    </row>
    <row r="539">
      <c r="A539" s="5" t="n">
        <v>603</v>
      </c>
      <c r="B539" s="45" t="n">
        <v>45586</v>
      </c>
      <c r="C539" s="21" t="n">
        <v>45465368.23</v>
      </c>
      <c r="D539" s="4">
        <f>C539/E539</f>
        <v/>
      </c>
      <c r="E539" s="21" t="n">
        <v>84.06999999999999</v>
      </c>
      <c r="F539" s="4">
        <f>D539/100000</f>
        <v/>
      </c>
      <c r="G539" s="7">
        <f>(F539/DataSheet!$C$11*100)</f>
        <v/>
      </c>
      <c r="H539" s="4">
        <f>K539/I539</f>
        <v/>
      </c>
      <c r="I539" s="4">
        <f>(J539/L539)*100</f>
        <v/>
      </c>
      <c r="J539" s="7">
        <f>L539/O539</f>
        <v/>
      </c>
      <c r="K539" s="21" t="n">
        <v>6.837</v>
      </c>
      <c r="L539" s="21" t="n">
        <v>24781.1</v>
      </c>
      <c r="M539" s="21" t="n">
        <v>3.71</v>
      </c>
      <c r="N539" s="4">
        <f>K539-I539</f>
        <v/>
      </c>
      <c r="O539" s="21" t="n">
        <v>23.23</v>
      </c>
      <c r="P539" s="21" t="n">
        <v>4.182</v>
      </c>
      <c r="Q539" s="7">
        <f>K539-P539</f>
        <v/>
      </c>
      <c r="R539" s="21" t="n">
        <v>103.834</v>
      </c>
      <c r="S539" s="4">
        <f>(O539*T539)</f>
        <v/>
      </c>
      <c r="T539" s="12" t="n">
        <v>6.47</v>
      </c>
      <c r="U539" s="21" t="n">
        <v>21429.9</v>
      </c>
      <c r="V539" s="21" t="n">
        <v>43.56</v>
      </c>
      <c r="W539" s="4">
        <f>U539/V539</f>
        <v/>
      </c>
      <c r="X539" s="4">
        <f>(W539/U539)*100</f>
        <v/>
      </c>
      <c r="Y539" s="21" t="n">
        <v>17936.3</v>
      </c>
      <c r="Z539" s="23" t="n">
        <v>32.79</v>
      </c>
      <c r="AA539" s="4">
        <f>Y539/Z539</f>
        <v/>
      </c>
      <c r="AB539" s="4">
        <f>(AA539/Y539)*100</f>
        <v/>
      </c>
    </row>
    <row r="540">
      <c r="A540" s="5" t="n">
        <v>604</v>
      </c>
      <c r="B540" s="45" t="n">
        <v>45587</v>
      </c>
      <c r="C540" s="21" t="n">
        <v>44555854.43</v>
      </c>
      <c r="D540" s="4">
        <f>C540/E540</f>
        <v/>
      </c>
      <c r="E540" s="21" t="n">
        <v>84.06999999999999</v>
      </c>
      <c r="F540" s="4">
        <f>D540/100000</f>
        <v/>
      </c>
      <c r="G540" s="7">
        <f>(F540/DataSheet!$C$11*100)</f>
        <v/>
      </c>
      <c r="H540" s="4">
        <f>K540/I540</f>
        <v/>
      </c>
      <c r="I540" s="4">
        <f>(J540/L540)*100</f>
        <v/>
      </c>
      <c r="J540" s="7">
        <f>L540/O540</f>
        <v/>
      </c>
      <c r="K540" s="21" t="n">
        <v>6.832</v>
      </c>
      <c r="L540" s="21" t="n">
        <v>24472.1</v>
      </c>
      <c r="M540" s="21" t="n">
        <v>3.67</v>
      </c>
      <c r="N540" s="4">
        <f>K540-I540</f>
        <v/>
      </c>
      <c r="O540" s="21" t="n">
        <v>22.83</v>
      </c>
      <c r="P540" s="21" t="n">
        <v>4.206</v>
      </c>
      <c r="Q540" s="7">
        <f>K540-P540</f>
        <v/>
      </c>
      <c r="R540" s="21" t="n">
        <v>103.909</v>
      </c>
      <c r="S540" s="4">
        <f>(O540*T540)</f>
        <v/>
      </c>
      <c r="T540" s="12" t="n">
        <v>6.48</v>
      </c>
      <c r="U540" s="21" t="n">
        <v>20879.45</v>
      </c>
      <c r="V540" s="21" t="n">
        <v>42.5</v>
      </c>
      <c r="W540" s="4">
        <f>U540/V540</f>
        <v/>
      </c>
      <c r="X540" s="4">
        <f>(W540/U540)*100</f>
        <v/>
      </c>
      <c r="Y540" s="21" t="n">
        <v>17275.7</v>
      </c>
      <c r="Z540" s="23" t="n">
        <v>31.37</v>
      </c>
      <c r="AA540" s="4">
        <f>Y540/Z540</f>
        <v/>
      </c>
      <c r="AB540" s="4">
        <f>(AA540/Y540)*100</f>
        <v/>
      </c>
    </row>
    <row r="541">
      <c r="A541" s="5" t="n">
        <v>605</v>
      </c>
      <c r="B541" s="45" t="n">
        <v>45588</v>
      </c>
      <c r="C541" s="21" t="n">
        <v>44640430.04</v>
      </c>
      <c r="D541" s="4">
        <f>C541/E541</f>
        <v/>
      </c>
      <c r="E541" s="21" t="n">
        <v>84.056</v>
      </c>
      <c r="F541" s="4">
        <f>D541/100000</f>
        <v/>
      </c>
      <c r="G541" s="7">
        <f>(F541/DataSheet!$C$11*100)</f>
        <v/>
      </c>
      <c r="H541" s="4">
        <f>K541/I541</f>
        <v/>
      </c>
      <c r="I541" s="4">
        <f>(J541/L541)*100</f>
        <v/>
      </c>
      <c r="J541" s="7">
        <f>L541/O541</f>
        <v/>
      </c>
      <c r="K541" s="21" t="n">
        <v>6.818</v>
      </c>
      <c r="L541" s="21" t="n">
        <v>24435.5</v>
      </c>
      <c r="M541" s="21" t="n">
        <v>3.66</v>
      </c>
      <c r="N541" s="4">
        <f>K541-I541</f>
        <v/>
      </c>
      <c r="O541" s="21" t="n">
        <v>22.81</v>
      </c>
      <c r="P541" s="21" t="n">
        <v>4.242</v>
      </c>
      <c r="Q541" s="7">
        <f>K541-P541</f>
        <v/>
      </c>
      <c r="R541" s="21" t="n">
        <v>104.277</v>
      </c>
      <c r="S541" s="4">
        <f>(O541*T541)</f>
        <v/>
      </c>
      <c r="T541" s="12" t="n">
        <v>6.49</v>
      </c>
      <c r="U541" s="21" t="n">
        <v>20985.25</v>
      </c>
      <c r="V541" s="21" t="n">
        <v>42.72</v>
      </c>
      <c r="W541" s="4">
        <f>U541/V541</f>
        <v/>
      </c>
      <c r="X541" s="4">
        <f>(W541/U541)*100</f>
        <v/>
      </c>
      <c r="Y541" s="21" t="n">
        <v>17456.2</v>
      </c>
      <c r="Z541" s="23" t="n">
        <v>31.65</v>
      </c>
      <c r="AA541" s="4">
        <f>Y541/Z541</f>
        <v/>
      </c>
      <c r="AB541" s="4">
        <f>(AA541/Y541)*100</f>
        <v/>
      </c>
    </row>
    <row r="542">
      <c r="A542" s="5" t="n">
        <v>606</v>
      </c>
      <c r="B542" s="45" t="n">
        <v>45589</v>
      </c>
      <c r="C542" s="21" t="n">
        <v>44487806.63</v>
      </c>
      <c r="D542" s="4">
        <f>C542/E542</f>
        <v/>
      </c>
      <c r="E542" s="21" t="n">
        <v>84.05</v>
      </c>
      <c r="F542" s="4">
        <f>D542/100000</f>
        <v/>
      </c>
      <c r="G542" s="7">
        <f>(F542/DataSheet!$C$11*100)</f>
        <v/>
      </c>
      <c r="H542" s="4">
        <f>K542/I542</f>
        <v/>
      </c>
      <c r="I542" s="4">
        <f>(J542/L542)*100</f>
        <v/>
      </c>
      <c r="J542" s="7">
        <f>L542/O542</f>
        <v/>
      </c>
      <c r="K542" s="21" t="n">
        <v>6.822</v>
      </c>
      <c r="L542" s="21" t="n">
        <v>24399.4</v>
      </c>
      <c r="M542" s="21" t="n">
        <v>3.65</v>
      </c>
      <c r="N542" s="4">
        <f>K542-I542</f>
        <v/>
      </c>
      <c r="O542" s="21" t="n">
        <v>22.76</v>
      </c>
      <c r="P542" s="21" t="n">
        <v>4.202</v>
      </c>
      <c r="Q542" s="7">
        <f>K542-P542</f>
        <v/>
      </c>
      <c r="R542" s="21" t="n">
        <v>103.919</v>
      </c>
      <c r="S542" s="4">
        <f>(O542*T542)</f>
        <v/>
      </c>
      <c r="T542" s="12" t="n">
        <v>6.5</v>
      </c>
      <c r="U542" s="21" t="n">
        <v>20932.75</v>
      </c>
      <c r="V542" s="21" t="n">
        <v>42.03</v>
      </c>
      <c r="W542" s="4">
        <f>U542/V542</f>
        <v/>
      </c>
      <c r="X542" s="4">
        <f>(W542/U542)*100</f>
        <v/>
      </c>
      <c r="Y542" s="21" t="n">
        <v>17352.2</v>
      </c>
      <c r="Z542" s="23" t="n">
        <v>31.72</v>
      </c>
      <c r="AA542" s="4">
        <f>Y542/Z542</f>
        <v/>
      </c>
      <c r="AB542" s="4">
        <f>(AA542/Y542)*100</f>
        <v/>
      </c>
    </row>
    <row r="543">
      <c r="A543" s="5" t="n">
        <v>607</v>
      </c>
      <c r="B543" s="45" t="n">
        <v>45590</v>
      </c>
      <c r="C543" s="21" t="n">
        <v>43809112.52</v>
      </c>
      <c r="D543" s="4">
        <f>C543/E543</f>
        <v/>
      </c>
      <c r="E543" s="21" t="n">
        <v>84.095</v>
      </c>
      <c r="F543" s="4">
        <f>D543/100000</f>
        <v/>
      </c>
      <c r="G543" s="7">
        <f>(F543/DataSheet!$C$11*100)</f>
        <v/>
      </c>
      <c r="H543" s="4">
        <f>K543/I543</f>
        <v/>
      </c>
      <c r="I543" s="4">
        <f>(J543/L543)*100</f>
        <v/>
      </c>
      <c r="J543" s="7">
        <f>L543/O543</f>
        <v/>
      </c>
      <c r="K543" s="21" t="n">
        <v>6.845</v>
      </c>
      <c r="L543" s="21" t="n">
        <v>24180.8</v>
      </c>
      <c r="M543" s="21" t="n">
        <v>3.62</v>
      </c>
      <c r="N543" s="4">
        <f>K543-I543</f>
        <v/>
      </c>
      <c r="O543" s="21" t="n">
        <v>22.56</v>
      </c>
      <c r="P543" s="21" t="n">
        <v>4.232</v>
      </c>
      <c r="Q543" s="7">
        <f>K543-P543</f>
        <v/>
      </c>
      <c r="R543" s="21" t="n">
        <v>104.132</v>
      </c>
      <c r="S543" s="4">
        <f>(O543*T543)</f>
        <v/>
      </c>
      <c r="T543" s="12" t="n">
        <v>6.51</v>
      </c>
      <c r="U543" s="21" t="n">
        <v>20563.7</v>
      </c>
      <c r="V543" s="21" t="n">
        <v>41.11</v>
      </c>
      <c r="W543" s="4">
        <f>U543/V543</f>
        <v/>
      </c>
      <c r="X543" s="4">
        <f>(W543/U543)*100</f>
        <v/>
      </c>
      <c r="Y543" s="21" t="n">
        <v>16956.05</v>
      </c>
      <c r="Z543" s="23" t="n">
        <v>31.01</v>
      </c>
      <c r="AA543" s="4">
        <f>Y543/Z543</f>
        <v/>
      </c>
      <c r="AB543" s="4">
        <f>(AA543/Y543)*100</f>
        <v/>
      </c>
    </row>
    <row r="544">
      <c r="A544" s="5" t="n">
        <v>608</v>
      </c>
      <c r="B544" s="45" t="n">
        <v>45593</v>
      </c>
      <c r="C544" s="21" t="n">
        <v>44207998.7</v>
      </c>
      <c r="D544" s="4">
        <f>C544/E544</f>
        <v/>
      </c>
      <c r="E544" s="21" t="n">
        <v>84.06</v>
      </c>
      <c r="F544" s="4">
        <f>D544/100000</f>
        <v/>
      </c>
      <c r="G544" s="7">
        <f>(F544/DataSheet!$C$11*100)</f>
        <v/>
      </c>
      <c r="H544" s="4">
        <f>K544/I544</f>
        <v/>
      </c>
      <c r="I544" s="4">
        <f>(J544/L544)*100</f>
        <v/>
      </c>
      <c r="J544" s="7">
        <f>L544/O544</f>
        <v/>
      </c>
      <c r="K544" s="21" t="n">
        <v>6.861</v>
      </c>
      <c r="L544" s="21" t="n">
        <v>24339.15</v>
      </c>
      <c r="M544" s="21" t="n">
        <v>3.65</v>
      </c>
      <c r="N544" s="4">
        <f>K544-I544</f>
        <v/>
      </c>
      <c r="O544" s="21" t="n">
        <v>22.74</v>
      </c>
      <c r="P544" s="21" t="n">
        <v>4.278</v>
      </c>
      <c r="Q544" s="7">
        <f>K544-P544</f>
        <v/>
      </c>
      <c r="R544" s="21" t="n">
        <v>104.183</v>
      </c>
      <c r="S544" s="4">
        <f>(O544*T544)</f>
        <v/>
      </c>
      <c r="T544" s="12" t="n">
        <v>6.52</v>
      </c>
      <c r="U544" s="21" t="n">
        <v>20695.55</v>
      </c>
      <c r="V544" s="21" t="n">
        <v>41.23</v>
      </c>
      <c r="W544" s="4">
        <f>U544/V544</f>
        <v/>
      </c>
      <c r="X544" s="4">
        <f>(W544/U544)*100</f>
        <v/>
      </c>
      <c r="Y544" s="21" t="n">
        <v>17151.6</v>
      </c>
      <c r="Z544" s="23" t="n">
        <v>31.58</v>
      </c>
      <c r="AA544" s="4">
        <f>Y544/Z544</f>
        <v/>
      </c>
      <c r="AB544" s="4">
        <f>(AA544/Y544)*100</f>
        <v/>
      </c>
    </row>
    <row r="545">
      <c r="A545" s="5" t="n">
        <v>609</v>
      </c>
      <c r="B545" s="45" t="n">
        <v>45594</v>
      </c>
      <c r="C545" s="21" t="n">
        <v>43593789.77</v>
      </c>
      <c r="D545" s="4">
        <f>C545/E545</f>
        <v/>
      </c>
      <c r="E545" s="21" t="n">
        <v>84.05</v>
      </c>
      <c r="F545" s="4">
        <f>D545/100000</f>
        <v/>
      </c>
      <c r="G545" s="7">
        <f>(F545/DataSheet!$C$11*100)</f>
        <v/>
      </c>
      <c r="H545" s="4">
        <f>K545/I545</f>
        <v/>
      </c>
      <c r="I545" s="4">
        <f>(J545/L545)*100</f>
        <v/>
      </c>
      <c r="J545" s="7">
        <f>L545/O545</f>
        <v/>
      </c>
      <c r="K545" s="21" t="n">
        <v>6.847</v>
      </c>
      <c r="L545" s="21" t="n">
        <v>24466.85</v>
      </c>
      <c r="M545" s="21" t="n">
        <v>3.67</v>
      </c>
      <c r="N545" s="4">
        <f>K545-I545</f>
        <v/>
      </c>
      <c r="O545" s="21" t="n">
        <v>23.02</v>
      </c>
      <c r="P545" s="21" t="n">
        <v>4.274</v>
      </c>
      <c r="Q545" s="7">
        <f>K545-P545</f>
        <v/>
      </c>
      <c r="R545" s="21" t="n">
        <v>104.191</v>
      </c>
      <c r="S545" s="4">
        <f>(O545*T545)</f>
        <v/>
      </c>
      <c r="T545" s="12" t="n">
        <v>6.52</v>
      </c>
      <c r="U545" s="21" t="n">
        <v>20867.4</v>
      </c>
      <c r="V545" s="21" t="n">
        <v>43.39</v>
      </c>
      <c r="W545" s="4">
        <f>U545/V545</f>
        <v/>
      </c>
      <c r="X545" s="4">
        <f>(W545/U545)*100</f>
        <v/>
      </c>
      <c r="Y545" s="21" t="n">
        <v>17278.2</v>
      </c>
      <c r="Z545" s="23" t="n">
        <v>31.75</v>
      </c>
      <c r="AA545" s="4">
        <f>Y545/Z545</f>
        <v/>
      </c>
      <c r="AB545" s="4">
        <f>(AA545/Y545)*100</f>
        <v/>
      </c>
    </row>
    <row r="546">
      <c r="A546" s="5" t="n">
        <v>610</v>
      </c>
      <c r="B546" s="45" t="n">
        <v>45595</v>
      </c>
      <c r="C546" s="21" t="n">
        <v>43720643.55</v>
      </c>
      <c r="D546" s="4">
        <f>C546/E546</f>
        <v/>
      </c>
      <c r="E546" s="21" t="n">
        <v>84.08</v>
      </c>
      <c r="F546" s="4">
        <f>D546/100000</f>
        <v/>
      </c>
      <c r="G546" s="7">
        <f>(F546/DataSheet!$C$11*100)</f>
        <v/>
      </c>
      <c r="H546" s="4">
        <f>K546/I546</f>
        <v/>
      </c>
      <c r="I546" s="4">
        <f>(J546/L546)*100</f>
        <v/>
      </c>
      <c r="J546" s="7">
        <f>L546/O546</f>
        <v/>
      </c>
      <c r="K546" s="21" t="n">
        <v>6.827</v>
      </c>
      <c r="L546" s="21" t="n">
        <v>24340.85</v>
      </c>
      <c r="M546" s="21" t="n">
        <v>3.65</v>
      </c>
      <c r="N546" s="4">
        <f>K546-I546</f>
        <v/>
      </c>
      <c r="O546" s="21" t="n">
        <v>22.9</v>
      </c>
      <c r="P546" s="21" t="n">
        <v>4.299</v>
      </c>
      <c r="Q546" s="7">
        <f>K546-P546</f>
        <v/>
      </c>
      <c r="R546" s="21" t="n">
        <v>103.862</v>
      </c>
      <c r="S546" s="4">
        <f>(O546*T546)</f>
        <v/>
      </c>
      <c r="T546" s="12" t="n">
        <v>6.52</v>
      </c>
      <c r="U546" s="21" t="n">
        <v>20916.7</v>
      </c>
      <c r="V546" s="21" t="n">
        <v>43.5</v>
      </c>
      <c r="W546" s="4">
        <f>U546/V546</f>
        <v/>
      </c>
      <c r="X546" s="4">
        <f>(W546/U546)*100</f>
        <v/>
      </c>
      <c r="Y546" s="21" t="n">
        <v>17483.4</v>
      </c>
      <c r="Z546" s="23" t="n">
        <v>32.13</v>
      </c>
      <c r="AA546" s="4">
        <f>Y546/Z546</f>
        <v/>
      </c>
      <c r="AB546" s="4">
        <f>(AA546/Y546)*100</f>
        <v/>
      </c>
    </row>
    <row r="547">
      <c r="A547" s="5" t="n">
        <v>611</v>
      </c>
      <c r="B547" s="45" t="n">
        <v>45596</v>
      </c>
      <c r="C547" s="21" t="n">
        <v>44590580.8</v>
      </c>
      <c r="D547" s="4">
        <f>C547/E547</f>
        <v/>
      </c>
      <c r="E547" s="21" t="n">
        <v>84.06100000000001</v>
      </c>
      <c r="F547" s="4">
        <f>D547/100000</f>
        <v/>
      </c>
      <c r="G547" s="7">
        <f>(F547/DataSheet!$C$11*100)</f>
        <v/>
      </c>
      <c r="H547" s="4">
        <f>K547/I547</f>
        <v/>
      </c>
      <c r="I547" s="4">
        <f>(J547/L547)*100</f>
        <v/>
      </c>
      <c r="J547" s="7">
        <f>L547/O547</f>
        <v/>
      </c>
      <c r="K547" s="21" t="n">
        <v>6.841</v>
      </c>
      <c r="L547" s="21" t="n">
        <v>24205.35</v>
      </c>
      <c r="M547" s="21" t="n">
        <v>3.63</v>
      </c>
      <c r="N547" s="4">
        <f>K547-I547</f>
        <v/>
      </c>
      <c r="O547" s="21" t="n">
        <v>22.58</v>
      </c>
      <c r="P547" s="21" t="n">
        <v>4.281</v>
      </c>
      <c r="Q547" s="7">
        <f>K547-P547</f>
        <v/>
      </c>
      <c r="R547" s="21" t="n">
        <v>103.878</v>
      </c>
      <c r="S547" s="4">
        <f>(O547*T547)</f>
        <v/>
      </c>
      <c r="T547" s="12" t="n">
        <v>6.53</v>
      </c>
      <c r="U547" s="21" t="n">
        <v>20876.7</v>
      </c>
      <c r="V547" s="21" t="n">
        <v>42.98</v>
      </c>
      <c r="W547" s="4">
        <f>U547/V547</f>
        <v/>
      </c>
      <c r="X547" s="4">
        <f>(W547/U547)*100</f>
        <v/>
      </c>
      <c r="Y547" s="21" t="n">
        <v>17751.2</v>
      </c>
      <c r="Z547" s="23" t="n">
        <v>32.37</v>
      </c>
      <c r="AA547" s="4">
        <f>Y547/Z547</f>
        <v/>
      </c>
      <c r="AB547" s="4">
        <f>(AA547/Y547)*100</f>
        <v/>
      </c>
    </row>
    <row r="548">
      <c r="A548" s="5" t="n">
        <v>612</v>
      </c>
      <c r="B548" s="45" t="n">
        <v>45597</v>
      </c>
      <c r="C548" s="21" t="n">
        <v>44932167.74</v>
      </c>
      <c r="D548" s="4">
        <f>C548/E548</f>
        <v/>
      </c>
      <c r="E548" s="21" t="n">
        <v>84.08</v>
      </c>
      <c r="F548" s="4">
        <f>D548/100000</f>
        <v/>
      </c>
      <c r="G548" s="7">
        <f>(F548/DataSheet!$C$11*100)</f>
        <v/>
      </c>
      <c r="H548" s="4">
        <f>K548/I548</f>
        <v/>
      </c>
      <c r="I548" s="4">
        <f>(J548/L548)*100</f>
        <v/>
      </c>
      <c r="J548" s="7">
        <f>L548/O548</f>
        <v/>
      </c>
      <c r="K548" s="21" t="n">
        <v>6.841</v>
      </c>
      <c r="L548" s="21" t="n">
        <v>24304.35</v>
      </c>
      <c r="M548" s="21" t="n">
        <v>3.64</v>
      </c>
      <c r="N548" s="4">
        <f>K548-I548</f>
        <v/>
      </c>
      <c r="O548" s="21" t="n">
        <v>22.68</v>
      </c>
      <c r="P548" s="21" t="n">
        <v>4.385</v>
      </c>
      <c r="Q548" s="7">
        <f>K548-P548</f>
        <v/>
      </c>
      <c r="R548" s="21" t="n">
        <v>104.203</v>
      </c>
      <c r="S548" s="4">
        <f>(O548*T548)</f>
        <v/>
      </c>
      <c r="T548" s="12" t="n">
        <v>6.53</v>
      </c>
      <c r="U548" s="21" t="n">
        <v>21021.1</v>
      </c>
      <c r="V548" s="21" t="n">
        <v>43.28</v>
      </c>
      <c r="W548" s="4">
        <f>U548/V548</f>
        <v/>
      </c>
      <c r="X548" s="4">
        <f>(W548/U548)*100</f>
        <v/>
      </c>
      <c r="Y548" s="21" t="n">
        <v>17938.85</v>
      </c>
      <c r="Z548" s="23" t="n">
        <v>32.71</v>
      </c>
      <c r="AA548" s="4">
        <f>Y548/Z548</f>
        <v/>
      </c>
      <c r="AB548" s="4">
        <f>(AA548/Y548)*100</f>
        <v/>
      </c>
    </row>
    <row r="549">
      <c r="A549" s="5" t="n">
        <v>613</v>
      </c>
      <c r="B549" s="45" t="n">
        <v>45600</v>
      </c>
      <c r="C549" s="21" t="n">
        <v>44314053.36</v>
      </c>
      <c r="D549" s="4">
        <f>C549/E549</f>
        <v/>
      </c>
      <c r="E549" s="21" t="n">
        <v>84.13</v>
      </c>
      <c r="F549" s="4">
        <f>D549/100000</f>
        <v/>
      </c>
      <c r="G549" s="7">
        <f>(F549/DataSheet!$C$11*100)</f>
        <v/>
      </c>
      <c r="H549" s="4">
        <f>K549/I549</f>
        <v/>
      </c>
      <c r="I549" s="4">
        <f>(J549/L549)*100</f>
        <v/>
      </c>
      <c r="J549" s="7">
        <f>L549/O549</f>
        <v/>
      </c>
      <c r="K549" s="21" t="n">
        <v>6.797</v>
      </c>
      <c r="L549" s="21" t="n">
        <v>23995.35</v>
      </c>
      <c r="M549" s="21" t="n">
        <v>3.59</v>
      </c>
      <c r="N549" s="4">
        <f>K549-I549</f>
        <v/>
      </c>
      <c r="O549" s="21" t="n">
        <v>22.36</v>
      </c>
      <c r="P549" s="21" t="n">
        <v>4.286</v>
      </c>
      <c r="Q549" s="7">
        <f>K549-P549</f>
        <v/>
      </c>
      <c r="R549" s="21" t="n">
        <v>103.79</v>
      </c>
      <c r="S549" s="4">
        <f>(O549*T549)</f>
        <v/>
      </c>
      <c r="T549" s="12" t="n">
        <v>6.53</v>
      </c>
      <c r="U549" s="21" t="n">
        <v>20767.4</v>
      </c>
      <c r="V549" s="21" t="n">
        <v>42.88</v>
      </c>
      <c r="W549" s="4">
        <f>U549/V549</f>
        <v/>
      </c>
      <c r="X549" s="4">
        <f>(W549/U549)*100</f>
        <v/>
      </c>
      <c r="Y549" s="21" t="n">
        <v>17609.5</v>
      </c>
      <c r="Z549" s="23" t="n">
        <v>32.03</v>
      </c>
      <c r="AA549" s="4">
        <f>Y549/Z549</f>
        <v/>
      </c>
      <c r="AB549" s="4">
        <f>(AA549/Y549)*100</f>
        <v/>
      </c>
    </row>
    <row r="550">
      <c r="A550" s="5" t="n">
        <v>614</v>
      </c>
      <c r="B550" s="45" t="n">
        <v>45601</v>
      </c>
      <c r="C550" s="21" t="n">
        <v>44610179.63</v>
      </c>
      <c r="D550" s="4">
        <f>C550/E550</f>
        <v/>
      </c>
      <c r="E550" s="21" t="n">
        <v>84.10899999999999</v>
      </c>
      <c r="F550" s="4">
        <f>D550/100000</f>
        <v/>
      </c>
      <c r="G550" s="7">
        <f>(F550/DataSheet!$C$11*100)</f>
        <v/>
      </c>
      <c r="H550" s="4">
        <f>K550/I550</f>
        <v/>
      </c>
      <c r="I550" s="4">
        <f>(J550/L550)*100</f>
        <v/>
      </c>
      <c r="J550" s="7">
        <f>L550/O550</f>
        <v/>
      </c>
      <c r="K550" s="21" t="n">
        <v>6.799</v>
      </c>
      <c r="L550" s="21" t="n">
        <v>24213.3</v>
      </c>
      <c r="M550" s="21" t="n">
        <v>3.63</v>
      </c>
      <c r="N550" s="4">
        <f>K550-I550</f>
        <v/>
      </c>
      <c r="O550" s="21" t="n">
        <v>22.55</v>
      </c>
      <c r="P550" s="21" t="n">
        <v>4.28</v>
      </c>
      <c r="Q550" s="7">
        <f>K550-P550</f>
        <v/>
      </c>
      <c r="R550" s="21" t="n">
        <v>103.324</v>
      </c>
      <c r="S550" s="4">
        <f>(O550*T550)</f>
        <v/>
      </c>
      <c r="T550" s="12" t="n">
        <v>6.51</v>
      </c>
      <c r="U550" s="21" t="n">
        <v>20862.1</v>
      </c>
      <c r="V550" s="21" t="n">
        <v>43.06</v>
      </c>
      <c r="W550" s="4">
        <f>U550/V550</f>
        <v/>
      </c>
      <c r="X550" s="4">
        <f>(W550/U550)*100</f>
        <v/>
      </c>
      <c r="Y550" s="21" t="n">
        <v>17694.65</v>
      </c>
      <c r="Z550" s="23" t="n">
        <v>32.19</v>
      </c>
      <c r="AA550" s="4">
        <f>Y550/Z550</f>
        <v/>
      </c>
      <c r="AB550" s="4">
        <f>(AA550/Y550)*100</f>
        <v/>
      </c>
    </row>
    <row r="551">
      <c r="A551" s="5" t="n">
        <v>615</v>
      </c>
      <c r="B551" s="45" t="n">
        <v>45602</v>
      </c>
      <c r="C551" s="21" t="n">
        <v>45385699.4</v>
      </c>
      <c r="D551" s="4">
        <f>C551/E551</f>
        <v/>
      </c>
      <c r="E551" s="21" t="n">
        <v>84.31</v>
      </c>
      <c r="F551" s="4">
        <f>D551/100000</f>
        <v/>
      </c>
      <c r="G551" s="7">
        <f>(F551/DataSheet!$C$11*100)</f>
        <v/>
      </c>
      <c r="H551" s="4">
        <f>K551/I551</f>
        <v/>
      </c>
      <c r="I551" s="4">
        <f>(J551/L551)*100</f>
        <v/>
      </c>
      <c r="J551" s="7">
        <f>L551/O551</f>
        <v/>
      </c>
      <c r="K551" s="21" t="n">
        <v>6.798</v>
      </c>
      <c r="L551" s="21" t="n">
        <v>24484.05</v>
      </c>
      <c r="M551" s="21" t="n">
        <v>3.67</v>
      </c>
      <c r="N551" s="4">
        <f>K551-I551</f>
        <v/>
      </c>
      <c r="O551" s="21" t="n">
        <v>22.8</v>
      </c>
      <c r="P551" s="21" t="n">
        <v>4.431</v>
      </c>
      <c r="Q551" s="7">
        <f>K551-P551</f>
        <v/>
      </c>
      <c r="R551" s="21" t="n">
        <v>104.985</v>
      </c>
      <c r="S551" s="4">
        <f>(O551*T551)</f>
        <v/>
      </c>
      <c r="T551" s="12" t="n">
        <v>6.48</v>
      </c>
      <c r="U551" s="21" t="n">
        <v>21298.5</v>
      </c>
      <c r="V551" s="21" t="n">
        <v>44</v>
      </c>
      <c r="W551" s="4">
        <f>U551/V551</f>
        <v/>
      </c>
      <c r="X551" s="4">
        <f>(W551/U551)*100</f>
        <v/>
      </c>
      <c r="Y551" s="21" t="n">
        <v>18027.15</v>
      </c>
      <c r="Z551" s="23" t="n">
        <v>32.81</v>
      </c>
      <c r="AA551" s="4">
        <f>Y551/Z551</f>
        <v/>
      </c>
      <c r="AB551" s="4">
        <f>(AA551/Y551)*100</f>
        <v/>
      </c>
    </row>
    <row r="552">
      <c r="A552" s="5" t="n">
        <v>616</v>
      </c>
      <c r="B552" s="45" t="n">
        <v>45603</v>
      </c>
      <c r="C552" s="21" t="n">
        <v>44975873.92</v>
      </c>
      <c r="D552" s="4">
        <f>C552/E552</f>
        <v/>
      </c>
      <c r="E552" s="21" t="n">
        <v>84.29300000000001</v>
      </c>
      <c r="F552" s="4">
        <f>D552/100000</f>
        <v/>
      </c>
      <c r="G552" s="7">
        <f>(F552/DataSheet!$C$11*100)</f>
        <v/>
      </c>
      <c r="H552" s="4">
        <f>K552/I552</f>
        <v/>
      </c>
      <c r="I552" s="4">
        <f>(J552/L552)*100</f>
        <v/>
      </c>
      <c r="J552" s="7">
        <f>L552/O552</f>
        <v/>
      </c>
      <c r="K552" s="21" t="n">
        <v>6.796</v>
      </c>
      <c r="L552" s="21" t="n">
        <v>24199.35</v>
      </c>
      <c r="M552" s="21" t="n">
        <v>3.62</v>
      </c>
      <c r="N552" s="4">
        <f>K552-I552</f>
        <v/>
      </c>
      <c r="O552" s="21" t="n">
        <v>22.55</v>
      </c>
      <c r="P552" s="21" t="n">
        <v>4.325</v>
      </c>
      <c r="Q552" s="7">
        <f>K552-P552</f>
        <v/>
      </c>
      <c r="R552" s="21" t="n">
        <v>104.37</v>
      </c>
      <c r="S552" s="4">
        <f>(O552*T552)</f>
        <v/>
      </c>
      <c r="T552" s="12" t="n">
        <v>6.47</v>
      </c>
      <c r="U552" s="21" t="n">
        <v>21194.85</v>
      </c>
      <c r="V552" s="21" t="n">
        <v>43.45</v>
      </c>
      <c r="W552" s="4">
        <f>U552/V552</f>
        <v/>
      </c>
      <c r="X552" s="4">
        <f>(W552/U552)*100</f>
        <v/>
      </c>
      <c r="Y552" s="21" t="n">
        <v>17914.6</v>
      </c>
      <c r="Z552" s="23" t="n">
        <v>32.64</v>
      </c>
      <c r="AA552" s="4">
        <f>Y552/Z552</f>
        <v/>
      </c>
      <c r="AB552" s="4">
        <f>(AA552/Y552)*100</f>
        <v/>
      </c>
    </row>
    <row r="553">
      <c r="A553" s="5" t="n">
        <v>617</v>
      </c>
      <c r="B553" s="45" t="n">
        <v>45604</v>
      </c>
      <c r="C553" s="21" t="n">
        <v>44563232.7</v>
      </c>
      <c r="D553" s="4">
        <f>C553/E553</f>
        <v/>
      </c>
      <c r="E553" s="21" t="n">
        <v>84.395</v>
      </c>
      <c r="F553" s="4">
        <f>D553/100000</f>
        <v/>
      </c>
      <c r="G553" s="7">
        <f>(F553/DataSheet!$C$11*100)</f>
        <v/>
      </c>
      <c r="H553" s="4">
        <f>K553/I553</f>
        <v/>
      </c>
      <c r="I553" s="4">
        <f>(J553/L553)*100</f>
        <v/>
      </c>
      <c r="J553" s="7">
        <f>L553/O553</f>
        <v/>
      </c>
      <c r="K553" s="21" t="n">
        <v>6.774</v>
      </c>
      <c r="L553" s="21" t="n">
        <v>24148.2</v>
      </c>
      <c r="M553" s="21" t="n">
        <v>3.62</v>
      </c>
      <c r="N553" s="4">
        <f>K553-I553</f>
        <v/>
      </c>
      <c r="O553" s="21" t="n">
        <v>22.27</v>
      </c>
      <c r="P553" s="21" t="n">
        <v>4.305</v>
      </c>
      <c r="Q553" s="7">
        <f>K553-P553</f>
        <v/>
      </c>
      <c r="R553" s="21" t="n">
        <v>104.89</v>
      </c>
      <c r="S553" s="4">
        <f>(O553*T553)</f>
        <v/>
      </c>
      <c r="T553" s="12" t="n">
        <v>6.46</v>
      </c>
      <c r="U553" s="21" t="n">
        <v>20919.9</v>
      </c>
      <c r="V553" s="21" t="n">
        <v>42.87</v>
      </c>
      <c r="W553" s="4">
        <f>U553/V553</f>
        <v/>
      </c>
      <c r="X553" s="4">
        <f>(W553/U553)*100</f>
        <v/>
      </c>
      <c r="Y553" s="21" t="n">
        <v>17634.25</v>
      </c>
      <c r="Z553" s="23" t="n">
        <v>32.14</v>
      </c>
      <c r="AA553" s="4">
        <f>Y553/Z553</f>
        <v/>
      </c>
      <c r="AB553" s="4">
        <f>(AA553/Y553)*100</f>
        <v/>
      </c>
    </row>
    <row r="554">
      <c r="A554" s="5" t="n">
        <v>618</v>
      </c>
      <c r="B554" s="45" t="n">
        <v>45607</v>
      </c>
      <c r="C554" s="21" t="n">
        <v>44367021.95</v>
      </c>
      <c r="D554" s="4">
        <f>C554/E554</f>
        <v/>
      </c>
      <c r="E554" s="21" t="n">
        <v>84.379</v>
      </c>
      <c r="F554" s="4">
        <f>D554/100000</f>
        <v/>
      </c>
      <c r="G554" s="7">
        <f>(F554/DataSheet!$C$11*100)</f>
        <v/>
      </c>
      <c r="H554" s="4">
        <f>K554/I554</f>
        <v/>
      </c>
      <c r="I554" s="4">
        <f>(J554/L554)*100</f>
        <v/>
      </c>
      <c r="J554" s="7">
        <f>L554/O554</f>
        <v/>
      </c>
      <c r="K554" s="21" t="n">
        <v>6.785</v>
      </c>
      <c r="L554" s="21" t="n">
        <v>24141.3</v>
      </c>
      <c r="M554" s="21" t="n">
        <v>3.62</v>
      </c>
      <c r="N554" s="4">
        <f>K554-I554</f>
        <v/>
      </c>
      <c r="O554" s="21" t="n">
        <v>22.23</v>
      </c>
      <c r="P554" s="21" t="n">
        <v>4.305</v>
      </c>
      <c r="Q554" s="7">
        <f>K554-P554</f>
        <v/>
      </c>
      <c r="R554" s="21" t="n">
        <v>105.457</v>
      </c>
      <c r="S554" s="4">
        <f>(O554*T554)</f>
        <v/>
      </c>
      <c r="T554" s="12" t="n">
        <v>6.48</v>
      </c>
      <c r="U554" s="21" t="n">
        <v>20749.95</v>
      </c>
      <c r="V554" s="21" t="n">
        <v>42.31</v>
      </c>
      <c r="W554" s="4">
        <f>U554/V554</f>
        <v/>
      </c>
      <c r="X554" s="4">
        <f>(W554/U554)*100</f>
        <v/>
      </c>
      <c r="Y554" s="21" t="n">
        <v>17423.9</v>
      </c>
      <c r="Z554" s="23" t="n">
        <v>31.82</v>
      </c>
      <c r="AA554" s="4">
        <f>Y554/Z554</f>
        <v/>
      </c>
      <c r="AB554" s="4">
        <f>(AA554/Y554)*100</f>
        <v/>
      </c>
    </row>
    <row r="555">
      <c r="A555" s="5" t="n">
        <v>619</v>
      </c>
      <c r="B555" s="45" t="n">
        <v>45608</v>
      </c>
      <c r="C555" s="21" t="n">
        <v>43853342.86</v>
      </c>
      <c r="D555" s="4">
        <f>C555/E555</f>
        <v/>
      </c>
      <c r="E555" s="21" t="n">
        <v>84.38</v>
      </c>
      <c r="F555" s="4">
        <f>D555/100000</f>
        <v/>
      </c>
      <c r="G555" s="7">
        <f>(F555/DataSheet!$C$11*100)</f>
        <v/>
      </c>
      <c r="H555" s="4">
        <f>K555/I555</f>
        <v/>
      </c>
      <c r="I555" s="4">
        <f>(J555/L555)*100</f>
        <v/>
      </c>
      <c r="J555" s="7">
        <f>L555/O555</f>
        <v/>
      </c>
      <c r="K555" s="21" t="n">
        <v>6.795</v>
      </c>
      <c r="L555" s="21" t="n">
        <v>23883.45</v>
      </c>
      <c r="M555" s="21" t="n">
        <v>3.58</v>
      </c>
      <c r="N555" s="4">
        <f>K555-I555</f>
        <v/>
      </c>
      <c r="O555" s="21" t="n">
        <v>21.93</v>
      </c>
      <c r="P555" s="21" t="n">
        <v>4.429</v>
      </c>
      <c r="Q555" s="7">
        <f>K555-P555</f>
        <v/>
      </c>
      <c r="R555" s="21" t="n">
        <v>105.95</v>
      </c>
      <c r="S555" s="4">
        <f>(O555*T555)</f>
        <v/>
      </c>
      <c r="T555" s="12" t="n">
        <v>6.48</v>
      </c>
      <c r="U555" s="21" t="n">
        <v>20560.6</v>
      </c>
      <c r="V555" s="21" t="n">
        <v>41.9</v>
      </c>
      <c r="W555" s="4">
        <f>U555/V555</f>
        <v/>
      </c>
      <c r="X555" s="4">
        <f>(W555/U555)*100</f>
        <v/>
      </c>
      <c r="Y555" s="21" t="n">
        <v>17196.4</v>
      </c>
      <c r="Z555" s="23" t="n">
        <v>31.47</v>
      </c>
      <c r="AA555" s="4">
        <f>Y555/Z555</f>
        <v/>
      </c>
      <c r="AB555" s="4">
        <f>(AA555/Y555)*100</f>
        <v/>
      </c>
    </row>
    <row r="556">
      <c r="A556" s="5" t="n">
        <v>620</v>
      </c>
      <c r="B556" s="45" t="n">
        <v>45609</v>
      </c>
      <c r="C556" s="21" t="n">
        <v>43060255.79</v>
      </c>
      <c r="D556" s="4">
        <f>C556/E556</f>
        <v/>
      </c>
      <c r="E556" s="21" t="n">
        <v>84.416</v>
      </c>
      <c r="F556" s="4">
        <f>D556/100000</f>
        <v/>
      </c>
      <c r="G556" s="7">
        <f>(F556/DataSheet!$C$11*100)</f>
        <v/>
      </c>
      <c r="H556" s="4">
        <f>K556/I556</f>
        <v/>
      </c>
      <c r="I556" s="4">
        <f>(J556/L556)*100</f>
        <v/>
      </c>
      <c r="J556" s="7">
        <f>L556/O556</f>
        <v/>
      </c>
      <c r="K556" s="21" t="n">
        <v>6.804</v>
      </c>
      <c r="L556" s="21" t="n">
        <v>23559.05</v>
      </c>
      <c r="M556" s="21" t="n">
        <v>3.53</v>
      </c>
      <c r="N556" s="4">
        <f>K556-I556</f>
        <v/>
      </c>
      <c r="O556" s="21" t="n">
        <v>21.68</v>
      </c>
      <c r="P556" s="21" t="n">
        <v>4.45</v>
      </c>
      <c r="Q556" s="7">
        <f>K556-P556</f>
        <v/>
      </c>
      <c r="R556" s="21" t="n">
        <v>106.379</v>
      </c>
      <c r="S556" s="4">
        <f>(O556*T556)</f>
        <v/>
      </c>
      <c r="T556" s="12" t="n">
        <v>6.48</v>
      </c>
      <c r="U556" s="21" t="n">
        <v>20010.75</v>
      </c>
      <c r="V556" s="21" t="n">
        <v>40.73</v>
      </c>
      <c r="W556" s="4">
        <f>U556/V556</f>
        <v/>
      </c>
      <c r="X556" s="4">
        <f>(W556/U556)*100</f>
        <v/>
      </c>
      <c r="Y556" s="21" t="n">
        <v>16670.35</v>
      </c>
      <c r="Z556" s="23" t="n">
        <v>30.62</v>
      </c>
      <c r="AA556" s="4">
        <f>Y556/Z556</f>
        <v/>
      </c>
      <c r="AB556" s="4">
        <f>(AA556/Y556)*100</f>
        <v/>
      </c>
    </row>
    <row r="557">
      <c r="A557" s="5" t="n">
        <v>621</v>
      </c>
      <c r="B557" s="45" t="n">
        <v>45610</v>
      </c>
      <c r="C557" s="21" t="n">
        <v>43178792.93</v>
      </c>
      <c r="D557" s="4">
        <f>C557/E557</f>
        <v/>
      </c>
      <c r="E557" s="21" t="n">
        <v>84.461</v>
      </c>
      <c r="F557" s="4">
        <f>D557/100000</f>
        <v/>
      </c>
      <c r="G557" s="7">
        <f>(F557/DataSheet!$C$11*100)</f>
        <v/>
      </c>
      <c r="H557" s="4">
        <f>K557/I557</f>
        <v/>
      </c>
      <c r="I557" s="4">
        <f>(J557/L557)*100</f>
        <v/>
      </c>
      <c r="J557" s="7">
        <f>L557/O557</f>
        <v/>
      </c>
      <c r="K557" s="21" t="n">
        <v>6.827</v>
      </c>
      <c r="L557" s="21" t="n">
        <v>23532.7</v>
      </c>
      <c r="M557" s="21" t="n">
        <v>3.52</v>
      </c>
      <c r="N557" s="4">
        <f>K557-I557</f>
        <v/>
      </c>
      <c r="O557" s="21" t="n">
        <v>21.65</v>
      </c>
      <c r="P557" s="21" t="n">
        <v>4.445</v>
      </c>
      <c r="Q557" s="7">
        <f>K557-P557</f>
        <v/>
      </c>
      <c r="R557" s="21" t="n">
        <v>106.598</v>
      </c>
      <c r="S557" s="4">
        <f>(O557*T557)</f>
        <v/>
      </c>
      <c r="T557" s="12" t="n">
        <v>6.47</v>
      </c>
      <c r="U557" s="21" t="n">
        <v>20105.25</v>
      </c>
      <c r="V557" s="21" t="n">
        <v>40.9</v>
      </c>
      <c r="W557" s="4">
        <f>U557/V557</f>
        <v/>
      </c>
      <c r="X557" s="4">
        <f>(W557/U557)*100</f>
        <v/>
      </c>
      <c r="Y557" s="21" t="n">
        <v>16801.55</v>
      </c>
      <c r="Z557" s="23" t="n">
        <v>30.85</v>
      </c>
      <c r="AA557" s="4">
        <f>Y557/Z557</f>
        <v/>
      </c>
      <c r="AB557" s="4">
        <f>(AA557/Y557)*100</f>
        <v/>
      </c>
    </row>
    <row r="558">
      <c r="A558" s="5" t="n">
        <v>622</v>
      </c>
      <c r="B558" s="45" t="n">
        <v>45614</v>
      </c>
      <c r="C558" s="21" t="n">
        <v>43011609.03</v>
      </c>
      <c r="D558" s="4">
        <f>C558/E558</f>
        <v/>
      </c>
      <c r="E558" s="21" t="n">
        <v>84.398</v>
      </c>
      <c r="F558" s="4">
        <f>D558/100000</f>
        <v/>
      </c>
      <c r="G558" s="7">
        <f>(F558/DataSheet!$C$11*100)</f>
        <v/>
      </c>
      <c r="H558" s="4">
        <f>K558/I558</f>
        <v/>
      </c>
      <c r="I558" s="4">
        <f>(J558/L558)*100</f>
        <v/>
      </c>
      <c r="J558" s="7">
        <f>L558/O558</f>
        <v/>
      </c>
      <c r="K558" s="21" t="n">
        <v>6.821</v>
      </c>
      <c r="L558" s="21" t="n">
        <v>23453.8</v>
      </c>
      <c r="M558" s="21" t="n">
        <v>3.51</v>
      </c>
      <c r="N558" s="4">
        <f>K558-I558</f>
        <v/>
      </c>
      <c r="O558" s="21" t="n">
        <v>21.57</v>
      </c>
      <c r="P558" s="21" t="n">
        <v>4.413</v>
      </c>
      <c r="Q558" s="7">
        <f>K558-P558</f>
        <v/>
      </c>
      <c r="R558" s="21" t="n">
        <v>106.201</v>
      </c>
      <c r="S558" s="4">
        <f>(O558*T558)</f>
        <v/>
      </c>
      <c r="T558" s="12" t="n">
        <v>6.46</v>
      </c>
      <c r="U558" s="21" t="n">
        <v>20068.55</v>
      </c>
      <c r="V558" s="21" t="n">
        <v>40.64</v>
      </c>
      <c r="W558" s="4">
        <f>U558/V558</f>
        <v/>
      </c>
      <c r="X558" s="4">
        <f>(W558/U558)*100</f>
        <v/>
      </c>
      <c r="Y558" s="21" t="n">
        <v>16693.35</v>
      </c>
      <c r="Z558" s="23" t="n">
        <v>30.54</v>
      </c>
      <c r="AA558" s="4">
        <f>Y558/Z558</f>
        <v/>
      </c>
      <c r="AB558" s="4">
        <f>(AA558/Y558)*100</f>
        <v/>
      </c>
    </row>
    <row r="559">
      <c r="A559" s="5" t="n">
        <v>623</v>
      </c>
      <c r="B559" s="45" t="n">
        <v>45615</v>
      </c>
      <c r="C559" s="21" t="n">
        <v>43190386.73</v>
      </c>
      <c r="D559" s="4">
        <f>C559/E559</f>
        <v/>
      </c>
      <c r="E559" s="21" t="n">
        <v>84.39</v>
      </c>
      <c r="F559" s="4">
        <f>D559/100000</f>
        <v/>
      </c>
      <c r="G559" s="7">
        <f>(F559/DataSheet!$C$11*100)</f>
        <v/>
      </c>
      <c r="H559" s="4">
        <f>K559/I559</f>
        <v/>
      </c>
      <c r="I559" s="4">
        <f>(J559/L559)*100</f>
        <v/>
      </c>
      <c r="J559" s="7">
        <f>L559/O559</f>
        <v/>
      </c>
      <c r="K559" s="21" t="n">
        <v>6.811</v>
      </c>
      <c r="L559" s="21" t="n">
        <v>23518.5</v>
      </c>
      <c r="M559" s="21" t="n">
        <v>3.52</v>
      </c>
      <c r="N559" s="4">
        <f>K559-I559</f>
        <v/>
      </c>
      <c r="O559" s="21" t="n">
        <v>21.65</v>
      </c>
      <c r="P559" s="21" t="n">
        <v>4.395</v>
      </c>
      <c r="Q559" s="7">
        <f>K559-P559</f>
        <v/>
      </c>
      <c r="R559" s="21" t="n">
        <v>106.143</v>
      </c>
      <c r="S559" s="4">
        <f>(O559*T559)</f>
        <v/>
      </c>
      <c r="T559" s="12" t="n">
        <v>6.48</v>
      </c>
      <c r="U559" s="21" t="n">
        <v>20258.1</v>
      </c>
      <c r="V559" s="21" t="n">
        <v>40.69</v>
      </c>
      <c r="W559" s="4">
        <f>U559/V559</f>
        <v/>
      </c>
      <c r="X559" s="4">
        <f>(W559/U559)*100</f>
        <v/>
      </c>
      <c r="Y559" s="21" t="n">
        <v>16845.25</v>
      </c>
      <c r="Z559" s="23" t="n">
        <v>30.49</v>
      </c>
      <c r="AA559" s="4">
        <f>Y559/Z559</f>
        <v/>
      </c>
      <c r="AB559" s="4">
        <f>(AA559/Y559)*100</f>
        <v/>
      </c>
    </row>
    <row r="560">
      <c r="A560" s="5" t="n">
        <v>624</v>
      </c>
      <c r="B560" s="45" t="n">
        <v>45617</v>
      </c>
      <c r="C560" s="21" t="n">
        <v>42655205.05</v>
      </c>
      <c r="D560" s="4">
        <f>C560/E560</f>
        <v/>
      </c>
      <c r="E560" s="21" t="n">
        <v>84.495</v>
      </c>
      <c r="F560" s="4">
        <f>D560/100000</f>
        <v/>
      </c>
      <c r="G560" s="7">
        <f>(F560/DataSheet!$C$11*100)</f>
        <v/>
      </c>
      <c r="H560" s="4">
        <f>K560/I560</f>
        <v/>
      </c>
      <c r="I560" s="4">
        <f>(J560/L560)*100</f>
        <v/>
      </c>
      <c r="J560" s="7">
        <f>L560/O560</f>
        <v/>
      </c>
      <c r="K560" s="21" t="n">
        <v>6.831</v>
      </c>
      <c r="L560" s="21" t="n">
        <v>23349.9</v>
      </c>
      <c r="M560" s="21" t="n">
        <v>3.5</v>
      </c>
      <c r="N560" s="4">
        <f>K560-I560</f>
        <v/>
      </c>
      <c r="O560" s="21" t="n">
        <v>21.49</v>
      </c>
      <c r="P560" s="21" t="n">
        <v>4.419</v>
      </c>
      <c r="Q560" s="7">
        <f>K560-P560</f>
        <v/>
      </c>
      <c r="R560" s="21" t="n">
        <v>106.93</v>
      </c>
      <c r="S560" s="4">
        <f>(O560*T560)</f>
        <v/>
      </c>
      <c r="T560" s="12" t="n">
        <v>6.48</v>
      </c>
      <c r="U560" s="21" t="n">
        <v>20180.9</v>
      </c>
      <c r="V560" s="21" t="n">
        <v>40.54</v>
      </c>
      <c r="W560" s="4">
        <f>U560/V560</f>
        <v/>
      </c>
      <c r="X560" s="4">
        <f>(W560/U560)*100</f>
        <v/>
      </c>
      <c r="Y560" s="21" t="n">
        <v>16747.85</v>
      </c>
      <c r="Z560" s="23" t="n">
        <v>32.15</v>
      </c>
      <c r="AA560" s="4">
        <f>Y560/Z560</f>
        <v/>
      </c>
      <c r="AB560" s="4">
        <f>(AA560/Y560)*100</f>
        <v/>
      </c>
    </row>
    <row r="561">
      <c r="A561" s="5" t="n">
        <v>625</v>
      </c>
      <c r="B561" s="45" t="n">
        <v>45618</v>
      </c>
      <c r="C561" s="21" t="n">
        <v>43382625.69</v>
      </c>
      <c r="D561" s="4">
        <f>C561/E561</f>
        <v/>
      </c>
      <c r="E561" s="21" t="n">
        <v>84.426</v>
      </c>
      <c r="F561" s="4">
        <f>D561/100000</f>
        <v/>
      </c>
      <c r="G561" s="7">
        <f>(F561/DataSheet!$C$11*100)</f>
        <v/>
      </c>
      <c r="H561" s="4">
        <f>K561/I561</f>
        <v/>
      </c>
      <c r="I561" s="4">
        <f>(J561/L561)*100</f>
        <v/>
      </c>
      <c r="J561" s="7">
        <f>L561/O561</f>
        <v/>
      </c>
      <c r="K561" s="21" t="n">
        <v>6.85</v>
      </c>
      <c r="L561" s="21" t="n">
        <v>23907.25</v>
      </c>
      <c r="M561" s="21" t="n">
        <v>3.58</v>
      </c>
      <c r="N561" s="4">
        <f>K561-I561</f>
        <v/>
      </c>
      <c r="O561" s="21" t="n">
        <v>22.01</v>
      </c>
      <c r="P561" s="21" t="n">
        <v>4.411</v>
      </c>
      <c r="Q561" s="7">
        <f>K561-P561</f>
        <v/>
      </c>
      <c r="R561" s="21" t="n">
        <v>107.507</v>
      </c>
      <c r="S561" s="4">
        <f>(O561*T561)</f>
        <v/>
      </c>
      <c r="T561" s="12" t="n">
        <v>6.48</v>
      </c>
      <c r="U561" s="21" t="n">
        <v>20412.65</v>
      </c>
      <c r="V561" s="21" t="n">
        <v>41</v>
      </c>
      <c r="W561" s="4">
        <f>U561/V561</f>
        <v/>
      </c>
      <c r="X561" s="4">
        <f>(W561/U561)*100</f>
        <v/>
      </c>
      <c r="Y561" s="21" t="n">
        <v>16912.3</v>
      </c>
      <c r="Z561" s="23" t="n">
        <v>32.52</v>
      </c>
      <c r="AA561" s="4">
        <f>Y561/Z561</f>
        <v/>
      </c>
      <c r="AB561" s="4">
        <f>(AA561/Y561)*100</f>
        <v/>
      </c>
    </row>
    <row r="562">
      <c r="A562" s="5" t="n">
        <v>626</v>
      </c>
      <c r="B562" s="45" t="n">
        <v>45621</v>
      </c>
      <c r="C562" s="21" t="n">
        <v>44049098.94</v>
      </c>
      <c r="D562" s="4">
        <f>C562/E562</f>
        <v/>
      </c>
      <c r="E562" s="21" t="n">
        <v>84.26000000000001</v>
      </c>
      <c r="F562" s="4">
        <f>D562/100000</f>
        <v/>
      </c>
      <c r="G562" s="7">
        <f>(F562/DataSheet!$C$11*100)</f>
        <v/>
      </c>
      <c r="H562" s="4">
        <f>K562/I562</f>
        <v/>
      </c>
      <c r="I562" s="4">
        <f>(J562/L562)*100</f>
        <v/>
      </c>
      <c r="J562" s="7">
        <f>L562/O562</f>
        <v/>
      </c>
      <c r="K562" s="21" t="n">
        <v>6.822</v>
      </c>
      <c r="L562" s="21" t="n">
        <v>24221.9</v>
      </c>
      <c r="M562" s="21" t="n">
        <v>3.63</v>
      </c>
      <c r="N562" s="4">
        <f>K562-I562</f>
        <v/>
      </c>
      <c r="O562" s="21" t="n">
        <v>22.29</v>
      </c>
      <c r="P562" s="21" t="n">
        <v>4.274</v>
      </c>
      <c r="Q562" s="7">
        <f>K562-P562</f>
        <v/>
      </c>
      <c r="R562" s="21" t="n">
        <v>106.77</v>
      </c>
      <c r="S562" s="4">
        <f>(O562*T562)</f>
        <v/>
      </c>
      <c r="T562" s="12" t="n">
        <v>6.48</v>
      </c>
      <c r="U562" s="21" t="n">
        <v>20725.7</v>
      </c>
      <c r="V562" s="21" t="n">
        <v>41.63</v>
      </c>
      <c r="W562" s="4">
        <f>U562/V562</f>
        <v/>
      </c>
      <c r="X562" s="4">
        <f>(W562/U562)*100</f>
        <v/>
      </c>
      <c r="Y562" s="21" t="n">
        <v>17269.55</v>
      </c>
      <c r="Z562" s="23" t="n">
        <v>33.2</v>
      </c>
      <c r="AA562" s="4">
        <f>Y562/Z562</f>
        <v/>
      </c>
      <c r="AB562" s="4">
        <f>(AA562/Y562)*100</f>
        <v/>
      </c>
    </row>
    <row r="563">
      <c r="A563" s="5" t="n">
        <v>627</v>
      </c>
      <c r="B563" s="45" t="n">
        <v>45622</v>
      </c>
      <c r="C563" s="21" t="n">
        <v>44164026.56</v>
      </c>
      <c r="D563" s="4">
        <f>C563/E563</f>
        <v/>
      </c>
      <c r="E563" s="21" t="n">
        <v>84.319</v>
      </c>
      <c r="F563" s="4">
        <f>D563/100000</f>
        <v/>
      </c>
      <c r="G563" s="7">
        <f>(F563/DataSheet!$C$11*100)</f>
        <v/>
      </c>
      <c r="H563" s="4">
        <f>K563/I563</f>
        <v/>
      </c>
      <c r="I563" s="4">
        <f>(J563/L563)*100</f>
        <v/>
      </c>
      <c r="J563" s="7">
        <f>L563/O563</f>
        <v/>
      </c>
      <c r="K563" s="21" t="n">
        <v>6.827</v>
      </c>
      <c r="L563" s="21" t="n">
        <v>24194.5</v>
      </c>
      <c r="M563" s="21" t="n">
        <v>3.62</v>
      </c>
      <c r="N563" s="4">
        <f>K563-I563</f>
        <v/>
      </c>
      <c r="O563" s="21" t="n">
        <v>22.27</v>
      </c>
      <c r="P563" s="21" t="n">
        <v>4.294</v>
      </c>
      <c r="Q563" s="7">
        <f>K563-P563</f>
        <v/>
      </c>
      <c r="R563" s="21" t="n">
        <v>106.968</v>
      </c>
      <c r="S563" s="4">
        <f>(O563*T563)</f>
        <v/>
      </c>
      <c r="T563" s="12" t="n">
        <v>6.47</v>
      </c>
      <c r="U563" s="21" t="n">
        <v>20735.1</v>
      </c>
      <c r="V563" s="21" t="n">
        <v>41.64</v>
      </c>
      <c r="W563" s="4">
        <f>U563/V563</f>
        <v/>
      </c>
      <c r="X563" s="4">
        <f>(W563/U563)*100</f>
        <v/>
      </c>
      <c r="Y563" s="21" t="n">
        <v>17375.55</v>
      </c>
      <c r="Z563" s="23" t="n">
        <v>33.41</v>
      </c>
      <c r="AA563" s="4">
        <f>Y563/Z563</f>
        <v/>
      </c>
      <c r="AB563" s="4">
        <f>(AA563/Y563)*100</f>
        <v/>
      </c>
    </row>
    <row r="564">
      <c r="A564" s="5" t="n">
        <v>628</v>
      </c>
      <c r="B564" s="45" t="n">
        <v>45623</v>
      </c>
      <c r="C564" s="21" t="n">
        <v>44571592.78</v>
      </c>
      <c r="D564" s="4">
        <f>C564/E564</f>
        <v/>
      </c>
      <c r="E564" s="21" t="n">
        <v>84.41</v>
      </c>
      <c r="F564" s="4">
        <f>D564/100000</f>
        <v/>
      </c>
      <c r="G564" s="7">
        <f>(F564/DataSheet!$C$11*100)</f>
        <v/>
      </c>
      <c r="H564" s="4">
        <f>K564/I564</f>
        <v/>
      </c>
      <c r="I564" s="4">
        <f>(J564/L564)*100</f>
        <v/>
      </c>
      <c r="J564" s="7">
        <f>L564/O564</f>
        <v/>
      </c>
      <c r="K564" s="21" t="n">
        <v>6.812</v>
      </c>
      <c r="L564" s="21" t="n">
        <v>24274.9</v>
      </c>
      <c r="M564" s="21" t="n">
        <v>3.63</v>
      </c>
      <c r="N564" s="4">
        <f>K564-I564</f>
        <v/>
      </c>
      <c r="O564" s="21" t="n">
        <v>22.34</v>
      </c>
      <c r="P564" s="21" t="n">
        <v>4.26</v>
      </c>
      <c r="Q564" s="7">
        <f>K564-P564</f>
        <v/>
      </c>
      <c r="R564" s="21" t="n">
        <v>106.048</v>
      </c>
      <c r="S564" s="4">
        <f>(O564*T564)</f>
        <v/>
      </c>
      <c r="T564" s="12" t="n">
        <v>6.5</v>
      </c>
      <c r="U564" s="21" t="n">
        <v>20838.2</v>
      </c>
      <c r="V564" s="21" t="n">
        <v>41.84</v>
      </c>
      <c r="W564" s="4">
        <f>U564/V564</f>
        <v/>
      </c>
      <c r="X564" s="4">
        <f>(W564/U564)*100</f>
        <v/>
      </c>
      <c r="Y564" s="21" t="n">
        <v>17552.65</v>
      </c>
      <c r="Z564" s="23" t="n">
        <v>33.75</v>
      </c>
      <c r="AA564" s="4">
        <f>Y564/Z564</f>
        <v/>
      </c>
      <c r="AB564" s="4">
        <f>(AA564/Y564)*100</f>
        <v/>
      </c>
    </row>
    <row r="565">
      <c r="A565" s="5" t="n">
        <v>629</v>
      </c>
      <c r="B565" s="45" t="n">
        <v>45624</v>
      </c>
      <c r="C565" s="21" t="n">
        <v>44416203.07</v>
      </c>
      <c r="D565" s="4">
        <f>C565/E565</f>
        <v/>
      </c>
      <c r="E565" s="21" t="n">
        <v>84.44499999999999</v>
      </c>
      <c r="F565" s="4">
        <f>D565/100000</f>
        <v/>
      </c>
      <c r="G565" s="7">
        <f>(F565/DataSheet!$C$11*100)</f>
        <v/>
      </c>
      <c r="H565" s="4">
        <f>K565/I565</f>
        <v/>
      </c>
      <c r="I565" s="4">
        <f>(J565/L565)*100</f>
        <v/>
      </c>
      <c r="J565" s="7">
        <f>L565/O565</f>
        <v/>
      </c>
      <c r="K565" s="21" t="n">
        <v>6.805</v>
      </c>
      <c r="L565" s="21" t="n">
        <v>23914.15</v>
      </c>
      <c r="M565" s="21" t="n">
        <v>3.56</v>
      </c>
      <c r="N565" s="4">
        <f>K565-I565</f>
        <v/>
      </c>
      <c r="O565" s="21" t="n">
        <v>22.01</v>
      </c>
      <c r="P565" s="21" t="n">
        <v>4.26</v>
      </c>
      <c r="Q565" s="7">
        <f>K565-P565</f>
        <v/>
      </c>
      <c r="R565" s="21" t="n">
        <v>106.048</v>
      </c>
      <c r="S565" s="4">
        <f>(O565*T565)</f>
        <v/>
      </c>
      <c r="T565" s="12" t="n">
        <v>6.5</v>
      </c>
      <c r="U565" s="21" t="n">
        <v>20839.9</v>
      </c>
      <c r="V565" s="21" t="n">
        <v>41.85</v>
      </c>
      <c r="W565" s="4">
        <f>U565/V565</f>
        <v/>
      </c>
      <c r="X565" s="4">
        <f>(W565/U565)*100</f>
        <v/>
      </c>
      <c r="Y565" s="21" t="n">
        <v>17577.85</v>
      </c>
      <c r="Z565" s="23" t="n">
        <v>33.8</v>
      </c>
      <c r="AA565" s="4">
        <f>Y565/Z565</f>
        <v/>
      </c>
      <c r="AB565" s="4">
        <f>(AA565/Y565)*100</f>
        <v/>
      </c>
    </row>
    <row r="566">
      <c r="A566" s="5" t="n">
        <v>630</v>
      </c>
      <c r="B566" s="45" t="n">
        <v>45625</v>
      </c>
      <c r="C566" s="21" t="n">
        <v>44505794.73</v>
      </c>
      <c r="D566" s="4">
        <f>C566/E566</f>
        <v/>
      </c>
      <c r="E566" s="21" t="n">
        <v>84.559</v>
      </c>
      <c r="F566" s="4">
        <f>D566/100000</f>
        <v/>
      </c>
      <c r="G566" s="7">
        <f>(F566/DataSheet!$C$11*100)</f>
        <v/>
      </c>
      <c r="H566" s="4">
        <f>K566/I566</f>
        <v/>
      </c>
      <c r="I566" s="4">
        <f>(J566/L566)*100</f>
        <v/>
      </c>
      <c r="J566" s="7">
        <f>L566/O566</f>
        <v/>
      </c>
      <c r="K566" s="21" t="n">
        <v>6.751</v>
      </c>
      <c r="L566" s="21" t="n">
        <v>24131.1</v>
      </c>
      <c r="M566" s="21" t="n">
        <v>3.6</v>
      </c>
      <c r="N566" s="4">
        <f>K566-I566</f>
        <v/>
      </c>
      <c r="O566" s="21" t="n">
        <v>22.21</v>
      </c>
      <c r="P566" s="21" t="n">
        <v>4.177</v>
      </c>
      <c r="Q566" s="7">
        <f>K566-P566</f>
        <v/>
      </c>
      <c r="R566" s="21" t="n">
        <v>105.828</v>
      </c>
      <c r="S566" s="4">
        <f>(O566*T566)</f>
        <v/>
      </c>
      <c r="T566" s="12" t="n">
        <v>6.49</v>
      </c>
      <c r="U566" s="21" t="n">
        <v>20906.65</v>
      </c>
      <c r="V566" s="21" t="n">
        <v>41.98</v>
      </c>
      <c r="W566" s="4">
        <f>U566/V566</f>
        <v/>
      </c>
      <c r="X566" s="4">
        <f>(W566/U566)*100</f>
        <v/>
      </c>
      <c r="Y566" s="21" t="n">
        <v>17716.45</v>
      </c>
      <c r="Z566" s="23" t="n">
        <v>34.11</v>
      </c>
      <c r="AA566" s="4">
        <f>Y566/Z566</f>
        <v/>
      </c>
      <c r="AB566" s="4">
        <f>(AA566/Y566)*100</f>
        <v/>
      </c>
    </row>
    <row r="567">
      <c r="A567" s="5" t="n">
        <v>631</v>
      </c>
      <c r="B567" s="45" t="n">
        <v>45628</v>
      </c>
      <c r="C567" s="21" t="n">
        <v>44790919.27</v>
      </c>
      <c r="D567" s="4">
        <f>C567/E567</f>
        <v/>
      </c>
      <c r="E567" s="21" t="n">
        <v>84.73999999999999</v>
      </c>
      <c r="F567" s="4">
        <f>D567/100000</f>
        <v/>
      </c>
      <c r="G567" s="7">
        <f>(F567/DataSheet!$C$11*100)</f>
        <v/>
      </c>
      <c r="H567" s="4">
        <f>K567/I567</f>
        <v/>
      </c>
      <c r="I567" s="4">
        <f>(J567/L567)*100</f>
        <v/>
      </c>
      <c r="J567" s="7">
        <f>L567/O567</f>
        <v/>
      </c>
      <c r="K567" s="21" t="n">
        <v>6.71</v>
      </c>
      <c r="L567" s="21" t="n">
        <v>24276.05</v>
      </c>
      <c r="M567" s="21" t="n">
        <v>3.62</v>
      </c>
      <c r="N567" s="4">
        <f>K567-I567</f>
        <v/>
      </c>
      <c r="O567" s="21" t="n">
        <v>22.35</v>
      </c>
      <c r="P567" s="21" t="n">
        <v>4.195</v>
      </c>
      <c r="Q567" s="7">
        <f>K567-P567</f>
        <v/>
      </c>
      <c r="R567" s="21" t="n">
        <v>106.423</v>
      </c>
      <c r="S567" s="4">
        <f>(O567*T567)</f>
        <v/>
      </c>
      <c r="T567" s="12" t="n">
        <v>6.49</v>
      </c>
      <c r="U567" s="21" t="n">
        <v>21105.95</v>
      </c>
      <c r="V567" s="21" t="n">
        <v>42.38</v>
      </c>
      <c r="W567" s="4">
        <f>U567/V567</f>
        <v/>
      </c>
      <c r="X567" s="4">
        <f>(W567/U567)*100</f>
        <v/>
      </c>
      <c r="Y567" s="21" t="n">
        <v>17840.1</v>
      </c>
      <c r="Z567" s="23" t="n">
        <v>34.34</v>
      </c>
      <c r="AA567" s="4">
        <f>Y567/Z567</f>
        <v/>
      </c>
      <c r="AB567" s="4">
        <f>(AA567/Y567)*100</f>
        <v/>
      </c>
    </row>
    <row r="568">
      <c r="A568" s="5" t="n">
        <v>632</v>
      </c>
      <c r="B568" s="45" t="n">
        <v>45629</v>
      </c>
      <c r="C568" s="21" t="n">
        <v>45189520.89</v>
      </c>
      <c r="D568" s="4">
        <f>C568/E568</f>
        <v/>
      </c>
      <c r="E568" s="21" t="n">
        <v>84.676</v>
      </c>
      <c r="F568" s="4">
        <f>D568/100000</f>
        <v/>
      </c>
      <c r="G568" s="7">
        <f>(F568/DataSheet!$C$11*100)</f>
        <v/>
      </c>
      <c r="H568" s="4">
        <f>K568/I568</f>
        <v/>
      </c>
      <c r="I568" s="4">
        <f>(J568/L568)*100</f>
        <v/>
      </c>
      <c r="J568" s="7">
        <f>L568/O568</f>
        <v/>
      </c>
      <c r="K568" s="21" t="n">
        <v>6.714</v>
      </c>
      <c r="L568" s="21" t="n">
        <v>24457.15</v>
      </c>
      <c r="M568" s="21" t="n">
        <v>3.64</v>
      </c>
      <c r="N568" s="4">
        <f>K568-I568</f>
        <v/>
      </c>
      <c r="O568" s="21" t="n">
        <v>22.51</v>
      </c>
      <c r="P568" s="21" t="n">
        <v>4.226</v>
      </c>
      <c r="Q568" s="7">
        <f>K568-P568</f>
        <v/>
      </c>
      <c r="R568" s="21" t="n">
        <v>106.34</v>
      </c>
      <c r="S568" s="4">
        <f>(O568*T568)</f>
        <v/>
      </c>
      <c r="T568" s="12" t="n">
        <v>6.44</v>
      </c>
      <c r="U568" s="21" t="n">
        <v>21291.35</v>
      </c>
      <c r="V568" s="21" t="n">
        <v>42.75</v>
      </c>
      <c r="W568" s="4">
        <f>U568/V568</f>
        <v/>
      </c>
      <c r="X568" s="4">
        <f>(W568/U568)*100</f>
        <v/>
      </c>
      <c r="Y568" s="21" t="n">
        <v>18007.5</v>
      </c>
      <c r="Z568" s="23" t="n">
        <v>34.67</v>
      </c>
      <c r="AA568" s="4">
        <f>Y568/Z568</f>
        <v/>
      </c>
      <c r="AB568" s="4">
        <f>(AA568/Y568)*100</f>
        <v/>
      </c>
    </row>
    <row r="569">
      <c r="A569" s="5" t="n">
        <v>633</v>
      </c>
      <c r="B569" s="45" t="n">
        <v>45630</v>
      </c>
      <c r="C569" s="21" t="n">
        <v>45690716.05</v>
      </c>
      <c r="D569" s="4">
        <f>C569/E569</f>
        <v/>
      </c>
      <c r="E569" s="21" t="n">
        <v>84.693</v>
      </c>
      <c r="F569" s="4">
        <f>D569/100000</f>
        <v/>
      </c>
      <c r="G569" s="7">
        <f>(F569/DataSheet!$C$11*100)</f>
        <v/>
      </c>
      <c r="H569" s="4">
        <f>K569/I569</f>
        <v/>
      </c>
      <c r="I569" s="4">
        <f>(J569/L569)*100</f>
        <v/>
      </c>
      <c r="J569" s="7">
        <f>L569/O569</f>
        <v/>
      </c>
      <c r="K569" s="21" t="n">
        <v>6.686</v>
      </c>
      <c r="L569" s="21" t="n">
        <v>24467.45</v>
      </c>
      <c r="M569" s="21" t="n">
        <v>3.65</v>
      </c>
      <c r="N569" s="4">
        <f>K569-I569</f>
        <v/>
      </c>
      <c r="O569" s="21" t="n">
        <v>22.52</v>
      </c>
      <c r="P569" s="21" t="n">
        <v>4.183</v>
      </c>
      <c r="Q569" s="7">
        <f>K569-P569</f>
        <v/>
      </c>
      <c r="R569" s="21" t="n">
        <v>106.29</v>
      </c>
      <c r="S569" s="4">
        <f>(O569*T569)</f>
        <v/>
      </c>
      <c r="T569" s="12" t="n">
        <v>6.43</v>
      </c>
      <c r="U569" s="21" t="n">
        <v>21485.15</v>
      </c>
      <c r="V569" s="21" t="n">
        <v>43.14</v>
      </c>
      <c r="W569" s="4">
        <f>U569/V569</f>
        <v/>
      </c>
      <c r="X569" s="4">
        <f>(W569/U569)*100</f>
        <v/>
      </c>
      <c r="Y569" s="21" t="n">
        <v>18143.55</v>
      </c>
      <c r="Z569" s="23" t="n">
        <v>34.93</v>
      </c>
      <c r="AA569" s="4">
        <f>Y569/Z569</f>
        <v/>
      </c>
      <c r="AB569" s="4">
        <f>(AA569/Y569)*100</f>
        <v/>
      </c>
    </row>
    <row r="570">
      <c r="A570" s="5" t="n">
        <v>634</v>
      </c>
      <c r="B570" s="45" t="n">
        <v>45631</v>
      </c>
      <c r="C570" s="21" t="n">
        <v>45953413.05</v>
      </c>
      <c r="D570" s="4">
        <f>C570/E570</f>
        <v/>
      </c>
      <c r="E570" s="21" t="n">
        <v>84.684</v>
      </c>
      <c r="F570" s="4">
        <f>D570/100000</f>
        <v/>
      </c>
      <c r="G570" s="7">
        <f>(F570/DataSheet!$C$11*100)</f>
        <v/>
      </c>
      <c r="H570" s="4">
        <f>K570/I570</f>
        <v/>
      </c>
      <c r="I570" s="4">
        <f>(J570/L570)*100</f>
        <v/>
      </c>
      <c r="J570" s="7">
        <f>L570/O570</f>
        <v/>
      </c>
      <c r="K570" s="21" t="n">
        <v>6.68</v>
      </c>
      <c r="L570" s="21" t="n">
        <v>24708.4</v>
      </c>
      <c r="M570" s="21" t="n">
        <v>3.68</v>
      </c>
      <c r="N570" s="4">
        <f>K570-I570</f>
        <v/>
      </c>
      <c r="O570" s="21" t="n">
        <v>22.74</v>
      </c>
      <c r="P570" s="21" t="n">
        <v>4.177</v>
      </c>
      <c r="Q570" s="7">
        <f>K570-P570</f>
        <v/>
      </c>
      <c r="R570" s="21" t="n">
        <v>105.701</v>
      </c>
      <c r="S570" s="4">
        <f>(O570*T570)</f>
        <v/>
      </c>
      <c r="T570" s="12" t="n">
        <v>6.43</v>
      </c>
      <c r="U570" s="21" t="n">
        <v>21577.65</v>
      </c>
      <c r="V570" s="21" t="n">
        <v>43.33</v>
      </c>
      <c r="W570" s="4">
        <f>U570/V570</f>
        <v/>
      </c>
      <c r="X570" s="4">
        <f>(W570/U570)*100</f>
        <v/>
      </c>
      <c r="Y570" s="21" t="n">
        <v>18230.4</v>
      </c>
      <c r="Z570" s="23" t="n">
        <v>35.1</v>
      </c>
      <c r="AA570" s="4">
        <f>Y570/Z570</f>
        <v/>
      </c>
      <c r="AB570" s="4">
        <f>(AA570/Y570)*100</f>
        <v/>
      </c>
    </row>
    <row r="571">
      <c r="A571" s="5" t="n">
        <v>635</v>
      </c>
      <c r="B571" s="45" t="n">
        <v>45632</v>
      </c>
      <c r="C571" s="21" t="n">
        <v>46059456.42</v>
      </c>
      <c r="D571" s="4">
        <f>C571/E571</f>
        <v/>
      </c>
      <c r="E571" s="21" t="n">
        <v>84.66800000000001</v>
      </c>
      <c r="F571" s="4">
        <f>D571/100000</f>
        <v/>
      </c>
      <c r="G571" s="7">
        <f>(F571/DataSheet!$C$11*100)</f>
        <v/>
      </c>
      <c r="H571" s="4">
        <f>K571/I571</f>
        <v/>
      </c>
      <c r="I571" s="4">
        <f>(J571/L571)*100</f>
        <v/>
      </c>
      <c r="J571" s="7">
        <f>L571/O571</f>
        <v/>
      </c>
      <c r="K571" s="21" t="n">
        <v>6.74</v>
      </c>
      <c r="L571" s="21" t="n">
        <v>24677.8</v>
      </c>
      <c r="M571" s="21" t="n">
        <v>3.68</v>
      </c>
      <c r="N571" s="4">
        <f>K571-I571</f>
        <v/>
      </c>
      <c r="O571" s="21" t="n">
        <v>22.72</v>
      </c>
      <c r="P571" s="21" t="n">
        <v>4.148</v>
      </c>
      <c r="Q571" s="7">
        <f>K571-P571</f>
        <v/>
      </c>
      <c r="R571" s="21" t="n">
        <v>106.039</v>
      </c>
      <c r="S571" s="4">
        <f>(O571*T571)</f>
        <v/>
      </c>
      <c r="T571" s="12" t="n">
        <v>6.39</v>
      </c>
      <c r="U571" s="21" t="n">
        <v>21665.4</v>
      </c>
      <c r="V571" s="21" t="n">
        <v>43.51</v>
      </c>
      <c r="W571" s="4">
        <f>U571/V571</f>
        <v/>
      </c>
      <c r="X571" s="4">
        <f>(W571/U571)*100</f>
        <v/>
      </c>
      <c r="Y571" s="21" t="n">
        <v>18328.95</v>
      </c>
      <c r="Z571" s="23" t="n">
        <v>35.29</v>
      </c>
      <c r="AA571" s="4">
        <f>Y571/Z571</f>
        <v/>
      </c>
      <c r="AB571" s="4">
        <f>(AA571/Y571)*100</f>
        <v/>
      </c>
    </row>
    <row r="572">
      <c r="A572" s="5" t="n">
        <v>636</v>
      </c>
      <c r="B572" s="45" t="n">
        <v>45635</v>
      </c>
      <c r="C572" s="21" t="n">
        <v>46057176.98</v>
      </c>
      <c r="D572" s="4">
        <f>C572/E572</f>
        <v/>
      </c>
      <c r="E572" s="21" t="n">
        <v>84.82899999999999</v>
      </c>
      <c r="F572" s="4">
        <f>D572/100000</f>
        <v/>
      </c>
      <c r="G572" s="7">
        <f>(F572/DataSheet!$C$11*100)</f>
        <v/>
      </c>
      <c r="H572" s="4">
        <f>K572/I572</f>
        <v/>
      </c>
      <c r="I572" s="4">
        <f>(J572/L572)*100</f>
        <v/>
      </c>
      <c r="J572" s="7">
        <f>L572/O572</f>
        <v/>
      </c>
      <c r="K572" s="21" t="n">
        <v>6.717</v>
      </c>
      <c r="L572" s="21" t="n">
        <v>24619</v>
      </c>
      <c r="M572" s="21" t="n">
        <v>3.67</v>
      </c>
      <c r="N572" s="4">
        <f>K572-I572</f>
        <v/>
      </c>
      <c r="O572" s="21" t="n">
        <v>22.66</v>
      </c>
      <c r="P572" s="21" t="n">
        <v>4.2</v>
      </c>
      <c r="Q572" s="7">
        <f>K572-P572</f>
        <v/>
      </c>
      <c r="R572" s="21" t="n">
        <v>106.125</v>
      </c>
      <c r="S572" s="4">
        <f>(O572*T572)</f>
        <v/>
      </c>
      <c r="T572" s="12" t="n">
        <v>6.41</v>
      </c>
      <c r="U572" s="21" t="n">
        <v>21748.5</v>
      </c>
      <c r="V572" s="21" t="n">
        <v>43.67</v>
      </c>
      <c r="W572" s="4">
        <f>U572/V572</f>
        <v/>
      </c>
      <c r="X572" s="4">
        <f>(W572/U572)*100</f>
        <v/>
      </c>
      <c r="Y572" s="21" t="n">
        <v>18396.45</v>
      </c>
      <c r="Z572" s="23" t="n">
        <v>35.42</v>
      </c>
      <c r="AA572" s="4">
        <f>Y572/Z572</f>
        <v/>
      </c>
      <c r="AB572" s="4">
        <f>(AA572/Y572)*100</f>
        <v/>
      </c>
    </row>
    <row r="573">
      <c r="A573" s="5" t="n">
        <v>637</v>
      </c>
      <c r="B573" s="45" t="n">
        <v>45636</v>
      </c>
      <c r="C573" s="21" t="n">
        <v>46089641.55</v>
      </c>
      <c r="D573" s="4">
        <f>C573/E573</f>
        <v/>
      </c>
      <c r="E573" s="21" t="n">
        <v>84.88</v>
      </c>
      <c r="F573" s="4">
        <f>D573/100000</f>
        <v/>
      </c>
      <c r="G573" s="7">
        <f>(F573/DataSheet!$C$11*100)</f>
        <v/>
      </c>
      <c r="H573" s="4">
        <f>K573/I573</f>
        <v/>
      </c>
      <c r="I573" s="4">
        <f>(J573/L573)*100</f>
        <v/>
      </c>
      <c r="J573" s="7">
        <f>L573/O573</f>
        <v/>
      </c>
      <c r="K573" s="21" t="n">
        <v>6.705</v>
      </c>
      <c r="L573" s="21" t="n">
        <v>24610.05</v>
      </c>
      <c r="M573" s="21" t="n">
        <v>3.67</v>
      </c>
      <c r="N573" s="4">
        <f>K573-I573</f>
        <v/>
      </c>
      <c r="O573" s="21" t="n">
        <v>22.65</v>
      </c>
      <c r="P573" s="21" t="n">
        <v>4.227</v>
      </c>
      <c r="Q573" s="7">
        <f>K573-P573</f>
        <v/>
      </c>
      <c r="R573" s="21" t="n">
        <v>106.382</v>
      </c>
      <c r="S573" s="4">
        <f>(O573*T573)</f>
        <v/>
      </c>
      <c r="T573" s="12" t="n">
        <v>6.43</v>
      </c>
      <c r="U573" s="21" t="n">
        <v>21809.1</v>
      </c>
      <c r="V573" s="21" t="n">
        <v>43.79</v>
      </c>
      <c r="W573" s="4">
        <f>U573/V573</f>
        <v/>
      </c>
      <c r="X573" s="4">
        <f>(W573/U573)*100</f>
        <v/>
      </c>
      <c r="Y573" s="21" t="n">
        <v>18450.6</v>
      </c>
      <c r="Z573" s="23" t="n">
        <v>35.52</v>
      </c>
      <c r="AA573" s="4">
        <f>Y573/Z573</f>
        <v/>
      </c>
      <c r="AB573" s="4">
        <f>(AA573/Y573)*100</f>
        <v/>
      </c>
    </row>
    <row r="574">
      <c r="A574" s="5" t="n">
        <v>638</v>
      </c>
      <c r="B574" s="45" t="n">
        <v>45637</v>
      </c>
      <c r="C574" s="21" t="n">
        <v>46188674.55</v>
      </c>
      <c r="D574" s="4">
        <f>C574/E574</f>
        <v/>
      </c>
      <c r="E574" s="21" t="n">
        <v>84.795</v>
      </c>
      <c r="F574" s="4">
        <f>D574/100000</f>
        <v/>
      </c>
      <c r="G574" s="7">
        <f>(F574/DataSheet!$C$11*100)</f>
        <v/>
      </c>
      <c r="H574" s="4">
        <f>K574/I574</f>
        <v/>
      </c>
      <c r="I574" s="4">
        <f>(J574/L574)*100</f>
        <v/>
      </c>
      <c r="J574" s="7">
        <f>L574/O574</f>
        <v/>
      </c>
      <c r="K574" s="21" t="n">
        <v>6.718</v>
      </c>
      <c r="L574" s="21" t="n">
        <v>24641.8</v>
      </c>
      <c r="M574" s="21" t="n">
        <v>3.67</v>
      </c>
      <c r="N574" s="4">
        <f>K574-I574</f>
        <v/>
      </c>
      <c r="O574" s="21" t="n">
        <v>22.68</v>
      </c>
      <c r="P574" s="21" t="n">
        <v>4.274</v>
      </c>
      <c r="Q574" s="7">
        <f>K574-P574</f>
        <v/>
      </c>
      <c r="R574" s="21" t="n">
        <v>106.695</v>
      </c>
      <c r="S574" s="4">
        <f>(O574*T574)</f>
        <v/>
      </c>
      <c r="T574" s="12" t="n">
        <v>6.43</v>
      </c>
      <c r="U574" s="21" t="n">
        <v>21879.55</v>
      </c>
      <c r="V574" s="21" t="n">
        <v>43.94</v>
      </c>
      <c r="W574" s="4">
        <f>U574/V574</f>
        <v/>
      </c>
      <c r="X574" s="4">
        <f>(W574/U574)*100</f>
        <v/>
      </c>
      <c r="Y574" s="21" t="n">
        <v>18502.65</v>
      </c>
      <c r="Z574" s="23" t="n">
        <v>35.62</v>
      </c>
      <c r="AA574" s="4">
        <f>Y574/Z574</f>
        <v/>
      </c>
      <c r="AB574" s="4">
        <f>(AA574/Y574)*100</f>
        <v/>
      </c>
    </row>
    <row r="575">
      <c r="A575" s="5" t="n">
        <v>639</v>
      </c>
      <c r="B575" s="45" t="n">
        <v>45638</v>
      </c>
      <c r="C575" s="21" t="n">
        <v>45960464.37</v>
      </c>
      <c r="D575" s="4">
        <f>C575/E575</f>
        <v/>
      </c>
      <c r="E575" s="21" t="n">
        <v>84.825</v>
      </c>
      <c r="F575" s="4">
        <f>D575/100000</f>
        <v/>
      </c>
      <c r="G575" s="7">
        <f>(F575/DataSheet!$C$11*100)</f>
        <v/>
      </c>
      <c r="H575" s="4">
        <f>K575/I575</f>
        <v/>
      </c>
      <c r="I575" s="4">
        <f>(J575/L575)*100</f>
        <v/>
      </c>
      <c r="J575" s="7">
        <f>L575/O575</f>
        <v/>
      </c>
      <c r="K575" s="21" t="n">
        <v>6.736</v>
      </c>
      <c r="L575" s="21" t="n">
        <v>24548.7</v>
      </c>
      <c r="M575" s="21" t="n">
        <v>3.66</v>
      </c>
      <c r="N575" s="4">
        <f>K575-I575</f>
        <v/>
      </c>
      <c r="O575" s="21" t="n">
        <v>22.6</v>
      </c>
      <c r="P575" s="21" t="n">
        <v>4.335</v>
      </c>
      <c r="Q575" s="7">
        <f>K575-P575</f>
        <v/>
      </c>
      <c r="R575" s="21" t="n">
        <v>106.959</v>
      </c>
      <c r="S575" s="4">
        <f>(O575*T575)</f>
        <v/>
      </c>
      <c r="T575" s="12" t="n">
        <v>6.47</v>
      </c>
      <c r="U575" s="21" t="n">
        <v>21770.05</v>
      </c>
      <c r="V575" s="21" t="n">
        <v>43.72</v>
      </c>
      <c r="W575" s="4">
        <f>U575/V575</f>
        <v/>
      </c>
      <c r="X575" s="4">
        <f>(W575/U575)*100</f>
        <v/>
      </c>
      <c r="Y575" s="21" t="n">
        <v>18330.3</v>
      </c>
      <c r="Z575" s="23" t="n">
        <v>35.29</v>
      </c>
      <c r="AA575" s="4">
        <f>Y575/Z575</f>
        <v/>
      </c>
      <c r="AB575" s="4">
        <f>(AA575/Y575)*100</f>
        <v/>
      </c>
    </row>
    <row r="576">
      <c r="A576" s="5" t="n">
        <v>640</v>
      </c>
      <c r="B576" s="45" t="n">
        <v>45639</v>
      </c>
      <c r="C576" s="21" t="n">
        <v>46082964.45</v>
      </c>
      <c r="D576" s="4">
        <f>C576/E576</f>
        <v/>
      </c>
      <c r="E576" s="21" t="n">
        <v>84.782</v>
      </c>
      <c r="F576" s="4">
        <f>D576/100000</f>
        <v/>
      </c>
      <c r="G576" s="7">
        <f>(F576/DataSheet!$C$11*100)</f>
        <v/>
      </c>
      <c r="H576" s="4">
        <f>K576/I576</f>
        <v/>
      </c>
      <c r="I576" s="4">
        <f>(J576/L576)*100</f>
        <v/>
      </c>
      <c r="J576" s="7">
        <f>L576/O576</f>
        <v/>
      </c>
      <c r="K576" s="21" t="n">
        <v>6.729</v>
      </c>
      <c r="L576" s="21" t="n">
        <v>24768.3</v>
      </c>
      <c r="M576" s="21" t="n">
        <v>3.69</v>
      </c>
      <c r="N576" s="4">
        <f>K576-I576</f>
        <v/>
      </c>
      <c r="O576" s="21" t="n">
        <v>22.8</v>
      </c>
      <c r="P576" s="21" t="n">
        <v>4.394</v>
      </c>
      <c r="Q576" s="7">
        <f>K576-P576</f>
        <v/>
      </c>
      <c r="R576" s="21" t="n">
        <v>106.993</v>
      </c>
      <c r="S576" s="4">
        <f>(O576*T576)</f>
        <v/>
      </c>
      <c r="T576" s="12" t="n">
        <v>6.46</v>
      </c>
      <c r="U576" s="21" t="n">
        <v>21748.1</v>
      </c>
      <c r="V576" s="21" t="n">
        <v>43.67</v>
      </c>
      <c r="W576" s="4">
        <f>U576/V576</f>
        <v/>
      </c>
      <c r="X576" s="4">
        <f>(W576/U576)*100</f>
        <v/>
      </c>
      <c r="Y576" s="21" t="n">
        <v>18263.75</v>
      </c>
      <c r="Z576" s="23" t="n">
        <v>35.16</v>
      </c>
      <c r="AA576" s="4">
        <f>Y576/Z576</f>
        <v/>
      </c>
      <c r="AB576" s="4">
        <f>(AA576/Y576)*100</f>
        <v/>
      </c>
    </row>
    <row r="577">
      <c r="A577" s="5" t="n">
        <v>641</v>
      </c>
      <c r="B577" s="45" t="n">
        <v>45642</v>
      </c>
      <c r="C577" s="21" t="n">
        <v>46133925.81</v>
      </c>
      <c r="D577" s="4">
        <f>C577/E577</f>
        <v/>
      </c>
      <c r="E577" s="21" t="n">
        <v>84.89</v>
      </c>
      <c r="F577" s="4">
        <f>D577/100000</f>
        <v/>
      </c>
      <c r="G577" s="7">
        <f>(F577/DataSheet!$C$11*100)</f>
        <v/>
      </c>
      <c r="H577" s="4">
        <f>K577/I577</f>
        <v/>
      </c>
      <c r="I577" s="4">
        <f>(J577/L577)*100</f>
        <v/>
      </c>
      <c r="J577" s="7">
        <f>L577/O577</f>
        <v/>
      </c>
      <c r="K577" s="21" t="n">
        <v>6.741</v>
      </c>
      <c r="L577" s="21" t="n">
        <v>24668.25</v>
      </c>
      <c r="M577" s="21" t="n">
        <v>3.68</v>
      </c>
      <c r="N577" s="4">
        <f>K577-I577</f>
        <v/>
      </c>
      <c r="O577" s="21" t="n">
        <v>22.71</v>
      </c>
      <c r="P577" s="21" t="n">
        <v>4.402</v>
      </c>
      <c r="Q577" s="7">
        <f>K577-P577</f>
        <v/>
      </c>
      <c r="R577" s="21" t="n">
        <v>107.03</v>
      </c>
      <c r="S577" s="4">
        <f>(O577*T577)</f>
        <v/>
      </c>
      <c r="T577" s="12" t="n">
        <v>6.47</v>
      </c>
      <c r="U577" s="21" t="n">
        <v>21898.8</v>
      </c>
      <c r="V577" s="21" t="n">
        <v>43.97</v>
      </c>
      <c r="W577" s="4">
        <f>U577/V577</f>
        <v/>
      </c>
      <c r="X577" s="4">
        <f>(W577/U577)*100</f>
        <v/>
      </c>
      <c r="Y577" s="21" t="n">
        <v>18344</v>
      </c>
      <c r="Z577" s="23" t="n">
        <v>35.31</v>
      </c>
      <c r="AA577" s="4">
        <f>Y577/Z577</f>
        <v/>
      </c>
      <c r="AB577" s="4">
        <f>(AA577/Y577)*100</f>
        <v/>
      </c>
    </row>
    <row r="578">
      <c r="A578" s="5" t="n">
        <v>642</v>
      </c>
      <c r="B578" s="45" t="n">
        <v>45643</v>
      </c>
      <c r="C578" s="21" t="n">
        <v>45659944.38</v>
      </c>
      <c r="D578" s="4">
        <f>C578/E578</f>
        <v/>
      </c>
      <c r="E578" s="21" t="n">
        <v>84.902</v>
      </c>
      <c r="F578" s="4">
        <f>D578/100000</f>
        <v/>
      </c>
      <c r="G578" s="7">
        <f>(F578/DataSheet!$C$11*100)</f>
        <v/>
      </c>
      <c r="H578" s="4">
        <f>K578/I578</f>
        <v/>
      </c>
      <c r="I578" s="4">
        <f>(J578/L578)*100</f>
        <v/>
      </c>
      <c r="J578" s="7">
        <f>L578/O578</f>
        <v/>
      </c>
      <c r="K578" s="21" t="n">
        <v>6.759</v>
      </c>
      <c r="L578" s="21" t="n">
        <v>24336</v>
      </c>
      <c r="M578" s="21" t="n">
        <v>3.63</v>
      </c>
      <c r="N578" s="4">
        <f>K578-I578</f>
        <v/>
      </c>
      <c r="O578" s="21" t="n">
        <v>22.4</v>
      </c>
      <c r="P578" s="21" t="n">
        <v>4.394</v>
      </c>
      <c r="Q578" s="7">
        <f>K578-P578</f>
        <v/>
      </c>
      <c r="R578" s="21" t="n">
        <v>106.663</v>
      </c>
      <c r="S578" s="4">
        <f>(O578*T578)</f>
        <v/>
      </c>
      <c r="T578" s="12" t="n">
        <v>6.48</v>
      </c>
      <c r="U578" s="21" t="n">
        <v>21754.1</v>
      </c>
      <c r="V578" s="21" t="n">
        <v>43.68</v>
      </c>
      <c r="W578" s="4">
        <f>U578/V578</f>
        <v/>
      </c>
      <c r="X578" s="4">
        <f>(W578/U578)*100</f>
        <v/>
      </c>
      <c r="Y578" s="21" t="n">
        <v>18242.05</v>
      </c>
      <c r="Z578" s="23" t="n">
        <v>35.12</v>
      </c>
      <c r="AA578" s="4">
        <f>Y578/Z578</f>
        <v/>
      </c>
      <c r="AB578" s="4">
        <f>(AA578/Y578)*100</f>
        <v/>
      </c>
    </row>
    <row r="579">
      <c r="A579" s="5" t="n">
        <v>643</v>
      </c>
      <c r="B579" s="45" t="n">
        <v>45644</v>
      </c>
      <c r="C579" s="21" t="n">
        <v>45399764.79</v>
      </c>
      <c r="D579" s="4">
        <f>C579/E579</f>
        <v/>
      </c>
      <c r="E579" s="21" t="n">
        <v>84.867</v>
      </c>
      <c r="F579" s="4">
        <f>D579/100000</f>
        <v/>
      </c>
      <c r="G579" s="7">
        <f>(F579/DataSheet!$C$11*100)</f>
        <v/>
      </c>
      <c r="H579" s="4">
        <f>K579/I579</f>
        <v/>
      </c>
      <c r="I579" s="4">
        <f>(J579/L579)*100</f>
        <v/>
      </c>
      <c r="J579" s="7">
        <f>L579/O579</f>
        <v/>
      </c>
      <c r="K579" s="21" t="n">
        <v>6.751</v>
      </c>
      <c r="L579" s="21" t="n">
        <v>24198.85</v>
      </c>
      <c r="M579" s="21" t="n">
        <v>3.61</v>
      </c>
      <c r="N579" s="4">
        <f>K579-I579</f>
        <v/>
      </c>
      <c r="O579" s="21" t="n">
        <v>22.27</v>
      </c>
      <c r="P579" s="21" t="n">
        <v>4.518</v>
      </c>
      <c r="Q579" s="7">
        <f>K579-P579</f>
        <v/>
      </c>
      <c r="R579" s="21" t="n">
        <v>107.749</v>
      </c>
      <c r="S579" s="4">
        <f>(O579*T579)</f>
        <v/>
      </c>
      <c r="T579" s="12" t="n">
        <v>6.47</v>
      </c>
      <c r="U579" s="21" t="n">
        <v>21623.1</v>
      </c>
      <c r="V579" s="21" t="n">
        <v>43.42</v>
      </c>
      <c r="W579" s="4">
        <f>U579/V579</f>
        <v/>
      </c>
      <c r="X579" s="4">
        <f>(W579/U579)*100</f>
        <v/>
      </c>
      <c r="Y579" s="21" t="n">
        <v>18118.6</v>
      </c>
      <c r="Z579" s="23" t="n">
        <v>34.88</v>
      </c>
      <c r="AA579" s="4">
        <f>Y579/Z579</f>
        <v/>
      </c>
      <c r="AB579" s="4">
        <f>(AA579/Y579)*100</f>
        <v/>
      </c>
    </row>
    <row r="580">
      <c r="A580" s="5" t="n">
        <v>644</v>
      </c>
      <c r="B580" s="45" t="n">
        <v>45645</v>
      </c>
      <c r="C580" s="21" t="n">
        <v>45114609.13</v>
      </c>
      <c r="D580" s="4">
        <f>C580/E580</f>
        <v/>
      </c>
      <c r="E580" s="21" t="n">
        <v>85.08799999999999</v>
      </c>
      <c r="F580" s="4">
        <f>D580/100000</f>
        <v/>
      </c>
      <c r="G580" s="7">
        <f>(F580/DataSheet!$C$11*100)</f>
        <v/>
      </c>
      <c r="H580" s="4">
        <f>K580/I580</f>
        <v/>
      </c>
      <c r="I580" s="4">
        <f>(J580/L580)*100</f>
        <v/>
      </c>
      <c r="J580" s="7">
        <f>L580/O580</f>
        <v/>
      </c>
      <c r="K580" s="21" t="n">
        <v>6.787</v>
      </c>
      <c r="L580" s="21" t="n">
        <v>23951.7</v>
      </c>
      <c r="M580" s="21" t="n">
        <v>3.57</v>
      </c>
      <c r="N580" s="4">
        <f>K580-I580</f>
        <v/>
      </c>
      <c r="O580" s="21" t="n">
        <v>22.05</v>
      </c>
      <c r="P580" s="21" t="n">
        <v>4.565</v>
      </c>
      <c r="Q580" s="7">
        <f>K580-P580</f>
        <v/>
      </c>
      <c r="R580" s="21" t="n">
        <v>108.152</v>
      </c>
      <c r="S580" s="4">
        <f>(O580*T580)</f>
        <v/>
      </c>
      <c r="T580" s="12" t="n">
        <v>6.5</v>
      </c>
      <c r="U580" s="21" t="n">
        <v>21571.3</v>
      </c>
      <c r="V580" s="21" t="n">
        <v>43.32</v>
      </c>
      <c r="W580" s="4">
        <f>U580/V580</f>
        <v/>
      </c>
      <c r="X580" s="4">
        <f>(W580/U580)*100</f>
        <v/>
      </c>
      <c r="Y580" s="21" t="n">
        <v>18057.2</v>
      </c>
      <c r="Z580" s="23" t="n">
        <v>34.76</v>
      </c>
      <c r="AA580" s="4">
        <f>Y580/Z580</f>
        <v/>
      </c>
      <c r="AB580" s="4">
        <f>(AA580/Y580)*100</f>
        <v/>
      </c>
    </row>
    <row r="581">
      <c r="A581" s="5" t="n">
        <v>645</v>
      </c>
      <c r="B581" s="45" t="n">
        <v>45646</v>
      </c>
      <c r="C581" s="21" t="n">
        <v>44239094.65</v>
      </c>
      <c r="D581" s="4">
        <f>C581/E581</f>
        <v/>
      </c>
      <c r="E581" s="21" t="n">
        <v>84.947</v>
      </c>
      <c r="F581" s="4">
        <f>D581/100000</f>
        <v/>
      </c>
      <c r="G581" s="7">
        <f>(F581/DataSheet!$C$11*100)</f>
        <v/>
      </c>
      <c r="H581" s="4">
        <f>K581/I581</f>
        <v/>
      </c>
      <c r="I581" s="4">
        <f>(J581/L581)*100</f>
        <v/>
      </c>
      <c r="J581" s="7">
        <f>L581/O581</f>
        <v/>
      </c>
      <c r="K581" s="21" t="n">
        <v>6.791</v>
      </c>
      <c r="L581" s="21" t="n">
        <v>23587.5</v>
      </c>
      <c r="M581" s="21" t="n">
        <v>3.52</v>
      </c>
      <c r="N581" s="4">
        <f>K581-I581</f>
        <v/>
      </c>
      <c r="O581" s="21" t="n">
        <v>21.71</v>
      </c>
      <c r="P581" s="21" t="n">
        <v>4.529</v>
      </c>
      <c r="Q581" s="7">
        <f>K581-P581</f>
        <v/>
      </c>
      <c r="R581" s="21" t="n">
        <v>107.351</v>
      </c>
      <c r="S581" s="4">
        <f>(O581*T581)</f>
        <v/>
      </c>
      <c r="T581" s="12" t="n">
        <v>6.49</v>
      </c>
      <c r="U581" s="21" t="n">
        <v>21050.6</v>
      </c>
      <c r="V581" s="21" t="n">
        <v>42.27</v>
      </c>
      <c r="W581" s="4">
        <f>U581/V581</f>
        <v/>
      </c>
      <c r="X581" s="4">
        <f>(W581/U581)*100</f>
        <v/>
      </c>
      <c r="Y581" s="21" t="n">
        <v>17693.65</v>
      </c>
      <c r="Z581" s="23" t="n">
        <v>34.06</v>
      </c>
      <c r="AA581" s="4">
        <f>Y581/Z581</f>
        <v/>
      </c>
      <c r="AB581" s="4">
        <f>(AA581/Y581)*100</f>
        <v/>
      </c>
    </row>
    <row r="582">
      <c r="A582" s="5" t="n">
        <v>646</v>
      </c>
      <c r="B582" s="45" t="n">
        <v>45649</v>
      </c>
      <c r="C582" s="21" t="n">
        <v>44317850.72</v>
      </c>
      <c r="D582" s="4">
        <f>C582/E582</f>
        <v/>
      </c>
      <c r="E582" s="21" t="n">
        <v>85.095</v>
      </c>
      <c r="F582" s="4">
        <f>D582/100000</f>
        <v/>
      </c>
      <c r="G582" s="7">
        <f>(F582/DataSheet!$C$11*100)</f>
        <v/>
      </c>
      <c r="H582" s="4">
        <f>K582/I582</f>
        <v/>
      </c>
      <c r="I582" s="4">
        <f>(J582/L582)*100</f>
        <v/>
      </c>
      <c r="J582" s="7">
        <f>L582/O582</f>
        <v/>
      </c>
      <c r="K582" s="21" t="n">
        <v>6.776</v>
      </c>
      <c r="L582" s="21" t="n">
        <v>23753.45</v>
      </c>
      <c r="M582" s="21" t="n">
        <v>3.54</v>
      </c>
      <c r="N582" s="4">
        <f>K582-I582</f>
        <v/>
      </c>
      <c r="O582" s="21" t="n">
        <v>21.86</v>
      </c>
      <c r="P582" s="21" t="n">
        <v>4.588</v>
      </c>
      <c r="Q582" s="7">
        <f>K582-P582</f>
        <v/>
      </c>
      <c r="R582" s="21" t="n">
        <v>107.807</v>
      </c>
      <c r="S582" s="4">
        <f>(O582*T582)</f>
        <v/>
      </c>
      <c r="T582" s="12" t="n">
        <v>6.49</v>
      </c>
      <c r="U582" s="21" t="n">
        <v>21076.15</v>
      </c>
      <c r="V582" s="21" t="n">
        <v>42.32</v>
      </c>
      <c r="W582" s="4">
        <f>U582/V582</f>
        <v/>
      </c>
      <c r="X582" s="4">
        <f>(W582/U582)*100</f>
        <v/>
      </c>
      <c r="Y582" s="21" t="n">
        <v>17618.1</v>
      </c>
      <c r="Z582" s="23" t="n">
        <v>33.92</v>
      </c>
      <c r="AA582" s="4">
        <f>Y582/Z582</f>
        <v/>
      </c>
      <c r="AB582" s="4">
        <f>(AA582/Y582)*100</f>
        <v/>
      </c>
    </row>
    <row r="583">
      <c r="A583" s="5" t="n">
        <v>647</v>
      </c>
      <c r="B583" s="45" t="n">
        <v>45650</v>
      </c>
      <c r="C583" s="21" t="n">
        <v>44316666.4</v>
      </c>
      <c r="D583" s="4">
        <f>C583/E583</f>
        <v/>
      </c>
      <c r="E583" s="21" t="n">
        <v>85.176</v>
      </c>
      <c r="F583" s="4">
        <f>D583/100000</f>
        <v/>
      </c>
      <c r="G583" s="7">
        <f>(F583/DataSheet!$C$11*100)</f>
        <v/>
      </c>
      <c r="H583" s="4">
        <f>K583/I583</f>
        <v/>
      </c>
      <c r="I583" s="4">
        <f>(J583/L583)*100</f>
        <v/>
      </c>
      <c r="J583" s="7">
        <f>L583/O583</f>
        <v/>
      </c>
      <c r="K583" s="21" t="n">
        <v>6.776</v>
      </c>
      <c r="L583" s="21" t="n">
        <v>23727.65</v>
      </c>
      <c r="M583" s="21" t="n">
        <v>3.54</v>
      </c>
      <c r="N583" s="4">
        <f>K583-I583</f>
        <v/>
      </c>
      <c r="O583" s="21" t="n">
        <v>21.84</v>
      </c>
      <c r="P583" s="21" t="n">
        <v>4.59</v>
      </c>
      <c r="Q583" s="7">
        <f>K583-P583</f>
        <v/>
      </c>
      <c r="R583" s="21" t="n">
        <v>108.023</v>
      </c>
      <c r="S583" s="4">
        <f>(O583*T583)</f>
        <v/>
      </c>
      <c r="T583" s="12" t="n">
        <v>6.48</v>
      </c>
      <c r="U583" s="21" t="n">
        <v>21080.7</v>
      </c>
      <c r="V583" s="21" t="n">
        <v>42.33</v>
      </c>
      <c r="W583" s="4">
        <f>U583/V583</f>
        <v/>
      </c>
      <c r="X583" s="4">
        <f>(W583/U583)*100</f>
        <v/>
      </c>
      <c r="Y583" s="21" t="n">
        <v>17672.45</v>
      </c>
      <c r="Z583" s="23" t="n">
        <v>34.02</v>
      </c>
      <c r="AA583" s="4">
        <f>Y583/Z583</f>
        <v/>
      </c>
      <c r="AB583" s="4">
        <f>(AA583/Y583)*100</f>
        <v/>
      </c>
    </row>
    <row r="584">
      <c r="A584" s="5" t="n">
        <v>648</v>
      </c>
      <c r="B584" s="45" t="n">
        <v>45652</v>
      </c>
      <c r="C584" s="21" t="n">
        <v>44327429.96</v>
      </c>
      <c r="D584" s="4">
        <f>C584/E584</f>
        <v/>
      </c>
      <c r="E584" s="21" t="n">
        <v>85.254</v>
      </c>
      <c r="F584" s="4">
        <f>D584/100000</f>
        <v/>
      </c>
      <c r="G584" s="7">
        <f>(F584/DataSheet!$C$11*100)</f>
        <v/>
      </c>
      <c r="H584" s="4">
        <f>K584/I584</f>
        <v/>
      </c>
      <c r="I584" s="4">
        <f>(J584/L584)*100</f>
        <v/>
      </c>
      <c r="J584" s="7">
        <f>L584/O584</f>
        <v/>
      </c>
      <c r="K584" s="21" t="n">
        <v>6.784</v>
      </c>
      <c r="L584" s="21" t="n">
        <v>23750.2</v>
      </c>
      <c r="M584" s="21" t="n">
        <v>3.54</v>
      </c>
      <c r="N584" s="4">
        <f>K584-I584</f>
        <v/>
      </c>
      <c r="O584" s="21" t="n">
        <v>21.86</v>
      </c>
      <c r="P584" s="21" t="n">
        <v>4.584</v>
      </c>
      <c r="Q584" s="7">
        <f>K584-P584</f>
        <v/>
      </c>
      <c r="R584" s="21" t="n">
        <v>107.893</v>
      </c>
      <c r="S584" s="4">
        <f>(O584*T584)</f>
        <v/>
      </c>
      <c r="T584" s="12" t="n">
        <v>6.58</v>
      </c>
      <c r="U584" s="21" t="n">
        <v>21096.85</v>
      </c>
      <c r="V584" s="21" t="n">
        <v>42.36</v>
      </c>
      <c r="W584" s="4">
        <f>U584/V584</f>
        <v/>
      </c>
      <c r="X584" s="4">
        <f>(W584/U584)*100</f>
        <v/>
      </c>
      <c r="Y584" s="21" t="n">
        <v>17667.45</v>
      </c>
      <c r="Z584" s="23" t="n">
        <v>34.01</v>
      </c>
      <c r="AA584" s="4">
        <f>Y584/Z584</f>
        <v/>
      </c>
      <c r="AB584" s="4">
        <f>(AA584/Y584)*100</f>
        <v/>
      </c>
    </row>
    <row r="585">
      <c r="A585" s="5" t="n">
        <v>649</v>
      </c>
      <c r="B585" s="45" t="n">
        <v>45653</v>
      </c>
      <c r="C585" s="21" t="n">
        <v>44377986.94</v>
      </c>
      <c r="D585" s="4">
        <f>C585/E585</f>
        <v/>
      </c>
      <c r="E585" s="21" t="n">
        <v>85.38800000000001</v>
      </c>
      <c r="F585" s="4">
        <f>D585/100000</f>
        <v/>
      </c>
      <c r="G585" s="7">
        <f>(F585/DataSheet!$C$11*100)</f>
        <v/>
      </c>
      <c r="H585" s="4">
        <f>K585/I585</f>
        <v/>
      </c>
      <c r="I585" s="4">
        <f>(J585/L585)*100</f>
        <v/>
      </c>
      <c r="J585" s="7">
        <f>L585/O585</f>
        <v/>
      </c>
      <c r="K585" s="21" t="n">
        <v>6.787</v>
      </c>
      <c r="L585" s="21" t="n">
        <v>23813.4</v>
      </c>
      <c r="M585" s="21" t="n">
        <v>3.55</v>
      </c>
      <c r="N585" s="4">
        <f>K585-I585</f>
        <v/>
      </c>
      <c r="O585" s="21" t="n">
        <v>21.92</v>
      </c>
      <c r="P585" s="21" t="n">
        <v>4.629</v>
      </c>
      <c r="Q585" s="7">
        <f>K585-P585</f>
        <v/>
      </c>
      <c r="R585" s="21" t="n">
        <v>107.792</v>
      </c>
      <c r="S585" s="4">
        <f>(O585*T585)</f>
        <v/>
      </c>
      <c r="T585" s="12" t="n">
        <v>6.6</v>
      </c>
      <c r="U585" s="21" t="n">
        <v>21071.85</v>
      </c>
      <c r="V585" s="21" t="n">
        <v>42.31</v>
      </c>
      <c r="W585" s="4">
        <f>U585/V585</f>
        <v/>
      </c>
      <c r="X585" s="4">
        <f>(W585/U585)*100</f>
        <v/>
      </c>
      <c r="Y585" s="21" t="n">
        <v>17715.2</v>
      </c>
      <c r="Z585" s="23" t="n">
        <v>34.1</v>
      </c>
      <c r="AA585" s="4">
        <f>Y585/Z585</f>
        <v/>
      </c>
      <c r="AB585" s="4">
        <f>(AA585/Y585)*100</f>
        <v/>
      </c>
    </row>
    <row r="586">
      <c r="A586" s="5" t="n">
        <v>650</v>
      </c>
      <c r="B586" s="45" t="n">
        <v>45656</v>
      </c>
      <c r="C586" s="21" t="n">
        <v>44247478.81</v>
      </c>
      <c r="D586" s="4">
        <f>C586/E586</f>
        <v/>
      </c>
      <c r="E586" s="21" t="n">
        <v>85.474</v>
      </c>
      <c r="F586" s="4">
        <f>D586/100000</f>
        <v/>
      </c>
      <c r="G586" s="7">
        <f>(F586/DataSheet!$C$11*100)</f>
        <v/>
      </c>
      <c r="H586" s="4">
        <f>K586/I586</f>
        <v/>
      </c>
      <c r="I586" s="4">
        <f>(J586/L586)*100</f>
        <v/>
      </c>
      <c r="J586" s="7">
        <f>L586/O586</f>
        <v/>
      </c>
      <c r="K586" s="21" t="n">
        <v>6.775</v>
      </c>
      <c r="L586" s="21" t="n">
        <v>23644.9</v>
      </c>
      <c r="M586" s="21" t="n">
        <v>3.52</v>
      </c>
      <c r="N586" s="4">
        <f>K586-I586</f>
        <v/>
      </c>
      <c r="O586" s="21" t="n">
        <v>21.76</v>
      </c>
      <c r="P586" s="21" t="n">
        <v>4.532</v>
      </c>
      <c r="Q586" s="7">
        <f>K586-P586</f>
        <v/>
      </c>
      <c r="R586" s="21" t="n">
        <v>107.933</v>
      </c>
      <c r="S586" s="4">
        <f>(O586*T586)</f>
        <v/>
      </c>
      <c r="T586" s="12" t="n">
        <v>6.61</v>
      </c>
      <c r="U586" s="21" t="n">
        <v>21109.25</v>
      </c>
      <c r="V586" s="21" t="n">
        <v>42.39</v>
      </c>
      <c r="W586" s="4">
        <f>U586/V586</f>
        <v/>
      </c>
      <c r="X586" s="4">
        <f>(W586/U586)*100</f>
        <v/>
      </c>
      <c r="Y586" s="21" t="n">
        <v>17638.15</v>
      </c>
      <c r="Z586" s="23" t="n">
        <v>33.96</v>
      </c>
      <c r="AA586" s="4">
        <f>Y586/Z586</f>
        <v/>
      </c>
      <c r="AB586" s="4">
        <f>(AA586/Y586)*100</f>
        <v/>
      </c>
    </row>
    <row r="587">
      <c r="A587" s="5" t="n">
        <v>651</v>
      </c>
      <c r="B587" s="45" t="n">
        <v>45657</v>
      </c>
      <c r="C587" s="21" t="n">
        <v>44347670.86</v>
      </c>
      <c r="D587" s="4">
        <f>C587/E587</f>
        <v/>
      </c>
      <c r="E587" s="21" t="n">
        <v>85.554</v>
      </c>
      <c r="F587" s="4">
        <f>D587/100000</f>
        <v/>
      </c>
      <c r="G587" s="7">
        <f>(F587/DataSheet!$C$11*100)</f>
        <v/>
      </c>
      <c r="H587" s="4">
        <f>K587/I587</f>
        <v/>
      </c>
      <c r="I587" s="4">
        <f>(J587/L587)*100</f>
        <v/>
      </c>
      <c r="J587" s="7">
        <f>L587/O587</f>
        <v/>
      </c>
      <c r="K587" s="21" t="n">
        <v>6.759</v>
      </c>
      <c r="L587" s="21" t="n">
        <v>23644.8</v>
      </c>
      <c r="M587" s="21" t="n">
        <v>3.53</v>
      </c>
      <c r="N587" s="4">
        <f>K587-I587</f>
        <v/>
      </c>
      <c r="O587" s="21" t="n">
        <v>21.79</v>
      </c>
      <c r="P587" s="21" t="n">
        <v>4.572</v>
      </c>
      <c r="Q587" s="7">
        <f>K587-P587</f>
        <v/>
      </c>
      <c r="R587" s="21" t="n">
        <v>108.296</v>
      </c>
      <c r="S587" s="4">
        <f>(O587*T587)</f>
        <v/>
      </c>
      <c r="T587" s="12" t="n">
        <v>6.58</v>
      </c>
      <c r="U587" s="21" t="n">
        <v>21141.2</v>
      </c>
      <c r="V587" s="21" t="n">
        <v>43.3</v>
      </c>
      <c r="W587" s="4">
        <f>U587/V587</f>
        <v/>
      </c>
      <c r="X587" s="4">
        <f>(W587/U587)*100</f>
        <v/>
      </c>
      <c r="Y587" s="21" t="n">
        <v>17752.25</v>
      </c>
      <c r="Z587" s="23" t="n">
        <v>34.39</v>
      </c>
      <c r="AA587" s="4">
        <f>Y587/Z587</f>
        <v/>
      </c>
      <c r="AB587" s="4">
        <f>(AA587/Y587)*100</f>
        <v/>
      </c>
    </row>
    <row r="588" customFormat="1" s="68">
      <c r="A588" s="62" t="n">
        <v>652</v>
      </c>
      <c r="B588" s="63" t="n">
        <v>45658</v>
      </c>
      <c r="C588" s="64" t="n">
        <v>44594474</v>
      </c>
      <c r="D588" s="65">
        <f>C588/E588</f>
        <v/>
      </c>
      <c r="E588" s="64" t="n">
        <v>85.645</v>
      </c>
      <c r="F588" s="65">
        <f>D588/100000</f>
        <v/>
      </c>
      <c r="G588" s="66">
        <f>(F588/DataSheet!$C$12*100)</f>
        <v/>
      </c>
      <c r="H588" s="65">
        <f>K588/I588</f>
        <v/>
      </c>
      <c r="I588" s="65">
        <f>(J588/L588)*100</f>
        <v/>
      </c>
      <c r="J588" s="7">
        <f>L588/O588</f>
        <v/>
      </c>
      <c r="K588" s="64" t="n">
        <v>6.779</v>
      </c>
      <c r="L588" s="64" t="n">
        <v>23742.9</v>
      </c>
      <c r="M588" s="64" t="n">
        <v>3.54</v>
      </c>
      <c r="N588" s="65">
        <f>K588-I588</f>
        <v/>
      </c>
      <c r="O588" s="64" t="n">
        <v>21.88</v>
      </c>
      <c r="P588" s="64" t="n">
        <v>4.572</v>
      </c>
      <c r="Q588" s="66">
        <f>K588-P588</f>
        <v/>
      </c>
      <c r="R588" s="64" t="n">
        <v>108.296</v>
      </c>
      <c r="S588" s="4">
        <f>(O588*T588)</f>
        <v/>
      </c>
      <c r="T588" s="12" t="n">
        <v>6.58</v>
      </c>
      <c r="U588" s="64" t="n">
        <v>21246.5</v>
      </c>
      <c r="V588" s="64" t="n">
        <v>43.52</v>
      </c>
      <c r="W588" s="65">
        <f>U588/V588</f>
        <v/>
      </c>
      <c r="X588" s="65">
        <f>(W588/U588)*100</f>
        <v/>
      </c>
      <c r="Y588" s="64" t="n">
        <v>17908.8</v>
      </c>
      <c r="Z588" s="67" t="n">
        <v>34.7</v>
      </c>
      <c r="AA588" s="65">
        <f>Y588/Z588</f>
        <v/>
      </c>
      <c r="AB588" s="65">
        <f>(AA588/Y588)*100</f>
        <v/>
      </c>
    </row>
    <row r="589">
      <c r="A589" s="5" t="n">
        <v>653</v>
      </c>
      <c r="B589" s="45" t="n">
        <v>45659</v>
      </c>
      <c r="C589" s="21" t="n">
        <v>45200321.27</v>
      </c>
      <c r="D589" s="4">
        <f>C589/E589</f>
        <v/>
      </c>
      <c r="E589" s="21" t="n">
        <v>85.76000000000001</v>
      </c>
      <c r="F589" s="4">
        <f>D589/100000</f>
        <v/>
      </c>
      <c r="G589" s="7">
        <f>(F589/DataSheet!$C$12*100)</f>
        <v/>
      </c>
      <c r="H589" s="4">
        <f>K589/I589</f>
        <v/>
      </c>
      <c r="I589" s="4">
        <f>(J589/L589)*100</f>
        <v/>
      </c>
      <c r="J589" s="7">
        <f>L589/O589</f>
        <v/>
      </c>
      <c r="K589" s="21" t="n">
        <v>6.787</v>
      </c>
      <c r="L589" s="21" t="n">
        <v>24188.65</v>
      </c>
      <c r="M589" s="21" t="n">
        <v>3.61</v>
      </c>
      <c r="N589" s="4">
        <f>K589-I589</f>
        <v/>
      </c>
      <c r="O589" s="21" t="n">
        <v>22.29</v>
      </c>
      <c r="P589" s="21" t="n">
        <v>4.561</v>
      </c>
      <c r="Q589" s="7">
        <f>K589-P589</f>
        <v/>
      </c>
      <c r="R589" s="21" t="n">
        <v>109.209</v>
      </c>
      <c r="S589" s="4">
        <f>(O589*T589)</f>
        <v/>
      </c>
      <c r="T589" s="12" t="n">
        <v>6.6</v>
      </c>
      <c r="U589" s="21" t="n">
        <v>21473.15</v>
      </c>
      <c r="V589" s="21" t="n">
        <v>43.98</v>
      </c>
      <c r="W589" s="4">
        <f>U589/V589</f>
        <v/>
      </c>
      <c r="X589" s="4">
        <f>(W589/U589)*100</f>
        <v/>
      </c>
      <c r="Y589" s="21" t="n">
        <v>18007.95</v>
      </c>
      <c r="Z589" s="23" t="n">
        <v>34.89</v>
      </c>
      <c r="AA589" s="4">
        <f>Y589/Z589</f>
        <v/>
      </c>
      <c r="AB589" s="4">
        <f>(AA589/Y589)*100</f>
        <v/>
      </c>
    </row>
    <row r="590">
      <c r="A590" s="5" t="n">
        <v>654</v>
      </c>
      <c r="B590" s="45" t="n">
        <v>45660</v>
      </c>
      <c r="C590" s="21" t="n">
        <v>45133848.87</v>
      </c>
      <c r="D590" s="4">
        <f>C590/E590</f>
        <v/>
      </c>
      <c r="E590" s="21" t="n">
        <v>85.761</v>
      </c>
      <c r="F590" s="4">
        <f>D590/100000</f>
        <v/>
      </c>
      <c r="G590" s="7">
        <f>(F590/DataSheet!$C$12*100)</f>
        <v/>
      </c>
      <c r="H590" s="4">
        <f>K590/I590</f>
        <v/>
      </c>
      <c r="I590" s="4">
        <f>(J590/L590)*100</f>
        <v/>
      </c>
      <c r="J590" s="7">
        <f>L590/O590</f>
        <v/>
      </c>
      <c r="K590" s="21" t="n">
        <v>6.779</v>
      </c>
      <c r="L590" s="21" t="n">
        <v>24004.75</v>
      </c>
      <c r="M590" s="21" t="n">
        <v>3.58</v>
      </c>
      <c r="N590" s="4">
        <f>K590-I590</f>
        <v/>
      </c>
      <c r="O590" s="21" t="n">
        <v>22.12</v>
      </c>
      <c r="P590" s="21" t="n">
        <v>4.601</v>
      </c>
      <c r="Q590" s="7">
        <f>K590-P590</f>
        <v/>
      </c>
      <c r="R590" s="21" t="n">
        <v>108.798</v>
      </c>
      <c r="S590" s="4">
        <f>(O590*T590)</f>
        <v/>
      </c>
      <c r="T590" s="12" t="n">
        <v>6.61</v>
      </c>
      <c r="U590" s="21" t="n">
        <v>21419.3</v>
      </c>
      <c r="V590" s="21" t="n">
        <v>43.87</v>
      </c>
      <c r="W590" s="4">
        <f>U590/V590</f>
        <v/>
      </c>
      <c r="X590" s="4">
        <f>(W590/U590)*100</f>
        <v/>
      </c>
      <c r="Y590" s="21" t="n">
        <v>17973.05</v>
      </c>
      <c r="Z590" s="23" t="n">
        <v>34.82</v>
      </c>
      <c r="AA590" s="4">
        <f>Y590/Z590</f>
        <v/>
      </c>
      <c r="AB590" s="4">
        <f>(AA590/Y590)*100</f>
        <v/>
      </c>
    </row>
    <row r="591">
      <c r="A591" s="5" t="n">
        <v>655</v>
      </c>
      <c r="B591" s="45" t="n">
        <v>45663</v>
      </c>
      <c r="C591" s="21" t="n">
        <v>44019774.64</v>
      </c>
      <c r="D591" s="4">
        <f>C591/E591</f>
        <v/>
      </c>
      <c r="E591" s="21" t="n">
        <v>85.7</v>
      </c>
      <c r="F591" s="4">
        <f>D591/100000</f>
        <v/>
      </c>
      <c r="G591" s="7">
        <f>(F591/DataSheet!$C$12*100)</f>
        <v/>
      </c>
      <c r="H591" s="4">
        <f>K591/I591</f>
        <v/>
      </c>
      <c r="I591" s="4">
        <f>(J591/L591)*100</f>
        <v/>
      </c>
      <c r="J591" s="7">
        <f>L591/O591</f>
        <v/>
      </c>
      <c r="K591" s="21" t="n">
        <v>6.763</v>
      </c>
      <c r="L591" s="21" t="n">
        <v>23616.05</v>
      </c>
      <c r="M591" s="21" t="n">
        <v>3.52</v>
      </c>
      <c r="N591" s="4">
        <f>K591-I591</f>
        <v/>
      </c>
      <c r="O591" s="21" t="n">
        <v>21.76</v>
      </c>
      <c r="P591" s="21" t="n">
        <v>4.623</v>
      </c>
      <c r="Q591" s="7">
        <f>K591-P591</f>
        <v/>
      </c>
      <c r="R591" s="21" t="n">
        <v>108.101</v>
      </c>
      <c r="S591" s="4">
        <f>(O591*T591)</f>
        <v/>
      </c>
      <c r="T591" s="12" t="n">
        <v>6.58</v>
      </c>
      <c r="U591" s="21" t="n">
        <v>20879.65</v>
      </c>
      <c r="V591" s="21" t="n">
        <v>42.77</v>
      </c>
      <c r="W591" s="4">
        <f>U591/V591</f>
        <v/>
      </c>
      <c r="X591" s="4">
        <f>(W591/U591)*100</f>
        <v/>
      </c>
      <c r="Y591" s="21" t="n">
        <v>17455.7</v>
      </c>
      <c r="Z591" s="23" t="n">
        <v>33.82</v>
      </c>
      <c r="AA591" s="4">
        <f>Y591/Z591</f>
        <v/>
      </c>
      <c r="AB591" s="4">
        <f>(AA591/Y591)*100</f>
        <v/>
      </c>
    </row>
    <row r="592">
      <c r="A592" s="5" t="n">
        <v>656</v>
      </c>
      <c r="B592" s="45" t="n">
        <v>45664</v>
      </c>
      <c r="C592" s="21" t="n">
        <v>44326609.07</v>
      </c>
      <c r="D592" s="4">
        <f>C592/E592</f>
        <v/>
      </c>
      <c r="E592" s="21" t="n">
        <v>85.803</v>
      </c>
      <c r="F592" s="4">
        <f>D592/100000</f>
        <v/>
      </c>
      <c r="G592" s="7">
        <f>(F592/DataSheet!$C$12*100)</f>
        <v/>
      </c>
      <c r="H592" s="4">
        <f>K592/I592</f>
        <v/>
      </c>
      <c r="I592" s="4">
        <f>(J592/L592)*100</f>
        <v/>
      </c>
      <c r="J592" s="7">
        <f>L592/O592</f>
        <v/>
      </c>
      <c r="K592" s="21" t="n">
        <v>6.746</v>
      </c>
      <c r="L592" s="21" t="n">
        <v>23707.9</v>
      </c>
      <c r="M592" s="21" t="n">
        <v>3.54</v>
      </c>
      <c r="N592" s="4">
        <f>K592-I592</f>
        <v/>
      </c>
      <c r="O592" s="21" t="n">
        <v>21.84</v>
      </c>
      <c r="P592" s="21" t="n">
        <v>4.684</v>
      </c>
      <c r="Q592" s="7">
        <f>K592-P592</f>
        <v/>
      </c>
      <c r="R592" s="21" t="n">
        <v>108.378</v>
      </c>
      <c r="S592" s="4">
        <f>(O592*T592)</f>
        <v/>
      </c>
      <c r="T592" s="12" t="n">
        <v>6.6</v>
      </c>
      <c r="U592" s="21" t="n">
        <v>21060.8</v>
      </c>
      <c r="V592" s="21" t="n">
        <v>43.14</v>
      </c>
      <c r="W592" s="4">
        <f>U592/V592</f>
        <v/>
      </c>
      <c r="X592" s="4">
        <f>(W592/U592)*100</f>
        <v/>
      </c>
      <c r="Y592" s="21" t="n">
        <v>17702.55</v>
      </c>
      <c r="Z592" s="23" t="n">
        <v>34.3</v>
      </c>
      <c r="AA592" s="4">
        <f>Y592/Z592</f>
        <v/>
      </c>
      <c r="AB592" s="4">
        <f>(AA592/Y592)*100</f>
        <v/>
      </c>
    </row>
    <row r="593">
      <c r="A593" s="5" t="n">
        <v>657</v>
      </c>
      <c r="B593" s="45" t="n">
        <v>45665</v>
      </c>
      <c r="C593" s="21" t="n">
        <v>44115075.89</v>
      </c>
      <c r="D593" s="4">
        <f>C593/E593</f>
        <v/>
      </c>
      <c r="E593" s="21" t="n">
        <v>85.917</v>
      </c>
      <c r="F593" s="4">
        <f>D593/100000</f>
        <v/>
      </c>
      <c r="G593" s="7">
        <f>(F593/DataSheet!$C$12*100)</f>
        <v/>
      </c>
      <c r="H593" s="4">
        <f>K593/I593</f>
        <v/>
      </c>
      <c r="I593" s="4">
        <f>(J593/L593)*100</f>
        <v/>
      </c>
      <c r="J593" s="7">
        <f>L593/O593</f>
        <v/>
      </c>
      <c r="K593" s="21" t="n">
        <v>6.767</v>
      </c>
      <c r="L593" s="21" t="n">
        <v>23688.95</v>
      </c>
      <c r="M593" s="21" t="n">
        <v>3.53</v>
      </c>
      <c r="N593" s="4">
        <f>K593-I593</f>
        <v/>
      </c>
      <c r="O593" s="21" t="n">
        <v>21.83</v>
      </c>
      <c r="P593" s="21" t="n">
        <v>4.692</v>
      </c>
      <c r="Q593" s="7">
        <f>K593-P593</f>
        <v/>
      </c>
      <c r="R593" s="21" t="n">
        <v>108.926</v>
      </c>
      <c r="S593" s="4">
        <f>(O593*T593)</f>
        <v/>
      </c>
      <c r="T593" s="12" t="n">
        <v>6.58</v>
      </c>
      <c r="U593" s="21" t="n">
        <v>20840.3</v>
      </c>
      <c r="V593" s="21" t="n">
        <v>42.69</v>
      </c>
      <c r="W593" s="4">
        <f>U593/V593</f>
        <v/>
      </c>
      <c r="X593" s="4">
        <f>(W593/U593)*100</f>
        <v/>
      </c>
      <c r="Y593" s="21" t="n">
        <v>17457.9</v>
      </c>
      <c r="Z593" s="23" t="n">
        <v>33.82</v>
      </c>
      <c r="AA593" s="4">
        <f>Y593/Z593</f>
        <v/>
      </c>
      <c r="AB593" s="4">
        <f>(AA593/Y593)*100</f>
        <v/>
      </c>
    </row>
    <row r="594">
      <c r="A594" s="5" t="n">
        <v>658</v>
      </c>
      <c r="B594" s="45" t="n">
        <v>45666</v>
      </c>
      <c r="C594" s="21" t="n">
        <v>43700335.27</v>
      </c>
      <c r="D594" s="4">
        <f>C594/E594</f>
        <v/>
      </c>
      <c r="E594" s="21" t="n">
        <v>85.89</v>
      </c>
      <c r="F594" s="4">
        <f>D594/100000</f>
        <v/>
      </c>
      <c r="G594" s="7">
        <f>(F594/DataSheet!$C$12*100)</f>
        <v/>
      </c>
      <c r="H594" s="4">
        <f>K594/I594</f>
        <v/>
      </c>
      <c r="I594" s="4">
        <f>(J594/L594)*100</f>
        <v/>
      </c>
      <c r="J594" s="7">
        <f>L594/O594</f>
        <v/>
      </c>
      <c r="K594" s="21" t="n">
        <v>6.764</v>
      </c>
      <c r="L594" s="21" t="n">
        <v>23526.5</v>
      </c>
      <c r="M594" s="21" t="n">
        <v>3.51</v>
      </c>
      <c r="N594" s="4">
        <f>K594-I594</f>
        <v/>
      </c>
      <c r="O594" s="21" t="n">
        <v>21.68</v>
      </c>
      <c r="P594" s="21" t="n">
        <v>4.688</v>
      </c>
      <c r="Q594" s="7">
        <f>K594-P594</f>
        <v/>
      </c>
      <c r="R594" s="21" t="n">
        <v>109.004</v>
      </c>
      <c r="S594" s="4">
        <f>(O594*T594)</f>
        <v/>
      </c>
      <c r="T594" s="12" t="n">
        <v>6.61</v>
      </c>
      <c r="U594" s="21" t="n">
        <v>20674.25</v>
      </c>
      <c r="V594" s="21" t="n">
        <v>42.35</v>
      </c>
      <c r="W594" s="4">
        <f>U594/V594</f>
        <v/>
      </c>
      <c r="X594" s="4">
        <f>(W594/U594)*100</f>
        <v/>
      </c>
      <c r="Y594" s="21" t="n">
        <v>17254.35</v>
      </c>
      <c r="Z594" s="23" t="n">
        <v>33.43</v>
      </c>
      <c r="AA594" s="4">
        <f>Y594/Z594</f>
        <v/>
      </c>
      <c r="AB594" s="4">
        <f>(AA594/Y594)*100</f>
        <v/>
      </c>
    </row>
    <row r="595">
      <c r="A595" s="5" t="n">
        <v>659</v>
      </c>
      <c r="B595" s="45" t="n">
        <v>45667</v>
      </c>
      <c r="C595" s="21" t="n">
        <v>43116659.15</v>
      </c>
      <c r="D595" s="4">
        <f>C595/E595</f>
        <v/>
      </c>
      <c r="E595" s="21" t="n">
        <v>86.16500000000001</v>
      </c>
      <c r="F595" s="4">
        <f>D595/100000</f>
        <v/>
      </c>
      <c r="G595" s="7">
        <f>(F595/DataSheet!$C$12*100)</f>
        <v/>
      </c>
      <c r="H595" s="4">
        <f>K595/I595</f>
        <v/>
      </c>
      <c r="I595" s="4">
        <f>(J595/L595)*100</f>
        <v/>
      </c>
      <c r="J595" s="7">
        <f>L595/O595</f>
        <v/>
      </c>
      <c r="K595" s="21" t="n">
        <v>6.769</v>
      </c>
      <c r="L595" s="21" t="n">
        <v>23431.5</v>
      </c>
      <c r="M595" s="21" t="n">
        <v>3.49</v>
      </c>
      <c r="N595" s="4">
        <f>K595-I595</f>
        <v/>
      </c>
      <c r="O595" s="21" t="n">
        <v>21.59</v>
      </c>
      <c r="P595" s="21" t="n">
        <v>4.762</v>
      </c>
      <c r="Q595" s="7">
        <f>K595-P595</f>
        <v/>
      </c>
      <c r="R595" s="21" t="n">
        <v>109.487</v>
      </c>
      <c r="S595" s="4">
        <f>(O595*T595)</f>
        <v/>
      </c>
      <c r="T595" s="12" t="n">
        <v>6.61</v>
      </c>
      <c r="U595" s="21" t="n">
        <v>20252.95</v>
      </c>
      <c r="V595" s="21" t="n">
        <v>41.48</v>
      </c>
      <c r="W595" s="4">
        <f>U595/V595</f>
        <v/>
      </c>
      <c r="X595" s="4">
        <f>(W595/U595)*100</f>
        <v/>
      </c>
      <c r="Y595" s="21" t="n">
        <v>16833.4</v>
      </c>
      <c r="Z595" s="23" t="n">
        <v>32.61</v>
      </c>
      <c r="AA595" s="4">
        <f>Y595/Z595</f>
        <v/>
      </c>
      <c r="AB595" s="4">
        <f>(AA595/Y595)*100</f>
        <v/>
      </c>
    </row>
    <row r="596">
      <c r="A596" s="5" t="n">
        <v>660</v>
      </c>
      <c r="B596" s="45" t="n">
        <v>45670</v>
      </c>
      <c r="C596" s="21" t="n">
        <v>41829587.58</v>
      </c>
      <c r="D596" s="4">
        <f>C596/E596</f>
        <v/>
      </c>
      <c r="E596" s="21" t="n">
        <v>86.646</v>
      </c>
      <c r="F596" s="4">
        <f>D596/100000</f>
        <v/>
      </c>
      <c r="G596" s="7">
        <f>(F596/DataSheet!$C$12*100)</f>
        <v/>
      </c>
      <c r="H596" s="4">
        <f>K596/I596</f>
        <v/>
      </c>
      <c r="I596" s="4">
        <f>(J596/L596)*100</f>
        <v/>
      </c>
      <c r="J596" s="7">
        <f>L596/O596</f>
        <v/>
      </c>
      <c r="K596" s="21" t="n">
        <v>6.843</v>
      </c>
      <c r="L596" s="21" t="n">
        <v>23085.95</v>
      </c>
      <c r="M596" s="21" t="n">
        <v>3.44</v>
      </c>
      <c r="N596" s="4">
        <f>K596-I596</f>
        <v/>
      </c>
      <c r="O596" s="21" t="n">
        <v>21.25</v>
      </c>
      <c r="P596" s="21" t="n">
        <v>4.789</v>
      </c>
      <c r="Q596" s="7">
        <f>K596-P596</f>
        <v/>
      </c>
      <c r="R596" s="21" t="n">
        <v>109.812</v>
      </c>
      <c r="S596" s="4">
        <f>(O596*T596)</f>
        <v/>
      </c>
      <c r="T596" s="12" t="n">
        <v>6.61</v>
      </c>
      <c r="U596" s="21" t="n">
        <v>19458.3</v>
      </c>
      <c r="V596" s="21" t="n">
        <v>39.86</v>
      </c>
      <c r="W596" s="4">
        <f>U596/V596</f>
        <v/>
      </c>
      <c r="X596" s="4">
        <f>(W596/U596)*100</f>
        <v/>
      </c>
      <c r="Y596" s="21" t="n">
        <v>16159.9</v>
      </c>
      <c r="Z596" s="23" t="n">
        <v>31.31</v>
      </c>
      <c r="AA596" s="4">
        <f>Y596/Z596</f>
        <v/>
      </c>
      <c r="AB596" s="4">
        <f>(AA596/Y596)*100</f>
        <v/>
      </c>
    </row>
    <row r="597">
      <c r="A597" s="5" t="n">
        <v>661</v>
      </c>
      <c r="B597" s="45" t="n">
        <v>45671</v>
      </c>
      <c r="C597" s="21" t="n">
        <v>42461600.23</v>
      </c>
      <c r="D597" s="4">
        <f>C597/E597</f>
        <v/>
      </c>
      <c r="E597" s="21" t="n">
        <v>86.52500000000001</v>
      </c>
      <c r="F597" s="4">
        <f>D597/100000</f>
        <v/>
      </c>
      <c r="G597" s="7">
        <f>(F597/DataSheet!$C$12*100)</f>
        <v/>
      </c>
      <c r="H597" s="4">
        <f>K597/I597</f>
        <v/>
      </c>
      <c r="I597" s="4">
        <f>(J597/L597)*100</f>
        <v/>
      </c>
      <c r="J597" s="7">
        <f>L597/O597</f>
        <v/>
      </c>
      <c r="K597" s="21" t="n">
        <v>6.829</v>
      </c>
      <c r="L597" s="21" t="n">
        <v>23176.05</v>
      </c>
      <c r="M597" s="21" t="n">
        <v>3.46</v>
      </c>
      <c r="N597" s="4">
        <f>K597-I597</f>
        <v/>
      </c>
      <c r="O597" s="21" t="n">
        <v>21.34</v>
      </c>
      <c r="P597" s="21" t="n">
        <v>4.792</v>
      </c>
      <c r="Q597" s="7">
        <f>K597-P597</f>
        <v/>
      </c>
      <c r="R597" s="21" t="n">
        <v>109.11</v>
      </c>
      <c r="S597" s="4">
        <f>(O597*T597)</f>
        <v/>
      </c>
      <c r="T597" s="12" t="n">
        <v>6.62</v>
      </c>
      <c r="U597" s="21" t="n">
        <v>19883.35</v>
      </c>
      <c r="V597" s="21" t="n">
        <v>40.72</v>
      </c>
      <c r="W597" s="4">
        <f>U597/V597</f>
        <v/>
      </c>
      <c r="X597" s="4">
        <f>(W597/U597)*100</f>
        <v/>
      </c>
      <c r="Y597" s="21" t="n">
        <v>16422.75</v>
      </c>
      <c r="Z597" s="23" t="n">
        <v>31.84</v>
      </c>
      <c r="AA597" s="4">
        <f>Y597/Z597</f>
        <v/>
      </c>
      <c r="AB597" s="4">
        <f>(AA597/Y597)*100</f>
        <v/>
      </c>
    </row>
    <row r="598">
      <c r="A598" s="5" t="n">
        <v>662</v>
      </c>
      <c r="B598" s="45" t="n">
        <v>45672</v>
      </c>
      <c r="C598" s="21" t="n">
        <v>42573736.84</v>
      </c>
      <c r="D598" s="4">
        <f>C598/E598</f>
        <v/>
      </c>
      <c r="E598" s="21" t="n">
        <v>86.38</v>
      </c>
      <c r="F598" s="4">
        <f>D598/100000</f>
        <v/>
      </c>
      <c r="G598" s="7">
        <f>(F598/DataSheet!$C$12*100)</f>
        <v/>
      </c>
      <c r="H598" s="4">
        <f>K598/I598</f>
        <v/>
      </c>
      <c r="I598" s="4">
        <f>(J598/L598)*100</f>
        <v/>
      </c>
      <c r="J598" s="7">
        <f>L598/O598</f>
        <v/>
      </c>
      <c r="K598" s="21" t="n">
        <v>6.813</v>
      </c>
      <c r="L598" s="21" t="n">
        <v>23213.2</v>
      </c>
      <c r="M598" s="21" t="n">
        <v>3.46</v>
      </c>
      <c r="N598" s="4">
        <f>K598-I598</f>
        <v/>
      </c>
      <c r="O598" s="21" t="n">
        <v>21.37</v>
      </c>
      <c r="P598" s="21" t="n">
        <v>4.654</v>
      </c>
      <c r="Q598" s="7">
        <f>K598-P598</f>
        <v/>
      </c>
      <c r="R598" s="21" t="n">
        <v>108.916</v>
      </c>
      <c r="S598" s="4">
        <f>(O598*T598)</f>
        <v/>
      </c>
      <c r="T598" s="12" t="n">
        <v>6.6</v>
      </c>
      <c r="U598" s="21" t="n">
        <v>19955.4</v>
      </c>
      <c r="V598" s="21" t="n">
        <v>40.86</v>
      </c>
      <c r="W598" s="4">
        <f>U598/V598</f>
        <v/>
      </c>
      <c r="X598" s="4">
        <f>(W598/U598)*100</f>
        <v/>
      </c>
      <c r="Y598" s="21" t="n">
        <v>16508.9</v>
      </c>
      <c r="Z598" s="23" t="n">
        <v>31.98</v>
      </c>
      <c r="AA598" s="4">
        <f>Y598/Z598</f>
        <v/>
      </c>
      <c r="AB598" s="4">
        <f>(AA598/Y598)*100</f>
        <v/>
      </c>
    </row>
    <row r="599">
      <c r="A599" s="5" t="n">
        <v>663</v>
      </c>
      <c r="B599" s="45" t="n">
        <v>45673</v>
      </c>
      <c r="C599" s="21" t="n">
        <v>42980829.6</v>
      </c>
      <c r="D599" s="4">
        <f>C599/E599</f>
        <v/>
      </c>
      <c r="E599" s="21" t="n">
        <v>86.56999999999999</v>
      </c>
      <c r="F599" s="4">
        <f>D599/100000</f>
        <v/>
      </c>
      <c r="G599" s="7">
        <f>(F599/DataSheet!$C$12*100)</f>
        <v/>
      </c>
      <c r="H599" s="4">
        <f>K599/I599</f>
        <v/>
      </c>
      <c r="I599" s="4">
        <f>(J599/L599)*100</f>
        <v/>
      </c>
      <c r="J599" s="7">
        <f>L599/O599</f>
        <v/>
      </c>
      <c r="K599" s="21" t="n">
        <v>6.754</v>
      </c>
      <c r="L599" s="21" t="n">
        <v>23311.8</v>
      </c>
      <c r="M599" s="21" t="n">
        <v>3.48</v>
      </c>
      <c r="N599" s="4">
        <f>K599-I599</f>
        <v/>
      </c>
      <c r="O599" s="21" t="n">
        <v>21.46</v>
      </c>
      <c r="P599" s="21" t="n">
        <v>4.611</v>
      </c>
      <c r="Q599" s="7">
        <f>K599-P599</f>
        <v/>
      </c>
      <c r="R599" s="21" t="n">
        <v>108.817</v>
      </c>
      <c r="S599" s="4">
        <f>(O599*T599)</f>
        <v/>
      </c>
      <c r="T599" s="12" t="n">
        <v>6.59</v>
      </c>
      <c r="U599" s="21" t="n">
        <v>20172.65</v>
      </c>
      <c r="V599" s="21" t="n">
        <v>41.27</v>
      </c>
      <c r="W599" s="4">
        <f>U599/V599</f>
        <v/>
      </c>
      <c r="X599" s="4">
        <f>(W599/U599)*100</f>
        <v/>
      </c>
      <c r="Y599" s="21" t="n">
        <v>16707.9</v>
      </c>
      <c r="Z599" s="23" t="n">
        <v>32.68</v>
      </c>
      <c r="AA599" s="4">
        <f>Y599/Z599</f>
        <v/>
      </c>
      <c r="AB599" s="4">
        <f>(AA599/Y599)*100</f>
        <v/>
      </c>
    </row>
    <row r="600">
      <c r="A600" s="5" t="n">
        <v>664</v>
      </c>
      <c r="B600" s="45" t="n">
        <v>45674</v>
      </c>
      <c r="C600" s="21" t="n">
        <v>43014635.25</v>
      </c>
      <c r="D600" s="4">
        <f>C600/E600</f>
        <v/>
      </c>
      <c r="E600" s="21" t="n">
        <v>86.571</v>
      </c>
      <c r="F600" s="4">
        <f>D600/100000</f>
        <v/>
      </c>
      <c r="G600" s="7">
        <f>(F600/DataSheet!$C$12*100)</f>
        <v/>
      </c>
      <c r="H600" s="4">
        <f>K600/I600</f>
        <v/>
      </c>
      <c r="I600" s="4">
        <f>(J600/L600)*100</f>
        <v/>
      </c>
      <c r="J600" s="7">
        <f>L600/O600</f>
        <v/>
      </c>
      <c r="K600" s="21" t="n">
        <v>6.774</v>
      </c>
      <c r="L600" s="21" t="n">
        <v>23203.2</v>
      </c>
      <c r="M600" s="21" t="n">
        <v>3.46</v>
      </c>
      <c r="N600" s="4">
        <f>K600-I600</f>
        <v/>
      </c>
      <c r="O600" s="21" t="n">
        <v>21.36</v>
      </c>
      <c r="P600" s="21" t="n">
        <v>4.622</v>
      </c>
      <c r="Q600" s="7">
        <f>K600-P600</f>
        <v/>
      </c>
      <c r="R600" s="21" t="n">
        <v>109.203</v>
      </c>
      <c r="S600" s="4">
        <f>(O600*T600)</f>
        <v/>
      </c>
      <c r="T600" s="12" t="n">
        <v>6.61</v>
      </c>
      <c r="U600" s="21" t="n">
        <v>20195.9</v>
      </c>
      <c r="V600" s="21" t="n">
        <v>41.28</v>
      </c>
      <c r="W600" s="4">
        <f>U600/V600</f>
        <v/>
      </c>
      <c r="X600" s="4">
        <f>(W600/U600)*100</f>
        <v/>
      </c>
      <c r="Y600" s="21" t="n">
        <v>16700.5</v>
      </c>
      <c r="Z600" s="23" t="n">
        <v>32.69</v>
      </c>
      <c r="AA600" s="4">
        <f>Y600/Z600</f>
        <v/>
      </c>
      <c r="AB600" s="4">
        <f>(AA600/Y600)*100</f>
        <v/>
      </c>
    </row>
    <row r="601">
      <c r="A601" s="5" t="n">
        <v>665</v>
      </c>
      <c r="B601" s="45" t="n">
        <v>45677</v>
      </c>
      <c r="C601" s="21" t="n">
        <v>43290177.42</v>
      </c>
      <c r="D601" s="4">
        <f>C601/E601</f>
        <v/>
      </c>
      <c r="E601" s="21" t="n">
        <v>86.209</v>
      </c>
      <c r="F601" s="4">
        <f>D601/100000</f>
        <v/>
      </c>
      <c r="G601" s="7">
        <f>(F601/DataSheet!$C$12*100)</f>
        <v/>
      </c>
      <c r="H601" s="4">
        <f>K601/I601</f>
        <v/>
      </c>
      <c r="I601" s="4">
        <f>(J601/L601)*100</f>
        <v/>
      </c>
      <c r="J601" s="7">
        <f>L601/O601</f>
        <v/>
      </c>
      <c r="K601" s="21" t="n">
        <v>6.763</v>
      </c>
      <c r="L601" s="21" t="n">
        <v>23344.75</v>
      </c>
      <c r="M601" s="21" t="n">
        <v>3.48</v>
      </c>
      <c r="N601" s="4">
        <f>K601-I601</f>
        <v/>
      </c>
      <c r="O601" s="21" t="n">
        <v>21.4</v>
      </c>
      <c r="P601" s="21" t="n">
        <v>4.622</v>
      </c>
      <c r="Q601" s="7">
        <f>K601-P601</f>
        <v/>
      </c>
      <c r="R601" s="21" t="n">
        <v>109.203</v>
      </c>
      <c r="S601" s="4">
        <f>(O601*T601)</f>
        <v/>
      </c>
      <c r="T601" s="12" t="n">
        <v>6.6</v>
      </c>
      <c r="U601" s="21" t="n">
        <v>20350.9</v>
      </c>
      <c r="V601" s="21" t="n">
        <v>41.63</v>
      </c>
      <c r="W601" s="4">
        <f>U601/V601</f>
        <v/>
      </c>
      <c r="X601" s="4">
        <f>(W601/U601)*100</f>
        <v/>
      </c>
      <c r="Y601" s="21" t="n">
        <v>16841.4</v>
      </c>
      <c r="Z601" s="23" t="n">
        <v>32.94</v>
      </c>
      <c r="AA601" s="4">
        <f>Y601/Z601</f>
        <v/>
      </c>
      <c r="AB601" s="4">
        <f>(AA601/Y601)*100</f>
        <v/>
      </c>
    </row>
    <row r="602">
      <c r="A602" s="5" t="n">
        <v>666</v>
      </c>
      <c r="B602" s="45" t="n">
        <v>45678</v>
      </c>
      <c r="C602" s="21" t="n">
        <v>42550839.77</v>
      </c>
      <c r="D602" s="4">
        <f>C602/E602</f>
        <v/>
      </c>
      <c r="E602" s="21" t="n">
        <v>86.452</v>
      </c>
      <c r="F602" s="4">
        <f>D602/100000</f>
        <v/>
      </c>
      <c r="G602" s="7">
        <f>(F602/DataSheet!$C$12*100)</f>
        <v/>
      </c>
      <c r="H602" s="4">
        <f>K602/I602</f>
        <v/>
      </c>
      <c r="I602" s="4">
        <f>(J602/L602)*100</f>
        <v/>
      </c>
      <c r="J602" s="7">
        <f>L602/O602</f>
        <v/>
      </c>
      <c r="K602" s="21" t="n">
        <v>6.734</v>
      </c>
      <c r="L602" s="21" t="n">
        <v>23024.65</v>
      </c>
      <c r="M602" s="21" t="n">
        <v>3.43</v>
      </c>
      <c r="N602" s="4">
        <f>K602-I602</f>
        <v/>
      </c>
      <c r="O602" s="21" t="n">
        <v>21.07</v>
      </c>
      <c r="P602" s="21" t="n">
        <v>4.572</v>
      </c>
      <c r="Q602" s="7">
        <f>K602-P602</f>
        <v/>
      </c>
      <c r="R602" s="21" t="n">
        <v>107.861</v>
      </c>
      <c r="S602" s="4">
        <f>(O602*T602)</f>
        <v/>
      </c>
      <c r="T602" s="12" t="n">
        <v>6.6</v>
      </c>
      <c r="U602" s="21" t="n">
        <v>19946.3</v>
      </c>
      <c r="V602" s="21" t="n">
        <v>40.75</v>
      </c>
      <c r="W602" s="4">
        <f>U602/V602</f>
        <v/>
      </c>
      <c r="X602" s="4">
        <f>(W602/U602)*100</f>
        <v/>
      </c>
      <c r="Y602" s="21" t="n">
        <v>16484.1</v>
      </c>
      <c r="Z602" s="23" t="n">
        <v>32.41</v>
      </c>
      <c r="AA602" s="4">
        <f>Y602/Z602</f>
        <v/>
      </c>
      <c r="AB602" s="4">
        <f>(AA602/Y602)*100</f>
        <v/>
      </c>
    </row>
    <row r="603">
      <c r="A603" s="5" t="n">
        <v>667</v>
      </c>
      <c r="B603" s="45" t="n">
        <v>45679</v>
      </c>
      <c r="C603" s="21" t="n">
        <v>42326048.54</v>
      </c>
      <c r="D603" s="4">
        <f>C603/E603</f>
        <v/>
      </c>
      <c r="E603" s="21" t="n">
        <v>86.45</v>
      </c>
      <c r="F603" s="4">
        <f>D603/100000</f>
        <v/>
      </c>
      <c r="G603" s="7">
        <f>(F603/DataSheet!$C$12*100)</f>
        <v/>
      </c>
      <c r="H603" s="4">
        <f>K603/I603</f>
        <v/>
      </c>
      <c r="I603" s="4">
        <f>(J603/L603)*100</f>
        <v/>
      </c>
      <c r="J603" s="7">
        <f>L603/O603</f>
        <v/>
      </c>
      <c r="K603" s="21" t="n">
        <v>6.719</v>
      </c>
      <c r="L603" s="21" t="n">
        <v>23155.35</v>
      </c>
      <c r="M603" s="21" t="n">
        <v>3.45</v>
      </c>
      <c r="N603" s="4">
        <f>K603-I603</f>
        <v/>
      </c>
      <c r="O603" s="21" t="n">
        <v>21.19</v>
      </c>
      <c r="P603" s="21" t="n">
        <v>4.612</v>
      </c>
      <c r="Q603" s="7">
        <f>K603-P603</f>
        <v/>
      </c>
      <c r="R603" s="21" t="n">
        <v>107.962</v>
      </c>
      <c r="S603" s="4">
        <f>(O603*T603)</f>
        <v/>
      </c>
      <c r="T603" s="12" t="n">
        <v>6.6</v>
      </c>
      <c r="U603" s="21" t="n">
        <v>19696.9</v>
      </c>
      <c r="V603" s="21" t="n">
        <v>40.15</v>
      </c>
      <c r="W603" s="4">
        <f>U603/V603</f>
        <v/>
      </c>
      <c r="X603" s="4">
        <f>(W603/U603)*100</f>
        <v/>
      </c>
      <c r="Y603" s="21" t="n">
        <v>16220.85</v>
      </c>
      <c r="Z603" s="23" t="n">
        <v>31.8</v>
      </c>
      <c r="AA603" s="4">
        <f>Y603/Z603</f>
        <v/>
      </c>
      <c r="AB603" s="4">
        <f>(AA603/Y603)*100</f>
        <v/>
      </c>
    </row>
    <row r="604">
      <c r="A604" s="5" t="n">
        <v>668</v>
      </c>
      <c r="B604" s="45" t="n">
        <v>45680</v>
      </c>
      <c r="C604" s="21" t="n">
        <v>42599475.15</v>
      </c>
      <c r="D604" s="4">
        <f>C604/E604</f>
        <v/>
      </c>
      <c r="E604" s="21" t="n">
        <v>86.43000000000001</v>
      </c>
      <c r="F604" s="4">
        <f>D604/100000</f>
        <v/>
      </c>
      <c r="G604" s="7">
        <f>(F604/DataSheet!$C$12*100)</f>
        <v/>
      </c>
      <c r="H604" s="4">
        <f>K604/I604</f>
        <v/>
      </c>
      <c r="I604" s="4">
        <f>(J604/L604)*100</f>
        <v/>
      </c>
      <c r="J604" s="7">
        <f>L604/O604</f>
        <v/>
      </c>
      <c r="K604" s="21" t="n">
        <v>6.736</v>
      </c>
      <c r="L604" s="21" t="n">
        <v>23205.35</v>
      </c>
      <c r="M604" s="21" t="n">
        <v>3.46</v>
      </c>
      <c r="N604" s="4">
        <f>K604-I604</f>
        <v/>
      </c>
      <c r="O604" s="21" t="n">
        <v>21.24</v>
      </c>
      <c r="P604" s="21" t="n">
        <v>4.645</v>
      </c>
      <c r="Q604" s="7">
        <f>K604-P604</f>
        <v/>
      </c>
      <c r="R604" s="21" t="n">
        <v>107.863</v>
      </c>
      <c r="S604" s="4">
        <f>(O604*T604)</f>
        <v/>
      </c>
      <c r="T604" s="12" t="n">
        <v>6.62</v>
      </c>
      <c r="U604" s="21" t="n">
        <v>20047.95</v>
      </c>
      <c r="V604" s="21" t="n">
        <v>40.9</v>
      </c>
      <c r="W604" s="4">
        <f>U604/V604</f>
        <v/>
      </c>
      <c r="X604" s="4">
        <f>(W604/U604)*100</f>
        <v/>
      </c>
      <c r="Y604" s="21" t="n">
        <v>16352.8</v>
      </c>
      <c r="Z604" s="23" t="n">
        <v>31.91</v>
      </c>
      <c r="AA604" s="4">
        <f>Y604/Z604</f>
        <v/>
      </c>
      <c r="AB604" s="4">
        <f>(AA604/Y604)*100</f>
        <v/>
      </c>
    </row>
    <row r="605">
      <c r="A605" s="5" t="n">
        <v>669</v>
      </c>
      <c r="B605" s="45" t="n">
        <v>45681</v>
      </c>
      <c r="C605" s="21" t="n">
        <v>42086673.46</v>
      </c>
      <c r="D605" s="4">
        <f>C605/E605</f>
        <v/>
      </c>
      <c r="E605" s="21" t="n">
        <v>86.2</v>
      </c>
      <c r="F605" s="4">
        <f>D605/100000</f>
        <v/>
      </c>
      <c r="G605" s="7">
        <f>(F605/DataSheet!$C$12*100)</f>
        <v/>
      </c>
      <c r="H605" s="4">
        <f>K605/I605</f>
        <v/>
      </c>
      <c r="I605" s="4">
        <f>(J605/L605)*100</f>
        <v/>
      </c>
      <c r="J605" s="7">
        <f>L605/O605</f>
        <v/>
      </c>
      <c r="K605" s="21" t="n">
        <v>6.72</v>
      </c>
      <c r="L605" s="21" t="n">
        <v>23092.2</v>
      </c>
      <c r="M605" s="21" t="n">
        <v>3.44</v>
      </c>
      <c r="N605" s="4">
        <f>K605-I605</f>
        <v/>
      </c>
      <c r="O605" s="21" t="n">
        <v>21.09</v>
      </c>
      <c r="P605" s="21" t="n">
        <v>4.616</v>
      </c>
      <c r="Q605" s="7">
        <f>K605-P605</f>
        <v/>
      </c>
      <c r="R605" s="21" t="n">
        <v>107.245</v>
      </c>
      <c r="S605" s="4">
        <f>(O605*T605)</f>
        <v/>
      </c>
      <c r="T605" s="12" t="n">
        <v>6.61</v>
      </c>
      <c r="U605" s="21" t="n">
        <v>19708.95</v>
      </c>
      <c r="V605" s="21" t="n">
        <v>40.1</v>
      </c>
      <c r="W605" s="4">
        <f>U605/V605</f>
        <v/>
      </c>
      <c r="X605" s="4">
        <f>(W605/U605)*100</f>
        <v/>
      </c>
      <c r="Y605" s="21" t="n">
        <v>16001.7</v>
      </c>
      <c r="Z605" s="23" t="n">
        <v>31.23</v>
      </c>
      <c r="AA605" s="4">
        <f>Y605/Z605</f>
        <v/>
      </c>
      <c r="AB605" s="4">
        <f>(AA605/Y605)*100</f>
        <v/>
      </c>
    </row>
    <row r="606">
      <c r="A606" s="5" t="n">
        <v>670</v>
      </c>
      <c r="B606" s="45" t="n">
        <v>45684</v>
      </c>
      <c r="C606" s="21" t="n">
        <v>41137032.54</v>
      </c>
      <c r="D606" s="4">
        <f>C606/E606</f>
        <v/>
      </c>
      <c r="E606" s="21" t="n">
        <v>86.34999999999999</v>
      </c>
      <c r="F606" s="4">
        <f>D606/100000</f>
        <v/>
      </c>
      <c r="G606" s="7">
        <f>(F606/DataSheet!$C$12*100)</f>
        <v/>
      </c>
      <c r="H606" s="4">
        <f>K606/I606</f>
        <v/>
      </c>
      <c r="I606" s="4">
        <f>(J606/L606)*100</f>
        <v/>
      </c>
      <c r="J606" s="7">
        <f>L606/O606</f>
        <v/>
      </c>
      <c r="K606" s="21" t="n">
        <v>6.675</v>
      </c>
      <c r="L606" s="21" t="n">
        <v>22829.15</v>
      </c>
      <c r="M606" s="21" t="n">
        <v>3.4</v>
      </c>
      <c r="N606" s="4">
        <f>K606-I606</f>
        <v/>
      </c>
      <c r="O606" s="21" t="n">
        <v>20.85</v>
      </c>
      <c r="P606" s="21" t="n">
        <v>4.533</v>
      </c>
      <c r="Q606" s="7">
        <f>K606-P606</f>
        <v/>
      </c>
      <c r="R606" s="21" t="n">
        <v>107.16</v>
      </c>
      <c r="S606" s="4">
        <f>(O606*T606)</f>
        <v/>
      </c>
      <c r="T606" s="12" t="n">
        <v>6.61</v>
      </c>
      <c r="U606" s="21" t="n">
        <v>19152.1</v>
      </c>
      <c r="V606" s="21" t="n">
        <v>38</v>
      </c>
      <c r="W606" s="4">
        <f>U606/V606</f>
        <v/>
      </c>
      <c r="X606" s="4">
        <f>(W606/U606)*100</f>
        <v/>
      </c>
      <c r="Y606" s="21" t="n">
        <v>15416.3</v>
      </c>
      <c r="Z606" s="23" t="n">
        <v>30.05</v>
      </c>
      <c r="AA606" s="4">
        <f>Y606/Z606</f>
        <v/>
      </c>
      <c r="AB606" s="4">
        <f>(AA606/Y606)*100</f>
        <v/>
      </c>
    </row>
    <row r="607">
      <c r="A607" s="5" t="n">
        <v>671</v>
      </c>
      <c r="B607" s="45" t="n">
        <v>45685</v>
      </c>
      <c r="C607" s="21" t="n">
        <v>40991703.99</v>
      </c>
      <c r="D607" s="4">
        <f>C607/E607</f>
        <v/>
      </c>
      <c r="E607" s="21" t="n">
        <v>86.584</v>
      </c>
      <c r="F607" s="4">
        <f>D607/100000</f>
        <v/>
      </c>
      <c r="G607" s="7">
        <f>(F607/DataSheet!$C$12*100)</f>
        <v/>
      </c>
      <c r="H607" s="4">
        <f>K607/I607</f>
        <v/>
      </c>
      <c r="I607" s="4">
        <f>(J607/L607)*100</f>
        <v/>
      </c>
      <c r="J607" s="7">
        <f>L607/O607</f>
        <v/>
      </c>
      <c r="K607" s="21" t="n">
        <v>6.681</v>
      </c>
      <c r="L607" s="21" t="n">
        <v>22957.25</v>
      </c>
      <c r="M607" s="21" t="n">
        <v>3.42</v>
      </c>
      <c r="N607" s="4">
        <f>K607-I607</f>
        <v/>
      </c>
      <c r="O607" s="21" t="n">
        <v>20.85</v>
      </c>
      <c r="P607" s="21" t="n">
        <v>4.533</v>
      </c>
      <c r="Q607" s="7">
        <f>K607-P607</f>
        <v/>
      </c>
      <c r="R607" s="21" t="n">
        <v>107.683</v>
      </c>
      <c r="S607" s="4">
        <f>(O607*T607)</f>
        <v/>
      </c>
      <c r="T607" s="12" t="n">
        <v>6.58</v>
      </c>
      <c r="U607" s="21" t="n">
        <v>19019.1</v>
      </c>
      <c r="V607" s="21" t="n">
        <v>37.49</v>
      </c>
      <c r="W607" s="4">
        <f>U607/V607</f>
        <v/>
      </c>
      <c r="X607" s="4">
        <f>(W607/U607)*100</f>
        <v/>
      </c>
      <c r="Y607" s="21" t="n">
        <v>15135.1</v>
      </c>
      <c r="Z607" s="23" t="n">
        <v>29.55</v>
      </c>
      <c r="AA607" s="4">
        <f>Y607/Z607</f>
        <v/>
      </c>
      <c r="AB607" s="4">
        <f>(AA607/Y607)*100</f>
        <v/>
      </c>
    </row>
    <row r="608">
      <c r="A608" s="5" t="n">
        <v>672</v>
      </c>
      <c r="B608" s="45" t="n">
        <v>45686</v>
      </c>
      <c r="C608" s="21" t="n">
        <v>41765954</v>
      </c>
      <c r="D608" s="4">
        <f>C608/E608</f>
        <v/>
      </c>
      <c r="E608" s="21" t="n">
        <v>86.63</v>
      </c>
      <c r="F608" s="4">
        <f>D608/100000</f>
        <v/>
      </c>
      <c r="G608" s="7">
        <f>(F608/DataSheet!$C$12*100)</f>
        <v/>
      </c>
      <c r="H608" s="4">
        <f>K608/I608</f>
        <v/>
      </c>
      <c r="I608" s="4">
        <f>(J608/L608)*100</f>
        <v/>
      </c>
      <c r="J608" s="7">
        <f>L608/O608</f>
        <v/>
      </c>
      <c r="K608" s="21" t="n">
        <v>6.683</v>
      </c>
      <c r="L608" s="21" t="n">
        <v>23163.1</v>
      </c>
      <c r="M608" s="21" t="n">
        <v>3.45</v>
      </c>
      <c r="N608" s="4">
        <f>K608-I608</f>
        <v/>
      </c>
      <c r="O608" s="21" t="n">
        <v>21.06</v>
      </c>
      <c r="P608" s="21" t="n">
        <v>4.533</v>
      </c>
      <c r="Q608" s="7">
        <f>K608-P608</f>
        <v/>
      </c>
      <c r="R608" s="21" t="n">
        <v>107.809</v>
      </c>
      <c r="S608" s="4">
        <f>(O608*T608)</f>
        <v/>
      </c>
      <c r="T608" s="12" t="n">
        <v>6.59</v>
      </c>
      <c r="U608" s="21" t="n">
        <v>19481.75</v>
      </c>
      <c r="V608" s="21" t="n">
        <v>38.45</v>
      </c>
      <c r="W608" s="4">
        <f>U608/V608</f>
        <v/>
      </c>
      <c r="X608" s="4">
        <f>(W608/U608)*100</f>
        <v/>
      </c>
      <c r="Y608" s="21" t="n">
        <v>15613.35</v>
      </c>
      <c r="Z608" s="23" t="n">
        <v>29.79</v>
      </c>
      <c r="AA608" s="4">
        <f>Y608/Z608</f>
        <v/>
      </c>
      <c r="AB608" s="4">
        <f>(AA608/Y608)*100</f>
        <v/>
      </c>
    </row>
    <row r="609">
      <c r="A609" s="5" t="n">
        <v>673</v>
      </c>
      <c r="B609" s="45" t="n">
        <v>45687</v>
      </c>
      <c r="C609" s="21" t="n">
        <v>41874921.63</v>
      </c>
      <c r="D609" s="4">
        <f>C609/E609</f>
        <v/>
      </c>
      <c r="E609" s="21" t="n">
        <v>86.545</v>
      </c>
      <c r="F609" s="4">
        <f>D609/100000</f>
        <v/>
      </c>
      <c r="G609" s="7">
        <f>(F609/DataSheet!$C$12*100)</f>
        <v/>
      </c>
      <c r="H609" s="4">
        <f>K609/I609</f>
        <v/>
      </c>
      <c r="I609" s="4">
        <f>(J609/L609)*100</f>
        <v/>
      </c>
      <c r="J609" s="7">
        <f>L609/O609</f>
        <v/>
      </c>
      <c r="K609" s="21" t="n">
        <v>6.678</v>
      </c>
      <c r="L609" s="21" t="n">
        <v>23249.5</v>
      </c>
      <c r="M609" s="21" t="n">
        <v>3.47</v>
      </c>
      <c r="N609" s="4">
        <f>K609-I609</f>
        <v/>
      </c>
      <c r="O609" s="21" t="n">
        <v>21.12</v>
      </c>
      <c r="P609" s="21" t="n">
        <v>4.519</v>
      </c>
      <c r="Q609" s="7">
        <f>K609-P609</f>
        <v/>
      </c>
      <c r="R609" s="21" t="n">
        <v>107.631</v>
      </c>
      <c r="S609" s="4">
        <f>(O609*T609)</f>
        <v/>
      </c>
      <c r="T609" s="12" t="n">
        <v>6.58</v>
      </c>
      <c r="U609" s="21" t="n">
        <v>19514.25</v>
      </c>
      <c r="V609" s="21" t="n">
        <v>38.26</v>
      </c>
      <c r="W609" s="4">
        <f>U609/V609</f>
        <v/>
      </c>
      <c r="X609" s="4">
        <f>(W609/U609)*100</f>
        <v/>
      </c>
      <c r="Y609" s="21" t="n">
        <v>15585.95</v>
      </c>
      <c r="Z609" s="23" t="n">
        <v>29.79</v>
      </c>
      <c r="AA609" s="4">
        <f>Y609/Z609</f>
        <v/>
      </c>
      <c r="AB609" s="4">
        <f>(AA609/Y609)*100</f>
        <v/>
      </c>
    </row>
    <row r="610">
      <c r="A610" s="5" t="n">
        <v>674</v>
      </c>
      <c r="B610" s="45" t="n">
        <v>45688</v>
      </c>
      <c r="C610" s="21" t="n">
        <v>42499887.21</v>
      </c>
      <c r="D610" s="4">
        <f>C610/E610</f>
        <v/>
      </c>
      <c r="E610" s="21" t="n">
        <v>86.536</v>
      </c>
      <c r="F610" s="4">
        <f>D610/100000</f>
        <v/>
      </c>
      <c r="G610" s="7">
        <f>(F610/DataSheet!$C$12*100)</f>
        <v/>
      </c>
      <c r="H610" s="4">
        <f>K610/I610</f>
        <v/>
      </c>
      <c r="I610" s="4">
        <f>(J610/L610)*100</f>
        <v/>
      </c>
      <c r="J610" s="7">
        <f>L610/O610</f>
        <v/>
      </c>
      <c r="K610" s="21" t="n">
        <v>6.694</v>
      </c>
      <c r="L610" s="21" t="n">
        <v>23508.4</v>
      </c>
      <c r="M610" s="21" t="n">
        <v>3.51</v>
      </c>
      <c r="N610" s="4">
        <f>K610-I610</f>
        <v/>
      </c>
      <c r="O610" s="21" t="n">
        <v>21.33</v>
      </c>
      <c r="P610" s="21" t="n">
        <v>4.542</v>
      </c>
      <c r="Q610" s="7">
        <f>K610-P610</f>
        <v/>
      </c>
      <c r="R610" s="21" t="n">
        <v>108.217</v>
      </c>
      <c r="S610" s="4">
        <f>(O610*T610)</f>
        <v/>
      </c>
      <c r="T610" s="12" t="n">
        <v>6.57</v>
      </c>
      <c r="U610" s="21" t="n">
        <v>19850.95</v>
      </c>
      <c r="V610" s="21" t="n">
        <v>38.76</v>
      </c>
      <c r="W610" s="4">
        <f>U610/V610</f>
        <v/>
      </c>
      <c r="X610" s="4">
        <f>(W610/U610)*100</f>
        <v/>
      </c>
      <c r="Y610" s="21" t="n">
        <v>15851.05</v>
      </c>
      <c r="Z610" s="23" t="n">
        <v>30.18</v>
      </c>
      <c r="AA610" s="4">
        <f>Y610/Z610</f>
        <v/>
      </c>
      <c r="AB610" s="4">
        <f>(AA610/Y610)*100</f>
        <v/>
      </c>
    </row>
    <row r="611">
      <c r="A611" s="5" t="n">
        <v>675</v>
      </c>
      <c r="B611" s="45" t="n">
        <v>45689</v>
      </c>
      <c r="C611" s="21" t="n">
        <v>42480380.82</v>
      </c>
      <c r="D611" s="4">
        <f>C611/E611</f>
        <v/>
      </c>
      <c r="E611" s="21" t="n">
        <v>86.536</v>
      </c>
      <c r="F611" s="4">
        <f>D611/100000</f>
        <v/>
      </c>
      <c r="G611" s="7">
        <f>(F611/DataSheet!$C$12*100)</f>
        <v/>
      </c>
      <c r="H611" s="4">
        <f>K611/I611</f>
        <v/>
      </c>
      <c r="I611" s="4">
        <f>(J611/L611)*100</f>
        <v/>
      </c>
      <c r="J611" s="7">
        <f>L611/O611</f>
        <v/>
      </c>
      <c r="K611" s="21" t="n">
        <v>6.694</v>
      </c>
      <c r="L611" s="21" t="n">
        <v>23482.15</v>
      </c>
      <c r="M611" s="21" t="n">
        <v>3.5</v>
      </c>
      <c r="N611" s="4">
        <f>K611-I611</f>
        <v/>
      </c>
      <c r="O611" s="21" t="n">
        <v>21.29</v>
      </c>
      <c r="P611" s="21" t="n">
        <v>4.542</v>
      </c>
      <c r="Q611" s="7">
        <f>K611-P611</f>
        <v/>
      </c>
      <c r="R611" s="21" t="n">
        <v>108.217</v>
      </c>
      <c r="S611" s="4">
        <f>(O611*T611)</f>
        <v/>
      </c>
      <c r="T611" s="12" t="n">
        <v>6.57</v>
      </c>
      <c r="U611" s="21" t="n">
        <v>19773.4</v>
      </c>
      <c r="V611" s="21" t="n">
        <v>38.69</v>
      </c>
      <c r="W611" s="4">
        <f>U611/V611</f>
        <v/>
      </c>
      <c r="X611" s="4">
        <f>(W611/U611)*100</f>
        <v/>
      </c>
      <c r="Y611" s="21" t="n">
        <v>15955.45</v>
      </c>
      <c r="Z611" s="23" t="n">
        <v>30.39</v>
      </c>
      <c r="AA611" s="4">
        <f>Y611/Z611</f>
        <v/>
      </c>
      <c r="AB611" s="4">
        <f>(AA611/Y611)*100</f>
        <v/>
      </c>
    </row>
    <row r="612">
      <c r="A612" s="5" t="n">
        <v>676</v>
      </c>
      <c r="B612" s="45" t="n">
        <v>45691</v>
      </c>
      <c r="C612" s="21" t="n">
        <v>42031299.6</v>
      </c>
      <c r="D612" s="4">
        <f>C612/E612</f>
        <v/>
      </c>
      <c r="E612" s="21" t="n">
        <v>86.95999999999999</v>
      </c>
      <c r="F612" s="4">
        <f>D612/100000</f>
        <v/>
      </c>
      <c r="G612" s="7">
        <f>(F612/DataSheet!$C$12*100)</f>
        <v/>
      </c>
      <c r="H612" s="4">
        <f>K612/I612</f>
        <v/>
      </c>
      <c r="I612" s="4">
        <f>(J612/L612)*100</f>
        <v/>
      </c>
      <c r="J612" s="7">
        <f>L612/O612</f>
        <v/>
      </c>
      <c r="K612" s="21" t="n">
        <v>6.67</v>
      </c>
      <c r="L612" s="21" t="n">
        <v>23361.05</v>
      </c>
      <c r="M612" s="21" t="n">
        <v>3.48</v>
      </c>
      <c r="N612" s="4">
        <f>K612-I612</f>
        <v/>
      </c>
      <c r="O612" s="21" t="n">
        <v>21.22</v>
      </c>
      <c r="P612" s="21" t="n">
        <v>4.551</v>
      </c>
      <c r="Q612" s="7">
        <f>K612-P612</f>
        <v/>
      </c>
      <c r="R612" s="21" t="n">
        <v>108.877</v>
      </c>
      <c r="S612" s="4">
        <f>(O612*T612)</f>
        <v/>
      </c>
      <c r="T612" s="12" t="n">
        <v>6.57</v>
      </c>
      <c r="U612" s="21" t="n">
        <v>19579.2</v>
      </c>
      <c r="V612" s="21" t="n">
        <v>36.77</v>
      </c>
      <c r="W612" s="4">
        <f>U612/V612</f>
        <v/>
      </c>
      <c r="X612" s="4">
        <f>(W612/U612)*100</f>
        <v/>
      </c>
      <c r="Y612" s="21" t="n">
        <v>15677.65</v>
      </c>
      <c r="Z612" s="23" t="n">
        <v>29.88</v>
      </c>
      <c r="AA612" s="4">
        <f>Y612/Z612</f>
        <v/>
      </c>
      <c r="AB612" s="4">
        <f>(AA612/Y612)*100</f>
        <v/>
      </c>
    </row>
    <row r="613">
      <c r="A613" s="5" t="n">
        <v>677</v>
      </c>
      <c r="B613" s="45" t="n">
        <v>45692</v>
      </c>
      <c r="C613" s="21" t="n">
        <v>42623721.47</v>
      </c>
      <c r="D613" s="4">
        <f>C613/E613</f>
        <v/>
      </c>
      <c r="E613" s="21" t="n">
        <v>87.06999999999999</v>
      </c>
      <c r="F613" s="4">
        <f>D613/100000</f>
        <v/>
      </c>
      <c r="G613" s="7">
        <f>(F613/DataSheet!$C$12*100)</f>
        <v/>
      </c>
      <c r="H613" s="4">
        <f>K613/I613</f>
        <v/>
      </c>
      <c r="I613" s="4">
        <f>(J613/L613)*100</f>
        <v/>
      </c>
      <c r="J613" s="7">
        <f>L613/O613</f>
        <v/>
      </c>
      <c r="K613" s="21" t="n">
        <v>6.672</v>
      </c>
      <c r="L613" s="21" t="n">
        <v>23739.25</v>
      </c>
      <c r="M613" s="21" t="n">
        <v>3.54</v>
      </c>
      <c r="N613" s="4">
        <f>K613-I613</f>
        <v/>
      </c>
      <c r="O613" s="21" t="n">
        <v>21.56</v>
      </c>
      <c r="P613" s="21" t="n">
        <v>4.512</v>
      </c>
      <c r="Q613" s="7">
        <f>K613-P613</f>
        <v/>
      </c>
      <c r="R613" s="21" t="n">
        <v>107.823</v>
      </c>
      <c r="S613" s="4">
        <f>(O613*T613)</f>
        <v/>
      </c>
      <c r="T613" s="12" t="n">
        <v>6.54</v>
      </c>
      <c r="U613" s="21" t="n">
        <v>19849.15</v>
      </c>
      <c r="V613" s="21" t="n">
        <v>37.29</v>
      </c>
      <c r="W613" s="4">
        <f>U613/V613</f>
        <v/>
      </c>
      <c r="X613" s="4">
        <f>(W613/U613)*100</f>
        <v/>
      </c>
      <c r="Y613" s="21" t="n">
        <v>15855.95</v>
      </c>
      <c r="Z613" s="23" t="n">
        <v>30.24</v>
      </c>
      <c r="AA613" s="4">
        <f>Y613/Z613</f>
        <v/>
      </c>
      <c r="AB613" s="4">
        <f>(AA613/Y613)*100</f>
        <v/>
      </c>
    </row>
    <row r="614">
      <c r="A614" s="5" t="n">
        <v>678</v>
      </c>
      <c r="B614" s="45" t="n">
        <v>45693</v>
      </c>
      <c r="C614" s="21" t="n">
        <v>42803611.66</v>
      </c>
      <c r="D614" s="4">
        <f>C614/E614</f>
        <v/>
      </c>
      <c r="E614" s="21" t="n">
        <v>87.336</v>
      </c>
      <c r="F614" s="4">
        <f>D614/100000</f>
        <v/>
      </c>
      <c r="G614" s="7">
        <f>(F614/DataSheet!$C$12*100)</f>
        <v/>
      </c>
      <c r="H614" s="4">
        <f>K614/I614</f>
        <v/>
      </c>
      <c r="I614" s="4">
        <f>(J614/L614)*100</f>
        <v/>
      </c>
      <c r="J614" s="7">
        <f>L614/O614</f>
        <v/>
      </c>
      <c r="K614" s="21" t="n">
        <v>6.664</v>
      </c>
      <c r="L614" s="21" t="n">
        <v>23696.3</v>
      </c>
      <c r="M614" s="21" t="n">
        <v>3.53</v>
      </c>
      <c r="N614" s="4">
        <f>K614-I614</f>
        <v/>
      </c>
      <c r="O614" s="21" t="n">
        <v>21.52</v>
      </c>
      <c r="P614" s="21" t="n">
        <v>4.423</v>
      </c>
      <c r="Q614" s="7">
        <f>K614-P614</f>
        <v/>
      </c>
      <c r="R614" s="21" t="n">
        <v>107.442</v>
      </c>
      <c r="S614" s="4">
        <f>(O614*T614)</f>
        <v/>
      </c>
      <c r="T614" s="12" t="n">
        <v>6.48</v>
      </c>
      <c r="U614" s="21" t="n">
        <v>19995.7</v>
      </c>
      <c r="V614" s="21" t="n">
        <v>37.58</v>
      </c>
      <c r="W614" s="4">
        <f>U614/V614</f>
        <v/>
      </c>
      <c r="X614" s="4">
        <f>(W614/U614)*100</f>
        <v/>
      </c>
      <c r="Y614" s="21" t="n">
        <v>16104.4</v>
      </c>
      <c r="Z614" s="23" t="n">
        <v>30.7</v>
      </c>
      <c r="AA614" s="4">
        <f>Y614/Z614</f>
        <v/>
      </c>
      <c r="AB614" s="4">
        <f>(AA614/Y614)*100</f>
        <v/>
      </c>
    </row>
    <row r="615">
      <c r="A615" s="5" t="n">
        <v>679</v>
      </c>
      <c r="B615" s="45" t="n">
        <v>45694</v>
      </c>
      <c r="C615" s="21" t="n">
        <v>42580986.85</v>
      </c>
      <c r="D615" s="4">
        <f>C615/E615</f>
        <v/>
      </c>
      <c r="E615" s="21" t="n">
        <v>87.58</v>
      </c>
      <c r="F615" s="4">
        <f>D615/100000</f>
        <v/>
      </c>
      <c r="G615" s="7">
        <f>(F615/DataSheet!$C$12*100)</f>
        <v/>
      </c>
      <c r="H615" s="4">
        <f>K615/I615</f>
        <v/>
      </c>
      <c r="I615" s="4">
        <f>(J615/L615)*100</f>
        <v/>
      </c>
      <c r="J615" s="7">
        <f>L615/O615</f>
        <v/>
      </c>
      <c r="K615" s="21" t="n">
        <v>6.657</v>
      </c>
      <c r="L615" s="21" t="n">
        <v>23603.35</v>
      </c>
      <c r="M615" s="21" t="n">
        <v>3.52</v>
      </c>
      <c r="N615" s="4">
        <f>K615-I615</f>
        <v/>
      </c>
      <c r="O615" s="21" t="n">
        <v>21.45</v>
      </c>
      <c r="P615" s="21" t="n">
        <v>4.435</v>
      </c>
      <c r="Q615" s="7">
        <f>K615-P615</f>
        <v/>
      </c>
      <c r="R615" s="21" t="n">
        <v>107.547</v>
      </c>
      <c r="S615" s="4">
        <f>(O615*T615)</f>
        <v/>
      </c>
      <c r="T615" s="12" t="n">
        <v>6.45</v>
      </c>
      <c r="U615" s="21" t="n">
        <v>19793.75</v>
      </c>
      <c r="V615" s="21" t="n">
        <v>37.21</v>
      </c>
      <c r="W615" s="4">
        <f>U615/V615</f>
        <v/>
      </c>
      <c r="X615" s="4">
        <f>(W615/U615)*100</f>
        <v/>
      </c>
      <c r="Y615" s="21" t="n">
        <v>16098.65</v>
      </c>
      <c r="Z615" s="23" t="n">
        <v>30.81</v>
      </c>
      <c r="AA615" s="4">
        <f>Y615/Z615</f>
        <v/>
      </c>
      <c r="AB615" s="4">
        <f>(AA615/Y615)*100</f>
        <v/>
      </c>
    </row>
    <row r="616">
      <c r="A616" s="5" t="n">
        <v>680</v>
      </c>
      <c r="B616" s="45" t="n">
        <v>45695</v>
      </c>
      <c r="C616" s="21" t="n">
        <v>42478048.55</v>
      </c>
      <c r="D616" s="4">
        <f>C616/E616</f>
        <v/>
      </c>
      <c r="E616" s="21" t="n">
        <v>87.627</v>
      </c>
      <c r="F616" s="4">
        <f>D616/100000</f>
        <v/>
      </c>
      <c r="G616" s="7">
        <f>(F616/DataSheet!$C$12*100)</f>
        <v/>
      </c>
      <c r="H616" s="4">
        <f>K616/I616</f>
        <v/>
      </c>
      <c r="I616" s="4">
        <f>(J616/L616)*100</f>
        <v/>
      </c>
      <c r="J616" s="7">
        <f>L616/O616</f>
        <v/>
      </c>
      <c r="K616" s="21" t="n">
        <v>6.699</v>
      </c>
      <c r="L616" s="21" t="n">
        <v>23559.95</v>
      </c>
      <c r="M616" s="21" t="n">
        <v>3.51</v>
      </c>
      <c r="N616" s="4">
        <f>K616-I616</f>
        <v/>
      </c>
      <c r="O616" s="21" t="n">
        <v>21.41</v>
      </c>
      <c r="P616" s="21" t="n">
        <v>4.494</v>
      </c>
      <c r="Q616" s="7">
        <f>K616-P616</f>
        <v/>
      </c>
      <c r="R616" s="21" t="n">
        <v>107.928</v>
      </c>
      <c r="S616" s="4">
        <f>(O616*T616)</f>
        <v/>
      </c>
      <c r="T616" s="12" t="n">
        <v>6.42</v>
      </c>
      <c r="U616" s="21" t="n">
        <v>19819.6</v>
      </c>
      <c r="V616" s="21" t="n">
        <v>37.22</v>
      </c>
      <c r="W616" s="4">
        <f>U616/V616</f>
        <v/>
      </c>
      <c r="X616" s="4">
        <f>(W616/U616)*100</f>
        <v/>
      </c>
      <c r="Y616" s="21" t="n">
        <v>16035.75</v>
      </c>
      <c r="Z616" s="23" t="n">
        <v>30.51</v>
      </c>
      <c r="AA616" s="4">
        <f>Y616/Z616</f>
        <v/>
      </c>
      <c r="AB616" s="4">
        <f>(AA616/Y616)*100</f>
        <v/>
      </c>
    </row>
    <row r="617">
      <c r="A617" s="5" t="n">
        <v>681</v>
      </c>
      <c r="B617" s="45" t="n">
        <v>45698</v>
      </c>
      <c r="C617" s="21" t="n">
        <v>41856905.69</v>
      </c>
      <c r="D617" s="4">
        <f>C617/E617</f>
        <v/>
      </c>
      <c r="E617" s="21" t="n">
        <v>87.46899999999999</v>
      </c>
      <c r="F617" s="4">
        <f>D617/100000</f>
        <v/>
      </c>
      <c r="G617" s="7">
        <f>(F617/DataSheet!$C$12*100)</f>
        <v/>
      </c>
      <c r="H617" s="4">
        <f>K617/I617</f>
        <v/>
      </c>
      <c r="I617" s="4">
        <f>(J617/L617)*100</f>
        <v/>
      </c>
      <c r="J617" s="7">
        <f>L617/O617</f>
        <v/>
      </c>
      <c r="K617" s="21" t="n">
        <v>6.713</v>
      </c>
      <c r="L617" s="21" t="n">
        <v>23381.6</v>
      </c>
      <c r="M617" s="21" t="n">
        <v>3.48</v>
      </c>
      <c r="N617" s="4">
        <f>K617-I617</f>
        <v/>
      </c>
      <c r="O617" s="21" t="n">
        <v>20.82</v>
      </c>
      <c r="P617" s="21" t="n">
        <v>4.5</v>
      </c>
      <c r="Q617" s="7">
        <f>K617-P617</f>
        <v/>
      </c>
      <c r="R617" s="21" t="n">
        <v>108.193</v>
      </c>
      <c r="S617" s="4">
        <f>(O617*T617)</f>
        <v/>
      </c>
      <c r="T617" s="12" t="n">
        <v>6.45</v>
      </c>
      <c r="U617" s="21" t="n">
        <v>19406.95</v>
      </c>
      <c r="V617" s="21" t="n">
        <v>36.44</v>
      </c>
      <c r="W617" s="4">
        <f>U617/V617</f>
        <v/>
      </c>
      <c r="X617" s="4">
        <f>(W617/U617)*100</f>
        <v/>
      </c>
      <c r="Y617" s="21" t="n">
        <v>15693.6</v>
      </c>
      <c r="Z617" s="23" t="n">
        <v>29.8</v>
      </c>
      <c r="AA617" s="4">
        <f>Y617/Z617</f>
        <v/>
      </c>
      <c r="AB617" s="4">
        <f>(AA617/Y617)*100</f>
        <v/>
      </c>
    </row>
    <row r="618">
      <c r="A618" s="5" t="n">
        <v>682</v>
      </c>
      <c r="B618" s="45" t="n">
        <v>45699</v>
      </c>
      <c r="C618" s="21" t="n">
        <v>40926436.14</v>
      </c>
      <c r="D618" s="4">
        <f>C618/E618</f>
        <v/>
      </c>
      <c r="E618" s="21" t="n">
        <v>86.789</v>
      </c>
      <c r="F618" s="4">
        <f>D618/100000</f>
        <v/>
      </c>
      <c r="G618" s="7">
        <f>(F618/DataSheet!$C$12*100)</f>
        <v/>
      </c>
      <c r="H618" s="4">
        <f>K618/I618</f>
        <v/>
      </c>
      <c r="I618" s="4">
        <f>(J618/L618)*100</f>
        <v/>
      </c>
      <c r="J618" s="7">
        <f>L618/O618</f>
        <v/>
      </c>
      <c r="K618" s="21" t="n">
        <v>6.697</v>
      </c>
      <c r="L618" s="21" t="n">
        <v>23071.8</v>
      </c>
      <c r="M618" s="21" t="n">
        <v>3.43</v>
      </c>
      <c r="N618" s="4">
        <f>K618-I618</f>
        <v/>
      </c>
      <c r="O618" s="21" t="n">
        <v>20.53</v>
      </c>
      <c r="P618" s="21" t="n">
        <v>4.536</v>
      </c>
      <c r="Q618" s="7">
        <f>K618-P618</f>
        <v/>
      </c>
      <c r="R618" s="21" t="n">
        <v>107.833</v>
      </c>
      <c r="S618" s="4">
        <f>(O618*T618)</f>
        <v/>
      </c>
      <c r="T618" s="12" t="n">
        <v>6.45</v>
      </c>
      <c r="U618" s="21" t="n">
        <v>18837</v>
      </c>
      <c r="V618" s="21" t="n">
        <v>35.48</v>
      </c>
      <c r="W618" s="4">
        <f>U618/V618</f>
        <v/>
      </c>
      <c r="X618" s="4">
        <f>(W618/U618)*100</f>
        <v/>
      </c>
      <c r="Y618" s="21" t="n">
        <v>15156.95</v>
      </c>
      <c r="Z618" s="23" t="n">
        <v>28.78</v>
      </c>
      <c r="AA618" s="4">
        <f>Y618/Z618</f>
        <v/>
      </c>
      <c r="AB618" s="4">
        <f>(AA618/Y618)*100</f>
        <v/>
      </c>
    </row>
    <row r="619">
      <c r="A619" s="5" t="n">
        <v>683</v>
      </c>
      <c r="B619" s="45" t="n">
        <v>45700</v>
      </c>
      <c r="C619" s="21" t="n">
        <v>40823480.15</v>
      </c>
      <c r="D619" s="4">
        <f>C619/E619</f>
        <v/>
      </c>
      <c r="E619" s="21" t="n">
        <v>86.90000000000001</v>
      </c>
      <c r="F619" s="4">
        <f>D619/100000</f>
        <v/>
      </c>
      <c r="G619" s="7">
        <f>(F619/DataSheet!$C$12*100)</f>
        <v/>
      </c>
      <c r="H619" s="4">
        <f>K619/I619</f>
        <v/>
      </c>
      <c r="I619" s="4">
        <f>(J619/L619)*100</f>
        <v/>
      </c>
      <c r="J619" s="7">
        <f>L619/O619</f>
        <v/>
      </c>
      <c r="K619" s="21" t="n">
        <v>6.697</v>
      </c>
      <c r="L619" s="21" t="n">
        <v>23045.25</v>
      </c>
      <c r="M619" s="21" t="n">
        <v>3.43</v>
      </c>
      <c r="N619" s="4">
        <f>K619-I619</f>
        <v/>
      </c>
      <c r="O619" s="21" t="n">
        <v>20.52</v>
      </c>
      <c r="P619" s="21" t="n">
        <v>4.625</v>
      </c>
      <c r="Q619" s="7">
        <f>K619-P619</f>
        <v/>
      </c>
      <c r="R619" s="21" t="n">
        <v>107.823</v>
      </c>
      <c r="S619" s="4">
        <f>(O619*T619)</f>
        <v/>
      </c>
      <c r="T619" s="12" t="n">
        <v>6.45</v>
      </c>
      <c r="U619" s="21" t="n">
        <v>18766.85</v>
      </c>
      <c r="V619" s="21" t="n">
        <v>35.33</v>
      </c>
      <c r="W619" s="4">
        <f>U619/V619</f>
        <v/>
      </c>
      <c r="X619" s="4">
        <f>(W619/U619)*100</f>
        <v/>
      </c>
      <c r="Y619" s="21" t="n">
        <v>15050.6</v>
      </c>
      <c r="Z619" s="23" t="n">
        <v>28.37</v>
      </c>
      <c r="AA619" s="4">
        <f>Y619/Z619</f>
        <v/>
      </c>
      <c r="AB619" s="4">
        <f>(AA619/Y619)*100</f>
        <v/>
      </c>
    </row>
    <row r="620">
      <c r="A620" s="5" t="n">
        <v>684</v>
      </c>
      <c r="B620" s="45" t="n">
        <v>45701</v>
      </c>
      <c r="C620" s="21" t="n">
        <v>40804909.25</v>
      </c>
      <c r="D620" s="4">
        <f>C620/E620</f>
        <v/>
      </c>
      <c r="E620" s="21" t="n">
        <v>86.69</v>
      </c>
      <c r="F620" s="4">
        <f>D620/100000</f>
        <v/>
      </c>
      <c r="G620" s="7">
        <f>(F620/DataSheet!$C$12*100)</f>
        <v/>
      </c>
      <c r="H620" s="4">
        <f>K620/I620</f>
        <v/>
      </c>
      <c r="I620" s="4">
        <f>(J620/L620)*100</f>
        <v/>
      </c>
      <c r="J620" s="7">
        <f>L620/O620</f>
        <v/>
      </c>
      <c r="K620" s="21" t="n">
        <v>6.712</v>
      </c>
      <c r="L620" s="21" t="n">
        <v>23031.4</v>
      </c>
      <c r="M620" s="21" t="n">
        <v>3.43</v>
      </c>
      <c r="N620" s="4">
        <f>K620-I620</f>
        <v/>
      </c>
      <c r="O620" s="21" t="n">
        <v>20.51</v>
      </c>
      <c r="P620" s="21" t="n">
        <v>4.532</v>
      </c>
      <c r="Q620" s="7">
        <f>K620-P620</f>
        <v/>
      </c>
      <c r="R620" s="21" t="n">
        <v>107.216</v>
      </c>
      <c r="S620" s="4">
        <f>(O620*T620)</f>
        <v/>
      </c>
      <c r="T620" s="12" t="n">
        <v>6.46</v>
      </c>
      <c r="U620" s="21" t="n">
        <v>18796.8</v>
      </c>
      <c r="V620" s="21" t="n">
        <v>35.37</v>
      </c>
      <c r="W620" s="4">
        <f>U620/V620</f>
        <v/>
      </c>
      <c r="X620" s="4">
        <f>(W620/U620)*100</f>
        <v/>
      </c>
      <c r="Y620" s="21" t="n">
        <v>14997.5</v>
      </c>
      <c r="Z620" s="23" t="n">
        <v>28.23</v>
      </c>
      <c r="AA620" s="4">
        <f>Y620/Z620</f>
        <v/>
      </c>
      <c r="AB620" s="4">
        <f>(AA620/Y620)*100</f>
        <v/>
      </c>
    </row>
    <row r="621">
      <c r="A621" s="5" t="n">
        <v>685</v>
      </c>
      <c r="B621" s="45" t="n">
        <v>45702</v>
      </c>
      <c r="C621" s="21" t="n">
        <v>40099281.11</v>
      </c>
      <c r="D621" s="4">
        <f>C621/E621</f>
        <v/>
      </c>
      <c r="E621" s="21" t="n">
        <v>86.62</v>
      </c>
      <c r="F621" s="4">
        <f>D621/100000</f>
        <v/>
      </c>
      <c r="G621" s="7">
        <f>(F621/DataSheet!$C$12*100)</f>
        <v/>
      </c>
      <c r="H621" s="4">
        <f>K621/I621</f>
        <v/>
      </c>
      <c r="I621" s="4">
        <f>(J621/L621)*100</f>
        <v/>
      </c>
      <c r="J621" s="7">
        <f>L621/O621</f>
        <v/>
      </c>
      <c r="K621" s="21" t="n">
        <v>6.705</v>
      </c>
      <c r="L621" s="21" t="n">
        <v>22929.25</v>
      </c>
      <c r="M621" s="21" t="n">
        <v>3.41</v>
      </c>
      <c r="N621" s="4">
        <f>K621-I621</f>
        <v/>
      </c>
      <c r="O621" s="21" t="n">
        <v>20.42</v>
      </c>
      <c r="P621" s="21" t="n">
        <v>4.477</v>
      </c>
      <c r="Q621" s="7">
        <f>K621-P621</f>
        <v/>
      </c>
      <c r="R621" s="21" t="n">
        <v>106.575</v>
      </c>
      <c r="S621" s="4">
        <f>(O621*T621)</f>
        <v/>
      </c>
      <c r="T621" s="12" t="n">
        <v>6.45</v>
      </c>
      <c r="U621" s="21" t="n">
        <v>18346.8</v>
      </c>
      <c r="V621" s="21" t="n">
        <v>34.41</v>
      </c>
      <c r="W621" s="4">
        <f>U621/V621</f>
        <v/>
      </c>
      <c r="X621" s="4">
        <f>(W621/U621)*100</f>
        <v/>
      </c>
      <c r="Y621" s="21" t="n">
        <v>14501.65</v>
      </c>
      <c r="Z621" s="23" t="n">
        <v>27.52</v>
      </c>
      <c r="AA621" s="4">
        <f>Y621/Z621</f>
        <v/>
      </c>
      <c r="AB621" s="4">
        <f>(AA621/Y621)*100</f>
        <v/>
      </c>
    </row>
    <row r="622">
      <c r="A622" s="5" t="n">
        <v>686</v>
      </c>
      <c r="B622" s="45" t="n">
        <v>45705</v>
      </c>
      <c r="C622" s="21" t="n">
        <v>40084756.53</v>
      </c>
      <c r="D622" s="4">
        <f>C622/E622</f>
        <v/>
      </c>
      <c r="E622" s="21" t="n">
        <v>86.809</v>
      </c>
      <c r="F622" s="4">
        <f>D622/100000</f>
        <v/>
      </c>
      <c r="G622" s="7">
        <f>(F622/DataSheet!$C$12*100)</f>
        <v/>
      </c>
      <c r="H622" s="4">
        <f>K622/I622</f>
        <v/>
      </c>
      <c r="I622" s="4">
        <f>(J622/L622)*100</f>
        <v/>
      </c>
      <c r="J622" s="7">
        <f>L622/O622</f>
        <v/>
      </c>
      <c r="K622" s="21" t="n">
        <v>6.692</v>
      </c>
      <c r="L622" s="21" t="n">
        <v>22959.5</v>
      </c>
      <c r="M622" s="21" t="n">
        <v>3.42</v>
      </c>
      <c r="N622" s="4">
        <f>K622-I622</f>
        <v/>
      </c>
      <c r="O622" s="21" t="n">
        <v>20.44</v>
      </c>
      <c r="P622" s="21" t="n">
        <v>4.477</v>
      </c>
      <c r="Q622" s="7">
        <f>K622-P622</f>
        <v/>
      </c>
      <c r="R622" s="21" t="n">
        <v>106.575</v>
      </c>
      <c r="S622" s="4">
        <f>(O622*T622)</f>
        <v/>
      </c>
      <c r="T622" s="12" t="n">
        <v>6.48</v>
      </c>
      <c r="U622" s="21" t="n">
        <v>18408.45</v>
      </c>
      <c r="V622" s="21" t="n">
        <v>34.52</v>
      </c>
      <c r="W622" s="4">
        <f>U622/V622</f>
        <v/>
      </c>
      <c r="X622" s="4">
        <f>(W622/U622)*100</f>
        <v/>
      </c>
      <c r="Y622" s="21" t="n">
        <v>14468.25</v>
      </c>
      <c r="Z622" s="23" t="n">
        <v>27.52</v>
      </c>
      <c r="AA622" s="4">
        <f>Y622/Z622</f>
        <v/>
      </c>
      <c r="AB622" s="4">
        <f>(AA622/Y622)*100</f>
        <v/>
      </c>
    </row>
    <row r="623">
      <c r="A623" s="5" t="n">
        <v>687</v>
      </c>
      <c r="B623" s="45" t="n">
        <v>45706</v>
      </c>
      <c r="C623" s="21" t="n">
        <v>39900574.92</v>
      </c>
      <c r="D623" s="4">
        <f>C623/E623</f>
        <v/>
      </c>
      <c r="E623" s="21" t="n">
        <v>86.867</v>
      </c>
      <c r="F623" s="4">
        <f>D623/100000</f>
        <v/>
      </c>
      <c r="G623" s="7">
        <f>(F623/DataSheet!$C$12*100)</f>
        <v/>
      </c>
      <c r="H623" s="4">
        <f>K623/I623</f>
        <v/>
      </c>
      <c r="I623" s="4">
        <f>(J623/L623)*100</f>
        <v/>
      </c>
      <c r="J623" s="7">
        <f>L623/O623</f>
        <v/>
      </c>
      <c r="K623" s="21" t="n">
        <v>6.682</v>
      </c>
      <c r="L623" s="21" t="n">
        <v>22945.3</v>
      </c>
      <c r="M623" s="21" t="n">
        <v>3.42</v>
      </c>
      <c r="N623" s="4">
        <f>K623-I623</f>
        <v/>
      </c>
      <c r="O623" s="21" t="n">
        <v>20.4</v>
      </c>
      <c r="P623" s="21" t="n">
        <v>4.551</v>
      </c>
      <c r="Q623" s="7">
        <f>K623-P623</f>
        <v/>
      </c>
      <c r="R623" s="21" t="n">
        <v>106.955</v>
      </c>
      <c r="S623" s="4">
        <f>(O623*T623)</f>
        <v/>
      </c>
      <c r="T623" s="12" t="n">
        <v>6.48</v>
      </c>
      <c r="U623" s="21" t="n">
        <v>18375.85</v>
      </c>
      <c r="V623" s="21" t="n">
        <v>34.48</v>
      </c>
      <c r="W623" s="4">
        <f>U623/V623</f>
        <v/>
      </c>
      <c r="X623" s="4">
        <f>(W623/U623)*100</f>
        <v/>
      </c>
      <c r="Y623" s="21" t="n">
        <v>14267.95</v>
      </c>
      <c r="Z623" s="23" t="n">
        <v>26.86</v>
      </c>
      <c r="AA623" s="4">
        <f>Y623/Z623</f>
        <v/>
      </c>
      <c r="AB623" s="4">
        <f>(AA623/Y623)*100</f>
        <v/>
      </c>
    </row>
    <row r="624">
      <c r="A624" s="5" t="n">
        <v>688</v>
      </c>
      <c r="B624" s="45" t="n">
        <v>45707</v>
      </c>
      <c r="C624" s="21" t="n">
        <v>40251018.95</v>
      </c>
      <c r="D624" s="4">
        <f>C624/E624</f>
        <v/>
      </c>
      <c r="E624" s="21" t="n">
        <v>86.89</v>
      </c>
      <c r="F624" s="4">
        <f>D624/100000</f>
        <v/>
      </c>
      <c r="G624" s="7">
        <f>(F624/DataSheet!$C$12*100)</f>
        <v/>
      </c>
      <c r="H624" s="4">
        <f>K624/I624</f>
        <v/>
      </c>
      <c r="I624" s="4">
        <f>(J624/L624)*100</f>
        <v/>
      </c>
      <c r="J624" s="7">
        <f>L624/O624</f>
        <v/>
      </c>
      <c r="K624" s="21" t="n">
        <v>6.682</v>
      </c>
      <c r="L624" s="21" t="n">
        <v>22932.9</v>
      </c>
      <c r="M624" s="21" t="n">
        <v>3.41</v>
      </c>
      <c r="N624" s="4">
        <f>K624-I624</f>
        <v/>
      </c>
      <c r="O624" s="21" t="n">
        <v>20.38</v>
      </c>
      <c r="P624" s="21" t="n">
        <v>4.534</v>
      </c>
      <c r="Q624" s="7">
        <f>K624-P624</f>
        <v/>
      </c>
      <c r="R624" s="21" t="n">
        <v>107.063</v>
      </c>
      <c r="S624" s="4">
        <f>(O624*T624)</f>
        <v/>
      </c>
      <c r="T624" s="12" t="n">
        <v>6.48</v>
      </c>
      <c r="U624" s="21" t="n">
        <v>18644.9</v>
      </c>
      <c r="V624" s="21" t="n">
        <v>35.12</v>
      </c>
      <c r="W624" s="4">
        <f>U624/V624</f>
        <v/>
      </c>
      <c r="X624" s="4">
        <f>(W624/U624)*100</f>
        <v/>
      </c>
      <c r="Y624" s="21" t="n">
        <v>14588.65</v>
      </c>
      <c r="Z624" s="23" t="n">
        <v>27.46</v>
      </c>
      <c r="AA624" s="4">
        <f>Y624/Z624</f>
        <v/>
      </c>
      <c r="AB624" s="4">
        <f>(AA624/Y624)*100</f>
        <v/>
      </c>
    </row>
    <row r="625">
      <c r="A625" s="5" t="n">
        <v>689</v>
      </c>
      <c r="B625" s="45" t="n">
        <v>45708</v>
      </c>
      <c r="C625" s="21" t="n">
        <v>40556203.22</v>
      </c>
      <c r="D625" s="4">
        <f>C625/E625</f>
        <v/>
      </c>
      <c r="E625" s="21" t="n">
        <v>86.56100000000001</v>
      </c>
      <c r="F625" s="4">
        <f>D625/100000</f>
        <v/>
      </c>
      <c r="G625" s="7">
        <f>(F625/DataSheet!$C$12*100)</f>
        <v/>
      </c>
      <c r="H625" s="4">
        <f>K625/I625</f>
        <v/>
      </c>
      <c r="I625" s="4">
        <f>(J625/L625)*100</f>
        <v/>
      </c>
      <c r="J625" s="7">
        <f>L625/O625</f>
        <v/>
      </c>
      <c r="K625" s="21" t="n">
        <v>6.703</v>
      </c>
      <c r="L625" s="21" t="n">
        <v>22913.15</v>
      </c>
      <c r="M625" s="21" t="n">
        <v>3.41</v>
      </c>
      <c r="N625" s="4">
        <f>K625-I625</f>
        <v/>
      </c>
      <c r="O625" s="21" t="n">
        <v>20.37</v>
      </c>
      <c r="P625" s="21" t="n">
        <v>4.506</v>
      </c>
      <c r="Q625" s="7">
        <f>K625-P625</f>
        <v/>
      </c>
      <c r="R625" s="21" t="n">
        <v>106.269</v>
      </c>
      <c r="S625" s="4">
        <f>(O625*T625)</f>
        <v/>
      </c>
      <c r="T625" s="12" t="n">
        <v>6.44</v>
      </c>
      <c r="U625" s="21" t="n">
        <v>18888.8</v>
      </c>
      <c r="V625" s="21" t="n">
        <v>35.58</v>
      </c>
      <c r="W625" s="4">
        <f>U625/V625</f>
        <v/>
      </c>
      <c r="X625" s="4">
        <f>(W625/U625)*100</f>
        <v/>
      </c>
      <c r="Y625" s="21" t="n">
        <v>14767.3</v>
      </c>
      <c r="Z625" s="23" t="n">
        <v>27.8</v>
      </c>
      <c r="AA625" s="4">
        <f>Y625/Z625</f>
        <v/>
      </c>
      <c r="AB625" s="4">
        <f>(AA625/Y625)*100</f>
        <v/>
      </c>
    </row>
    <row r="626">
      <c r="A626" s="5" t="n">
        <v>690</v>
      </c>
      <c r="B626" s="45" t="n">
        <v>45709</v>
      </c>
      <c r="C626" s="21" t="n">
        <v>40295043.35</v>
      </c>
      <c r="D626" s="4">
        <f>C626/E626</f>
        <v/>
      </c>
      <c r="E626" s="21" t="n">
        <v>86.572</v>
      </c>
      <c r="F626" s="4">
        <f>D626/100000</f>
        <v/>
      </c>
      <c r="G626" s="7">
        <f>(F626/DataSheet!$C$12*100)</f>
        <v/>
      </c>
      <c r="H626" s="4">
        <f>K626/I626</f>
        <v/>
      </c>
      <c r="I626" s="4">
        <f>(J626/L626)*100</f>
        <v/>
      </c>
      <c r="J626" s="7">
        <f>L626/O626</f>
        <v/>
      </c>
      <c r="K626" s="21" t="n">
        <v>6.708</v>
      </c>
      <c r="L626" s="21" t="n">
        <v>22795.9</v>
      </c>
      <c r="M626" s="21" t="n">
        <v>3.39</v>
      </c>
      <c r="N626" s="4">
        <f>K626-I626</f>
        <v/>
      </c>
      <c r="O626" s="21" t="n">
        <v>20.26</v>
      </c>
      <c r="P626" s="21" t="n">
        <v>4.43</v>
      </c>
      <c r="Q626" s="7">
        <f>K626-P626</f>
        <v/>
      </c>
      <c r="R626" s="21" t="n">
        <v>106.519</v>
      </c>
      <c r="S626" s="4">
        <f>(O626*T626)</f>
        <v/>
      </c>
      <c r="T626" s="12" t="n">
        <v>6.46</v>
      </c>
      <c r="U626" s="21" t="n">
        <v>18681.35</v>
      </c>
      <c r="V626" s="21" t="n">
        <v>35.19</v>
      </c>
      <c r="W626" s="4">
        <f>U626/V626</f>
        <v/>
      </c>
      <c r="X626" s="4">
        <f>(W626/U626)*100</f>
        <v/>
      </c>
      <c r="Y626" s="21" t="n">
        <v>14683.4</v>
      </c>
      <c r="Z626" s="23" t="n">
        <v>27.64</v>
      </c>
      <c r="AA626" s="4">
        <f>Y626/Z626</f>
        <v/>
      </c>
      <c r="AB626" s="4">
        <f>(AA626/Y626)*100</f>
        <v/>
      </c>
    </row>
    <row r="627">
      <c r="A627" s="5" t="n">
        <v>691</v>
      </c>
      <c r="B627" s="45" t="n">
        <v>45712</v>
      </c>
      <c r="C627" s="21" t="n">
        <v>39853380.65</v>
      </c>
      <c r="D627" s="4">
        <f>C627/E627</f>
        <v/>
      </c>
      <c r="E627" s="21" t="n">
        <v>86.66</v>
      </c>
      <c r="F627" s="4">
        <f>D627/100000</f>
        <v/>
      </c>
      <c r="G627" s="7">
        <f>(F627/DataSheet!$C$12*100)</f>
        <v/>
      </c>
      <c r="H627" s="4">
        <f>K627/I627</f>
        <v/>
      </c>
      <c r="I627" s="4">
        <f>(J627/L627)*100</f>
        <v/>
      </c>
      <c r="J627" s="7">
        <f>L627/O627</f>
        <v/>
      </c>
      <c r="K627" s="21" t="n">
        <v>6.7</v>
      </c>
      <c r="L627" s="21" t="n">
        <v>22553.35</v>
      </c>
      <c r="M627" s="21" t="n">
        <v>3.36</v>
      </c>
      <c r="N627" s="4">
        <f>K627-I627</f>
        <v/>
      </c>
      <c r="O627" s="21" t="n">
        <v>20.05</v>
      </c>
      <c r="P627" s="21" t="n">
        <v>4.399</v>
      </c>
      <c r="Q627" s="7">
        <f>K627-P627</f>
        <v/>
      </c>
      <c r="R627" s="21" t="n">
        <v>106.509</v>
      </c>
      <c r="S627" s="4">
        <f>(O627*T627)</f>
        <v/>
      </c>
      <c r="T627" s="12" t="n">
        <v>6.42</v>
      </c>
      <c r="U627" s="21" t="n">
        <v>18503.9</v>
      </c>
      <c r="V627" s="21" t="n">
        <v>34.85</v>
      </c>
      <c r="W627" s="4">
        <f>U627/V627</f>
        <v/>
      </c>
      <c r="X627" s="4">
        <f>(W627/U627)*100</f>
        <v/>
      </c>
      <c r="Y627" s="21" t="n">
        <v>14506.45</v>
      </c>
      <c r="Z627" s="23" t="n">
        <v>27.31</v>
      </c>
      <c r="AA627" s="4">
        <f>Y627/Z627</f>
        <v/>
      </c>
      <c r="AB627" s="4">
        <f>(AA627/Y627)*100</f>
        <v/>
      </c>
    </row>
    <row r="628">
      <c r="A628" s="5" t="n">
        <v>692</v>
      </c>
      <c r="B628" s="45" t="n">
        <v>45713</v>
      </c>
      <c r="C628" s="21" t="n">
        <v>39721225.36</v>
      </c>
      <c r="D628" s="4">
        <f>C628/E628</f>
        <v/>
      </c>
      <c r="E628" s="21" t="n">
        <v>87.13</v>
      </c>
      <c r="F628" s="4">
        <f>D628/100000</f>
        <v/>
      </c>
      <c r="G628" s="7">
        <f>(F628/DataSheet!$C$12*100)</f>
        <v/>
      </c>
      <c r="H628" s="4">
        <f>K628/I628</f>
        <v/>
      </c>
      <c r="I628" s="4">
        <f>(J628/L628)*100</f>
        <v/>
      </c>
      <c r="J628" s="7">
        <f>L628/O628</f>
        <v/>
      </c>
      <c r="K628" s="21" t="n">
        <v>6.706</v>
      </c>
      <c r="L628" s="21" t="n">
        <v>22547.55</v>
      </c>
      <c r="M628" s="21" t="n">
        <v>3.36</v>
      </c>
      <c r="N628" s="4">
        <f>K628-I628</f>
        <v/>
      </c>
      <c r="O628" s="21" t="n">
        <v>20.04</v>
      </c>
      <c r="P628" s="21" t="n">
        <v>4.297</v>
      </c>
      <c r="Q628" s="7">
        <f>K628-P628</f>
        <v/>
      </c>
      <c r="R628" s="21" t="n">
        <v>106.228</v>
      </c>
      <c r="S628" s="4">
        <f>(O628*T628)</f>
        <v/>
      </c>
      <c r="T628" s="12" t="n">
        <v>6.43</v>
      </c>
      <c r="U628" s="21" t="n">
        <v>18408.75</v>
      </c>
      <c r="V628" s="21" t="n">
        <v>34.67</v>
      </c>
      <c r="W628" s="4">
        <f>U628/V628</f>
        <v/>
      </c>
      <c r="X628" s="4">
        <f>(W628/U628)*100</f>
        <v/>
      </c>
      <c r="Y628" s="21" t="n">
        <v>14441.7</v>
      </c>
      <c r="Z628" s="23" t="n">
        <v>27.18</v>
      </c>
      <c r="AA628" s="4">
        <f>Y628/Z628</f>
        <v/>
      </c>
      <c r="AB628" s="4">
        <f>(AA628/Y628)*100</f>
        <v/>
      </c>
    </row>
    <row r="629">
      <c r="A629" s="5" t="n">
        <v>693</v>
      </c>
      <c r="B629" s="45" t="n">
        <v>45715</v>
      </c>
      <c r="C629" s="21" t="n">
        <v>39379355.46</v>
      </c>
      <c r="D629" s="4">
        <f>C629/E629</f>
        <v/>
      </c>
      <c r="E629" s="21" t="n">
        <v>87.33</v>
      </c>
      <c r="F629" s="4">
        <f>D629/100000</f>
        <v/>
      </c>
      <c r="G629" s="7">
        <f>(F629/DataSheet!$C$12*100)</f>
        <v/>
      </c>
      <c r="H629" s="4">
        <f>K629/I629</f>
        <v/>
      </c>
      <c r="I629" s="4">
        <f>(J629/L629)*100</f>
        <v/>
      </c>
      <c r="J629" s="7">
        <f>L629/O629</f>
        <v/>
      </c>
      <c r="K629" s="21" t="n">
        <v>6.71</v>
      </c>
      <c r="L629" s="21" t="n">
        <v>22545.05</v>
      </c>
      <c r="M629" s="21" t="n">
        <v>3.36</v>
      </c>
      <c r="N629" s="4">
        <f>K629-I629</f>
        <v/>
      </c>
      <c r="O629" s="21" t="n">
        <v>20.04</v>
      </c>
      <c r="P629" s="21" t="n">
        <v>4.265</v>
      </c>
      <c r="Q629" s="7">
        <f>K629-P629</f>
        <v/>
      </c>
      <c r="R629" s="21" t="n">
        <v>107.176</v>
      </c>
      <c r="S629" s="4">
        <f>(O629*T629)</f>
        <v/>
      </c>
      <c r="T629" s="12" t="n">
        <v>6.42</v>
      </c>
      <c r="U629" s="21" t="n">
        <v>18176.85</v>
      </c>
      <c r="V629" s="21" t="n">
        <v>34.24</v>
      </c>
      <c r="W629" s="4">
        <f>U629/V629</f>
        <v/>
      </c>
      <c r="X629" s="4">
        <f>(W629/U629)*100</f>
        <v/>
      </c>
      <c r="Y629" s="21" t="n">
        <v>14200.2</v>
      </c>
      <c r="Z629" s="23" t="n">
        <v>26.73</v>
      </c>
      <c r="AA629" s="4">
        <f>Y629/Z629</f>
        <v/>
      </c>
      <c r="AB629" s="4">
        <f>(AA629/Y629)*100</f>
        <v/>
      </c>
    </row>
    <row r="630">
      <c r="A630" s="5" t="n">
        <v>694</v>
      </c>
      <c r="B630" s="45" t="n">
        <v>45716</v>
      </c>
      <c r="C630" s="21" t="n">
        <v>38460048.27</v>
      </c>
      <c r="D630" s="4">
        <f>C630/E630</f>
        <v/>
      </c>
      <c r="E630" s="21" t="n">
        <v>87.46599999999999</v>
      </c>
      <c r="F630" s="4">
        <f>D630/100000</f>
        <v/>
      </c>
      <c r="G630" s="7">
        <f>(F630/DataSheet!$C$12*100)</f>
        <v/>
      </c>
      <c r="H630" s="4">
        <f>K630/I630</f>
        <v/>
      </c>
      <c r="I630" s="4">
        <f>(J630/L630)*100</f>
        <v/>
      </c>
      <c r="J630" s="7">
        <f>L630/O630</f>
        <v/>
      </c>
      <c r="K630" s="21" t="n">
        <v>6.72</v>
      </c>
      <c r="L630" s="21" t="n">
        <v>22124.7</v>
      </c>
      <c r="M630" s="21" t="n">
        <v>3.29</v>
      </c>
      <c r="N630" s="4">
        <f>K630-I630</f>
        <v/>
      </c>
      <c r="O630" s="21" t="n">
        <v>19.67</v>
      </c>
      <c r="P630" s="21" t="n">
        <v>4.202</v>
      </c>
      <c r="Q630" s="7">
        <f>K630-P630</f>
        <v/>
      </c>
      <c r="R630" s="21" t="n">
        <v>107.558</v>
      </c>
      <c r="S630" s="4">
        <f>(O630*T630)</f>
        <v/>
      </c>
      <c r="T630" s="12" t="n">
        <v>6.43</v>
      </c>
      <c r="U630" s="21" t="n">
        <v>17750.55</v>
      </c>
      <c r="V630" s="21" t="n">
        <v>33.44</v>
      </c>
      <c r="W630" s="4">
        <f>U630/V630</f>
        <v/>
      </c>
      <c r="X630" s="4">
        <f>(W630/U630)*100</f>
        <v/>
      </c>
      <c r="Y630" s="21" t="n">
        <v>13844.55</v>
      </c>
      <c r="Z630" s="23" t="n">
        <v>26.09</v>
      </c>
      <c r="AA630" s="4">
        <f>Y630/Z630</f>
        <v/>
      </c>
      <c r="AB630" s="4">
        <f>(AA630/Y630)*100</f>
        <v/>
      </c>
    </row>
    <row r="631">
      <c r="A631" s="47" t="n">
        <v>695</v>
      </c>
      <c r="B631" s="48" t="n">
        <v>45719</v>
      </c>
      <c r="C631" s="49" t="n">
        <v>38444417.77</v>
      </c>
      <c r="D631" s="50">
        <f>C631/E631</f>
        <v/>
      </c>
      <c r="E631" s="49" t="n">
        <v>87.26000000000001</v>
      </c>
      <c r="F631" s="50">
        <f>D631/100000</f>
        <v/>
      </c>
      <c r="G631" s="7">
        <f>(F631/DataSheet!$C$12*100)</f>
        <v/>
      </c>
      <c r="H631" s="50">
        <f>K631/I631</f>
        <v/>
      </c>
      <c r="I631" s="50">
        <f>(J631/L631)*100</f>
        <v/>
      </c>
      <c r="J631" s="7">
        <f>L631/O631</f>
        <v/>
      </c>
      <c r="K631" s="49" t="n">
        <v>6.73</v>
      </c>
      <c r="L631" s="49" t="n">
        <v>22119.3</v>
      </c>
      <c r="M631" s="49" t="n">
        <v>3.29</v>
      </c>
      <c r="N631" s="50">
        <f>K631-I631</f>
        <v/>
      </c>
      <c r="O631" s="49" t="n">
        <v>19.66</v>
      </c>
      <c r="P631" s="49" t="n">
        <v>4.158</v>
      </c>
      <c r="Q631" s="51">
        <f>K631-P631</f>
        <v/>
      </c>
      <c r="R631" s="49" t="n">
        <v>106.669</v>
      </c>
      <c r="S631" s="4">
        <f>(O631*T631)</f>
        <v/>
      </c>
      <c r="T631" s="12" t="n">
        <v>6.44</v>
      </c>
      <c r="U631" s="21" t="n">
        <v>17778.55</v>
      </c>
      <c r="V631" s="21" t="n">
        <v>33.49</v>
      </c>
      <c r="W631" s="4">
        <f>U631/V631</f>
        <v/>
      </c>
      <c r="X631" s="4">
        <f>(W631/U631)*100</f>
        <v/>
      </c>
      <c r="Y631" s="21" t="n">
        <v>13755.9</v>
      </c>
      <c r="Z631" s="23" t="n">
        <v>25.92</v>
      </c>
      <c r="AA631" s="4">
        <f>Y631/Z631</f>
        <v/>
      </c>
      <c r="AB631" s="4">
        <f>(AA631/Y631)*100</f>
        <v/>
      </c>
    </row>
    <row r="632">
      <c r="A632" s="5" t="n">
        <v>696</v>
      </c>
      <c r="B632" s="45" t="n">
        <v>45720</v>
      </c>
      <c r="C632" s="21" t="n">
        <v>38559355</v>
      </c>
      <c r="D632" s="4">
        <f>C632/E632</f>
        <v/>
      </c>
      <c r="E632" s="21" t="n">
        <v>87.255</v>
      </c>
      <c r="F632" s="4">
        <f>D632/100000</f>
        <v/>
      </c>
      <c r="G632" s="7">
        <f>(F632/DataSheet!$C$12*100)</f>
        <v/>
      </c>
      <c r="H632" s="4">
        <f>K632/I632</f>
        <v/>
      </c>
      <c r="I632" s="4">
        <f>(J632/L632)*100</f>
        <v/>
      </c>
      <c r="J632" s="7">
        <f>L632/O632</f>
        <v/>
      </c>
      <c r="K632" s="21" t="n">
        <v>6.74</v>
      </c>
      <c r="L632" s="21" t="n">
        <v>22082.65</v>
      </c>
      <c r="M632" s="21" t="n">
        <v>3.29</v>
      </c>
      <c r="N632" s="4">
        <f>K632-I632</f>
        <v/>
      </c>
      <c r="O632" s="21" t="n">
        <v>19.63</v>
      </c>
      <c r="P632" s="21" t="n">
        <v>4.241</v>
      </c>
      <c r="Q632" s="7">
        <f>K632-P632</f>
        <v/>
      </c>
      <c r="R632" s="21" t="n">
        <v>105.687</v>
      </c>
      <c r="S632" s="4">
        <f>(O632*T632)</f>
        <v/>
      </c>
      <c r="T632" s="12" t="n">
        <v>6.44</v>
      </c>
      <c r="U632" s="21" t="n">
        <v>17807.3</v>
      </c>
      <c r="V632" s="21" t="n">
        <v>33.55</v>
      </c>
      <c r="W632" s="4">
        <f>U632/V632</f>
        <v/>
      </c>
      <c r="X632" s="4">
        <f>(W632/U632)*100</f>
        <v/>
      </c>
      <c r="Y632" s="21" t="n">
        <v>13914.1</v>
      </c>
      <c r="Z632" s="23" t="n">
        <v>26.23</v>
      </c>
      <c r="AA632" s="4">
        <f>Y632/Z632</f>
        <v/>
      </c>
      <c r="AB632" s="4">
        <f>(AA632/Y632)*100</f>
        <v/>
      </c>
    </row>
    <row r="633">
      <c r="A633" s="5" t="n">
        <v>697</v>
      </c>
      <c r="B633" s="45" t="n">
        <v>45721</v>
      </c>
      <c r="C633" s="21" t="n">
        <v>39362308.05</v>
      </c>
      <c r="D633" s="4">
        <f>C633/E633</f>
        <v/>
      </c>
      <c r="E633" s="21" t="n">
        <v>86.88</v>
      </c>
      <c r="F633" s="4">
        <f>D633/100000</f>
        <v/>
      </c>
      <c r="G633" s="7">
        <f>(F633/DataSheet!$C$12*100)</f>
        <v/>
      </c>
      <c r="H633" s="4">
        <f>K633/I633</f>
        <v/>
      </c>
      <c r="I633" s="4">
        <f>(J633/L633)*100</f>
        <v/>
      </c>
      <c r="J633" s="7">
        <f>L633/O633</f>
        <v/>
      </c>
      <c r="K633" s="21" t="n">
        <v>6.71</v>
      </c>
      <c r="L633" s="21" t="n">
        <v>22337.3</v>
      </c>
      <c r="M633" s="21" t="n">
        <v>3.33</v>
      </c>
      <c r="N633" s="4">
        <f>K633-I633</f>
        <v/>
      </c>
      <c r="O633" s="21" t="n">
        <v>19.86</v>
      </c>
      <c r="P633" s="21" t="n">
        <v>4.279</v>
      </c>
      <c r="Q633" s="7">
        <f>K633-P633</f>
        <v/>
      </c>
      <c r="R633" s="21" t="n">
        <v>104.252</v>
      </c>
      <c r="S633" s="4">
        <f>(O633*T633)</f>
        <v/>
      </c>
      <c r="T633" s="12" t="n">
        <v>6.45</v>
      </c>
      <c r="U633" s="21" t="n">
        <v>18240.15</v>
      </c>
      <c r="V633" s="21" t="n">
        <v>34.36</v>
      </c>
      <c r="W633" s="4">
        <f>U633/V633</f>
        <v/>
      </c>
      <c r="X633" s="4">
        <f>(W633/U633)*100</f>
        <v/>
      </c>
      <c r="Y633" s="21" t="n">
        <v>14291.05</v>
      </c>
      <c r="Z633" s="23" t="n">
        <v>26.94</v>
      </c>
      <c r="AA633" s="4">
        <f>Y633/Z633</f>
        <v/>
      </c>
      <c r="AB633" s="4">
        <f>(AA633/Y633)*100</f>
        <v/>
      </c>
    </row>
    <row r="634">
      <c r="A634" s="5" t="n">
        <v>698</v>
      </c>
      <c r="B634" s="45" t="n">
        <v>45722</v>
      </c>
      <c r="C634" s="21" t="n">
        <v>39827293.98</v>
      </c>
      <c r="D634" s="4">
        <f>C634/E634</f>
        <v/>
      </c>
      <c r="E634" s="21" t="n">
        <v>87.011</v>
      </c>
      <c r="F634" s="4">
        <f>D634/100000</f>
        <v/>
      </c>
      <c r="G634" s="7">
        <f>(F634/DataSheet!$C$12*100)</f>
        <v/>
      </c>
      <c r="H634" s="4">
        <f>K634/I634</f>
        <v/>
      </c>
      <c r="I634" s="4">
        <f>(J634/L634)*100</f>
        <v/>
      </c>
      <c r="J634" s="7">
        <f>L634/O634</f>
        <v/>
      </c>
      <c r="K634" s="21" t="n">
        <v>6.68</v>
      </c>
      <c r="L634" s="21" t="n">
        <v>22544.7</v>
      </c>
      <c r="M634" s="21" t="n">
        <v>3.36</v>
      </c>
      <c r="N634" s="4">
        <f>K634-I634</f>
        <v/>
      </c>
      <c r="O634" s="21" t="n">
        <v>20.04</v>
      </c>
      <c r="P634" s="21" t="n">
        <v>4.279</v>
      </c>
      <c r="Q634" s="7">
        <f>K634-P634</f>
        <v/>
      </c>
      <c r="R634" s="21" t="n">
        <v>104.028</v>
      </c>
      <c r="S634" s="4">
        <f>(O634*T634)</f>
        <v/>
      </c>
      <c r="T634" s="12" t="n">
        <v>6.47</v>
      </c>
      <c r="U634" s="21" t="n">
        <v>18341</v>
      </c>
      <c r="V634" s="21" t="n">
        <v>34.55</v>
      </c>
      <c r="W634" s="4">
        <f>U634/V634</f>
        <v/>
      </c>
      <c r="X634" s="4">
        <f>(W634/U634)*100</f>
        <v/>
      </c>
      <c r="Y634" s="21" t="n">
        <v>14503.3</v>
      </c>
      <c r="Z634" s="23" t="n">
        <v>27.34</v>
      </c>
      <c r="AA634" s="4">
        <f>Y634/Z634</f>
        <v/>
      </c>
      <c r="AB634" s="4">
        <f>(AA634/Y634)*100</f>
        <v/>
      </c>
    </row>
    <row r="635">
      <c r="A635" s="5" t="n">
        <v>699</v>
      </c>
      <c r="B635" s="45" t="n">
        <v>45723</v>
      </c>
      <c r="C635" s="21" t="n">
        <v>39899021</v>
      </c>
      <c r="D635" s="4">
        <f>C635/E635</f>
        <v/>
      </c>
      <c r="E635" s="21" t="n">
        <v>87.09999999999999</v>
      </c>
      <c r="F635" s="4">
        <f>D635/100000</f>
        <v/>
      </c>
      <c r="G635" s="7">
        <f>(F635/DataSheet!$C$12*100)</f>
        <v/>
      </c>
      <c r="H635" s="4">
        <f>K635/I635</f>
        <v/>
      </c>
      <c r="I635" s="4">
        <f>(J635/L635)*100</f>
        <v/>
      </c>
      <c r="J635" s="7">
        <f>L635/O635</f>
        <v/>
      </c>
      <c r="K635" s="21" t="n">
        <v>6.68</v>
      </c>
      <c r="L635" s="21" t="n">
        <v>22552.5</v>
      </c>
      <c r="M635" s="21" t="n">
        <v>3.36</v>
      </c>
      <c r="N635" s="4">
        <f>K635-I635</f>
        <v/>
      </c>
      <c r="O635" s="21" t="n">
        <v>20.05</v>
      </c>
      <c r="P635" s="21" t="n">
        <v>4.304</v>
      </c>
      <c r="Q635" s="7">
        <f>K635-P635</f>
        <v/>
      </c>
      <c r="R635" s="21" t="n">
        <v>103.812</v>
      </c>
      <c r="S635" s="4">
        <f>(O635*T635)</f>
        <v/>
      </c>
      <c r="T635" s="12" t="n">
        <v>6.47</v>
      </c>
      <c r="U635" s="21" t="n">
        <v>18290.6</v>
      </c>
      <c r="V635" s="21" t="n">
        <v>34.46</v>
      </c>
      <c r="W635" s="4">
        <f>U635/V635</f>
        <v/>
      </c>
      <c r="X635" s="4">
        <f>(W635/U635)*100</f>
        <v/>
      </c>
      <c r="Y635" s="21" t="n">
        <v>14602.95</v>
      </c>
      <c r="Z635" s="23" t="n">
        <v>27.53</v>
      </c>
      <c r="AA635" s="4">
        <f>Y635/Z635</f>
        <v/>
      </c>
      <c r="AB635" s="4">
        <f>(AA635/Y635)*100</f>
        <v/>
      </c>
    </row>
    <row r="636">
      <c r="A636" s="5" t="n">
        <v>700</v>
      </c>
      <c r="B636" s="45" t="n">
        <v>45726</v>
      </c>
      <c r="C636" s="21" t="n">
        <v>39441215.07</v>
      </c>
      <c r="D636" s="4">
        <f>C636/E636</f>
        <v/>
      </c>
      <c r="E636" s="21" t="n">
        <v>87.29000000000001</v>
      </c>
      <c r="F636" s="4">
        <f>D636/100000</f>
        <v/>
      </c>
      <c r="G636" s="7">
        <f>(F636/DataSheet!$C$12*100)</f>
        <v/>
      </c>
      <c r="H636" s="4">
        <f>K636/I636</f>
        <v/>
      </c>
      <c r="I636" s="4">
        <f>(J636/L636)*100</f>
        <v/>
      </c>
      <c r="J636" s="7">
        <f>L636/O636</f>
        <v/>
      </c>
      <c r="K636" s="21" t="n">
        <v>6.7</v>
      </c>
      <c r="L636" s="21" t="n">
        <v>22460.3</v>
      </c>
      <c r="M636" s="21" t="n">
        <v>3.34</v>
      </c>
      <c r="N636" s="4">
        <f>K636-I636</f>
        <v/>
      </c>
      <c r="O636" s="21" t="n">
        <v>19.96</v>
      </c>
      <c r="P636" s="21" t="n">
        <v>4.218</v>
      </c>
      <c r="Q636" s="7">
        <f>K636-P636</f>
        <v/>
      </c>
      <c r="R636" s="21" t="n">
        <v>103.62</v>
      </c>
      <c r="S636" s="4">
        <f>(O636*T636)</f>
        <v/>
      </c>
      <c r="T636" s="12" t="n">
        <v>6.47</v>
      </c>
      <c r="U636" s="21" t="n">
        <v>18031.1</v>
      </c>
      <c r="V636" s="21" t="n">
        <v>33.97</v>
      </c>
      <c r="W636" s="4">
        <f>U636/V636</f>
        <v/>
      </c>
      <c r="X636" s="4">
        <f>(W636/U636)*100</f>
        <v/>
      </c>
      <c r="Y636" s="21" t="n">
        <v>14325.15</v>
      </c>
      <c r="Z636" s="23" t="n">
        <v>27</v>
      </c>
      <c r="AA636" s="4">
        <f>Y636/Z636</f>
        <v/>
      </c>
      <c r="AB636" s="4">
        <f>(AA636/Y636)*100</f>
        <v/>
      </c>
    </row>
    <row r="637">
      <c r="A637" s="5" t="n">
        <v>701</v>
      </c>
      <c r="B637" s="45" t="n">
        <v>45727</v>
      </c>
      <c r="C637" s="21" t="n">
        <v>39484060.52</v>
      </c>
      <c r="D637" s="4">
        <f>C637/E637</f>
        <v/>
      </c>
      <c r="E637" s="21" t="n">
        <v>87.176</v>
      </c>
      <c r="F637" s="4">
        <f>D637/100000</f>
        <v/>
      </c>
      <c r="G637" s="7">
        <f>(F637/DataSheet!$C$12*100)</f>
        <v/>
      </c>
      <c r="H637" s="4">
        <f>K637/I637</f>
        <v/>
      </c>
      <c r="I637" s="4">
        <f>(J637/L637)*100</f>
        <v/>
      </c>
      <c r="J637" s="7">
        <f>L637/O637</f>
        <v/>
      </c>
      <c r="K637" s="21" t="n">
        <v>6.69</v>
      </c>
      <c r="L637" s="21" t="n">
        <v>22497.9</v>
      </c>
      <c r="M637" s="21" t="n">
        <v>3.35</v>
      </c>
      <c r="N637" s="4">
        <f>K637-I637</f>
        <v/>
      </c>
      <c r="O637" s="21" t="n">
        <v>20</v>
      </c>
      <c r="P637" s="21" t="n">
        <v>4.281</v>
      </c>
      <c r="Q637" s="7">
        <f>K637-P637</f>
        <v/>
      </c>
      <c r="R637" s="21" t="n">
        <v>102.931</v>
      </c>
      <c r="S637" s="4">
        <f>(O637*T637)</f>
        <v/>
      </c>
      <c r="T637" s="12" t="n">
        <v>6.47</v>
      </c>
      <c r="U637" s="21" t="n">
        <v>18106.9</v>
      </c>
      <c r="V637" s="21" t="n">
        <v>34.11</v>
      </c>
      <c r="W637" s="4">
        <f>U637/V637</f>
        <v/>
      </c>
      <c r="X637" s="4">
        <f>(W637/U637)*100</f>
        <v/>
      </c>
      <c r="Y637" s="21" t="n">
        <v>14232</v>
      </c>
      <c r="Z637" s="23" t="n">
        <v>26.83</v>
      </c>
      <c r="AA637" s="4">
        <f>Y637/Z637</f>
        <v/>
      </c>
      <c r="AB637" s="4">
        <f>(AA637/Y637)*100</f>
        <v/>
      </c>
    </row>
    <row r="638">
      <c r="A638" s="5" t="n">
        <v>702</v>
      </c>
      <c r="B638" s="45" t="n">
        <v>45728</v>
      </c>
      <c r="C638" s="21" t="n">
        <v>39343551.41</v>
      </c>
      <c r="D638" s="4">
        <f>C638/E638</f>
        <v/>
      </c>
      <c r="E638" s="21" t="n">
        <v>87.15000000000001</v>
      </c>
      <c r="F638" s="4">
        <f>D638/100000</f>
        <v/>
      </c>
      <c r="G638" s="7">
        <f>(F638/DataSheet!$C$12*100)</f>
        <v/>
      </c>
      <c r="H638" s="4">
        <f>K638/I638</f>
        <v/>
      </c>
      <c r="I638" s="4">
        <f>(J638/L638)*100</f>
        <v/>
      </c>
      <c r="J638" s="7">
        <f>L638/O638</f>
        <v/>
      </c>
      <c r="K638" s="21" t="n">
        <v>6.68</v>
      </c>
      <c r="L638" s="21" t="n">
        <v>22470.5</v>
      </c>
      <c r="M638" s="21" t="n">
        <v>3.34</v>
      </c>
      <c r="N638" s="4">
        <f>K638-I638</f>
        <v/>
      </c>
      <c r="O638" s="21" t="n">
        <v>19.97</v>
      </c>
      <c r="P638" s="21" t="n">
        <v>4.315</v>
      </c>
      <c r="Q638" s="7">
        <f>K638-P638</f>
        <v/>
      </c>
      <c r="R638" s="21" t="n">
        <v>103.587</v>
      </c>
      <c r="S638" s="4">
        <f>(O638*T638)</f>
        <v/>
      </c>
      <c r="T638" s="12" t="n">
        <v>6.47</v>
      </c>
      <c r="U638" s="21" t="n">
        <v>18014.25</v>
      </c>
      <c r="V638" s="21" t="n">
        <v>33.93</v>
      </c>
      <c r="W638" s="4">
        <f>U638/V638</f>
        <v/>
      </c>
      <c r="X638" s="4">
        <f>(W638/U638)*100</f>
        <v/>
      </c>
      <c r="Y638" s="21" t="n">
        <v>14193.65</v>
      </c>
      <c r="Z638" s="23" t="n">
        <v>26.76</v>
      </c>
      <c r="AA638" s="4">
        <f>Y638/Z638</f>
        <v/>
      </c>
      <c r="AB638" s="4">
        <f>(AA638/Y638)*100</f>
        <v/>
      </c>
    </row>
    <row r="639">
      <c r="A639" s="5" t="n">
        <v>703</v>
      </c>
      <c r="B639" s="45" t="n">
        <v>45729</v>
      </c>
      <c r="C639" s="21" t="n">
        <v>39177434.82</v>
      </c>
      <c r="D639" s="4">
        <f>C639/E639</f>
        <v/>
      </c>
      <c r="E639" s="21" t="n">
        <v>86.89700000000001</v>
      </c>
      <c r="F639" s="4">
        <f>D639/100000</f>
        <v/>
      </c>
      <c r="G639" s="7">
        <f>(F639/DataSheet!$C$12*100)</f>
        <v/>
      </c>
      <c r="H639" s="4">
        <f>K639/I639</f>
        <v/>
      </c>
      <c r="I639" s="4">
        <f>(J639/L639)*100</f>
        <v/>
      </c>
      <c r="J639" s="7">
        <f>L639/O639</f>
        <v/>
      </c>
      <c r="K639" s="21" t="n">
        <v>6.69</v>
      </c>
      <c r="L639" s="21" t="n">
        <v>22397.2</v>
      </c>
      <c r="M639" s="21" t="n">
        <v>3.33</v>
      </c>
      <c r="N639" s="4">
        <f>K639-I639</f>
        <v/>
      </c>
      <c r="O639" s="21" t="n">
        <v>19.91</v>
      </c>
      <c r="P639" s="21" t="n">
        <v>4.269</v>
      </c>
      <c r="Q639" s="7">
        <f>K639-P639</f>
        <v/>
      </c>
      <c r="R639" s="21" t="n">
        <v>103.83</v>
      </c>
      <c r="S639" s="4">
        <f>(O639*T639)</f>
        <v/>
      </c>
      <c r="T639" s="12" t="n">
        <v>6.48</v>
      </c>
      <c r="U639" s="21" t="n">
        <v>17902</v>
      </c>
      <c r="V639" s="21" t="n">
        <v>33.72</v>
      </c>
      <c r="W639" s="4">
        <f>U639/V639</f>
        <v/>
      </c>
      <c r="X639" s="4">
        <f>(W639/U639)*100</f>
        <v/>
      </c>
      <c r="Y639" s="21" t="n">
        <v>14095.6</v>
      </c>
      <c r="Z639" s="23" t="n">
        <v>26.57</v>
      </c>
      <c r="AA639" s="4">
        <f>Y639/Z639</f>
        <v/>
      </c>
      <c r="AB639" s="4">
        <f>(AA639/Y639)*100</f>
        <v/>
      </c>
    </row>
    <row r="640">
      <c r="A640" s="5" t="n">
        <v>704</v>
      </c>
      <c r="B640" s="45" t="n">
        <v>45733</v>
      </c>
      <c r="C640" s="21" t="n">
        <v>39317232.22</v>
      </c>
      <c r="D640" s="4">
        <f>C640/E640</f>
        <v/>
      </c>
      <c r="E640" s="21" t="n">
        <v>86.69</v>
      </c>
      <c r="F640" s="4">
        <f>D640/100000</f>
        <v/>
      </c>
      <c r="G640" s="7">
        <f>(F640/DataSheet!$C$12*100)</f>
        <v/>
      </c>
      <c r="H640" s="4">
        <f>K640/I640</f>
        <v/>
      </c>
      <c r="I640" s="4">
        <f>(J640/L640)*100</f>
        <v/>
      </c>
      <c r="J640" s="7">
        <f>L640/O640</f>
        <v/>
      </c>
      <c r="K640" s="21" t="n">
        <v>6.69</v>
      </c>
      <c r="L640" s="21" t="n">
        <v>22508.75</v>
      </c>
      <c r="M640" s="21" t="n">
        <v>3.35</v>
      </c>
      <c r="N640" s="4">
        <f>K640-I640</f>
        <v/>
      </c>
      <c r="O640" s="21" t="n">
        <v>20.01</v>
      </c>
      <c r="P640" s="21" t="n">
        <v>4.298</v>
      </c>
      <c r="Q640" s="7">
        <f>K640-P640</f>
        <v/>
      </c>
      <c r="R640" s="21" t="n">
        <v>103.47</v>
      </c>
      <c r="S640" s="4">
        <f>(O640*T640)</f>
        <v/>
      </c>
      <c r="T640" s="12" t="n">
        <v>6.45</v>
      </c>
      <c r="U640" s="21" t="n">
        <v>18037.25</v>
      </c>
      <c r="V640" s="21" t="n">
        <v>33.98</v>
      </c>
      <c r="W640" s="4">
        <f>U640/V640</f>
        <v/>
      </c>
      <c r="X640" s="4">
        <f>(W640/U640)*100</f>
        <v/>
      </c>
      <c r="Y640" s="21" t="n">
        <v>14141.7</v>
      </c>
      <c r="Z640" s="23" t="n">
        <v>26.66</v>
      </c>
      <c r="AA640" s="4">
        <f>Y640/Z640</f>
        <v/>
      </c>
      <c r="AB640" s="4">
        <f>(AA640/Y640)*100</f>
        <v/>
      </c>
    </row>
    <row r="641">
      <c r="A641" s="5" t="n">
        <v>705</v>
      </c>
      <c r="B641" s="45" t="n">
        <v>45734</v>
      </c>
      <c r="C641" s="21" t="n">
        <v>40033591.94</v>
      </c>
      <c r="D641" s="4">
        <f>C641/E641</f>
        <v/>
      </c>
      <c r="E641" s="21" t="n">
        <v>86.51000000000001</v>
      </c>
      <c r="F641" s="4">
        <f>D641/100000</f>
        <v/>
      </c>
      <c r="G641" s="7">
        <f>(F641/DataSheet!$C$12*100)</f>
        <v/>
      </c>
      <c r="H641" s="4">
        <f>K641/I641</f>
        <v/>
      </c>
      <c r="I641" s="4">
        <f>(J641/L641)*100</f>
        <v/>
      </c>
      <c r="J641" s="7">
        <f>L641/O641</f>
        <v/>
      </c>
      <c r="K641" s="21" t="n">
        <v>6.67</v>
      </c>
      <c r="L641" s="21" t="n">
        <v>22834.3</v>
      </c>
      <c r="M641" s="21" t="n">
        <v>3.4</v>
      </c>
      <c r="N641" s="4">
        <f>K641-I641</f>
        <v/>
      </c>
      <c r="O641" s="21" t="n">
        <v>20.3</v>
      </c>
      <c r="P641" s="21" t="n">
        <v>4.283</v>
      </c>
      <c r="Q641" s="7">
        <f>K641-P641</f>
        <v/>
      </c>
      <c r="R641" s="21" t="n">
        <v>102.892</v>
      </c>
      <c r="S641" s="4">
        <f>(O641*T641)</f>
        <v/>
      </c>
      <c r="T641" s="12" t="n">
        <v>6.45</v>
      </c>
      <c r="U641" s="21" t="n">
        <v>18408.4</v>
      </c>
      <c r="V641" s="21" t="n">
        <v>34.68</v>
      </c>
      <c r="W641" s="4">
        <f>U641/V641</f>
        <v/>
      </c>
      <c r="X641" s="4">
        <f>(W641/U641)*100</f>
        <v/>
      </c>
      <c r="Y641" s="21" t="n">
        <v>14517.6</v>
      </c>
      <c r="Z641" s="23" t="n">
        <v>27.36</v>
      </c>
      <c r="AA641" s="4">
        <f>Y641/Z641</f>
        <v/>
      </c>
      <c r="AB641" s="4">
        <f>(AA641/Y641)*100</f>
        <v/>
      </c>
    </row>
    <row r="642">
      <c r="A642" s="5" t="n">
        <v>706</v>
      </c>
      <c r="B642" s="45" t="n">
        <v>45735</v>
      </c>
      <c r="C642" s="21" t="n">
        <v>40557822.05</v>
      </c>
      <c r="D642" s="4">
        <f>C642/E642</f>
        <v/>
      </c>
      <c r="E642" s="21" t="n">
        <v>86.31</v>
      </c>
      <c r="F642" s="4">
        <f>D642/100000</f>
        <v/>
      </c>
      <c r="G642" s="7">
        <f>(F642/DataSheet!$C$12*100)</f>
        <v/>
      </c>
      <c r="H642" s="4">
        <f>K642/I642</f>
        <v/>
      </c>
      <c r="I642" s="4">
        <f>(J642/L642)*100</f>
        <v/>
      </c>
      <c r="J642" s="7">
        <f>L642/O642</f>
        <v/>
      </c>
      <c r="K642" s="21" t="n">
        <v>6.66</v>
      </c>
      <c r="L642" s="21" t="n">
        <v>22907.6</v>
      </c>
      <c r="M642" s="21" t="n">
        <v>3.41</v>
      </c>
      <c r="N642" s="4">
        <f>K642-I642</f>
        <v/>
      </c>
      <c r="O642" s="21" t="n">
        <v>20.36</v>
      </c>
      <c r="P642" s="21" t="n">
        <v>4.246</v>
      </c>
      <c r="Q642" s="7">
        <f>K642-P642</f>
        <v/>
      </c>
      <c r="R642" s="21" t="n">
        <v>103.093</v>
      </c>
      <c r="S642" s="4">
        <f>(O642*T642)</f>
        <v/>
      </c>
      <c r="T642" s="12" t="n">
        <v>6.45</v>
      </c>
      <c r="U642" s="21" t="n">
        <v>18844.4</v>
      </c>
      <c r="V642" s="21" t="n">
        <v>35.5</v>
      </c>
      <c r="W642" s="4">
        <f>U642/V642</f>
        <v/>
      </c>
      <c r="X642" s="4">
        <f>(W642/U642)*100</f>
        <v/>
      </c>
      <c r="Y642" s="21" t="n">
        <v>14807</v>
      </c>
      <c r="Z642" s="23" t="n">
        <v>27.9</v>
      </c>
      <c r="AA642" s="4">
        <f>Y642/Z642</f>
        <v/>
      </c>
      <c r="AB642" s="4">
        <f>(AA642/Y642)*100</f>
        <v/>
      </c>
    </row>
    <row r="643">
      <c r="A643" s="5" t="n">
        <v>707</v>
      </c>
      <c r="B643" s="45" t="n">
        <v>45736</v>
      </c>
      <c r="C643" s="21" t="n">
        <v>40924873</v>
      </c>
      <c r="D643" s="4">
        <f>C643/E643</f>
        <v/>
      </c>
      <c r="E643" s="21" t="n">
        <v>86.31999999999999</v>
      </c>
      <c r="F643" s="4">
        <f>D643/100000</f>
        <v/>
      </c>
      <c r="G643" s="7">
        <f>(F643/DataSheet!$C$12*100)</f>
        <v/>
      </c>
      <c r="H643" s="4">
        <f>K643/I643</f>
        <v/>
      </c>
      <c r="I643" s="4">
        <f>(J643/L643)*100</f>
        <v/>
      </c>
      <c r="J643" s="7">
        <f>L643/O643</f>
        <v/>
      </c>
      <c r="K643" s="21" t="n">
        <v>6.64</v>
      </c>
      <c r="L643" s="21" t="n">
        <v>23190.65</v>
      </c>
      <c r="M643" s="21" t="n">
        <v>3.45</v>
      </c>
      <c r="N643" s="4">
        <f>K643-I643</f>
        <v/>
      </c>
      <c r="O643" s="21" t="n">
        <v>20.61</v>
      </c>
      <c r="P643" s="21" t="n">
        <v>4.24</v>
      </c>
      <c r="Q643" s="7">
        <f>K643-P643</f>
        <v/>
      </c>
      <c r="R643" s="21" t="n">
        <v>103.497</v>
      </c>
      <c r="S643" s="4">
        <f>(O643*T643)</f>
        <v/>
      </c>
      <c r="T643" s="12" t="n">
        <v>6.46</v>
      </c>
      <c r="U643" s="21" t="n">
        <v>18948.45</v>
      </c>
      <c r="V643" s="21" t="n">
        <v>35.69</v>
      </c>
      <c r="W643" s="4">
        <f>U643/V643</f>
        <v/>
      </c>
      <c r="X643" s="4">
        <f>(W643/U643)*100</f>
        <v/>
      </c>
      <c r="Y643" s="21" t="n">
        <v>14922.35</v>
      </c>
      <c r="Z643" s="23" t="n">
        <v>28.12</v>
      </c>
      <c r="AA643" s="4">
        <f>Y643/Z643</f>
        <v/>
      </c>
      <c r="AB643" s="4">
        <f>(AA643/Y643)*100</f>
        <v/>
      </c>
    </row>
    <row r="644">
      <c r="A644" s="5" t="n">
        <v>708</v>
      </c>
      <c r="B644" s="45" t="n">
        <v>45737</v>
      </c>
      <c r="C644" s="21" t="n">
        <v>41392614.03</v>
      </c>
      <c r="D644" s="4">
        <f>C644/E644</f>
        <v/>
      </c>
      <c r="E644" s="21" t="n">
        <v>85.98999999999999</v>
      </c>
      <c r="F644" s="4">
        <f>D644/100000</f>
        <v/>
      </c>
      <c r="G644" s="7">
        <f>(F644/DataSheet!$C$12*100)</f>
        <v/>
      </c>
      <c r="H644" s="4">
        <f>K644/I644</f>
        <v/>
      </c>
      <c r="I644" s="4">
        <f>(J644/L644)*100</f>
        <v/>
      </c>
      <c r="J644" s="7">
        <f>L644/O644</f>
        <v/>
      </c>
      <c r="K644" s="21" t="n">
        <v>6.62</v>
      </c>
      <c r="L644" s="21" t="n">
        <v>23350.4</v>
      </c>
      <c r="M644" s="21" t="n">
        <v>3.48</v>
      </c>
      <c r="N644" s="4">
        <f>K644-I644</f>
        <v/>
      </c>
      <c r="O644" s="21" t="n">
        <v>20.76</v>
      </c>
      <c r="P644" s="21" t="n">
        <v>4.249</v>
      </c>
      <c r="Q644" s="7">
        <f>K644-P644</f>
        <v/>
      </c>
      <c r="R644" s="21" t="n">
        <v>103.744</v>
      </c>
      <c r="S644" s="4">
        <f>(O644*T644)</f>
        <v/>
      </c>
      <c r="T644" s="12" t="n">
        <v>6.46</v>
      </c>
      <c r="U644" s="21" t="n">
        <v>19203.3</v>
      </c>
      <c r="V644" s="21" t="n">
        <v>36.17</v>
      </c>
      <c r="W644" s="4">
        <f>U644/V644</f>
        <v/>
      </c>
      <c r="X644" s="4">
        <f>(W644/U644)*100</f>
        <v/>
      </c>
      <c r="Y644" s="21" t="n">
        <v>15242.3</v>
      </c>
      <c r="Z644" s="23" t="n">
        <v>28.89</v>
      </c>
      <c r="AA644" s="4">
        <f>Y644/Z644</f>
        <v/>
      </c>
      <c r="AB644" s="4">
        <f>(AA644/Y644)*100</f>
        <v/>
      </c>
    </row>
    <row r="645">
      <c r="A645" s="5" t="n">
        <v>709</v>
      </c>
      <c r="B645" s="45" t="n">
        <v>45740</v>
      </c>
      <c r="C645" s="21" t="n">
        <v>41913920.14</v>
      </c>
      <c r="D645" s="4">
        <f>C645/E645</f>
        <v/>
      </c>
      <c r="E645" s="21" t="n">
        <v>85.56</v>
      </c>
      <c r="F645" s="4">
        <f>D645/100000</f>
        <v/>
      </c>
      <c r="G645" s="7">
        <f>(F645/DataSheet!$C$12*100)</f>
        <v/>
      </c>
      <c r="H645" s="4">
        <f>K645/I645</f>
        <v/>
      </c>
      <c r="I645" s="4">
        <f>(J645/L645)*100</f>
        <v/>
      </c>
      <c r="J645" s="7">
        <f>L645/O645</f>
        <v/>
      </c>
      <c r="K645" s="21" t="n">
        <v>6.62</v>
      </c>
      <c r="L645" s="21" t="n">
        <v>23658.35</v>
      </c>
      <c r="M645" s="21" t="n">
        <v>3.52</v>
      </c>
      <c r="N645" s="4">
        <f>K645-I645</f>
        <v/>
      </c>
      <c r="O645" s="21" t="n">
        <v>21.03</v>
      </c>
      <c r="P645" s="21" t="n">
        <v>4.338</v>
      </c>
      <c r="Q645" s="7">
        <f>K645-P645</f>
        <v/>
      </c>
      <c r="R645" s="21" t="n">
        <v>103.936</v>
      </c>
      <c r="S645" s="4">
        <f>(O645*T645)</f>
        <v/>
      </c>
      <c r="T645" s="12" t="n">
        <v>6.45</v>
      </c>
      <c r="U645" s="21" t="n">
        <v>19418.3</v>
      </c>
      <c r="V645" s="21" t="n">
        <v>36.57</v>
      </c>
      <c r="W645" s="4">
        <f>U645/V645</f>
        <v/>
      </c>
      <c r="X645" s="4">
        <f>(W645/U645)*100</f>
        <v/>
      </c>
      <c r="Y645" s="21" t="n">
        <v>15392.4</v>
      </c>
      <c r="Z645" s="23" t="n">
        <v>29.17</v>
      </c>
      <c r="AA645" s="4">
        <f>Y645/Z645</f>
        <v/>
      </c>
      <c r="AB645" s="4">
        <f>(AA645/Y645)*100</f>
        <v/>
      </c>
    </row>
    <row r="646">
      <c r="A646" s="5" t="n">
        <v>710</v>
      </c>
      <c r="B646" s="45" t="n">
        <v>45741</v>
      </c>
      <c r="C646" s="21" t="n">
        <v>41584517.86</v>
      </c>
      <c r="D646" s="4">
        <f>C646/E646</f>
        <v/>
      </c>
      <c r="E646" s="21" t="n">
        <v>85.583</v>
      </c>
      <c r="F646" s="4">
        <f>D646/100000</f>
        <v/>
      </c>
      <c r="G646" s="7">
        <f>(F646/DataSheet!$C$12*100)</f>
        <v/>
      </c>
      <c r="H646" s="4">
        <f>K646/I646</f>
        <v/>
      </c>
      <c r="I646" s="4">
        <f>(J646/L646)*100</f>
        <v/>
      </c>
      <c r="J646" s="7">
        <f>L646/O646</f>
        <v/>
      </c>
      <c r="K646" s="21" t="n">
        <v>6.63</v>
      </c>
      <c r="L646" s="21" t="n">
        <v>23668.65</v>
      </c>
      <c r="M646" s="21" t="n">
        <v>3.52</v>
      </c>
      <c r="N646" s="4">
        <f>K646-I646</f>
        <v/>
      </c>
      <c r="O646" s="21" t="n">
        <v>21.04</v>
      </c>
      <c r="P646" s="21" t="n">
        <v>4.316</v>
      </c>
      <c r="Q646" s="7">
        <f>K646-P646</f>
        <v/>
      </c>
      <c r="R646" s="21" t="n">
        <v>103.831</v>
      </c>
      <c r="S646" s="4">
        <f>(O646*T646)</f>
        <v/>
      </c>
      <c r="T646" s="12" t="n">
        <v>6.45</v>
      </c>
      <c r="U646" s="21" t="n">
        <v>19228.35</v>
      </c>
      <c r="V646" s="21" t="n">
        <v>36.21</v>
      </c>
      <c r="W646" s="4">
        <f>U646/V646</f>
        <v/>
      </c>
      <c r="X646" s="4">
        <f>(W646/U646)*100</f>
        <v/>
      </c>
      <c r="Y646" s="21" t="n">
        <v>15184.45</v>
      </c>
      <c r="Z646" s="23" t="n">
        <v>28.78</v>
      </c>
      <c r="AA646" s="4">
        <f>Y646/Z646</f>
        <v/>
      </c>
      <c r="AB646" s="4">
        <f>(AA646/Y646)*100</f>
        <v/>
      </c>
    </row>
    <row r="647">
      <c r="A647" s="5" t="n">
        <v>711</v>
      </c>
      <c r="B647" s="45" t="n">
        <v>45742</v>
      </c>
      <c r="C647" s="21" t="n">
        <v>41248623.07</v>
      </c>
      <c r="D647" s="4">
        <f>C647/E647</f>
        <v/>
      </c>
      <c r="E647" s="21" t="n">
        <v>85.625</v>
      </c>
      <c r="F647" s="4">
        <f>D647/100000</f>
        <v/>
      </c>
      <c r="G647" s="7">
        <f>(F647/DataSheet!$C$12*100)</f>
        <v/>
      </c>
      <c r="H647" s="4">
        <f>K647/I647</f>
        <v/>
      </c>
      <c r="I647" s="4">
        <f>(J647/L647)*100</f>
        <v/>
      </c>
      <c r="J647" s="7">
        <f>L647/O647</f>
        <v/>
      </c>
      <c r="K647" s="21" t="n">
        <v>6.6</v>
      </c>
      <c r="L647" s="21" t="n">
        <v>23486.85</v>
      </c>
      <c r="M647" s="21" t="n">
        <v>3.5</v>
      </c>
      <c r="N647" s="4">
        <f>K647-I647</f>
        <v/>
      </c>
      <c r="O647" s="21" t="n">
        <v>20.88</v>
      </c>
      <c r="P647" s="21" t="n">
        <v>4.353</v>
      </c>
      <c r="Q647" s="7">
        <f>K647-P647</f>
        <v/>
      </c>
      <c r="R647" s="21" t="n">
        <v>104.207</v>
      </c>
      <c r="S647" s="4">
        <f>(O647*T647)</f>
        <v/>
      </c>
      <c r="T647" s="12" t="n">
        <v>6.45</v>
      </c>
      <c r="U647" s="21" t="n">
        <v>19106.65</v>
      </c>
      <c r="V647" s="21" t="n">
        <v>35.98</v>
      </c>
      <c r="W647" s="4">
        <f>U647/V647</f>
        <v/>
      </c>
      <c r="X647" s="4">
        <f>(W647/U647)*100</f>
        <v/>
      </c>
      <c r="Y647" s="21" t="n">
        <v>14970</v>
      </c>
      <c r="Z647" s="23" t="n">
        <v>28.37</v>
      </c>
      <c r="AA647" s="4">
        <f>Y647/Z647</f>
        <v/>
      </c>
      <c r="AB647" s="4">
        <f>(AA647/Y647)*100</f>
        <v/>
      </c>
    </row>
    <row r="648">
      <c r="A648" s="5" t="n">
        <v>712</v>
      </c>
      <c r="B648" s="45" t="n">
        <v>45743</v>
      </c>
      <c r="C648" s="21" t="n">
        <v>41555437.41</v>
      </c>
      <c r="D648" s="4">
        <f>C648/E648</f>
        <v/>
      </c>
      <c r="E648" s="21" t="n">
        <v>85.64</v>
      </c>
      <c r="F648" s="4">
        <f>D648/100000</f>
        <v/>
      </c>
      <c r="G648" s="7">
        <f>(F648/DataSheet!$C$12*100)</f>
        <v/>
      </c>
      <c r="H648" s="4">
        <f>K648/I648</f>
        <v/>
      </c>
      <c r="I648" s="4">
        <f>(J648/L648)*100</f>
        <v/>
      </c>
      <c r="J648" s="7">
        <f>L648/O648</f>
        <v/>
      </c>
      <c r="K648" s="21" t="n">
        <v>6.59</v>
      </c>
      <c r="L648" s="21" t="n">
        <v>23591.95</v>
      </c>
      <c r="M648" s="21" t="n">
        <v>3.51</v>
      </c>
      <c r="N648" s="4">
        <f>K648-I648</f>
        <v/>
      </c>
      <c r="O648" s="21" t="n">
        <v>20.97</v>
      </c>
      <c r="P648" s="21" t="n">
        <v>4.36</v>
      </c>
      <c r="Q648" s="7">
        <f>K648-P648</f>
        <v/>
      </c>
      <c r="R648" s="21" t="n">
        <v>103.992</v>
      </c>
      <c r="S648" s="4">
        <f>(O648*T648)</f>
        <v/>
      </c>
      <c r="T648" s="12" t="n">
        <v>6.48</v>
      </c>
      <c r="U648" s="21" t="n">
        <v>19175.4</v>
      </c>
      <c r="V648" s="21" t="n">
        <v>36.11</v>
      </c>
      <c r="W648" s="4">
        <f>U648/V648</f>
        <v/>
      </c>
      <c r="X648" s="4">
        <f>(W648/U648)*100</f>
        <v/>
      </c>
      <c r="Y648" s="21" t="n">
        <v>15111.65</v>
      </c>
      <c r="Z648" s="23" t="n">
        <v>28.64</v>
      </c>
      <c r="AA648" s="4">
        <f>Y648/Z648</f>
        <v/>
      </c>
      <c r="AB648" s="4">
        <f>(AA648/Y648)*100</f>
        <v/>
      </c>
    </row>
    <row r="649">
      <c r="A649" s="5" t="n">
        <v>713</v>
      </c>
      <c r="B649" s="45" t="n">
        <v>45744</v>
      </c>
      <c r="C649" s="21" t="n">
        <v>41375586.2</v>
      </c>
      <c r="D649" s="4">
        <f>C649/E649</f>
        <v/>
      </c>
      <c r="E649" s="21" t="n">
        <v>85.53400000000001</v>
      </c>
      <c r="F649" s="4">
        <f>D649/100000</f>
        <v/>
      </c>
      <c r="G649" s="7">
        <f>(F649/DataSheet!$C$12*100)</f>
        <v/>
      </c>
      <c r="H649" s="4">
        <f>K649/I649</f>
        <v/>
      </c>
      <c r="I649" s="4">
        <f>(J649/L649)*100</f>
        <v/>
      </c>
      <c r="J649" s="7">
        <f>L649/O649</f>
        <v/>
      </c>
      <c r="K649" s="21" t="n">
        <v>6.58</v>
      </c>
      <c r="L649" s="21" t="n">
        <v>23519.35</v>
      </c>
      <c r="M649" s="21" t="n">
        <v>3.48</v>
      </c>
      <c r="N649" s="4">
        <f>K649-I649</f>
        <v/>
      </c>
      <c r="O649" s="21" t="n">
        <v>21.37</v>
      </c>
      <c r="P649" s="21" t="n">
        <v>4.251</v>
      </c>
      <c r="Q649" s="7">
        <f>K649-P649</f>
        <v/>
      </c>
      <c r="R649" s="21" t="n">
        <v>103.709</v>
      </c>
      <c r="S649" s="4">
        <f>(O649*T649)</f>
        <v/>
      </c>
      <c r="T649" s="12" t="n">
        <v>6.35</v>
      </c>
      <c r="U649" s="21" t="n">
        <v>19120.35</v>
      </c>
      <c r="V649" s="21" t="n">
        <v>33.71</v>
      </c>
      <c r="W649" s="4">
        <f>U649/V649</f>
        <v/>
      </c>
      <c r="X649" s="4">
        <f>(W649/U649)*100</f>
        <v/>
      </c>
      <c r="Y649" s="21" t="n">
        <v>15104.05</v>
      </c>
      <c r="Z649" s="23" t="n">
        <v>29.42</v>
      </c>
      <c r="AA649" s="4">
        <f>Y649/Z649</f>
        <v/>
      </c>
      <c r="AB649" s="4">
        <f>(AA649/Y649)*100</f>
        <v/>
      </c>
    </row>
  </sheetData>
  <conditionalFormatting sqref="C133:C151">
    <cfRule type="top10" rank="10" priority="32" dxfId="15" bottom="1"/>
  </conditionalFormatting>
  <conditionalFormatting sqref="C401:C649">
    <cfRule type="top10" rank="10" priority="10" dxfId="1" bottom="1"/>
    <cfRule type="top10" rank="10" priority="11" dxfId="0"/>
  </conditionalFormatting>
  <conditionalFormatting sqref="F2:F151">
    <cfRule type="top10" rank="10" priority="31" dxfId="47" bottom="1"/>
  </conditionalFormatting>
  <conditionalFormatting sqref="F401:F649">
    <cfRule type="top10" rank="10" priority="8" dxfId="0" bottom="1"/>
    <cfRule type="top10" rank="10" priority="9" dxfId="1"/>
  </conditionalFormatting>
  <conditionalFormatting sqref="G2:G649">
    <cfRule type="top10" rank="10" priority="34" dxfId="1" bottom="1"/>
    <cfRule type="top10" rank="10" priority="37" dxfId="1"/>
  </conditionalFormatting>
  <conditionalFormatting sqref="G401:G649">
    <cfRule type="top10" rank="10" priority="4" dxfId="1"/>
    <cfRule type="top10" rank="10" priority="5" dxfId="0" percent="1" bottom="1"/>
  </conditionalFormatting>
  <conditionalFormatting sqref="H2:H151">
    <cfRule type="top10" rank="10" priority="30" dxfId="15"/>
    <cfRule type="top10" rank="10" priority="29" dxfId="0" bottom="1"/>
  </conditionalFormatting>
  <conditionalFormatting sqref="H2:H649">
    <cfRule type="top10" rank="10" priority="40" dxfId="1"/>
  </conditionalFormatting>
  <conditionalFormatting sqref="H401:H649">
    <cfRule type="top10" rank="10" priority="6" dxfId="1"/>
    <cfRule type="top10" rank="10" priority="7" dxfId="0" percent="1" bottom="1"/>
  </conditionalFormatting>
  <conditionalFormatting sqref="I2:I151">
    <cfRule type="top10" rank="10" priority="33" dxfId="0"/>
  </conditionalFormatting>
  <conditionalFormatting sqref="I2:I481">
    <cfRule type="top10" rank="10" priority="24" dxfId="1" bottom="1"/>
  </conditionalFormatting>
  <conditionalFormatting sqref="I2:I649">
    <cfRule type="top10" rank="10" priority="3" dxfId="0"/>
    <cfRule type="top10" rank="10" priority="38" dxfId="1" bottom="1"/>
  </conditionalFormatting>
  <conditionalFormatting sqref="J2:J649">
    <cfRule type="top10" rank="10" priority="39" dxfId="0"/>
  </conditionalFormatting>
  <conditionalFormatting sqref="K2:K485">
    <cfRule type="top10" rank="10" priority="36" dxfId="1" bottom="1"/>
    <cfRule type="top10" rank="10" priority="35" dxfId="27"/>
  </conditionalFormatting>
  <conditionalFormatting sqref="K2:K526">
    <cfRule type="top10" rank="10" priority="15" dxfId="0" bottom="1"/>
  </conditionalFormatting>
  <conditionalFormatting sqref="L2:L151">
    <cfRule type="top10" rank="10" priority="27" dxfId="0"/>
  </conditionalFormatting>
  <conditionalFormatting sqref="L2:L526">
    <cfRule type="top10" rank="10" priority="14" dxfId="0"/>
  </conditionalFormatting>
  <conditionalFormatting sqref="I1:I649 L650:L1048576">
    <cfRule type="top10" rank="10" priority="25" dxfId="1" bottom="1"/>
    <cfRule type="top10" rank="10" priority="26" dxfId="0"/>
  </conditionalFormatting>
  <conditionalFormatting sqref="M2:M526">
    <cfRule type="top10" rank="10" priority="13" dxfId="0" bottom="1"/>
    <cfRule type="top10" rank="10" priority="12" dxfId="1"/>
  </conditionalFormatting>
  <conditionalFormatting sqref="N2:N649">
    <cfRule type="top10" rank="10" priority="41" dxfId="0"/>
  </conditionalFormatting>
  <conditionalFormatting sqref="O28:O151">
    <cfRule type="top10" rank="10" priority="28" dxfId="0" bottom="1"/>
  </conditionalFormatting>
  <conditionalFormatting sqref="O28:O481">
    <cfRule type="top10" rank="10" priority="22" dxfId="1"/>
    <cfRule type="top10" rank="10" priority="23" dxfId="0" bottom="1"/>
  </conditionalFormatting>
  <conditionalFormatting sqref="P27:P481">
    <cfRule type="top10" rank="10" priority="21" dxfId="0" bottom="1"/>
    <cfRule type="top10" rank="10" priority="20" dxfId="1"/>
  </conditionalFormatting>
  <conditionalFormatting sqref="Q2:Q649">
    <cfRule type="top10" rank="10" priority="42" dxfId="15"/>
  </conditionalFormatting>
  <conditionalFormatting sqref="R32:R481">
    <cfRule type="top10" rank="10" priority="19" dxfId="1"/>
    <cfRule type="top10" rank="10" priority="18" dxfId="0" bottom="1"/>
  </conditionalFormatting>
  <conditionalFormatting sqref="S2:S148">
    <cfRule type="top10" rank="10" priority="2" dxfId="1"/>
    <cfRule type="top10" rank="10" priority="1" dxfId="0" bottom="1"/>
  </conditionalFormatting>
  <conditionalFormatting sqref="S149:S481">
    <cfRule type="top10" rank="10" priority="17" dxfId="1"/>
    <cfRule type="top10" rank="10" priority="16" dxfId="0" bottom="1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8" defaultColWidth="8.85546875" defaultRowHeight="15"/>
  <cols>
    <col width="5.28515625" bestFit="1" customWidth="1" style="3" min="1" max="1"/>
    <col width="21.42578125" bestFit="1" customWidth="1" style="3" min="2" max="2"/>
    <col width="12.85546875" bestFit="1" customWidth="1" style="2" min="3" max="3"/>
    <col width="12.85546875" bestFit="1" customWidth="1" min="4" max="4"/>
    <col width="8.85546875" bestFit="1" customWidth="1" min="5" max="5"/>
    <col width="8.28515625" bestFit="1" customWidth="1" min="6" max="6"/>
    <col width="21" bestFit="1" customWidth="1" min="7" max="7"/>
    <col width="18.7109375" bestFit="1" customWidth="1" min="8" max="8"/>
    <col width="23.140625" bestFit="1" customWidth="1" min="9" max="9"/>
    <col width="17.85546875" bestFit="1" customWidth="1" min="10" max="10"/>
    <col width="7.85546875" bestFit="1" customWidth="1" min="11" max="11"/>
    <col width="18.7109375" bestFit="1" customWidth="1" min="12" max="12"/>
    <col width="11.42578125" bestFit="1" customWidth="1" min="13" max="13"/>
    <col width="14.85546875" bestFit="1" customWidth="1" min="14" max="14"/>
    <col width="8.7109375" bestFit="1" customWidth="1" min="15" max="15"/>
    <col width="12.7109375" bestFit="1" customWidth="1" min="16" max="16"/>
    <col width="9.85546875" bestFit="1" customWidth="1" min="17" max="17"/>
    <col width="10.7109375" bestFit="1" customWidth="1" min="18" max="18"/>
    <col width="12.7109375" bestFit="1" customWidth="1" min="19" max="19"/>
    <col width="15.140625" bestFit="1" customWidth="1" min="20" max="20"/>
    <col width="10.85546875" bestFit="1" customWidth="1" min="21" max="21"/>
    <col width="11.7109375" bestFit="1" customWidth="1" min="22" max="22"/>
    <col width="11.140625" bestFit="1" customWidth="1" style="1" min="23" max="23"/>
    <col width="15.140625" bestFit="1" customWidth="1" min="24" max="24"/>
    <col width="13.140625" bestFit="1" customWidth="1" min="25" max="25"/>
    <col width="13.140625" customWidth="1" min="26" max="26"/>
    <col width="18.28515625" bestFit="1" customWidth="1" min="27" max="27"/>
    <col width="16.28515625" bestFit="1" customWidth="1" min="28" max="28"/>
    <col width="14.28515625" bestFit="1" customWidth="1" min="29" max="29"/>
    <col width="11.7109375" bestFit="1" customWidth="1" min="30" max="30"/>
    <col width="19.42578125" bestFit="1" customWidth="1" min="31" max="31"/>
  </cols>
  <sheetData>
    <row r="1">
      <c r="A1" s="14" t="n"/>
      <c r="B1" s="14" t="inlineStr">
        <is>
          <t>Trillion Economy</t>
        </is>
      </c>
      <c r="C1" s="42" t="n">
        <v>47208</v>
      </c>
      <c r="D1" s="44" t="n">
        <v>5</v>
      </c>
      <c r="E1" s="43" t="inlineStr">
        <is>
          <t>Yield 10yr</t>
        </is>
      </c>
      <c r="F1" s="184" t="n">
        <v>7.245</v>
      </c>
      <c r="G1" s="184" t="inlineStr">
        <is>
          <t>Earning Yield</t>
        </is>
      </c>
      <c r="H1" s="184">
        <f>(M17/O17)*100</f>
        <v/>
      </c>
      <c r="I1" s="184" t="n"/>
      <c r="J1" s="184" t="n"/>
      <c r="K1" s="184" t="n"/>
      <c r="L1" s="184" t="n"/>
      <c r="M1" s="40" t="n"/>
      <c r="N1" s="40" t="n"/>
      <c r="O1" s="184" t="n"/>
      <c r="P1" s="184" t="n"/>
      <c r="Q1" s="184" t="n"/>
      <c r="R1" s="184" t="n"/>
      <c r="S1" s="184" t="n"/>
      <c r="T1" s="184" t="n"/>
      <c r="U1" s="184" t="n"/>
      <c r="V1" s="184" t="n"/>
      <c r="W1" s="184" t="n"/>
      <c r="X1" s="184" t="n"/>
      <c r="Y1" s="184" t="n"/>
      <c r="Z1" s="184" t="n"/>
      <c r="AA1" s="184" t="n"/>
      <c r="AB1" s="184" t="n"/>
      <c r="AC1" s="184" t="n"/>
      <c r="AD1" s="184" t="n"/>
      <c r="AE1" s="184" t="n"/>
    </row>
    <row r="2">
      <c r="A2" s="14" t="n"/>
      <c r="B2" s="14" t="inlineStr">
        <is>
          <t>Trillion Economy</t>
        </is>
      </c>
      <c r="C2" s="42" t="n">
        <v>49034</v>
      </c>
      <c r="D2" s="22" t="n">
        <v>10</v>
      </c>
      <c r="E2" s="43" t="inlineStr">
        <is>
          <t>EPS</t>
        </is>
      </c>
      <c r="F2" s="184" t="n">
        <v>858.5</v>
      </c>
      <c r="G2" s="184" t="n"/>
      <c r="H2" s="184" t="n"/>
      <c r="I2" s="184" t="n"/>
      <c r="J2" s="184" t="n"/>
      <c r="K2" s="184" t="n"/>
      <c r="L2" s="184" t="n"/>
      <c r="M2" s="40" t="n"/>
      <c r="N2" s="40" t="n"/>
      <c r="O2" s="184" t="n"/>
      <c r="P2" s="184" t="n"/>
      <c r="Q2" s="184" t="n"/>
      <c r="R2" s="184" t="n"/>
      <c r="S2" s="184" t="n"/>
      <c r="T2" s="184" t="n"/>
      <c r="U2" s="184" t="n"/>
      <c r="V2" s="184" t="n"/>
      <c r="W2" s="184" t="n"/>
      <c r="X2" s="184" t="n"/>
      <c r="Y2" s="184" t="n"/>
      <c r="Z2" s="184" t="n"/>
      <c r="AA2" s="184" t="n"/>
      <c r="AB2" s="184" t="n"/>
      <c r="AC2" s="184" t="n"/>
      <c r="AD2" s="184" t="n"/>
      <c r="AE2" s="184" t="n"/>
    </row>
    <row r="3">
      <c r="A3" s="14" t="n"/>
      <c r="B3" s="14" t="inlineStr">
        <is>
          <t>Trillion Economy</t>
        </is>
      </c>
      <c r="C3" s="42" t="n">
        <v>50495</v>
      </c>
      <c r="D3" s="41" t="n">
        <v>15</v>
      </c>
      <c r="E3" s="14" t="inlineStr">
        <is>
          <t xml:space="preserve">Nifty </t>
        </is>
      </c>
      <c r="F3" s="184" t="n">
        <v>17759.3</v>
      </c>
      <c r="G3" s="184" t="n"/>
      <c r="H3" s="184" t="n"/>
      <c r="I3" s="184" t="n"/>
      <c r="J3" s="184" t="n"/>
      <c r="K3" s="184" t="n"/>
      <c r="L3" s="184" t="n"/>
      <c r="M3" s="40" t="n"/>
      <c r="N3" s="40" t="n"/>
      <c r="O3" s="184" t="n"/>
      <c r="P3" s="184" t="n"/>
      <c r="Q3" s="184" t="n"/>
      <c r="R3" s="184" t="n"/>
      <c r="S3" s="184" t="n"/>
      <c r="T3" s="184" t="n"/>
      <c r="U3" s="184" t="n"/>
      <c r="V3" s="184" t="n"/>
      <c r="W3" s="184" t="n"/>
      <c r="X3" s="184" t="n"/>
      <c r="Y3" s="184" t="n"/>
      <c r="Z3" s="184" t="n"/>
      <c r="AA3" s="184" t="n"/>
      <c r="AB3" s="184" t="n"/>
      <c r="AC3" s="184" t="n"/>
      <c r="AD3" s="184" t="n"/>
      <c r="AE3" s="184" t="n"/>
    </row>
    <row r="4">
      <c r="A4" s="14" t="n"/>
      <c r="B4" s="14" t="inlineStr">
        <is>
          <t xml:space="preserve">Present </t>
        </is>
      </c>
      <c r="C4" s="31" t="inlineStr">
        <is>
          <t>MCAP</t>
        </is>
      </c>
      <c r="D4" s="39" t="n">
        <v>27395002.87</v>
      </c>
      <c r="E4" s="183" t="inlineStr">
        <is>
          <t>https://www.bseindia.com/markets/equity/eqreports/topmarketcapitalization.aspx</t>
        </is>
      </c>
      <c r="F4" s="192" t="n"/>
      <c r="G4" s="192" t="n"/>
      <c r="H4" s="192" t="n"/>
      <c r="I4" s="192" t="n"/>
      <c r="J4" s="193" t="n"/>
      <c r="K4" s="184" t="n"/>
      <c r="L4" s="184" t="n"/>
      <c r="M4" s="184" t="n"/>
      <c r="N4" s="184" t="n"/>
      <c r="O4" s="184" t="n"/>
      <c r="P4" s="184" t="n"/>
      <c r="Q4" s="184" t="n"/>
      <c r="R4" s="184" t="n"/>
      <c r="S4" s="184" t="n"/>
      <c r="T4" s="184" t="n"/>
      <c r="U4" s="184" t="n"/>
      <c r="V4" s="184" t="n"/>
      <c r="W4" s="184" t="n"/>
      <c r="X4" s="184" t="n"/>
      <c r="Y4" s="184" t="n"/>
      <c r="Z4" s="184" t="n"/>
      <c r="AA4" s="184" t="n"/>
      <c r="AB4" s="184" t="n"/>
      <c r="AC4" s="184" t="n"/>
      <c r="AD4" s="184" t="n"/>
      <c r="AE4" s="184" t="n"/>
    </row>
    <row r="5">
      <c r="A5" s="14" t="n"/>
      <c r="B5" s="14" t="n"/>
      <c r="C5" s="31" t="inlineStr">
        <is>
          <t>Trillion</t>
        </is>
      </c>
      <c r="D5" s="37" t="inlineStr">
        <is>
          <t xml:space="preserve">273.95002 </t>
        </is>
      </c>
      <c r="E5" s="184" t="n"/>
      <c r="F5" s="184" t="n"/>
      <c r="G5" s="184" t="n"/>
      <c r="H5" s="184" t="n"/>
      <c r="I5" s="184" t="n"/>
      <c r="J5" s="184" t="n"/>
      <c r="K5" s="184" t="n"/>
      <c r="L5" s="184" t="n"/>
      <c r="M5" s="184" t="n"/>
      <c r="N5" s="184" t="n"/>
      <c r="O5" s="184" t="n"/>
      <c r="P5" s="184" t="n"/>
      <c r="Q5" s="184" t="n"/>
      <c r="R5" s="184" t="n"/>
      <c r="S5" s="184" t="n"/>
      <c r="T5" s="184" t="n"/>
      <c r="U5" s="184" t="n"/>
      <c r="V5" s="184" t="n"/>
      <c r="W5" s="184" t="n"/>
      <c r="X5" s="184" t="n"/>
      <c r="Y5" s="184" t="n"/>
      <c r="Z5" s="184" t="n"/>
      <c r="AA5" s="184" t="n"/>
      <c r="AB5" s="184" t="n"/>
      <c r="AC5" s="184" t="n"/>
      <c r="AD5" s="184" t="n"/>
      <c r="AE5" s="184" t="n"/>
    </row>
    <row r="6">
      <c r="A6" s="14" t="n"/>
      <c r="B6" s="14" t="inlineStr">
        <is>
          <t>Rate</t>
        </is>
      </c>
      <c r="C6" s="31" t="inlineStr">
        <is>
          <t>USD/INR</t>
        </is>
      </c>
      <c r="D6" s="38" t="n">
        <v>79.86</v>
      </c>
      <c r="E6" s="183" t="inlineStr">
        <is>
          <t>https://in.investing.com/</t>
        </is>
      </c>
      <c r="F6" s="193" t="n"/>
      <c r="G6" s="184" t="n"/>
      <c r="H6" s="184" t="n"/>
      <c r="I6" s="184" t="n"/>
      <c r="J6" s="184" t="n"/>
      <c r="K6" s="184" t="n"/>
      <c r="L6" s="184" t="n"/>
      <c r="M6" s="184" t="n"/>
      <c r="N6" s="184" t="n"/>
      <c r="O6" s="184" t="n"/>
      <c r="P6" s="184" t="n"/>
      <c r="Q6" s="184" t="n"/>
      <c r="R6" s="184" t="n"/>
      <c r="S6" s="184" t="n"/>
      <c r="T6" s="184" t="n"/>
      <c r="U6" s="184" t="n"/>
      <c r="V6" s="184" t="n"/>
      <c r="W6" s="184" t="n"/>
      <c r="X6" s="184" t="n"/>
      <c r="Y6" s="184" t="n"/>
      <c r="Z6" s="184" t="n"/>
      <c r="AA6" s="184" t="n"/>
      <c r="AB6" s="184" t="n"/>
      <c r="AC6" s="184" t="n"/>
      <c r="AD6" s="184" t="n"/>
      <c r="AE6" s="184" t="n"/>
    </row>
    <row r="7">
      <c r="A7" s="14" t="n"/>
      <c r="B7" s="14" t="n"/>
      <c r="C7" s="31" t="inlineStr">
        <is>
          <t>US $</t>
        </is>
      </c>
      <c r="D7" s="31">
        <f>D4/D6</f>
        <v/>
      </c>
      <c r="E7" s="184" t="n"/>
      <c r="F7" s="184" t="n"/>
      <c r="G7" s="184" t="n"/>
      <c r="H7" s="184" t="n"/>
      <c r="I7" s="184" t="n"/>
      <c r="J7" s="184" t="n"/>
      <c r="K7" s="184" t="n"/>
      <c r="L7" s="184" t="n"/>
      <c r="M7" s="184" t="n"/>
      <c r="N7" s="184" t="n"/>
      <c r="O7" s="184" t="n"/>
      <c r="P7" s="184" t="n"/>
      <c r="Q7" s="184" t="n"/>
      <c r="R7" s="184" t="n"/>
      <c r="S7" s="184" t="n"/>
      <c r="T7" s="184" t="n"/>
      <c r="U7" s="184" t="n"/>
      <c r="V7" s="184" t="n"/>
      <c r="W7" s="184" t="n"/>
      <c r="X7" s="184" t="n"/>
      <c r="Y7" s="184" t="n"/>
      <c r="Z7" s="184" t="n"/>
      <c r="AA7" s="184" t="n"/>
      <c r="AB7" s="184" t="n"/>
      <c r="AC7" s="184" t="n"/>
      <c r="AD7" s="184" t="n"/>
      <c r="AE7" s="184" t="n"/>
    </row>
    <row r="8">
      <c r="A8" s="14" t="n"/>
      <c r="B8" s="14" t="n"/>
      <c r="C8" s="31" t="inlineStr">
        <is>
          <t>Trillion</t>
        </is>
      </c>
      <c r="D8" s="37" t="n">
        <v>3.4303785</v>
      </c>
      <c r="E8" s="36" t="n">
        <v>3549.92</v>
      </c>
      <c r="F8" s="35">
        <f>E8/1000</f>
        <v/>
      </c>
      <c r="G8" s="34" t="n">
        <v>45291</v>
      </c>
      <c r="H8" s="184" t="n"/>
      <c r="I8" s="184" t="n"/>
      <c r="J8" s="184" t="n"/>
      <c r="K8" s="184" t="n"/>
      <c r="L8" s="184" t="n"/>
      <c r="M8" s="184" t="n"/>
      <c r="N8" s="184" t="n"/>
      <c r="O8" s="184" t="n"/>
      <c r="P8" s="184" t="n"/>
      <c r="Q8" s="184" t="n"/>
      <c r="R8" s="184" t="n"/>
      <c r="S8" s="184" t="n"/>
      <c r="T8" s="184" t="n"/>
      <c r="U8" s="184" t="n"/>
      <c r="V8" s="184" t="n"/>
      <c r="W8" s="184" t="n"/>
      <c r="X8" s="184" t="n"/>
      <c r="Y8" s="184" t="n"/>
      <c r="Z8" s="184" t="n"/>
      <c r="AA8" s="184" t="n"/>
      <c r="AB8" s="184" t="n"/>
      <c r="AC8" s="184" t="n"/>
      <c r="AD8" s="184" t="n"/>
      <c r="AE8" s="184" t="n"/>
    </row>
    <row r="9">
      <c r="A9" s="14" t="n"/>
      <c r="B9" s="14" t="inlineStr">
        <is>
          <t>GDP</t>
        </is>
      </c>
      <c r="C9" s="31" t="inlineStr">
        <is>
          <t>USD Billion</t>
        </is>
      </c>
      <c r="D9" s="33" t="n">
        <v>3386</v>
      </c>
      <c r="E9" s="184" t="inlineStr">
        <is>
          <t>https://tradingeconomics.com/india/gdp</t>
        </is>
      </c>
      <c r="F9" s="192" t="n"/>
      <c r="G9" s="193" t="n"/>
      <c r="H9" s="29" t="n">
        <v>3386</v>
      </c>
      <c r="I9" s="184" t="inlineStr">
        <is>
          <t>GDP</t>
        </is>
      </c>
      <c r="J9" s="32" t="n">
        <v>44896</v>
      </c>
      <c r="K9" s="29">
        <f>(K10/1000)</f>
        <v/>
      </c>
      <c r="L9" s="184" t="n"/>
      <c r="M9" s="184" t="n"/>
      <c r="N9" s="184" t="n"/>
      <c r="O9" s="184" t="n"/>
      <c r="P9" s="184" t="n"/>
      <c r="Q9" s="184" t="n"/>
      <c r="R9" s="184" t="n"/>
      <c r="S9" s="184" t="n"/>
      <c r="T9" s="184" t="n"/>
      <c r="U9" s="184" t="n"/>
      <c r="V9" s="184" t="n"/>
      <c r="W9" s="184" t="n"/>
      <c r="X9" s="184" t="n"/>
      <c r="Y9" s="184" t="n"/>
      <c r="Z9" s="184" t="n"/>
      <c r="AA9" s="184" t="n"/>
      <c r="AB9" s="184" t="n"/>
      <c r="AC9" s="184" t="n"/>
      <c r="AD9" s="184" t="n"/>
      <c r="AE9" s="184" t="n"/>
    </row>
    <row r="10">
      <c r="A10" s="14" t="n"/>
      <c r="B10" s="14" t="n"/>
      <c r="C10" s="31" t="inlineStr">
        <is>
          <t>Trillion</t>
        </is>
      </c>
      <c r="D10" s="184">
        <f>(D9/1000)</f>
        <v/>
      </c>
      <c r="E10" s="184">
        <f>((D10*7.2)/100)+D10</f>
        <v/>
      </c>
      <c r="F10" s="30" t="n">
        <v>3.75</v>
      </c>
      <c r="G10" s="30" t="inlineStr">
        <is>
          <t>finance Minister</t>
        </is>
      </c>
      <c r="H10" s="29">
        <f>(H9/1000)</f>
        <v/>
      </c>
      <c r="I10" s="184">
        <f>(J10/1000)</f>
        <v/>
      </c>
      <c r="J10" s="22" t="n">
        <v>3416.65</v>
      </c>
      <c r="K10" s="29" t="n">
        <v>3732</v>
      </c>
      <c r="L10" s="184" t="n"/>
      <c r="M10" s="184" t="n"/>
      <c r="N10" s="184" t="n"/>
      <c r="O10" s="184" t="n"/>
      <c r="P10" s="184" t="n"/>
      <c r="Q10" s="184" t="n"/>
      <c r="R10" s="184" t="n"/>
      <c r="S10" s="184" t="n"/>
      <c r="T10" s="184" t="n"/>
      <c r="U10" s="184" t="n"/>
      <c r="V10" s="184" t="n"/>
      <c r="W10" s="184" t="n"/>
      <c r="X10" s="184" t="n"/>
      <c r="Y10" s="184" t="n"/>
      <c r="Z10" s="184" t="n"/>
      <c r="AA10" s="184" t="n"/>
      <c r="AB10" s="184" t="n"/>
      <c r="AC10" s="184" t="n"/>
      <c r="AD10" s="184" t="n"/>
      <c r="AE10" s="184" t="n"/>
    </row>
    <row r="11">
      <c r="A11" s="28" t="inlineStr">
        <is>
          <t>S.no</t>
        </is>
      </c>
      <c r="B11" s="28" t="inlineStr">
        <is>
          <t xml:space="preserve">Date </t>
        </is>
      </c>
      <c r="C11" s="27" t="inlineStr">
        <is>
          <t xml:space="preserve">Market Cap </t>
        </is>
      </c>
      <c r="D11" s="27" t="inlineStr">
        <is>
          <t>US $</t>
        </is>
      </c>
      <c r="E11" s="27" t="inlineStr">
        <is>
          <t>USD/INR</t>
        </is>
      </c>
      <c r="F11" s="27" t="inlineStr">
        <is>
          <t>Trillion</t>
        </is>
      </c>
      <c r="G11" s="26" t="n">
        <v>47208</v>
      </c>
      <c r="H11" s="26" t="n">
        <v>49034</v>
      </c>
      <c r="I11" s="26" t="n">
        <v>50495</v>
      </c>
      <c r="J11" s="25" t="inlineStr">
        <is>
          <t>Market Cap to GDP</t>
        </is>
      </c>
      <c r="K11" s="25" t="inlineStr">
        <is>
          <t>BEER</t>
        </is>
      </c>
      <c r="L11" s="25" t="inlineStr">
        <is>
          <t>Nifty 50 Earning Yield</t>
        </is>
      </c>
      <c r="M11" s="25" t="inlineStr">
        <is>
          <t>NIFTY 50 EPS</t>
        </is>
      </c>
      <c r="N11" s="25" t="inlineStr">
        <is>
          <t>India 10Yr Yield</t>
        </is>
      </c>
      <c r="O11" s="25" t="inlineStr">
        <is>
          <t>Nifty 50</t>
        </is>
      </c>
      <c r="P11" s="26" t="inlineStr">
        <is>
          <t>Price to Book</t>
        </is>
      </c>
      <c r="Q11" s="25" t="inlineStr">
        <is>
          <t>Yield Gap</t>
        </is>
      </c>
      <c r="R11" s="25" t="inlineStr">
        <is>
          <t>Nifty 50 pe</t>
        </is>
      </c>
      <c r="S11" s="25" t="inlineStr">
        <is>
          <t>US 10yr Bond</t>
        </is>
      </c>
      <c r="T11" s="25" t="inlineStr">
        <is>
          <t xml:space="preserve">India yr- US 10yr </t>
        </is>
      </c>
      <c r="U11" s="25" t="inlineStr">
        <is>
          <t>Dollar index</t>
        </is>
      </c>
      <c r="V11" s="25" t="inlineStr">
        <is>
          <t>PREITY Ratio</t>
        </is>
      </c>
      <c r="W11" s="25" t="inlineStr">
        <is>
          <t>91 day T Bill</t>
        </is>
      </c>
      <c r="X11" s="25" t="inlineStr">
        <is>
          <t>Nifty Midcap 150</t>
        </is>
      </c>
      <c r="Y11" s="25" t="inlineStr">
        <is>
          <t>Midcap 150 PE</t>
        </is>
      </c>
      <c r="Z11" s="25" t="inlineStr">
        <is>
          <t>Midcap EPS</t>
        </is>
      </c>
      <c r="AA11" s="25" t="inlineStr">
        <is>
          <t>Midcap Earning Yield</t>
        </is>
      </c>
      <c r="AB11" s="25" t="inlineStr">
        <is>
          <t>Nifty Smallcap 250</t>
        </is>
      </c>
      <c r="AC11" s="25" t="inlineStr">
        <is>
          <t>Smallcap 250 PE</t>
        </is>
      </c>
      <c r="AD11" s="25" t="inlineStr">
        <is>
          <t>Smallcap EPS</t>
        </is>
      </c>
      <c r="AE11" s="25" t="inlineStr">
        <is>
          <t>Smallcap Earning Yield</t>
        </is>
      </c>
    </row>
    <row r="12">
      <c r="A12" s="14" t="n">
        <v>1</v>
      </c>
      <c r="B12" s="9" t="n">
        <v>44795</v>
      </c>
      <c r="C12" s="24" t="n">
        <v>27395002.87</v>
      </c>
      <c r="D12" s="7">
        <f>C12/E12</f>
        <v/>
      </c>
      <c r="E12" s="7" t="n">
        <v>79.86</v>
      </c>
      <c r="F12" s="7">
        <f>D12/100000</f>
        <v/>
      </c>
      <c r="G12" s="7">
        <f>(D1-F12)/F12*100</f>
        <v/>
      </c>
      <c r="H12" s="7">
        <f>(D2-F12)/F12*100</f>
        <v/>
      </c>
      <c r="I12" s="7">
        <f>(D3-F12)/F12*100</f>
        <v/>
      </c>
      <c r="J12" s="7">
        <f>F12/D10*100</f>
        <v/>
      </c>
      <c r="K12" s="7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14" t="n"/>
      <c r="W12" s="14" t="n"/>
      <c r="X12" s="184" t="n"/>
      <c r="Y12" s="184" t="n"/>
      <c r="Z12" s="184" t="n"/>
      <c r="AA12" s="184" t="n"/>
      <c r="AB12" s="184" t="n"/>
      <c r="AC12" s="184" t="n"/>
      <c r="AD12" s="184" t="n"/>
      <c r="AE12" s="184" t="n"/>
    </row>
    <row r="13">
      <c r="A13" s="14" t="n">
        <v>2</v>
      </c>
      <c r="B13" s="9" t="n">
        <v>44796</v>
      </c>
      <c r="C13" s="24" t="n">
        <v>27528171.05</v>
      </c>
      <c r="D13" s="7">
        <f>C13/E13</f>
        <v/>
      </c>
      <c r="E13" s="7" t="n">
        <v>79.79000000000001</v>
      </c>
      <c r="F13" s="7">
        <f>D13/100000</f>
        <v/>
      </c>
      <c r="G13" s="7">
        <f>(D1-F13)/F13*100</f>
        <v/>
      </c>
      <c r="H13" s="7">
        <f>(D2-F13)/F13*100</f>
        <v/>
      </c>
      <c r="I13" s="7">
        <f>(D3-F13)/F13*100</f>
        <v/>
      </c>
      <c r="J13" s="7">
        <f>F13/D10*100</f>
        <v/>
      </c>
      <c r="K13" s="7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14" t="n"/>
      <c r="W13" s="14" t="n"/>
      <c r="X13" s="184" t="n"/>
      <c r="Y13" s="184" t="n"/>
      <c r="Z13" s="184" t="n"/>
      <c r="AA13" s="184" t="n"/>
      <c r="AB13" s="184" t="n"/>
      <c r="AC13" s="184" t="n"/>
      <c r="AD13" s="184" t="n"/>
      <c r="AE13" s="184" t="n"/>
    </row>
    <row r="14">
      <c r="A14" s="14" t="n">
        <v>3</v>
      </c>
      <c r="B14" s="9" t="n">
        <v>44797</v>
      </c>
      <c r="C14" s="7" t="n">
        <v>27616281.23</v>
      </c>
      <c r="D14" s="7">
        <f>C14/E14</f>
        <v/>
      </c>
      <c r="E14" s="7" t="n">
        <v>79.848</v>
      </c>
      <c r="F14" s="7">
        <f>D14/100000</f>
        <v/>
      </c>
      <c r="G14" s="7">
        <f>(D1-F14)/F14*100</f>
        <v/>
      </c>
      <c r="H14" s="7">
        <f>(D2-F14)/F14*100</f>
        <v/>
      </c>
      <c r="I14" s="7">
        <f>(D3-F14)/F14*100</f>
        <v/>
      </c>
      <c r="J14" s="7">
        <f>F14/D10*100</f>
        <v/>
      </c>
      <c r="K14" s="7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14" t="n"/>
      <c r="W14" s="14" t="n"/>
      <c r="X14" s="184" t="n"/>
      <c r="Y14" s="184" t="n"/>
      <c r="Z14" s="184" t="n"/>
      <c r="AA14" s="184" t="n"/>
      <c r="AB14" s="184" t="n"/>
      <c r="AC14" s="184" t="n"/>
      <c r="AD14" s="184" t="n"/>
      <c r="AE14" s="184" t="n"/>
    </row>
    <row r="15">
      <c r="A15" s="14" t="n">
        <v>4</v>
      </c>
      <c r="B15" s="9" t="n">
        <v>44798</v>
      </c>
      <c r="C15" s="7" t="n">
        <v>27584524.42</v>
      </c>
      <c r="D15" s="7">
        <f>C15/E15</f>
        <v/>
      </c>
      <c r="E15" s="7" t="n">
        <v>79.846</v>
      </c>
      <c r="F15" s="7">
        <f>D15/100000</f>
        <v/>
      </c>
      <c r="G15" s="7">
        <f>(D1-F15)/F15*100</f>
        <v/>
      </c>
      <c r="H15" s="7">
        <f>(D2-F15)/F15*100</f>
        <v/>
      </c>
      <c r="I15" s="7">
        <f>(D3-F15)/F15*100</f>
        <v/>
      </c>
      <c r="J15" s="7">
        <f>F15/D10*100</f>
        <v/>
      </c>
      <c r="K15" s="7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14" t="n"/>
      <c r="W15" s="14" t="n"/>
      <c r="X15" s="184" t="n"/>
      <c r="Y15" s="184" t="n"/>
      <c r="Z15" s="184" t="n"/>
      <c r="AA15" s="184" t="n"/>
      <c r="AB15" s="184" t="n"/>
      <c r="AC15" s="184" t="n"/>
      <c r="AD15" s="184" t="n"/>
      <c r="AE15" s="184" t="n"/>
    </row>
    <row r="16">
      <c r="A16" s="14" t="n">
        <v>5</v>
      </c>
      <c r="B16" s="9" t="n">
        <v>44799</v>
      </c>
      <c r="C16" s="7" t="n">
        <v>27696111.6</v>
      </c>
      <c r="D16" s="7">
        <f>C16/E16</f>
        <v/>
      </c>
      <c r="E16" s="7" t="n">
        <v>80.086</v>
      </c>
      <c r="F16" s="7">
        <f>D16/100000</f>
        <v/>
      </c>
      <c r="G16" s="7">
        <f>(D1-F16)/F16*100</f>
        <v/>
      </c>
      <c r="H16" s="7">
        <f>(D2-F16)/F16*100</f>
        <v/>
      </c>
      <c r="I16" s="7">
        <f>(D3-F16)/F16*100</f>
        <v/>
      </c>
      <c r="J16" s="7">
        <f>F16/D10*100</f>
        <v/>
      </c>
      <c r="K16" s="7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14" t="n"/>
      <c r="W16" s="14" t="n"/>
      <c r="X16" s="184" t="n"/>
      <c r="Y16" s="184" t="n"/>
      <c r="Z16" s="184" t="n"/>
      <c r="AA16" s="184" t="n"/>
      <c r="AB16" s="184" t="n"/>
      <c r="AC16" s="184" t="n"/>
      <c r="AD16" s="184" t="n"/>
      <c r="AE16" s="184" t="n"/>
    </row>
    <row r="17">
      <c r="A17" s="14" t="n">
        <v>6</v>
      </c>
      <c r="B17" s="9" t="n">
        <v>44802</v>
      </c>
      <c r="C17" s="7" t="n">
        <v>27456316.27</v>
      </c>
      <c r="D17" s="7">
        <f>C17/E17</f>
        <v/>
      </c>
      <c r="E17" s="7" t="n">
        <v>79.996</v>
      </c>
      <c r="F17" s="7">
        <f>D17/100000</f>
        <v/>
      </c>
      <c r="G17" s="7">
        <f>(D1-F17)/F17*100</f>
        <v/>
      </c>
      <c r="H17" s="7">
        <f>(D2-F17)/F17*100</f>
        <v/>
      </c>
      <c r="I17" s="7">
        <f>(D3-F17)/F17*100</f>
        <v/>
      </c>
      <c r="J17" s="7">
        <f>F17/D10*100</f>
        <v/>
      </c>
      <c r="K17" s="7">
        <f>N17/L17</f>
        <v/>
      </c>
      <c r="L17" s="4">
        <f>(M17/O17)*100</f>
        <v/>
      </c>
      <c r="M17" s="7" t="n">
        <v>837.76</v>
      </c>
      <c r="N17" s="7" t="n">
        <v>7.245</v>
      </c>
      <c r="O17" s="7" t="n">
        <v>17312</v>
      </c>
      <c r="P17" s="7" t="n">
        <v>4.05</v>
      </c>
      <c r="Q17" s="7">
        <f>N17-L17</f>
        <v/>
      </c>
      <c r="R17" s="22" t="n"/>
      <c r="S17" s="22" t="n"/>
      <c r="T17" s="22" t="n"/>
      <c r="U17" s="22" t="n"/>
      <c r="V17" s="14" t="n"/>
      <c r="W17" s="14" t="n"/>
      <c r="X17" s="184" t="n"/>
      <c r="Y17" s="184" t="n"/>
      <c r="Z17" s="184" t="n"/>
      <c r="AA17" s="184" t="n"/>
      <c r="AB17" s="184" t="n"/>
      <c r="AC17" s="184" t="n"/>
      <c r="AD17" s="184" t="n"/>
      <c r="AE17" s="184" t="n"/>
    </row>
    <row r="18">
      <c r="A18" s="14" t="n">
        <v>7</v>
      </c>
      <c r="B18" s="8" t="n">
        <v>44803</v>
      </c>
      <c r="C18" s="23" t="n">
        <v>28024622</v>
      </c>
      <c r="D18" s="7">
        <f>C18/E18</f>
        <v/>
      </c>
      <c r="E18" s="4" t="n">
        <v>79.52</v>
      </c>
      <c r="F18" s="7">
        <f>D18/100000</f>
        <v/>
      </c>
      <c r="G18" s="7">
        <f>(D1-F18)/F18*100</f>
        <v/>
      </c>
      <c r="H18" s="7">
        <f>(D2-F18)/F18*100</f>
        <v/>
      </c>
      <c r="I18" s="7">
        <f>(D3-F18)/F18*100</f>
        <v/>
      </c>
      <c r="J18" s="7">
        <f>F18/D10*100</f>
        <v/>
      </c>
      <c r="K18" s="7">
        <f>N18/L18</f>
        <v/>
      </c>
      <c r="L18" s="4">
        <f>(M18/O18)*100</f>
        <v/>
      </c>
      <c r="M18" s="4" t="n">
        <v>837.76</v>
      </c>
      <c r="N18" s="4" t="n">
        <v>7.189</v>
      </c>
      <c r="O18" s="4" t="n">
        <v>17759.3</v>
      </c>
      <c r="P18" s="4" t="n">
        <v>4.12</v>
      </c>
      <c r="Q18" s="7">
        <f>N18-L18</f>
        <v/>
      </c>
      <c r="R18" s="22" t="n"/>
      <c r="S18" s="22" t="n"/>
      <c r="T18" s="22" t="n"/>
      <c r="U18" s="22" t="n"/>
      <c r="V18" s="14" t="n"/>
      <c r="W18" s="14" t="n"/>
      <c r="X18" s="184" t="n"/>
      <c r="Y18" s="184" t="n"/>
      <c r="Z18" s="184" t="n"/>
      <c r="AA18" s="184" t="n"/>
      <c r="AB18" s="184" t="n"/>
      <c r="AC18" s="184" t="n"/>
      <c r="AD18" s="184" t="n"/>
      <c r="AE18" s="184" t="n"/>
    </row>
    <row r="19">
      <c r="A19" s="14" t="n">
        <v>8</v>
      </c>
      <c r="B19" s="9" t="n">
        <v>44805</v>
      </c>
      <c r="C19" s="7" t="n">
        <v>27875475</v>
      </c>
      <c r="D19" s="7">
        <f>C19/E19</f>
        <v/>
      </c>
      <c r="E19" s="7" t="n">
        <v>79.61</v>
      </c>
      <c r="F19" s="7">
        <f>D19/100000</f>
        <v/>
      </c>
      <c r="G19" s="7">
        <f>(D1-F19)/F19*100</f>
        <v/>
      </c>
      <c r="H19" s="7">
        <f>(D2-F19)/F19*100</f>
        <v/>
      </c>
      <c r="I19" s="7">
        <f>(D3-F19)/F19*100</f>
        <v/>
      </c>
      <c r="J19" s="7">
        <f>F19/D10*100</f>
        <v/>
      </c>
      <c r="K19" s="7">
        <f>N19/L19</f>
        <v/>
      </c>
      <c r="L19" s="4">
        <f>(M19/O19)*100</f>
        <v/>
      </c>
      <c r="M19" s="7" t="n">
        <v>837.76</v>
      </c>
      <c r="N19" s="4" t="n">
        <v>7.215</v>
      </c>
      <c r="O19" s="4" t="n">
        <v>17542.8</v>
      </c>
      <c r="P19" s="4" t="n">
        <v>4.07</v>
      </c>
      <c r="Q19" s="7">
        <f>N19-L19</f>
        <v/>
      </c>
      <c r="R19" s="22" t="n"/>
      <c r="S19" s="22" t="n"/>
      <c r="T19" s="22" t="n"/>
      <c r="U19" s="22" t="n"/>
      <c r="V19" s="14" t="n"/>
      <c r="W19" s="14" t="n"/>
      <c r="X19" s="184" t="n"/>
      <c r="Y19" s="184" t="n"/>
      <c r="Z19" s="184" t="n"/>
      <c r="AA19" s="184" t="n"/>
      <c r="AB19" s="184" t="n"/>
      <c r="AC19" s="184" t="n"/>
      <c r="AD19" s="184" t="n"/>
      <c r="AE19" s="184" t="n"/>
    </row>
    <row r="20">
      <c r="A20" s="14" t="n">
        <v>9</v>
      </c>
      <c r="B20" s="8" t="n">
        <v>44806</v>
      </c>
      <c r="C20" s="4" t="n">
        <v>27846733</v>
      </c>
      <c r="D20" s="4">
        <f>C20/E20</f>
        <v/>
      </c>
      <c r="E20" s="4" t="n">
        <v>79.84</v>
      </c>
      <c r="F20" s="4">
        <f>D20/100000</f>
        <v/>
      </c>
      <c r="G20" s="4">
        <f>(D1-F20)/F20*100</f>
        <v/>
      </c>
      <c r="H20" s="4">
        <f>(D2-F20)/F20*100</f>
        <v/>
      </c>
      <c r="I20" s="4">
        <f>(D3-F20)/F20*100</f>
        <v/>
      </c>
      <c r="J20" s="4">
        <f>F20/D10*100</f>
        <v/>
      </c>
      <c r="K20" s="4">
        <f>N20/L20</f>
        <v/>
      </c>
      <c r="L20" s="4">
        <f>(M20/O20)*100</f>
        <v/>
      </c>
      <c r="M20" s="4" t="n">
        <v>837.76</v>
      </c>
      <c r="N20" s="4" t="n">
        <v>7.235</v>
      </c>
      <c r="O20" s="4" t="n">
        <v>17539.45</v>
      </c>
      <c r="P20" s="4" t="n">
        <v>4.07</v>
      </c>
      <c r="Q20" s="7">
        <f>N20-L20</f>
        <v/>
      </c>
      <c r="R20" s="22" t="n"/>
      <c r="S20" s="22" t="n"/>
      <c r="T20" s="22" t="n"/>
      <c r="U20" s="22" t="n"/>
      <c r="V20" s="14" t="n"/>
      <c r="W20" s="14" t="n"/>
      <c r="X20" s="184" t="n"/>
      <c r="Y20" s="184" t="n"/>
      <c r="Z20" s="184" t="n"/>
      <c r="AA20" s="184" t="n"/>
      <c r="AB20" s="184" t="n"/>
      <c r="AC20" s="184" t="n"/>
      <c r="AD20" s="184" t="n"/>
      <c r="AE20" s="184" t="n"/>
    </row>
    <row r="21">
      <c r="A21" s="14" t="n">
        <v>10</v>
      </c>
      <c r="B21" s="8" t="n">
        <v>44809</v>
      </c>
      <c r="C21" s="4" t="n">
        <v>27982150</v>
      </c>
      <c r="D21" s="4">
        <f>C21/E21</f>
        <v/>
      </c>
      <c r="E21" s="4" t="n">
        <v>79.79000000000001</v>
      </c>
      <c r="F21" s="4">
        <f>D21/100000</f>
        <v/>
      </c>
      <c r="G21" s="4">
        <f>(D1-F21)/F21*100</f>
        <v/>
      </c>
      <c r="H21" s="4">
        <f>(D2-F21)/F21*100</f>
        <v/>
      </c>
      <c r="I21" s="4">
        <f>(D3-F21)/F21*100</f>
        <v/>
      </c>
      <c r="J21" s="4">
        <f>F21/D10*100</f>
        <v/>
      </c>
      <c r="K21" s="4">
        <f>N21/L21</f>
        <v/>
      </c>
      <c r="L21" s="4">
        <f>(M21/O21)*100</f>
        <v/>
      </c>
      <c r="M21" s="4" t="n">
        <v>838.4299999999999</v>
      </c>
      <c r="N21" s="4" t="n">
        <v>7.219</v>
      </c>
      <c r="O21" s="4" t="n">
        <v>17665.8</v>
      </c>
      <c r="P21" s="4" t="n">
        <v>4.1</v>
      </c>
      <c r="Q21" s="7">
        <f>N21-L21</f>
        <v/>
      </c>
      <c r="R21" s="22" t="n"/>
      <c r="S21" s="22" t="n"/>
      <c r="T21" s="22" t="n"/>
      <c r="U21" s="22" t="n"/>
      <c r="V21" s="14" t="n"/>
      <c r="W21" s="14" t="n"/>
      <c r="X21" s="184" t="n"/>
      <c r="Y21" s="184" t="n"/>
      <c r="Z21" s="184" t="n"/>
      <c r="AA21" s="184" t="n"/>
      <c r="AB21" s="184" t="n"/>
      <c r="AC21" s="184" t="n"/>
      <c r="AD21" s="184" t="n"/>
      <c r="AE21" s="184" t="n"/>
    </row>
    <row r="22">
      <c r="A22" s="14" t="n">
        <v>11</v>
      </c>
      <c r="B22" s="9" t="n">
        <v>44810</v>
      </c>
      <c r="C22" s="7" t="n">
        <v>28036303</v>
      </c>
      <c r="D22" s="7">
        <f>C22/E22</f>
        <v/>
      </c>
      <c r="E22" s="7" t="n">
        <v>79.78700000000001</v>
      </c>
      <c r="F22" s="7">
        <f>D22/100000</f>
        <v/>
      </c>
      <c r="G22" s="7">
        <f>(D1-F22)/F22*100</f>
        <v/>
      </c>
      <c r="H22" s="7">
        <f>(D2-F22)/F22*100</f>
        <v/>
      </c>
      <c r="I22" s="7">
        <f>(D3-F22)/F22*100</f>
        <v/>
      </c>
      <c r="J22" s="7">
        <f>F22/D10*100</f>
        <v/>
      </c>
      <c r="K22" s="4">
        <f>N22/L22</f>
        <v/>
      </c>
      <c r="L22" s="4">
        <f>(M22/O22)*100</f>
        <v/>
      </c>
      <c r="M22" s="7" t="n">
        <v>838.4299999999999</v>
      </c>
      <c r="N22" s="7" t="n">
        <v>7.181</v>
      </c>
      <c r="O22" s="7" t="n">
        <v>17655.6</v>
      </c>
      <c r="P22" s="7" t="n">
        <v>4.1</v>
      </c>
      <c r="Q22" s="7">
        <f>N22-L22</f>
        <v/>
      </c>
      <c r="R22" s="22" t="n"/>
      <c r="S22" s="22" t="n"/>
      <c r="T22" s="22" t="n"/>
      <c r="U22" s="22" t="n"/>
      <c r="V22" s="14" t="n"/>
      <c r="W22" s="14" t="n"/>
      <c r="X22" s="184" t="n"/>
      <c r="Y22" s="184" t="n"/>
      <c r="Z22" s="184" t="n"/>
      <c r="AA22" s="184" t="n"/>
      <c r="AB22" s="184" t="n"/>
      <c r="AC22" s="184" t="n"/>
      <c r="AD22" s="184" t="n"/>
      <c r="AE22" s="184" t="n"/>
    </row>
    <row r="23">
      <c r="A23" s="14" t="n">
        <v>12</v>
      </c>
      <c r="B23" s="9" t="n">
        <v>44811</v>
      </c>
      <c r="C23" s="7" t="n">
        <v>28089962</v>
      </c>
      <c r="D23" s="7">
        <f>C23/E23</f>
        <v/>
      </c>
      <c r="E23" s="7" t="n">
        <v>79.90000000000001</v>
      </c>
      <c r="F23" s="7">
        <f>D23/100000</f>
        <v/>
      </c>
      <c r="G23" s="7">
        <f>(D1-F23)/F23*100</f>
        <v/>
      </c>
      <c r="H23" s="7">
        <f>(D2-F23)/F23*100</f>
        <v/>
      </c>
      <c r="I23" s="7">
        <f>(D3-F23)/F23*100</f>
        <v/>
      </c>
      <c r="J23" s="7">
        <f>F23/D10*100</f>
        <v/>
      </c>
      <c r="K23" s="4">
        <f>N23/L23</f>
        <v/>
      </c>
      <c r="L23" s="4">
        <f>(M23/O23)*100</f>
        <v/>
      </c>
      <c r="M23" s="7" t="n">
        <v>837.66</v>
      </c>
      <c r="N23" s="4" t="n">
        <v>7.184</v>
      </c>
      <c r="O23" s="4" t="n">
        <v>17624.4</v>
      </c>
      <c r="P23" s="4" t="n">
        <v>4.1</v>
      </c>
      <c r="Q23" s="7">
        <f>N23-L23</f>
        <v/>
      </c>
      <c r="R23" s="22" t="n"/>
      <c r="S23" s="22" t="n"/>
      <c r="T23" s="22" t="n"/>
      <c r="U23" s="22" t="n"/>
      <c r="V23" s="14" t="n"/>
      <c r="W23" s="14" t="n"/>
      <c r="X23" s="184" t="n"/>
      <c r="Y23" s="184" t="n"/>
      <c r="Z23" s="184" t="n"/>
      <c r="AA23" s="184" t="n"/>
      <c r="AB23" s="184" t="n"/>
      <c r="AC23" s="184" t="n"/>
      <c r="AD23" s="184" t="n"/>
      <c r="AE23" s="184" t="n"/>
    </row>
    <row r="24">
      <c r="A24" s="14" t="n">
        <v>13</v>
      </c>
      <c r="B24" s="8" t="n">
        <v>44812</v>
      </c>
      <c r="C24" s="4" t="n">
        <v>28279904.31</v>
      </c>
      <c r="D24" s="4">
        <f>C24/E24</f>
        <v/>
      </c>
      <c r="E24" s="4" t="n">
        <v>79.7</v>
      </c>
      <c r="F24" s="4">
        <f>D24/100000</f>
        <v/>
      </c>
      <c r="G24" s="4">
        <f>(D1-F24)/F24*100</f>
        <v/>
      </c>
      <c r="H24" s="4">
        <f>(D2-F24)/F24*100</f>
        <v/>
      </c>
      <c r="I24" s="4">
        <f>(D3-F24)/F24*100</f>
        <v/>
      </c>
      <c r="J24" s="4">
        <f>F24/D10*100</f>
        <v/>
      </c>
      <c r="K24" s="4">
        <f>N24/L24</f>
        <v/>
      </c>
      <c r="L24" s="4">
        <f>(M24/O24)*100</f>
        <v/>
      </c>
      <c r="M24" s="4" t="n">
        <v>837.58</v>
      </c>
      <c r="N24" s="4" t="n">
        <v>7.135</v>
      </c>
      <c r="O24" s="4" t="n">
        <v>17798.75</v>
      </c>
      <c r="P24" s="4" t="n">
        <v>4.13</v>
      </c>
      <c r="Q24" s="7">
        <f>N24-L24</f>
        <v/>
      </c>
      <c r="R24" s="22" t="n"/>
      <c r="S24" s="22" t="n"/>
      <c r="T24" s="22" t="n"/>
      <c r="U24" s="22" t="n"/>
      <c r="V24" s="14" t="n"/>
      <c r="W24" s="14" t="n"/>
      <c r="X24" s="184" t="n"/>
      <c r="Y24" s="184" t="n"/>
      <c r="Z24" s="184" t="n"/>
      <c r="AA24" s="184" t="n"/>
      <c r="AB24" s="184" t="n"/>
      <c r="AC24" s="184" t="n"/>
      <c r="AD24" s="184" t="n"/>
      <c r="AE24" s="184" t="n"/>
    </row>
    <row r="25">
      <c r="A25" s="14" t="n">
        <v>14</v>
      </c>
      <c r="B25" s="9" t="n">
        <v>44813</v>
      </c>
      <c r="C25" s="7" t="n">
        <v>28301067</v>
      </c>
      <c r="D25" s="4">
        <f>C25/E25</f>
        <v/>
      </c>
      <c r="E25" s="7" t="n">
        <v>79.56</v>
      </c>
      <c r="F25" s="4">
        <f>D25/100000</f>
        <v/>
      </c>
      <c r="G25" s="4">
        <f>(D1-F25)/F25*100</f>
        <v/>
      </c>
      <c r="H25" s="4">
        <f>(D2-F25)/F25*100</f>
        <v/>
      </c>
      <c r="I25" s="4">
        <f>(D3-F25)/F25*100</f>
        <v/>
      </c>
      <c r="J25" s="4">
        <f>F25/D10*100</f>
        <v/>
      </c>
      <c r="K25" s="7">
        <f>N25/L25</f>
        <v/>
      </c>
      <c r="L25" s="4">
        <f>(M25/O25)*100</f>
        <v/>
      </c>
      <c r="M25" s="4" t="n">
        <v>837.63</v>
      </c>
      <c r="N25" s="4" t="n">
        <v>7.169</v>
      </c>
      <c r="O25" s="4" t="n">
        <v>17833.35</v>
      </c>
      <c r="P25" s="7" t="n">
        <v>4.13</v>
      </c>
      <c r="Q25" s="7">
        <f>N25-L25</f>
        <v/>
      </c>
      <c r="R25" s="22" t="n"/>
      <c r="S25" s="22" t="n"/>
      <c r="T25" s="22" t="n"/>
      <c r="U25" s="22" t="n"/>
      <c r="V25" s="14" t="n"/>
      <c r="W25" s="14" t="n"/>
      <c r="X25" s="184" t="n"/>
      <c r="Y25" s="184" t="n"/>
      <c r="Z25" s="184" t="n"/>
      <c r="AA25" s="184" t="n"/>
      <c r="AB25" s="184" t="n"/>
      <c r="AC25" s="184" t="n"/>
      <c r="AD25" s="184" t="n"/>
      <c r="AE25" s="184" t="n"/>
    </row>
    <row r="26">
      <c r="A26" s="14" t="n">
        <v>15</v>
      </c>
      <c r="B26" s="9" t="n">
        <v>44816</v>
      </c>
      <c r="C26" s="21" t="n">
        <v>28526694</v>
      </c>
      <c r="D26" s="4">
        <f>C26/E26</f>
        <v/>
      </c>
      <c r="E26" s="7" t="n">
        <v>79.68000000000001</v>
      </c>
      <c r="F26" s="4">
        <f>D26/100000</f>
        <v/>
      </c>
      <c r="G26" s="4">
        <f>(D1-F26)/F26*100</f>
        <v/>
      </c>
      <c r="H26" s="4">
        <f>(D2-F26)/F26*100</f>
        <v/>
      </c>
      <c r="I26" s="4">
        <f>(D3-F26)/F26*100</f>
        <v/>
      </c>
      <c r="J26" s="4">
        <f>F26/D10*100</f>
        <v/>
      </c>
      <c r="K26" s="7">
        <f>N26/L26</f>
        <v/>
      </c>
      <c r="L26" s="4">
        <f>(M26/O26)*100</f>
        <v/>
      </c>
      <c r="M26" s="7" t="n">
        <v>837.75</v>
      </c>
      <c r="N26" s="7" t="n">
        <v>7.185</v>
      </c>
      <c r="O26" s="7" t="n">
        <v>17936.35</v>
      </c>
      <c r="P26" s="4" t="n">
        <v>4.16</v>
      </c>
      <c r="Q26" s="7">
        <f>N26-L26</f>
        <v/>
      </c>
      <c r="R26" s="22" t="n"/>
      <c r="S26" s="22" t="n"/>
      <c r="T26" s="22" t="n"/>
      <c r="U26" s="22" t="n"/>
      <c r="V26" s="14" t="n"/>
      <c r="W26" s="14" t="n"/>
      <c r="X26" s="184" t="n"/>
      <c r="Y26" s="184" t="n"/>
      <c r="Z26" s="184" t="n"/>
      <c r="AA26" s="184" t="n"/>
      <c r="AB26" s="184" t="n"/>
      <c r="AC26" s="184" t="n"/>
      <c r="AD26" s="184" t="n"/>
      <c r="AE26" s="184" t="n"/>
    </row>
    <row r="27">
      <c r="A27" s="14" t="n">
        <v>16</v>
      </c>
      <c r="B27" s="9" t="n">
        <v>44817</v>
      </c>
      <c r="C27" s="7" t="n">
        <v>28671194</v>
      </c>
      <c r="D27" s="4">
        <f>C27/E27</f>
        <v/>
      </c>
      <c r="E27" s="7" t="n">
        <v>79.45</v>
      </c>
      <c r="F27" s="4">
        <f>D27/100000</f>
        <v/>
      </c>
      <c r="G27" s="4">
        <f>(D1-F27)/F27*100</f>
        <v/>
      </c>
      <c r="H27" s="4">
        <f>(D2-F27)/F27*100</f>
        <v/>
      </c>
      <c r="I27" s="4">
        <f>(D3-F27)/F27*100</f>
        <v/>
      </c>
      <c r="J27" s="4">
        <f>F27/D10*100</f>
        <v/>
      </c>
      <c r="K27" s="7">
        <f>N27/L27</f>
        <v/>
      </c>
      <c r="L27" s="4">
        <f>(M27/O27)*100</f>
        <v/>
      </c>
      <c r="M27" s="7" t="n">
        <v>837.74</v>
      </c>
      <c r="N27" s="7" t="n">
        <v>7.109</v>
      </c>
      <c r="O27" s="7" t="n">
        <v>18070.05</v>
      </c>
      <c r="P27" s="4" t="n">
        <v>4.19</v>
      </c>
      <c r="Q27" s="7">
        <f>N27-L27</f>
        <v/>
      </c>
      <c r="R27" s="22" t="n"/>
      <c r="S27" s="22" t="n"/>
      <c r="T27" s="22" t="n"/>
      <c r="U27" s="22" t="n"/>
      <c r="V27" s="14" t="n"/>
      <c r="W27" s="14" t="n"/>
      <c r="X27" s="184" t="n"/>
      <c r="Y27" s="184" t="n"/>
      <c r="Z27" s="184" t="n"/>
      <c r="AA27" s="184" t="n"/>
      <c r="AB27" s="184" t="n"/>
      <c r="AC27" s="184" t="n"/>
      <c r="AD27" s="184" t="n"/>
      <c r="AE27" s="184" t="n"/>
    </row>
    <row r="28">
      <c r="A28" s="14" t="n">
        <v>17</v>
      </c>
      <c r="B28" s="9" t="n">
        <v>44818</v>
      </c>
      <c r="C28" s="7" t="n">
        <v>28594672</v>
      </c>
      <c r="D28" s="7">
        <f>C28/E28</f>
        <v/>
      </c>
      <c r="E28" s="7" t="n">
        <v>79.45</v>
      </c>
      <c r="F28" s="7">
        <f>D28/100000</f>
        <v/>
      </c>
      <c r="G28" s="4">
        <f>(D1-F28)/F28*100</f>
        <v/>
      </c>
      <c r="H28" s="4">
        <f>(D2-F28)/F28*100</f>
        <v/>
      </c>
      <c r="I28" s="4">
        <f>(D3-F28)/F28*100</f>
        <v/>
      </c>
      <c r="J28" s="4">
        <f>F28/D10*100</f>
        <v/>
      </c>
      <c r="K28" s="7">
        <f>N28/L28</f>
        <v/>
      </c>
      <c r="L28" s="4">
        <f>(M28/O28)*100</f>
        <v/>
      </c>
      <c r="M28" s="7" t="n">
        <v>837.77</v>
      </c>
      <c r="N28" s="7" t="n">
        <v>7.155</v>
      </c>
      <c r="O28" s="7" t="n">
        <v>18003.75</v>
      </c>
      <c r="P28" s="7" t="n">
        <v>4.18</v>
      </c>
      <c r="Q28" s="7">
        <f>N28-L28</f>
        <v/>
      </c>
      <c r="R28" s="22" t="n"/>
      <c r="S28" s="22" t="n"/>
      <c r="T28" s="22" t="n"/>
      <c r="U28" s="22" t="n"/>
      <c r="V28" s="14" t="n"/>
      <c r="W28" s="14" t="n"/>
      <c r="X28" s="184" t="n"/>
      <c r="Y28" s="184" t="n"/>
      <c r="Z28" s="184" t="n"/>
      <c r="AA28" s="184" t="n"/>
      <c r="AB28" s="184" t="n"/>
      <c r="AC28" s="184" t="n"/>
      <c r="AD28" s="184" t="n"/>
      <c r="AE28" s="184" t="n"/>
    </row>
    <row r="29">
      <c r="A29" s="14" t="n">
        <v>18</v>
      </c>
      <c r="B29" s="9" t="n">
        <v>44819</v>
      </c>
      <c r="C29" s="7" t="n">
        <v>28587353</v>
      </c>
      <c r="D29" s="7">
        <f>C29/E29</f>
        <v/>
      </c>
      <c r="E29" s="7" t="n">
        <v>79.84</v>
      </c>
      <c r="F29" s="7">
        <f>D29/100000</f>
        <v/>
      </c>
      <c r="G29" s="4">
        <f>(D1-F29)/F29*100</f>
        <v/>
      </c>
      <c r="H29" s="4">
        <f>(D2-F29)/F29*100</f>
        <v/>
      </c>
      <c r="I29" s="4">
        <f>(D3-F29)/F29*100</f>
        <v/>
      </c>
      <c r="J29" s="4">
        <f>F29/D10*100</f>
        <v/>
      </c>
      <c r="K29" s="7">
        <f>N29/L29</f>
        <v/>
      </c>
      <c r="L29" s="4">
        <f>(M29/O29)*100</f>
        <v/>
      </c>
      <c r="M29" s="7" t="n">
        <v>837.74</v>
      </c>
      <c r="N29" s="7" t="n">
        <v>7.238</v>
      </c>
      <c r="O29" s="7" t="n">
        <v>17877.4</v>
      </c>
      <c r="P29" s="7" t="n">
        <v>4.15</v>
      </c>
      <c r="Q29" s="7">
        <f>N29-L29</f>
        <v/>
      </c>
      <c r="R29" s="22" t="n"/>
      <c r="S29" s="22" t="n"/>
      <c r="T29" s="22" t="n"/>
      <c r="U29" s="22" t="n"/>
      <c r="V29" s="14" t="n"/>
      <c r="W29" s="14" t="n"/>
      <c r="X29" s="184" t="n"/>
      <c r="Y29" s="184" t="n"/>
      <c r="Z29" s="184" t="n"/>
      <c r="AA29" s="184" t="n"/>
      <c r="AB29" s="184" t="n"/>
      <c r="AC29" s="184" t="n"/>
      <c r="AD29" s="184" t="n"/>
      <c r="AE29" s="184" t="n"/>
    </row>
    <row r="30">
      <c r="A30" s="14" t="n">
        <v>19</v>
      </c>
      <c r="B30" s="9" t="n">
        <v>44820</v>
      </c>
      <c r="C30" s="7" t="n">
        <v>27968822</v>
      </c>
      <c r="D30" s="7">
        <f>C30/E30</f>
        <v/>
      </c>
      <c r="E30" s="7" t="n">
        <v>79.72</v>
      </c>
      <c r="F30" s="7">
        <f>D30/100000</f>
        <v/>
      </c>
      <c r="G30" s="4">
        <f>(D1-F30)/F30*100</f>
        <v/>
      </c>
      <c r="H30" s="4">
        <f>(D2-F30)/F30*100</f>
        <v/>
      </c>
      <c r="I30" s="4">
        <f>(D3-F30)/F30*100</f>
        <v/>
      </c>
      <c r="J30" s="4">
        <f>F30/D10*100</f>
        <v/>
      </c>
      <c r="K30" s="7">
        <f>N30/L30</f>
        <v/>
      </c>
      <c r="L30" s="4">
        <f>(M30/O30)*100</f>
        <v/>
      </c>
      <c r="M30" s="7" t="n">
        <v>837.59</v>
      </c>
      <c r="N30" s="7" t="n">
        <v>7.266</v>
      </c>
      <c r="O30" s="7" t="n">
        <v>17530.85</v>
      </c>
      <c r="P30" s="7" t="n">
        <v>4.07</v>
      </c>
      <c r="Q30" s="7">
        <f>N30-L30</f>
        <v/>
      </c>
      <c r="R30" s="22" t="n"/>
      <c r="S30" s="22" t="n"/>
      <c r="T30" s="22" t="n"/>
      <c r="U30" s="22" t="n"/>
      <c r="V30" s="14" t="n"/>
      <c r="W30" s="14" t="n"/>
      <c r="X30" s="184" t="n"/>
      <c r="Y30" s="184" t="n"/>
      <c r="Z30" s="184" t="n"/>
      <c r="AA30" s="184" t="n"/>
      <c r="AB30" s="184" t="n"/>
      <c r="AC30" s="184" t="n"/>
      <c r="AD30" s="184" t="n"/>
      <c r="AE30" s="184" t="n"/>
    </row>
    <row r="31">
      <c r="A31" s="14" t="n">
        <v>20</v>
      </c>
      <c r="B31" s="9" t="n">
        <v>44823</v>
      </c>
      <c r="C31" s="7" t="n">
        <v>28060174</v>
      </c>
      <c r="D31" s="7">
        <f>C31/E31</f>
        <v/>
      </c>
      <c r="E31" s="7" t="n">
        <v>79.73999999999999</v>
      </c>
      <c r="F31" s="7">
        <f>D31/100000</f>
        <v/>
      </c>
      <c r="G31" s="4">
        <f>(D1-F31)/F31*100</f>
        <v/>
      </c>
      <c r="H31" s="4">
        <f>(D2-F31)/F31*100</f>
        <v/>
      </c>
      <c r="I31" s="4">
        <f>(D3-F31)/F31*100</f>
        <v/>
      </c>
      <c r="J31" s="4">
        <f>F31/D10*100</f>
        <v/>
      </c>
      <c r="K31" s="7">
        <f>N31/L31</f>
        <v/>
      </c>
      <c r="L31" s="7">
        <f>(M31/O31)*100</f>
        <v/>
      </c>
      <c r="M31" s="7" t="n">
        <v>837.55</v>
      </c>
      <c r="N31" s="7" t="n">
        <v>7.279</v>
      </c>
      <c r="O31" s="7" t="n">
        <v>17622.25</v>
      </c>
      <c r="P31" s="7" t="n">
        <v>4.09</v>
      </c>
      <c r="Q31" s="7">
        <f>N31-L31</f>
        <v/>
      </c>
      <c r="R31" s="22" t="n"/>
      <c r="S31" s="22" t="n"/>
      <c r="T31" s="22" t="n"/>
      <c r="U31" s="22" t="n"/>
      <c r="V31" s="14" t="n"/>
      <c r="W31" s="14" t="n"/>
      <c r="X31" s="184" t="n"/>
      <c r="Y31" s="184" t="n"/>
      <c r="Z31" s="184" t="n"/>
      <c r="AA31" s="184" t="n"/>
      <c r="AB31" s="184" t="n"/>
      <c r="AC31" s="184" t="n"/>
      <c r="AD31" s="184" t="n"/>
      <c r="AE31" s="184" t="n"/>
    </row>
    <row r="32">
      <c r="A32" s="14" t="n">
        <v>21</v>
      </c>
      <c r="B32" s="9" t="n">
        <v>44824</v>
      </c>
      <c r="C32" s="7" t="n">
        <v>28342214</v>
      </c>
      <c r="D32" s="7">
        <f>C32/E32</f>
        <v/>
      </c>
      <c r="E32" s="7" t="n">
        <v>79.7</v>
      </c>
      <c r="F32" s="7">
        <f>D32/100000</f>
        <v/>
      </c>
      <c r="G32" s="4">
        <f>(D1-F32)/F32*100</f>
        <v/>
      </c>
      <c r="H32" s="4">
        <f>(D2-F32)/F32*100</f>
        <v/>
      </c>
      <c r="I32" s="4">
        <f>(D3-F32)/F32*100</f>
        <v/>
      </c>
      <c r="J32" s="4">
        <f>F32/D10*100</f>
        <v/>
      </c>
      <c r="K32" s="7">
        <f>N32/L32</f>
        <v/>
      </c>
      <c r="L32" s="7">
        <f>(M32/O32)*100</f>
        <v/>
      </c>
      <c r="M32" s="7" t="n">
        <v>837.62</v>
      </c>
      <c r="N32" s="7" t="n">
        <v>7.296</v>
      </c>
      <c r="O32" s="7" t="n">
        <v>17816.25</v>
      </c>
      <c r="P32" s="7" t="n">
        <v>4.13</v>
      </c>
      <c r="Q32" s="7">
        <f>N32-L32</f>
        <v/>
      </c>
      <c r="R32" s="22" t="n"/>
      <c r="S32" s="22" t="n"/>
      <c r="T32" s="22" t="n"/>
      <c r="U32" s="22" t="n"/>
      <c r="V32" s="14" t="n"/>
      <c r="W32" s="14" t="n"/>
      <c r="X32" s="184" t="n"/>
      <c r="Y32" s="184" t="n"/>
      <c r="Z32" s="184" t="n"/>
      <c r="AA32" s="184" t="n"/>
      <c r="AB32" s="184" t="n"/>
      <c r="AC32" s="184" t="n"/>
      <c r="AD32" s="184" t="n"/>
      <c r="AE32" s="184" t="n"/>
    </row>
    <row r="33">
      <c r="A33" s="14" t="n">
        <v>22</v>
      </c>
      <c r="B33" s="9" t="n">
        <v>44825</v>
      </c>
      <c r="C33" s="7" t="n">
        <v>28117658</v>
      </c>
      <c r="D33" s="7">
        <f>C33/E33</f>
        <v/>
      </c>
      <c r="E33" s="7" t="n">
        <v>79.93000000000001</v>
      </c>
      <c r="F33" s="7">
        <f>D33/100000</f>
        <v/>
      </c>
      <c r="G33" s="4">
        <f>(D1-F33)/F33*100</f>
        <v/>
      </c>
      <c r="H33" s="4">
        <f>(D2-F33)/F33*100</f>
        <v/>
      </c>
      <c r="I33" s="4">
        <f>(D3-F33)/F33*100</f>
        <v/>
      </c>
      <c r="J33" s="4">
        <f>F33/D10*100</f>
        <v/>
      </c>
      <c r="K33" s="7">
        <f>N33/L33</f>
        <v/>
      </c>
      <c r="L33" s="7">
        <f>(M33/O33)*100</f>
        <v/>
      </c>
      <c r="M33" s="7" t="n">
        <v>837.74</v>
      </c>
      <c r="N33" s="7" t="n">
        <v>7.26</v>
      </c>
      <c r="O33" s="7" t="n">
        <v>17718.35</v>
      </c>
      <c r="P33" s="7" t="n">
        <v>4.11</v>
      </c>
      <c r="Q33" s="7">
        <f>N33-L33</f>
        <v/>
      </c>
      <c r="R33" s="22" t="n"/>
      <c r="S33" s="22" t="n"/>
      <c r="T33" s="22" t="n"/>
      <c r="U33" s="22" t="n"/>
      <c r="V33" s="14" t="n"/>
      <c r="W33" s="14" t="n"/>
      <c r="X33" s="184" t="n"/>
      <c r="Y33" s="184" t="n"/>
      <c r="Z33" s="184" t="n"/>
      <c r="AA33" s="184" t="n"/>
      <c r="AB33" s="184" t="n"/>
      <c r="AC33" s="184" t="n"/>
      <c r="AD33" s="184" t="n"/>
      <c r="AE33" s="184" t="n"/>
    </row>
    <row r="34">
      <c r="A34" s="14" t="n">
        <v>23</v>
      </c>
      <c r="B34" s="9" t="n">
        <v>44826</v>
      </c>
      <c r="C34" s="7" t="n">
        <v>28154729</v>
      </c>
      <c r="D34" s="7">
        <f>C34/E34</f>
        <v/>
      </c>
      <c r="E34" s="7" t="n">
        <v>80.88</v>
      </c>
      <c r="F34" s="7">
        <f>D34/100000</f>
        <v/>
      </c>
      <c r="G34" s="4">
        <f>(D1-F34)/F34*100</f>
        <v/>
      </c>
      <c r="H34" s="4">
        <f>(D2-F34)/F34*100</f>
        <v/>
      </c>
      <c r="I34" s="4">
        <f>(D3-F34)/F34*100</f>
        <v/>
      </c>
      <c r="J34" s="4">
        <f>F34/D10*100</f>
        <v/>
      </c>
      <c r="K34" s="7">
        <f>N34/L34</f>
        <v/>
      </c>
      <c r="L34" s="7">
        <f>(M34/O34)*100</f>
        <v/>
      </c>
      <c r="M34" s="7" t="n">
        <v>837.52</v>
      </c>
      <c r="N34" s="7" t="n">
        <v>7.233</v>
      </c>
      <c r="O34" s="7" t="n">
        <v>17629.8</v>
      </c>
      <c r="P34" s="7" t="n">
        <v>4.09</v>
      </c>
      <c r="Q34" s="7">
        <f>N34-L34</f>
        <v/>
      </c>
      <c r="R34" s="22" t="n"/>
      <c r="S34" s="22" t="n"/>
      <c r="T34" s="22" t="n"/>
      <c r="U34" s="22" t="n"/>
      <c r="V34" s="14" t="n"/>
      <c r="W34" s="14" t="n"/>
      <c r="X34" s="184" t="n"/>
      <c r="Y34" s="184" t="n"/>
      <c r="Z34" s="184" t="n"/>
      <c r="AA34" s="184" t="n"/>
      <c r="AB34" s="184" t="n"/>
      <c r="AC34" s="184" t="n"/>
      <c r="AD34" s="184" t="n"/>
      <c r="AE34" s="184" t="n"/>
    </row>
    <row r="35">
      <c r="A35" s="14" t="n">
        <v>24</v>
      </c>
      <c r="B35" s="9" t="n">
        <v>44827</v>
      </c>
      <c r="C35" s="4" t="n">
        <v>27664567</v>
      </c>
      <c r="D35" s="7">
        <f>C35/E35</f>
        <v/>
      </c>
      <c r="E35" s="7" t="n">
        <v>81.06</v>
      </c>
      <c r="F35" s="7">
        <f>D35/100000</f>
        <v/>
      </c>
      <c r="G35" s="4">
        <f>(D1-F35)/F35*100</f>
        <v/>
      </c>
      <c r="H35" s="4">
        <f>(D2-F35)/F35*100</f>
        <v/>
      </c>
      <c r="I35" s="4">
        <f>(D3-F35)/F35*100</f>
        <v/>
      </c>
      <c r="J35" s="4">
        <f>F35/D10*100</f>
        <v/>
      </c>
      <c r="K35" s="7">
        <f>N35/L35</f>
        <v/>
      </c>
      <c r="L35" s="7">
        <f>(M35/O35)*100</f>
        <v/>
      </c>
      <c r="M35" s="7" t="n">
        <v>837.47</v>
      </c>
      <c r="N35" s="7" t="n">
        <v>7.393</v>
      </c>
      <c r="O35" s="7" t="n">
        <v>17327.35</v>
      </c>
      <c r="P35" s="7" t="n">
        <v>4.02</v>
      </c>
      <c r="Q35" s="7">
        <f>N35-L35</f>
        <v/>
      </c>
      <c r="R35" s="22" t="n"/>
      <c r="S35" s="22" t="n"/>
      <c r="T35" s="22" t="n"/>
      <c r="U35" s="22" t="n"/>
      <c r="V35" s="14" t="n"/>
      <c r="W35" s="14" t="n"/>
      <c r="X35" s="184" t="n"/>
      <c r="Y35" s="184" t="n"/>
      <c r="Z35" s="184" t="n"/>
      <c r="AA35" s="184" t="n"/>
      <c r="AB35" s="184" t="n"/>
      <c r="AC35" s="184" t="n"/>
      <c r="AD35" s="184" t="n"/>
      <c r="AE35" s="184" t="n"/>
    </row>
    <row r="36">
      <c r="A36" s="14" t="n">
        <v>25</v>
      </c>
      <c r="B36" s="9" t="n">
        <v>44830</v>
      </c>
      <c r="C36" s="7" t="n">
        <v>27011460</v>
      </c>
      <c r="D36" s="7">
        <f>C36/E36</f>
        <v/>
      </c>
      <c r="E36" s="7" t="n">
        <v>81.59999999999999</v>
      </c>
      <c r="F36" s="7">
        <f>D36/100000</f>
        <v/>
      </c>
      <c r="G36" s="4">
        <f>(D1-F36)/F36*100</f>
        <v/>
      </c>
      <c r="H36" s="4">
        <f>(D2-F36)/F36*100</f>
        <v/>
      </c>
      <c r="I36" s="4">
        <f>(D3-F36)/F36*100</f>
        <v/>
      </c>
      <c r="J36" s="4">
        <f>F36/D10*100</f>
        <v/>
      </c>
      <c r="K36" s="7">
        <f>N36/L36</f>
        <v/>
      </c>
      <c r="L36" s="7">
        <f>(M36/O36)*100</f>
        <v/>
      </c>
      <c r="M36" s="7" t="n">
        <v>837.8200000000001</v>
      </c>
      <c r="N36" s="7" t="n">
        <v>7.366</v>
      </c>
      <c r="O36" s="7" t="n">
        <v>17016.3</v>
      </c>
      <c r="P36" s="7" t="n">
        <v>3.95</v>
      </c>
      <c r="Q36" s="7">
        <f>N36-L36</f>
        <v/>
      </c>
      <c r="R36" s="22" t="n"/>
      <c r="S36" s="22" t="n"/>
      <c r="T36" s="22" t="n"/>
      <c r="U36" s="22" t="n"/>
      <c r="V36" s="14" t="n"/>
      <c r="W36" s="14" t="n"/>
      <c r="X36" s="184" t="n"/>
      <c r="Y36" s="184" t="n"/>
      <c r="Z36" s="184" t="n"/>
      <c r="AA36" s="184" t="n"/>
      <c r="AB36" s="184" t="n"/>
      <c r="AC36" s="184" t="n"/>
      <c r="AD36" s="184" t="n"/>
      <c r="AE36" s="184" t="n"/>
    </row>
    <row r="37">
      <c r="A37" s="14" t="n">
        <v>26</v>
      </c>
      <c r="B37" s="9" t="n">
        <v>44831</v>
      </c>
      <c r="C37" s="7" t="n">
        <v>27016183</v>
      </c>
      <c r="D37" s="7">
        <f>C37/E37</f>
        <v/>
      </c>
      <c r="E37" s="7" t="n">
        <v>81.56999999999999</v>
      </c>
      <c r="F37" s="7">
        <f>D37/100000</f>
        <v/>
      </c>
      <c r="G37" s="4">
        <f>(D1-F37)/F37*100</f>
        <v/>
      </c>
      <c r="H37" s="4">
        <f>(D2-F37)/F37*100</f>
        <v/>
      </c>
      <c r="I37" s="4">
        <f>(D3-F37)/F37*100</f>
        <v/>
      </c>
      <c r="J37" s="4">
        <f>F37/D10*100</f>
        <v/>
      </c>
      <c r="K37" s="7">
        <f>N37/L37</f>
        <v/>
      </c>
      <c r="L37" s="7">
        <f>(M37/O37)*100</f>
        <v/>
      </c>
      <c r="M37" s="7" t="n">
        <v>837.8</v>
      </c>
      <c r="N37" s="7" t="n">
        <v>7.297</v>
      </c>
      <c r="O37" s="7" t="n">
        <v>17007.4</v>
      </c>
      <c r="P37" s="7" t="n">
        <v>3.95</v>
      </c>
      <c r="Q37" s="7">
        <f>N37-L37</f>
        <v/>
      </c>
      <c r="R37" s="22" t="n"/>
      <c r="S37" s="22" t="n"/>
      <c r="T37" s="22" t="n"/>
      <c r="U37" s="22" t="n"/>
      <c r="V37" s="14" t="n"/>
      <c r="W37" s="14" t="n"/>
      <c r="X37" s="184" t="n"/>
      <c r="Y37" s="184" t="n"/>
      <c r="Z37" s="184" t="n"/>
      <c r="AA37" s="184" t="n"/>
      <c r="AB37" s="184" t="n"/>
      <c r="AC37" s="184" t="n"/>
      <c r="AD37" s="184" t="n"/>
      <c r="AE37" s="184" t="n"/>
    </row>
    <row r="38">
      <c r="A38" s="14" t="n">
        <v>27</v>
      </c>
      <c r="B38" s="8" t="n">
        <v>44832</v>
      </c>
      <c r="C38" s="7" t="n">
        <v>26842958</v>
      </c>
      <c r="D38" s="7">
        <f>C38/E38</f>
        <v/>
      </c>
      <c r="E38" s="7" t="n">
        <v>81.72</v>
      </c>
      <c r="F38" s="7">
        <f>D38/100000</f>
        <v/>
      </c>
      <c r="G38" s="4">
        <f>($D$1-F38)/F38*100</f>
        <v/>
      </c>
      <c r="H38" s="4">
        <f>($D$2-F38)/F38*100</f>
        <v/>
      </c>
      <c r="I38" s="4">
        <f>(D3-F38)/F38*100</f>
        <v/>
      </c>
      <c r="J38" s="4">
        <f>F38/$D$10*100</f>
        <v/>
      </c>
      <c r="K38" s="7">
        <f>N38/L38</f>
        <v/>
      </c>
      <c r="L38" s="7">
        <f>(M38/O38)*100</f>
        <v/>
      </c>
      <c r="M38" s="7">
        <f>O38/R38</f>
        <v/>
      </c>
      <c r="N38" s="7" t="n">
        <v>7.333</v>
      </c>
      <c r="O38" s="7" t="n">
        <v>16858.6</v>
      </c>
      <c r="P38" s="7" t="n">
        <v>3.91</v>
      </c>
      <c r="Q38" s="7">
        <f>N38-L38</f>
        <v/>
      </c>
      <c r="R38" s="7" t="n">
        <v>20.13</v>
      </c>
      <c r="S38" s="7" t="n">
        <v>3.707</v>
      </c>
      <c r="T38" s="7">
        <f>N38-S38</f>
        <v/>
      </c>
      <c r="U38" s="22" t="n"/>
      <c r="V38" s="14" t="n"/>
      <c r="W38" s="14" t="n"/>
      <c r="X38" s="184" t="n"/>
      <c r="Y38" s="184" t="n"/>
      <c r="Z38" s="184" t="n"/>
      <c r="AA38" s="184" t="n"/>
      <c r="AB38" s="184" t="n"/>
      <c r="AC38" s="184" t="n"/>
      <c r="AD38" s="184" t="n"/>
      <c r="AE38" s="184" t="n"/>
    </row>
    <row r="39">
      <c r="A39" s="14" t="n">
        <v>28</v>
      </c>
      <c r="B39" s="9" t="n">
        <v>44833</v>
      </c>
      <c r="C39" s="7" t="n">
        <v>26814559</v>
      </c>
      <c r="D39" s="7">
        <f>C39/E39</f>
        <v/>
      </c>
      <c r="E39" s="7" t="n">
        <v>81.75</v>
      </c>
      <c r="F39" s="7">
        <f>D39/100000</f>
        <v/>
      </c>
      <c r="G39" s="4">
        <f>($D$1-F39)/F39*100</f>
        <v/>
      </c>
      <c r="H39" s="4">
        <f>($D$2-F39)/F39*100</f>
        <v/>
      </c>
      <c r="I39" s="4">
        <f>($D$3-F39)/F39*100</f>
        <v/>
      </c>
      <c r="J39" s="4">
        <f>F39/$D$10*100</f>
        <v/>
      </c>
      <c r="K39" s="7">
        <f>N39/L39</f>
        <v/>
      </c>
      <c r="L39" s="7">
        <f>(M39/O39)*100</f>
        <v/>
      </c>
      <c r="M39" s="7">
        <f>O39/R39</f>
        <v/>
      </c>
      <c r="N39" s="7" t="n">
        <v>7.34</v>
      </c>
      <c r="O39" s="7" t="n">
        <v>16818.1</v>
      </c>
      <c r="P39" s="7" t="n">
        <v>3.9</v>
      </c>
      <c r="Q39" s="7">
        <f>N39-L39</f>
        <v/>
      </c>
      <c r="R39" s="7" t="n">
        <v>20.08</v>
      </c>
      <c r="S39" s="7" t="n">
        <v>3.82</v>
      </c>
      <c r="T39" s="7">
        <f>N39-S39</f>
        <v/>
      </c>
      <c r="U39" s="22" t="n"/>
      <c r="V39" s="14" t="n"/>
      <c r="W39" s="14" t="n"/>
      <c r="X39" s="184" t="n"/>
      <c r="Y39" s="184" t="n"/>
      <c r="Z39" s="184" t="n"/>
      <c r="AA39" s="184" t="n"/>
      <c r="AB39" s="184" t="n"/>
      <c r="AC39" s="184" t="n"/>
      <c r="AD39" s="184" t="n"/>
      <c r="AE39" s="184" t="n"/>
    </row>
    <row r="40">
      <c r="A40" s="14" t="n">
        <v>29</v>
      </c>
      <c r="B40" s="9" t="n">
        <v>44834</v>
      </c>
      <c r="C40" s="7" t="n">
        <v>27186899</v>
      </c>
      <c r="D40" s="7">
        <f>C40/E40</f>
        <v/>
      </c>
      <c r="E40" s="7" t="n">
        <v>81.41</v>
      </c>
      <c r="F40" s="7">
        <f>D40/100000</f>
        <v/>
      </c>
      <c r="G40" s="4">
        <f>($D$1-F40)/F40*100</f>
        <v/>
      </c>
      <c r="H40" s="4">
        <f>($D$2-F40)/F40*100</f>
        <v/>
      </c>
      <c r="I40" s="4">
        <f>($D$3-F40)/F40*100</f>
        <v/>
      </c>
      <c r="J40" s="4">
        <f>F40/$D$10*100</f>
        <v/>
      </c>
      <c r="K40" s="7">
        <f>N40/L40</f>
        <v/>
      </c>
      <c r="L40" s="7">
        <f>(M40/O40)*100</f>
        <v/>
      </c>
      <c r="M40" s="7">
        <f>O40/R40</f>
        <v/>
      </c>
      <c r="N40" s="7" t="n">
        <v>7.393</v>
      </c>
      <c r="O40" s="7" t="n">
        <v>17094.35</v>
      </c>
      <c r="P40" s="7" t="n">
        <v>4.02</v>
      </c>
      <c r="Q40" s="7">
        <f>N40-L40</f>
        <v/>
      </c>
      <c r="R40" s="7" t="n">
        <v>20.64</v>
      </c>
      <c r="S40" s="7" t="n">
        <v>3.686</v>
      </c>
      <c r="T40" s="7">
        <f>N40-S40</f>
        <v/>
      </c>
      <c r="U40" s="22" t="n"/>
      <c r="V40" s="14" t="n"/>
      <c r="W40" s="14" t="n"/>
      <c r="X40" s="184" t="n"/>
      <c r="Y40" s="184" t="n"/>
      <c r="Z40" s="184" t="n"/>
      <c r="AA40" s="184" t="n"/>
      <c r="AB40" s="184" t="n"/>
      <c r="AC40" s="184" t="n"/>
      <c r="AD40" s="184" t="n"/>
      <c r="AE40" s="184" t="n"/>
    </row>
    <row r="41">
      <c r="A41" s="14" t="n">
        <v>30</v>
      </c>
      <c r="B41" s="9" t="n">
        <v>44837</v>
      </c>
      <c r="C41" s="7" t="n">
        <v>26826421</v>
      </c>
      <c r="D41" s="7">
        <f>C41/E41</f>
        <v/>
      </c>
      <c r="E41" s="7" t="n">
        <v>81.83</v>
      </c>
      <c r="F41" s="7">
        <f>D41/100000</f>
        <v/>
      </c>
      <c r="G41" s="4">
        <f>($D$1-F41)/F41*100</f>
        <v/>
      </c>
      <c r="H41" s="4">
        <f>($D$2-F41)/F41*100</f>
        <v/>
      </c>
      <c r="I41" s="4">
        <f>($D$3-F41)/F41*100</f>
        <v/>
      </c>
      <c r="J41" s="4">
        <f>F41/$D$10*100</f>
        <v/>
      </c>
      <c r="K41" s="7">
        <f>N41/L41</f>
        <v/>
      </c>
      <c r="L41" s="7">
        <f>(M41/O41)*100</f>
        <v/>
      </c>
      <c r="M41" s="7">
        <f>O41/R41</f>
        <v/>
      </c>
      <c r="N41" s="7" t="n">
        <v>7.47</v>
      </c>
      <c r="O41" s="7" t="n">
        <v>16887.35</v>
      </c>
      <c r="P41" s="7" t="n">
        <v>3.97</v>
      </c>
      <c r="Q41" s="7">
        <f>N41-L41</f>
        <v/>
      </c>
      <c r="R41" s="7" t="n">
        <v>20.39</v>
      </c>
      <c r="S41" s="7" t="n">
        <v>3.72</v>
      </c>
      <c r="T41" s="7">
        <f>N41-S41</f>
        <v/>
      </c>
      <c r="U41" s="22" t="n"/>
      <c r="V41" s="14" t="n"/>
      <c r="W41" s="14" t="n"/>
      <c r="X41" s="184" t="n"/>
      <c r="Y41" s="184" t="n"/>
      <c r="Z41" s="184" t="n"/>
      <c r="AA41" s="184" t="n"/>
      <c r="AB41" s="184" t="n"/>
      <c r="AC41" s="184" t="n"/>
      <c r="AD41" s="184" t="n"/>
      <c r="AE41" s="184" t="n"/>
    </row>
    <row r="42">
      <c r="A42" s="14" t="n">
        <v>31</v>
      </c>
      <c r="B42" s="9" t="n">
        <v>44838</v>
      </c>
      <c r="C42" s="21" t="n">
        <v>27386547</v>
      </c>
      <c r="D42" s="7">
        <f>C42/E42</f>
        <v/>
      </c>
      <c r="E42" s="7" t="n">
        <v>81.55</v>
      </c>
      <c r="F42" s="7">
        <f>D42/100000</f>
        <v/>
      </c>
      <c r="G42" s="7">
        <f>($D$1-F42)/F42*100</f>
        <v/>
      </c>
      <c r="H42" s="4">
        <f>($D$2-F42)/F42*100</f>
        <v/>
      </c>
      <c r="I42" s="4">
        <f>($D$3-F42)/F42*100</f>
        <v/>
      </c>
      <c r="J42" s="7">
        <f>F42/$D$10*100</f>
        <v/>
      </c>
      <c r="K42" s="7">
        <f>N42/L42</f>
        <v/>
      </c>
      <c r="L42" s="7">
        <f>(M42/O42)*100</f>
        <v/>
      </c>
      <c r="M42" s="7">
        <f>O42/R42</f>
        <v/>
      </c>
      <c r="N42" s="7" t="n">
        <v>7.362</v>
      </c>
      <c r="O42" s="7" t="n">
        <v>17274.3</v>
      </c>
      <c r="P42" s="7" t="n">
        <v>4.06</v>
      </c>
      <c r="Q42" s="7">
        <f>N42-L42</f>
        <v/>
      </c>
      <c r="R42" s="7" t="n">
        <v>20.86</v>
      </c>
      <c r="S42" s="7" t="n">
        <v>3.57</v>
      </c>
      <c r="T42" s="7">
        <f>N42-S42</f>
        <v/>
      </c>
      <c r="U42" s="7" t="n">
        <v>111.007</v>
      </c>
      <c r="V42" s="14" t="n"/>
      <c r="W42" s="14" t="n"/>
      <c r="X42" s="184" t="n"/>
      <c r="Y42" s="184" t="n"/>
      <c r="Z42" s="184" t="n"/>
      <c r="AA42" s="184" t="n"/>
      <c r="AB42" s="184" t="n"/>
      <c r="AC42" s="184" t="n"/>
      <c r="AD42" s="184" t="n"/>
      <c r="AE42" s="184" t="n"/>
    </row>
    <row r="43">
      <c r="A43" s="14" t="n">
        <v>32</v>
      </c>
      <c r="B43" s="9" t="n">
        <v>44840</v>
      </c>
      <c r="C43" s="7" t="n">
        <v>27587301</v>
      </c>
      <c r="D43" s="7">
        <f>C43/E43</f>
        <v/>
      </c>
      <c r="E43" s="7" t="n">
        <v>82.18000000000001</v>
      </c>
      <c r="F43" s="7">
        <f>D43/100000</f>
        <v/>
      </c>
      <c r="G43" s="7">
        <f>($D$1-F43)/F43*100</f>
        <v/>
      </c>
      <c r="H43" s="4">
        <f>($D$2-F43)/F43*100</f>
        <v/>
      </c>
      <c r="I43" s="7">
        <f>($D$3-F43)/F43*100</f>
        <v/>
      </c>
      <c r="J43" s="7">
        <f>F43/$D$10*100</f>
        <v/>
      </c>
      <c r="K43" s="7">
        <f>N43/L43</f>
        <v/>
      </c>
      <c r="L43" s="7">
        <f>(M43/O43)*100</f>
        <v/>
      </c>
      <c r="M43" s="7">
        <f>O43/R43</f>
        <v/>
      </c>
      <c r="N43" s="7" t="n">
        <v>7.454</v>
      </c>
      <c r="O43" s="7" t="n">
        <v>17331.8</v>
      </c>
      <c r="P43" s="7" t="n">
        <v>4.07</v>
      </c>
      <c r="Q43" s="7">
        <f>N43-L43</f>
        <v/>
      </c>
      <c r="R43" s="7" t="n">
        <v>20.93</v>
      </c>
      <c r="S43" s="7" t="n">
        <v>3.781</v>
      </c>
      <c r="T43" s="7">
        <f>N43-S43</f>
        <v/>
      </c>
      <c r="U43" s="7" t="n">
        <v>111.34</v>
      </c>
      <c r="V43" s="14" t="n"/>
      <c r="W43" s="14" t="n"/>
      <c r="X43" s="184" t="n"/>
      <c r="Y43" s="184" t="n"/>
      <c r="Z43" s="184" t="n"/>
      <c r="AA43" s="184" t="n"/>
      <c r="AB43" s="184" t="n"/>
      <c r="AC43" s="184" t="n"/>
      <c r="AD43" s="184" t="n"/>
      <c r="AE43" s="184" t="n"/>
    </row>
    <row r="44">
      <c r="A44" s="14" t="n">
        <v>33</v>
      </c>
      <c r="B44" s="9" t="n">
        <v>44841</v>
      </c>
      <c r="C44" s="7" t="n">
        <v>27561547</v>
      </c>
      <c r="D44" s="7">
        <f>C44/E44</f>
        <v/>
      </c>
      <c r="E44" s="7" t="n">
        <v>82.23999999999999</v>
      </c>
      <c r="F44" s="7">
        <f>D44/100000</f>
        <v/>
      </c>
      <c r="G44" s="7">
        <f>($D$1-F44)/F44*100</f>
        <v/>
      </c>
      <c r="H44" s="4">
        <f>($D$2-F44)/F44*100</f>
        <v/>
      </c>
      <c r="I44" s="7">
        <f>($D$3-F44)/F44*100</f>
        <v/>
      </c>
      <c r="J44" s="7">
        <f>F44/$D$10*100</f>
        <v/>
      </c>
      <c r="K44" s="7">
        <f>N44/L44</f>
        <v/>
      </c>
      <c r="L44" s="7">
        <f>(M44/O44)*100</f>
        <v/>
      </c>
      <c r="M44" s="7">
        <f>O44/R44</f>
        <v/>
      </c>
      <c r="N44" s="7" t="n">
        <v>7.462</v>
      </c>
      <c r="O44" s="7" t="n">
        <v>17314.65</v>
      </c>
      <c r="P44" s="7" t="n">
        <v>4.07</v>
      </c>
      <c r="Q44" s="7">
        <f>N44-L44</f>
        <v/>
      </c>
      <c r="R44" s="7" t="n">
        <v>20.9</v>
      </c>
      <c r="S44" s="7" t="n">
        <v>3.841</v>
      </c>
      <c r="T44" s="7">
        <f>N44-S44</f>
        <v/>
      </c>
      <c r="U44" s="7" t="n">
        <v>111.987</v>
      </c>
      <c r="V44" s="14" t="n"/>
      <c r="W44" s="14" t="n"/>
      <c r="X44" s="184" t="n"/>
      <c r="Y44" s="184" t="n"/>
      <c r="Z44" s="184" t="n"/>
      <c r="AA44" s="184" t="n"/>
      <c r="AB44" s="184" t="n"/>
      <c r="AC44" s="184" t="n"/>
      <c r="AD44" s="184" t="n"/>
      <c r="AE44" s="184" t="n"/>
    </row>
    <row r="45">
      <c r="A45" s="14" t="n">
        <v>34</v>
      </c>
      <c r="B45" s="9" t="n">
        <v>44844</v>
      </c>
      <c r="C45" s="7" t="n">
        <v>27427707</v>
      </c>
      <c r="D45" s="7">
        <f>C45/E45</f>
        <v/>
      </c>
      <c r="E45" s="7" t="n">
        <v>82.45</v>
      </c>
      <c r="F45" s="7">
        <f>D45/100000</f>
        <v/>
      </c>
      <c r="G45" s="7">
        <f>($D$1-F45)/F45*100</f>
        <v/>
      </c>
      <c r="H45" s="4">
        <f>($D$2-F45)/F45*100</f>
        <v/>
      </c>
      <c r="I45" s="7">
        <f>($D$3-F45)/F45*100</f>
        <v/>
      </c>
      <c r="J45" s="7">
        <f>F45/$D$10*100</f>
        <v/>
      </c>
      <c r="K45" s="7">
        <f>N45/L45</f>
        <v/>
      </c>
      <c r="L45" s="7">
        <f>(M45/O45)*100</f>
        <v/>
      </c>
      <c r="M45" s="7">
        <f>O45/R45</f>
        <v/>
      </c>
      <c r="N45" s="7" t="n">
        <v>7.479</v>
      </c>
      <c r="O45" s="7" t="n">
        <v>17241</v>
      </c>
      <c r="P45" s="7" t="n">
        <v>4.05</v>
      </c>
      <c r="Q45" s="7">
        <f>N45-L45</f>
        <v/>
      </c>
      <c r="R45" s="7" t="n">
        <v>20.82</v>
      </c>
      <c r="S45" s="7" t="n">
        <v>3.888</v>
      </c>
      <c r="T45" s="7">
        <f>N45-S45</f>
        <v/>
      </c>
      <c r="U45" s="7" t="n">
        <v>113.11</v>
      </c>
      <c r="V45" s="14" t="n"/>
      <c r="W45" s="14" t="n"/>
      <c r="X45" s="184" t="n"/>
      <c r="Y45" s="184" t="n"/>
      <c r="Z45" s="184" t="n"/>
      <c r="AA45" s="184" t="n"/>
      <c r="AB45" s="184" t="n"/>
      <c r="AC45" s="184" t="n"/>
      <c r="AD45" s="184" t="n"/>
      <c r="AE45" s="184" t="n"/>
    </row>
    <row r="46">
      <c r="A46" s="14" t="n">
        <v>35</v>
      </c>
      <c r="B46" s="9" t="n">
        <v>44845</v>
      </c>
      <c r="C46" s="7" t="n">
        <v>27011275</v>
      </c>
      <c r="D46" s="7">
        <f>C46/E46</f>
        <v/>
      </c>
      <c r="E46" s="7" t="n">
        <v>82.18000000000001</v>
      </c>
      <c r="F46" s="7">
        <f>D46/100000</f>
        <v/>
      </c>
      <c r="G46" s="7">
        <f>($D$1-F46)/F46*100</f>
        <v/>
      </c>
      <c r="H46" s="4">
        <f>($D$2-F46)/F46*100</f>
        <v/>
      </c>
      <c r="I46" s="7">
        <f>($D$3-F46)/F46*100</f>
        <v/>
      </c>
      <c r="J46" s="7">
        <f>F46/$D$10*100</f>
        <v/>
      </c>
      <c r="K46" s="7">
        <f>N46/L46</f>
        <v/>
      </c>
      <c r="L46" s="7">
        <f>(M46/O46)*100</f>
        <v/>
      </c>
      <c r="M46" s="7">
        <f>O46/R46</f>
        <v/>
      </c>
      <c r="N46" s="7" t="n">
        <v>7.429</v>
      </c>
      <c r="O46" s="7" t="n">
        <v>16983.55</v>
      </c>
      <c r="P46" s="7" t="n">
        <v>3.99</v>
      </c>
      <c r="Q46" s="7">
        <f>N46-L46</f>
        <v/>
      </c>
      <c r="R46" s="7" t="n">
        <v>20.51</v>
      </c>
      <c r="S46" s="7" t="n">
        <v>3.927</v>
      </c>
      <c r="T46" s="7">
        <f>N46-S46</f>
        <v/>
      </c>
      <c r="U46" s="7" t="n">
        <v>112.875</v>
      </c>
      <c r="V46" s="14" t="n"/>
      <c r="W46" s="14" t="n"/>
      <c r="X46" s="184" t="n"/>
      <c r="Y46" s="184" t="n"/>
      <c r="Z46" s="184" t="n"/>
      <c r="AA46" s="184" t="n"/>
      <c r="AB46" s="184" t="n"/>
      <c r="AC46" s="184" t="n"/>
      <c r="AD46" s="184" t="n"/>
      <c r="AE46" s="184" t="n"/>
    </row>
    <row r="47">
      <c r="A47" s="14" t="n">
        <v>36</v>
      </c>
      <c r="B47" s="9" t="n">
        <v>44846</v>
      </c>
      <c r="C47" s="7" t="n">
        <v>27164340</v>
      </c>
      <c r="D47" s="7">
        <f>C47/E47</f>
        <v/>
      </c>
      <c r="E47" s="7" t="n">
        <v>82.3</v>
      </c>
      <c r="F47" s="7">
        <f>D47/100000</f>
        <v/>
      </c>
      <c r="G47" s="7">
        <f>($D$1-F47)/F47*100</f>
        <v/>
      </c>
      <c r="H47" s="4">
        <f>($D$2-F47)/F47*100</f>
        <v/>
      </c>
      <c r="I47" s="7">
        <f>($D$3-F47)/F47*100</f>
        <v/>
      </c>
      <c r="J47" s="7">
        <f>F47/$D$10*100</f>
        <v/>
      </c>
      <c r="K47" s="7">
        <f>N47/L47</f>
        <v/>
      </c>
      <c r="L47" s="7">
        <f>(M47/O47)*100</f>
        <v/>
      </c>
      <c r="M47" s="7">
        <f>O47/R47</f>
        <v/>
      </c>
      <c r="N47" s="7" t="n">
        <v>7.435</v>
      </c>
      <c r="O47" s="7" t="n">
        <v>17123.6</v>
      </c>
      <c r="P47" s="7" t="n">
        <v>4.02</v>
      </c>
      <c r="Q47" s="7">
        <f>N47-L47</f>
        <v/>
      </c>
      <c r="R47" s="7" t="n">
        <v>20.67</v>
      </c>
      <c r="S47" s="7" t="n">
        <v>3.951</v>
      </c>
      <c r="T47" s="7">
        <f>N47-S47</f>
        <v/>
      </c>
      <c r="U47" s="7" t="n">
        <v>113.082</v>
      </c>
      <c r="V47" s="14" t="n"/>
      <c r="W47" s="14" t="n"/>
      <c r="X47" s="184" t="n"/>
      <c r="Y47" s="184" t="n"/>
      <c r="Z47" s="184" t="n"/>
      <c r="AA47" s="184" t="n"/>
      <c r="AB47" s="184" t="n"/>
      <c r="AC47" s="184" t="n"/>
      <c r="AD47" s="184" t="n"/>
      <c r="AE47" s="184" t="n"/>
    </row>
    <row r="48">
      <c r="A48" s="14" t="n">
        <v>37</v>
      </c>
      <c r="B48" s="9" t="n">
        <v>44847</v>
      </c>
      <c r="C48" s="7" t="n">
        <v>26985420</v>
      </c>
      <c r="D48" s="7">
        <f>C48/E48</f>
        <v/>
      </c>
      <c r="E48" s="7" t="n">
        <v>82.18000000000001</v>
      </c>
      <c r="F48" s="7">
        <f>D48/100000</f>
        <v/>
      </c>
      <c r="G48" s="7">
        <f>($D$1-F48)/F48*100</f>
        <v/>
      </c>
      <c r="H48" s="7">
        <f>($D$2-F48)/F48*100</f>
        <v/>
      </c>
      <c r="I48" s="7">
        <f>($D$3-F48)/F48*100</f>
        <v/>
      </c>
      <c r="J48" s="7">
        <f>F48/$D$10*100</f>
        <v/>
      </c>
      <c r="K48" s="7">
        <f>N48/L48</f>
        <v/>
      </c>
      <c r="L48" s="7">
        <f>(M48/O48)*100</f>
        <v/>
      </c>
      <c r="M48" s="7">
        <f>O48/R48</f>
        <v/>
      </c>
      <c r="N48" s="7" t="n">
        <v>7.422</v>
      </c>
      <c r="O48" s="7" t="n">
        <v>17014.35</v>
      </c>
      <c r="P48" s="7" t="n">
        <v>4</v>
      </c>
      <c r="Q48" s="7">
        <f>N48-L48</f>
        <v/>
      </c>
      <c r="R48" s="7" t="n">
        <v>20.53</v>
      </c>
      <c r="S48" s="7" t="n">
        <v>3.858</v>
      </c>
      <c r="T48" s="7">
        <f>N48-S48</f>
        <v/>
      </c>
      <c r="U48" s="7" t="n">
        <v>112.675</v>
      </c>
      <c r="V48" s="14" t="n"/>
      <c r="W48" s="14" t="n"/>
      <c r="X48" s="184" t="n"/>
      <c r="Y48" s="184" t="n"/>
      <c r="Z48" s="184" t="n"/>
      <c r="AA48" s="184" t="n"/>
      <c r="AB48" s="184" t="n"/>
      <c r="AC48" s="184" t="n"/>
      <c r="AD48" s="184" t="n"/>
      <c r="AE48" s="184" t="n"/>
    </row>
    <row r="49">
      <c r="A49" s="14" t="n">
        <v>38</v>
      </c>
      <c r="B49" s="9" t="n">
        <v>44848</v>
      </c>
      <c r="C49" s="7" t="n">
        <v>27028769</v>
      </c>
      <c r="D49" s="7">
        <f>C49/E49</f>
        <v/>
      </c>
      <c r="E49" s="7" t="n">
        <v>82.29000000000001</v>
      </c>
      <c r="F49" s="7">
        <f>D49/100000</f>
        <v/>
      </c>
      <c r="G49" s="7">
        <f>($D$1-F49)/F49*100</f>
        <v/>
      </c>
      <c r="H49" s="7">
        <f>($D$2-F49)/F49*100</f>
        <v/>
      </c>
      <c r="I49" s="7">
        <f>($D$3-F49)/F49*100</f>
        <v/>
      </c>
      <c r="J49" s="7">
        <f>F49/$D$10*100</f>
        <v/>
      </c>
      <c r="K49" s="7">
        <f>N49/L49</f>
        <v/>
      </c>
      <c r="L49" s="7">
        <f>(M49/O49)*100</f>
        <v/>
      </c>
      <c r="M49" s="7">
        <f>O49/R49</f>
        <v/>
      </c>
      <c r="N49" s="7" t="n">
        <v>7.47</v>
      </c>
      <c r="O49" s="7" t="n">
        <v>17185.7</v>
      </c>
      <c r="P49" s="7" t="n">
        <v>4.04</v>
      </c>
      <c r="Q49" s="7">
        <f>N49-L49</f>
        <v/>
      </c>
      <c r="R49" s="7" t="n">
        <v>20.74</v>
      </c>
      <c r="S49" s="7" t="n">
        <v>3.948</v>
      </c>
      <c r="T49" s="7">
        <f>N49-S49</f>
        <v/>
      </c>
      <c r="U49" s="7" t="n">
        <v>113.02</v>
      </c>
      <c r="V49" s="14" t="n"/>
      <c r="W49" s="14" t="n"/>
      <c r="X49" s="184" t="n"/>
      <c r="Y49" s="184" t="n"/>
      <c r="Z49" s="184" t="n"/>
      <c r="AA49" s="184" t="n"/>
      <c r="AB49" s="184" t="n"/>
      <c r="AC49" s="184" t="n"/>
      <c r="AD49" s="184" t="n"/>
      <c r="AE49" s="184" t="n"/>
    </row>
    <row r="50">
      <c r="A50" s="14" t="n">
        <v>39</v>
      </c>
      <c r="B50" s="9" t="n">
        <v>44851</v>
      </c>
      <c r="C50" s="7" t="n">
        <v>27179781</v>
      </c>
      <c r="D50" s="7">
        <f>C50/E50</f>
        <v/>
      </c>
      <c r="E50" s="7" t="n">
        <v>82.31</v>
      </c>
      <c r="F50" s="7">
        <f>D50/100000</f>
        <v/>
      </c>
      <c r="G50" s="7">
        <f>($D$1-F50)/F50*100</f>
        <v/>
      </c>
      <c r="H50" s="7">
        <f>($D$2-F50)/F50*100</f>
        <v/>
      </c>
      <c r="I50" s="7">
        <f>($D$3-F50)/F50*100</f>
        <v/>
      </c>
      <c r="J50" s="7">
        <f>F50/$D$10*100</f>
        <v/>
      </c>
      <c r="K50" s="7">
        <f>N50/L50</f>
        <v/>
      </c>
      <c r="L50" s="7">
        <f>(M50/O50)*100</f>
        <v/>
      </c>
      <c r="M50" s="7">
        <f>O50/R50</f>
        <v/>
      </c>
      <c r="N50" s="7" t="n">
        <v>7.415</v>
      </c>
      <c r="O50" s="7" t="n">
        <v>17311.8</v>
      </c>
      <c r="P50" s="7" t="n">
        <v>4.07</v>
      </c>
      <c r="Q50" s="7">
        <f>N50-L50</f>
        <v/>
      </c>
      <c r="R50" s="7" t="n">
        <v>20.86</v>
      </c>
      <c r="S50" s="7" t="n">
        <v>3.95</v>
      </c>
      <c r="T50" s="7">
        <f>N50-S50</f>
        <v/>
      </c>
      <c r="U50" s="7" t="n">
        <v>112.83</v>
      </c>
      <c r="V50" s="14" t="n"/>
      <c r="W50" s="14" t="n"/>
      <c r="X50" s="184" t="n"/>
      <c r="Y50" s="184" t="n"/>
      <c r="Z50" s="184" t="n"/>
      <c r="AA50" s="184" t="n"/>
      <c r="AB50" s="184" t="n"/>
      <c r="AC50" s="184" t="n"/>
      <c r="AD50" s="184" t="n"/>
      <c r="AE50" s="184" t="n"/>
    </row>
    <row r="51">
      <c r="A51" s="14" t="n">
        <v>40</v>
      </c>
      <c r="B51" s="9" t="n">
        <v>44852</v>
      </c>
      <c r="C51" s="7" t="n">
        <v>27447761</v>
      </c>
      <c r="D51" s="7">
        <f>C51/E51</f>
        <v/>
      </c>
      <c r="E51" s="7" t="n">
        <v>82.34999999999999</v>
      </c>
      <c r="F51" s="7">
        <f>D51/100000</f>
        <v/>
      </c>
      <c r="G51" s="7">
        <f>($D$1-F51)/F51*100</f>
        <v/>
      </c>
      <c r="H51" s="7">
        <f>($D$2-F51)/F51*100</f>
        <v/>
      </c>
      <c r="I51" s="7">
        <f>($D$3-F51)/F51*100</f>
        <v/>
      </c>
      <c r="J51" s="7">
        <f>F51/$D$10*100</f>
        <v/>
      </c>
      <c r="K51" s="7">
        <f>N51/L51</f>
        <v/>
      </c>
      <c r="L51" s="7">
        <f>(M51/O51)*100</f>
        <v/>
      </c>
      <c r="M51" s="7">
        <f>O51/R51</f>
        <v/>
      </c>
      <c r="N51" s="7" t="n">
        <v>7.427</v>
      </c>
      <c r="O51" s="7" t="n">
        <v>17486.95</v>
      </c>
      <c r="P51" s="7" t="n">
        <v>4.11</v>
      </c>
      <c r="Q51" s="7">
        <f>N51-L51</f>
        <v/>
      </c>
      <c r="R51" s="7" t="n">
        <v>20.99</v>
      </c>
      <c r="S51" s="7" t="n">
        <v>3.99</v>
      </c>
      <c r="T51" s="7">
        <f>N51-S51</f>
        <v/>
      </c>
      <c r="U51" s="7" t="n">
        <v>112.078</v>
      </c>
      <c r="V51" s="14" t="n"/>
      <c r="W51" s="14" t="n"/>
      <c r="X51" s="184" t="n"/>
      <c r="Y51" s="184" t="n"/>
      <c r="Z51" s="184" t="n"/>
      <c r="AA51" s="184" t="n"/>
      <c r="AB51" s="184" t="n"/>
      <c r="AC51" s="184" t="n"/>
      <c r="AD51" s="184" t="n"/>
      <c r="AE51" s="184" t="n"/>
    </row>
    <row r="52">
      <c r="A52" s="14" t="n">
        <v>41</v>
      </c>
      <c r="B52" s="9" t="n">
        <v>44853</v>
      </c>
      <c r="C52" s="7" t="n">
        <v>27457936</v>
      </c>
      <c r="D52" s="7">
        <f>C52/E52</f>
        <v/>
      </c>
      <c r="E52" s="7" t="n">
        <v>83</v>
      </c>
      <c r="F52" s="7">
        <f>D52/100000</f>
        <v/>
      </c>
      <c r="G52" s="7">
        <f>($D$1-F52)/F52*100</f>
        <v/>
      </c>
      <c r="H52" s="7">
        <f>($D$2-F52)/F52*100</f>
        <v/>
      </c>
      <c r="I52" s="7">
        <f>($D$3-F52)/F52*100</f>
        <v/>
      </c>
      <c r="J52" s="7">
        <f>F52/$D$10*100</f>
        <v/>
      </c>
      <c r="K52" s="7">
        <f>N52/L52</f>
        <v/>
      </c>
      <c r="L52" s="7">
        <f>(M52/O52)*100</f>
        <v/>
      </c>
      <c r="M52" s="7">
        <f>O52/R52</f>
        <v/>
      </c>
      <c r="N52" s="7" t="n">
        <v>7.45</v>
      </c>
      <c r="O52" s="7" t="n">
        <v>17512.25</v>
      </c>
      <c r="P52" s="7" t="n">
        <v>4.12</v>
      </c>
      <c r="Q52" s="7">
        <f>N52-L52</f>
        <v/>
      </c>
      <c r="R52" s="7" t="n">
        <v>21.02</v>
      </c>
      <c r="S52" s="7" t="n">
        <v>4.098</v>
      </c>
      <c r="T52" s="7">
        <f>N52-S52</f>
        <v/>
      </c>
      <c r="U52" s="7" t="n">
        <v>112.75</v>
      </c>
      <c r="V52" s="14" t="n"/>
      <c r="W52" s="14" t="n"/>
      <c r="X52" s="184" t="n"/>
      <c r="Y52" s="184" t="n"/>
      <c r="Z52" s="184" t="n"/>
      <c r="AA52" s="184" t="n"/>
      <c r="AB52" s="184" t="n"/>
      <c r="AC52" s="184" t="n"/>
      <c r="AD52" s="184" t="n"/>
      <c r="AE52" s="184" t="n"/>
    </row>
    <row r="53">
      <c r="A53" s="14" t="n">
        <v>42</v>
      </c>
      <c r="B53" s="9" t="n">
        <v>44854</v>
      </c>
      <c r="C53" s="7" t="n">
        <v>27457936</v>
      </c>
      <c r="D53" s="7">
        <f>C53/E53</f>
        <v/>
      </c>
      <c r="E53" s="7" t="n">
        <v>82.63</v>
      </c>
      <c r="F53" s="7">
        <f>D53/100000</f>
        <v/>
      </c>
      <c r="G53" s="7">
        <f>($D$1-F53)/F53*100</f>
        <v/>
      </c>
      <c r="H53" s="7">
        <f>($D$2-F53)/F53*100</f>
        <v/>
      </c>
      <c r="I53" s="7">
        <f>($D$3-F53)/F53*100</f>
        <v/>
      </c>
      <c r="J53" s="7">
        <f>F53/$D$10*100</f>
        <v/>
      </c>
      <c r="K53" s="7">
        <f>N53/L53</f>
        <v/>
      </c>
      <c r="L53" s="7">
        <f>(M53/O53)*100</f>
        <v/>
      </c>
      <c r="M53" s="7">
        <f>O53/R53</f>
        <v/>
      </c>
      <c r="N53" s="7" t="n">
        <v>7.477</v>
      </c>
      <c r="O53" s="7" t="n">
        <v>17563.95</v>
      </c>
      <c r="P53" s="7" t="n">
        <v>4.13</v>
      </c>
      <c r="Q53" s="7">
        <f>N53-L53</f>
        <v/>
      </c>
      <c r="R53" s="7" t="n">
        <v>21.06</v>
      </c>
      <c r="S53" s="7" t="n">
        <v>4.12</v>
      </c>
      <c r="T53" s="7">
        <f>N53-S53</f>
        <v/>
      </c>
      <c r="U53" s="7" t="n">
        <v>112.32</v>
      </c>
      <c r="V53" s="14" t="n"/>
      <c r="W53" s="14" t="n"/>
      <c r="X53" s="184" t="n"/>
      <c r="Y53" s="184" t="n"/>
      <c r="Z53" s="184" t="n"/>
      <c r="AA53" s="184" t="n"/>
      <c r="AB53" s="184" t="n"/>
      <c r="AC53" s="184" t="n"/>
      <c r="AD53" s="184" t="n"/>
      <c r="AE53" s="184" t="n"/>
    </row>
    <row r="54">
      <c r="A54" s="14" t="n">
        <v>43</v>
      </c>
      <c r="B54" s="9" t="n">
        <v>44855</v>
      </c>
      <c r="C54" s="7" t="n">
        <v>27458602.15</v>
      </c>
      <c r="D54" s="7">
        <f>C54/E54</f>
        <v/>
      </c>
      <c r="E54" s="7" t="n">
        <v>82.54000000000001</v>
      </c>
      <c r="F54" s="7">
        <f>D54/100000</f>
        <v/>
      </c>
      <c r="G54" s="7">
        <f>($D$1-F54)/F54*100</f>
        <v/>
      </c>
      <c r="H54" s="7">
        <f>($D$2-F54)/F54*100</f>
        <v/>
      </c>
      <c r="I54" s="7">
        <f>($D$3-F54)/F54*100</f>
        <v/>
      </c>
      <c r="J54" s="7">
        <f>F54/$D$10*100</f>
        <v/>
      </c>
      <c r="K54" s="7">
        <f>N54/L54</f>
        <v/>
      </c>
      <c r="L54" s="7">
        <f>(M54/O54)*100</f>
        <v/>
      </c>
      <c r="M54" s="7">
        <f>O54/R54</f>
        <v/>
      </c>
      <c r="N54" s="7" t="n">
        <v>7.511</v>
      </c>
      <c r="O54" s="7" t="n">
        <v>17576.3</v>
      </c>
      <c r="P54" s="7" t="n">
        <v>4.13</v>
      </c>
      <c r="Q54" s="7">
        <f>N54-L54</f>
        <v/>
      </c>
      <c r="R54" s="7" t="n">
        <v>21.07</v>
      </c>
      <c r="S54" s="7" t="n">
        <v>4.21</v>
      </c>
      <c r="T54" s="7">
        <f>N54-S54</f>
        <v/>
      </c>
      <c r="U54" s="7" t="n">
        <v>112.01</v>
      </c>
      <c r="V54" s="14" t="n"/>
      <c r="W54" s="14" t="n"/>
      <c r="X54" s="184" t="n"/>
      <c r="Y54" s="184" t="n"/>
      <c r="Z54" s="184" t="n"/>
      <c r="AA54" s="184" t="n"/>
      <c r="AB54" s="184" t="n"/>
      <c r="AC54" s="184" t="n"/>
      <c r="AD54" s="184" t="n"/>
      <c r="AE54" s="184" t="n"/>
    </row>
    <row r="55">
      <c r="A55" s="14" t="n">
        <v>44</v>
      </c>
      <c r="B55" s="9" t="n">
        <v>44858</v>
      </c>
      <c r="C55" s="7" t="n">
        <v>27655388.99</v>
      </c>
      <c r="D55" s="7">
        <f>C55/E55</f>
        <v/>
      </c>
      <c r="E55" s="7" t="n">
        <v>82.68000000000001</v>
      </c>
      <c r="F55" s="7">
        <f>D55/100000</f>
        <v/>
      </c>
      <c r="G55" s="7">
        <f>($D$1-F55)/F55*100</f>
        <v/>
      </c>
      <c r="H55" s="7">
        <f>($D$2-F55)/F55*100</f>
        <v/>
      </c>
      <c r="I55" s="7">
        <f>($D$3-F55)/F55*100</f>
        <v/>
      </c>
      <c r="J55" s="7">
        <f>F55/$D$10*100</f>
        <v/>
      </c>
      <c r="K55" s="7">
        <f>N55/L55</f>
        <v/>
      </c>
      <c r="L55" s="7">
        <f>(M55/O55)*100</f>
        <v/>
      </c>
      <c r="M55" s="7">
        <f>O55/R55</f>
        <v/>
      </c>
      <c r="N55" s="7" t="n">
        <v>7.511</v>
      </c>
      <c r="O55" s="7" t="n">
        <v>17730.75</v>
      </c>
      <c r="P55" s="7" t="n">
        <v>4.17</v>
      </c>
      <c r="Q55" s="7">
        <f>N55-L55</f>
        <v/>
      </c>
      <c r="R55" s="7" t="n">
        <v>21.26</v>
      </c>
      <c r="S55" s="7" t="n">
        <v>4.24</v>
      </c>
      <c r="T55" s="7">
        <f>N55-S55</f>
        <v/>
      </c>
      <c r="U55" s="7" t="n">
        <v>111.99</v>
      </c>
      <c r="V55" s="14" t="n"/>
      <c r="W55" s="14" t="n"/>
      <c r="X55" s="184" t="n"/>
      <c r="Y55" s="184" t="n"/>
      <c r="Z55" s="184" t="n"/>
      <c r="AA55" s="184" t="n"/>
      <c r="AB55" s="184" t="n"/>
      <c r="AC55" s="184" t="n"/>
      <c r="AD55" s="184" t="n"/>
      <c r="AE55" s="184" t="n"/>
    </row>
    <row r="56">
      <c r="A56" s="14" t="n">
        <v>45</v>
      </c>
      <c r="B56" s="9" t="n">
        <v>44859</v>
      </c>
      <c r="C56" s="7" t="n">
        <v>27586062.02</v>
      </c>
      <c r="D56" s="7">
        <f>C56/E56</f>
        <v/>
      </c>
      <c r="E56" s="7" t="n">
        <v>82.48</v>
      </c>
      <c r="F56" s="7">
        <f>D56/100000</f>
        <v/>
      </c>
      <c r="G56" s="7">
        <f>($D$1-F56)/F56*100</f>
        <v/>
      </c>
      <c r="H56" s="7">
        <f>($D$2-F56)/F56*100</f>
        <v/>
      </c>
      <c r="I56" s="7">
        <f>($D$3-F56)/F56*100</f>
        <v/>
      </c>
      <c r="J56" s="7">
        <f>F56/$D$10*100</f>
        <v/>
      </c>
      <c r="K56" s="7">
        <f>N56/L56</f>
        <v/>
      </c>
      <c r="L56" s="7">
        <f>(M56/O56)*100</f>
        <v/>
      </c>
      <c r="M56" s="7">
        <f>O56/R56</f>
        <v/>
      </c>
      <c r="N56" s="7" t="n">
        <v>7.442</v>
      </c>
      <c r="O56" s="7" t="n">
        <v>17656.35</v>
      </c>
      <c r="P56" s="7" t="n">
        <v>4.15</v>
      </c>
      <c r="Q56" s="7">
        <f>N56-L56</f>
        <v/>
      </c>
      <c r="R56" s="7" t="n">
        <v>21</v>
      </c>
      <c r="S56" s="7" t="n">
        <v>4.1</v>
      </c>
      <c r="T56" s="7">
        <f>N56-S56</f>
        <v/>
      </c>
      <c r="U56" s="7" t="n">
        <v>110.95</v>
      </c>
      <c r="V56" s="14" t="n"/>
      <c r="W56" s="14" t="n"/>
      <c r="X56" s="184" t="n"/>
      <c r="Y56" s="184" t="n"/>
      <c r="Z56" s="184" t="n"/>
      <c r="AA56" s="184" t="n"/>
      <c r="AB56" s="184" t="n"/>
      <c r="AC56" s="184" t="n"/>
      <c r="AD56" s="184" t="n"/>
      <c r="AE56" s="184" t="n"/>
    </row>
    <row r="57">
      <c r="A57" s="14" t="n">
        <v>46</v>
      </c>
      <c r="B57" s="9" t="n">
        <v>44861</v>
      </c>
      <c r="C57" s="7" t="n">
        <v>27705193</v>
      </c>
      <c r="D57" s="7">
        <f>C57/E57</f>
        <v/>
      </c>
      <c r="E57" s="7" t="n">
        <v>82.43000000000001</v>
      </c>
      <c r="F57" s="7">
        <f>D57/100000</f>
        <v/>
      </c>
      <c r="G57" s="7">
        <f>($D$1-F57)/F57*100</f>
        <v/>
      </c>
      <c r="H57" s="7">
        <f>($D$2-F57)/F57*100</f>
        <v/>
      </c>
      <c r="I57" s="7">
        <f>($D$3-F57)/F57*100</f>
        <v/>
      </c>
      <c r="J57" s="7">
        <f>F57/$D$10*100</f>
        <v/>
      </c>
      <c r="K57" s="7">
        <f>N57/L57</f>
        <v/>
      </c>
      <c r="L57" s="7">
        <f>(M57/O57)*100</f>
        <v/>
      </c>
      <c r="M57" s="7">
        <f>O57/R57</f>
        <v/>
      </c>
      <c r="N57" s="7" t="n">
        <v>7.413</v>
      </c>
      <c r="O57" s="7" t="n">
        <v>17736.95</v>
      </c>
      <c r="P57" s="7" t="n">
        <v>4.17</v>
      </c>
      <c r="Q57" s="7">
        <f>N57-L57</f>
        <v/>
      </c>
      <c r="R57" s="7" t="n">
        <v>21.1</v>
      </c>
      <c r="S57" s="7" t="n">
        <v>4.06</v>
      </c>
      <c r="T57" s="7">
        <f>N57-S57</f>
        <v/>
      </c>
      <c r="U57" s="7" t="n">
        <v>110.1</v>
      </c>
      <c r="V57" s="14" t="n"/>
      <c r="W57" s="14" t="n"/>
      <c r="X57" s="184" t="n"/>
      <c r="Y57" s="184" t="n"/>
      <c r="Z57" s="184" t="n"/>
      <c r="AA57" s="184" t="n"/>
      <c r="AB57" s="184" t="n"/>
      <c r="AC57" s="184" t="n"/>
      <c r="AD57" s="184" t="n"/>
      <c r="AE57" s="184" t="n"/>
    </row>
    <row r="58">
      <c r="A58" s="14" t="n">
        <v>47</v>
      </c>
      <c r="B58" s="9" t="n">
        <v>44862</v>
      </c>
      <c r="C58" s="7" t="n">
        <v>27688451</v>
      </c>
      <c r="D58" s="7">
        <f>C58/E58</f>
        <v/>
      </c>
      <c r="E58" s="7" t="n">
        <v>82.44</v>
      </c>
      <c r="F58" s="7">
        <f>D58/100000</f>
        <v/>
      </c>
      <c r="G58" s="7">
        <f>($D$1-F58)/F58*100</f>
        <v/>
      </c>
      <c r="H58" s="7">
        <f>($D$2-F58)/F58*100</f>
        <v/>
      </c>
      <c r="I58" s="7">
        <f>($D$3-F58)/F58*100</f>
        <v/>
      </c>
      <c r="J58" s="7">
        <f>F58/$D$10*100</f>
        <v/>
      </c>
      <c r="K58" s="7">
        <f>N58/L58</f>
        <v/>
      </c>
      <c r="L58" s="7">
        <f>(M58/O58)*100</f>
        <v/>
      </c>
      <c r="M58" s="7">
        <f>O58/R58</f>
        <v/>
      </c>
      <c r="N58" s="7" t="n">
        <v>7.418</v>
      </c>
      <c r="O58" s="7" t="n">
        <v>17786.8</v>
      </c>
      <c r="P58" s="7" t="n">
        <v>4.18</v>
      </c>
      <c r="Q58" s="7">
        <f>N58-L58</f>
        <v/>
      </c>
      <c r="R58" s="7" t="n">
        <v>21.15</v>
      </c>
      <c r="S58" s="7" t="n">
        <v>4</v>
      </c>
      <c r="T58" s="7">
        <f>N58-S58</f>
        <v/>
      </c>
      <c r="U58" s="7" t="n">
        <v>110.68</v>
      </c>
      <c r="V58" s="14" t="n"/>
      <c r="W58" s="14" t="n"/>
      <c r="X58" s="184" t="n"/>
      <c r="Y58" s="184" t="n"/>
      <c r="Z58" s="184" t="n"/>
      <c r="AA58" s="184" t="n"/>
      <c r="AB58" s="184" t="n"/>
      <c r="AC58" s="184" t="n"/>
      <c r="AD58" s="184" t="n"/>
      <c r="AE58" s="184" t="n"/>
    </row>
    <row r="59">
      <c r="A59" s="14" t="n">
        <v>48</v>
      </c>
      <c r="B59" s="9" t="n">
        <v>44865</v>
      </c>
      <c r="C59" s="7" t="n">
        <v>27994094</v>
      </c>
      <c r="D59" s="7">
        <f>C59/E59</f>
        <v/>
      </c>
      <c r="E59" s="7" t="n">
        <v>82.84</v>
      </c>
      <c r="F59" s="7">
        <f>D59/100000</f>
        <v/>
      </c>
      <c r="G59" s="7">
        <f>($D$1-F59)/F59*100</f>
        <v/>
      </c>
      <c r="H59" s="7">
        <f>($D$2-F59)/F59*100</f>
        <v/>
      </c>
      <c r="I59" s="7">
        <f>($D$3-F59)/F59*100</f>
        <v/>
      </c>
      <c r="J59" s="7">
        <f>F59/$D$10*100</f>
        <v/>
      </c>
      <c r="K59" s="7">
        <f>N59/L59</f>
        <v/>
      </c>
      <c r="L59" s="7">
        <f>(M59/O59)*100</f>
        <v/>
      </c>
      <c r="M59" s="7">
        <f>O59/R59</f>
        <v/>
      </c>
      <c r="N59" s="7" t="n">
        <v>7.447</v>
      </c>
      <c r="O59" s="7" t="n">
        <v>18012.2</v>
      </c>
      <c r="P59" s="7" t="n">
        <v>4.23</v>
      </c>
      <c r="Q59" s="7">
        <f>N59-L59</f>
        <v/>
      </c>
      <c r="R59" s="7" t="n">
        <v>21.42</v>
      </c>
      <c r="S59" s="7" t="n">
        <v>4.05</v>
      </c>
      <c r="T59" s="7">
        <f>N59-S59</f>
        <v/>
      </c>
      <c r="U59" s="7" t="n">
        <v>111.08</v>
      </c>
      <c r="V59" s="14" t="n"/>
      <c r="W59" s="14" t="n"/>
      <c r="X59" s="184" t="n"/>
      <c r="Y59" s="184" t="n"/>
      <c r="Z59" s="184" t="n"/>
      <c r="AA59" s="184" t="n"/>
      <c r="AB59" s="184" t="n"/>
      <c r="AC59" s="184" t="n"/>
      <c r="AD59" s="184" t="n"/>
      <c r="AE59" s="184" t="n"/>
    </row>
    <row r="60">
      <c r="A60" s="14" t="n">
        <v>49</v>
      </c>
      <c r="B60" s="9" t="n">
        <v>44866</v>
      </c>
      <c r="C60" s="4" t="n">
        <v>28228225.73</v>
      </c>
      <c r="D60" s="4">
        <f>C60/E60</f>
        <v/>
      </c>
      <c r="E60" s="4" t="n">
        <v>82.65000000000001</v>
      </c>
      <c r="F60" s="4">
        <f>D60/100000</f>
        <v/>
      </c>
      <c r="G60" s="4">
        <f>($D$1-F60)/F60*100</f>
        <v/>
      </c>
      <c r="H60" s="4">
        <f>($D$2-F60)/F60*100</f>
        <v/>
      </c>
      <c r="I60" s="4">
        <f>($D$3-F60)/F60*100</f>
        <v/>
      </c>
      <c r="J60" s="4">
        <f>F60/$D$10*100</f>
        <v/>
      </c>
      <c r="K60" s="4">
        <f>N60/L60</f>
        <v/>
      </c>
      <c r="L60" s="4">
        <f>(M60/O60)*100</f>
        <v/>
      </c>
      <c r="M60" s="4">
        <f>O60/R60</f>
        <v/>
      </c>
      <c r="N60" s="4" t="n">
        <v>7.396</v>
      </c>
      <c r="O60" s="4" t="n">
        <v>18145.4</v>
      </c>
      <c r="P60" s="4" t="n">
        <v>4.3</v>
      </c>
      <c r="Q60" s="4">
        <f>N60-L60</f>
        <v/>
      </c>
      <c r="R60" s="4" t="n">
        <v>22</v>
      </c>
      <c r="S60" s="4" t="n">
        <v>4.05</v>
      </c>
      <c r="T60" s="4">
        <f>N60-S60</f>
        <v/>
      </c>
      <c r="U60" s="4" t="n">
        <v>111.35</v>
      </c>
      <c r="V60" s="14" t="n"/>
      <c r="W60" s="14" t="n"/>
      <c r="X60" s="184" t="n"/>
      <c r="Y60" s="184" t="n"/>
      <c r="Z60" s="184" t="n"/>
      <c r="AA60" s="184" t="n"/>
      <c r="AB60" s="184" t="n"/>
      <c r="AC60" s="184" t="n"/>
      <c r="AD60" s="184" t="n"/>
      <c r="AE60" s="184" t="n"/>
    </row>
    <row r="61">
      <c r="A61" s="14" t="n">
        <v>50</v>
      </c>
      <c r="B61" s="9" t="n">
        <v>44867</v>
      </c>
      <c r="C61" s="4" t="n">
        <v>28175407.53</v>
      </c>
      <c r="D61" s="4">
        <f>C61/E61</f>
        <v/>
      </c>
      <c r="E61" s="4" t="n">
        <v>82.70999999999999</v>
      </c>
      <c r="F61" s="4">
        <f>D61/100000</f>
        <v/>
      </c>
      <c r="G61" s="4">
        <f>($D$1-F61)/F61*100</f>
        <v/>
      </c>
      <c r="H61" s="4">
        <f>($D$2-F61)/F61*100</f>
        <v/>
      </c>
      <c r="I61" s="4">
        <f>($D$3-F61)/F61*100</f>
        <v/>
      </c>
      <c r="J61" s="4">
        <f>F61/$D$10*100</f>
        <v/>
      </c>
      <c r="K61" s="4">
        <f>N61/L61</f>
        <v/>
      </c>
      <c r="L61" s="4">
        <f>(M61/O61)*100</f>
        <v/>
      </c>
      <c r="M61" s="4">
        <f>O61/R61</f>
        <v/>
      </c>
      <c r="N61" s="4" t="n">
        <v>7.404</v>
      </c>
      <c r="O61" s="4" t="n">
        <v>18082.85</v>
      </c>
      <c r="P61" s="4" t="n">
        <v>4.25</v>
      </c>
      <c r="Q61" s="4">
        <f>N61-L61</f>
        <v/>
      </c>
      <c r="R61" s="4" t="n">
        <v>21.82</v>
      </c>
      <c r="S61" s="4" t="n">
        <v>4.06</v>
      </c>
      <c r="T61" s="4">
        <f>N61-S61</f>
        <v/>
      </c>
      <c r="U61" s="4" t="n">
        <v>111.22</v>
      </c>
      <c r="V61" s="14" t="n"/>
      <c r="W61" s="14" t="n"/>
      <c r="X61" s="184" t="n"/>
      <c r="Y61" s="184" t="n"/>
      <c r="Z61" s="184" t="n"/>
      <c r="AA61" s="184" t="n"/>
      <c r="AB61" s="184" t="n"/>
      <c r="AC61" s="184" t="n"/>
      <c r="AD61" s="184" t="n"/>
      <c r="AE61" s="184" t="n"/>
    </row>
    <row r="62">
      <c r="A62" s="14" t="n">
        <v>51</v>
      </c>
      <c r="B62" s="9" t="n">
        <v>44868</v>
      </c>
      <c r="C62" s="4" t="n">
        <v>28157664</v>
      </c>
      <c r="D62" s="4">
        <f>C62/E62</f>
        <v/>
      </c>
      <c r="E62" s="4" t="n">
        <v>82.89</v>
      </c>
      <c r="F62" s="4">
        <f>D62/100000</f>
        <v/>
      </c>
      <c r="G62" s="4">
        <f>($D$1-F62)/F62*100</f>
        <v/>
      </c>
      <c r="H62" s="4">
        <f>($D$2-F62)/F62*100</f>
        <v/>
      </c>
      <c r="I62" s="4">
        <f>($D$3-F62)/F62*100</f>
        <v/>
      </c>
      <c r="J62" s="4">
        <f>F62/$D$10*100</f>
        <v/>
      </c>
      <c r="K62" s="4">
        <f>N62/L62</f>
        <v/>
      </c>
      <c r="L62" s="4">
        <f>(M62/O62)*100</f>
        <v/>
      </c>
      <c r="M62" s="4">
        <f>O62/R62</f>
        <v/>
      </c>
      <c r="N62" s="4" t="n">
        <v>7.483</v>
      </c>
      <c r="O62" s="4" t="n">
        <v>18052.7</v>
      </c>
      <c r="P62" s="4" t="n">
        <v>4.24</v>
      </c>
      <c r="Q62" s="4">
        <f>N62-L62</f>
        <v/>
      </c>
      <c r="R62" s="4" t="n">
        <v>21.79</v>
      </c>
      <c r="S62" s="4" t="n">
        <v>4.19</v>
      </c>
      <c r="T62" s="4">
        <f>N62-S62</f>
        <v/>
      </c>
      <c r="U62" s="4" t="n">
        <v>112.82</v>
      </c>
      <c r="V62" s="14" t="n"/>
      <c r="W62" s="14" t="n"/>
      <c r="X62" s="184" t="n"/>
      <c r="Y62" s="184" t="n"/>
      <c r="Z62" s="184" t="n"/>
      <c r="AA62" s="184" t="n"/>
      <c r="AB62" s="184" t="n"/>
      <c r="AC62" s="184" t="n"/>
      <c r="AD62" s="184" t="n"/>
      <c r="AE62" s="184" t="n"/>
    </row>
    <row r="63">
      <c r="A63" s="14" t="n">
        <v>52</v>
      </c>
      <c r="B63" s="9" t="n">
        <v>44869</v>
      </c>
      <c r="C63" s="7" t="n">
        <v>28324925.35</v>
      </c>
      <c r="D63" s="7">
        <f>C63/E63</f>
        <v/>
      </c>
      <c r="E63" s="7" t="n">
        <v>81.95999999999999</v>
      </c>
      <c r="F63" s="7">
        <f>D63/100000</f>
        <v/>
      </c>
      <c r="G63" s="7">
        <f>($D$1-F63)/F63*100</f>
        <v/>
      </c>
      <c r="H63" s="7">
        <f>($D$2-F63)/F63*100</f>
        <v/>
      </c>
      <c r="I63" s="7">
        <f>($D$3-F63)/F63*100</f>
        <v/>
      </c>
      <c r="J63" s="7">
        <f>F63/$D$10*100</f>
        <v/>
      </c>
      <c r="K63" s="7">
        <f>N63/L63</f>
        <v/>
      </c>
      <c r="L63" s="4">
        <f>(M63/O63)*100</f>
        <v/>
      </c>
      <c r="M63" s="4">
        <f>O63/R63</f>
        <v/>
      </c>
      <c r="N63" s="4" t="n">
        <v>7.469</v>
      </c>
      <c r="O63" s="4" t="n">
        <v>18117.25</v>
      </c>
      <c r="P63" s="4" t="n">
        <v>4.26</v>
      </c>
      <c r="Q63" s="4">
        <f>N63-L63</f>
        <v/>
      </c>
      <c r="R63" s="4" t="n">
        <v>21.77</v>
      </c>
      <c r="S63" s="4" t="n">
        <v>4.15</v>
      </c>
      <c r="T63" s="4">
        <f>N63-S63</f>
        <v/>
      </c>
      <c r="U63" s="4" t="n">
        <v>110.774</v>
      </c>
      <c r="V63" s="14" t="n"/>
      <c r="W63" s="14" t="n"/>
      <c r="X63" s="184" t="n"/>
      <c r="Y63" s="184" t="n"/>
      <c r="Z63" s="184" t="n"/>
      <c r="AA63" s="184" t="n"/>
      <c r="AB63" s="184" t="n"/>
      <c r="AC63" s="184" t="n"/>
      <c r="AD63" s="184" t="n"/>
      <c r="AE63" s="184" t="n"/>
    </row>
    <row r="64">
      <c r="A64" s="14" t="n">
        <v>53</v>
      </c>
      <c r="B64" s="8" t="n">
        <v>44872</v>
      </c>
      <c r="C64" s="4" t="n">
        <v>28477828</v>
      </c>
      <c r="D64" s="4">
        <f>C64/E64</f>
        <v/>
      </c>
      <c r="E64" s="4" t="n">
        <v>81.92</v>
      </c>
      <c r="F64" s="4">
        <f>D64/100000</f>
        <v/>
      </c>
      <c r="G64" s="4">
        <f>($D$1-F64)/F64*100</f>
        <v/>
      </c>
      <c r="H64" s="4">
        <f>($D$2-F64)/F64*100</f>
        <v/>
      </c>
      <c r="I64" s="4">
        <f>($D$3-F64)/F64*100</f>
        <v/>
      </c>
      <c r="J64" s="4">
        <f>F64/$D$10*100</f>
        <v/>
      </c>
      <c r="K64" s="4">
        <f>N64/L64</f>
        <v/>
      </c>
      <c r="L64" s="4">
        <f>(M64/O64)*100</f>
        <v/>
      </c>
      <c r="M64" s="4">
        <f>O64/R64</f>
        <v/>
      </c>
      <c r="N64" s="4" t="n">
        <v>7.437</v>
      </c>
      <c r="O64" s="4" t="n">
        <v>18202.8</v>
      </c>
      <c r="P64" s="4" t="n">
        <v>4.28</v>
      </c>
      <c r="Q64" s="4">
        <f>N64-L64</f>
        <v/>
      </c>
      <c r="R64" s="4" t="n">
        <v>21.71</v>
      </c>
      <c r="S64" s="4" t="n">
        <v>4.13</v>
      </c>
      <c r="T64" s="4">
        <f>N64-S64</f>
        <v/>
      </c>
      <c r="U64" s="4" t="n">
        <v>110.37</v>
      </c>
      <c r="V64" s="14" t="n"/>
      <c r="W64" s="14" t="n"/>
      <c r="X64" s="184" t="n"/>
      <c r="Y64" s="184" t="n"/>
      <c r="Z64" s="184" t="n"/>
      <c r="AA64" s="184" t="n"/>
      <c r="AB64" s="184" t="n"/>
      <c r="AC64" s="184" t="n"/>
      <c r="AD64" s="184" t="n"/>
      <c r="AE64" s="184" t="n"/>
    </row>
    <row r="65">
      <c r="A65" s="14" t="n">
        <v>54</v>
      </c>
      <c r="B65" s="9" t="n">
        <v>44874</v>
      </c>
      <c r="C65" s="7" t="n">
        <v>28401452</v>
      </c>
      <c r="D65" s="7">
        <f>C65/E65</f>
        <v/>
      </c>
      <c r="E65" s="7" t="n">
        <v>81.38</v>
      </c>
      <c r="F65" s="7">
        <f>D65/100000</f>
        <v/>
      </c>
      <c r="G65" s="7">
        <f>($D$1-F65)/F65*100</f>
        <v/>
      </c>
      <c r="H65" s="7">
        <f>($D$2-F65)/F65*100</f>
        <v/>
      </c>
      <c r="I65" s="7">
        <f>($D$3-F65)/F65*100</f>
        <v/>
      </c>
      <c r="J65" s="7">
        <f>F65/$D$10*100</f>
        <v/>
      </c>
      <c r="K65" s="7">
        <f>N65/L65</f>
        <v/>
      </c>
      <c r="L65" s="7">
        <f>(M65/O65)*100</f>
        <v/>
      </c>
      <c r="M65" s="7">
        <f>O65/R65</f>
        <v/>
      </c>
      <c r="N65" s="7" t="n">
        <v>7.387</v>
      </c>
      <c r="O65" s="7" t="n">
        <v>18157</v>
      </c>
      <c r="P65" s="7" t="n">
        <v>4.27</v>
      </c>
      <c r="Q65" s="4">
        <f>N65-L65</f>
        <v/>
      </c>
      <c r="R65" s="7" t="n">
        <v>21.66</v>
      </c>
      <c r="S65" s="7" t="n">
        <v>4.13</v>
      </c>
      <c r="T65" s="7">
        <f>N65-S65</f>
        <v/>
      </c>
      <c r="U65" s="7" t="n">
        <v>109.83</v>
      </c>
      <c r="V65" s="14" t="n"/>
      <c r="W65" s="14" t="n"/>
      <c r="X65" s="184" t="n"/>
      <c r="Y65" s="184" t="n"/>
      <c r="Z65" s="184" t="n"/>
      <c r="AA65" s="184" t="n"/>
      <c r="AB65" s="184" t="n"/>
      <c r="AC65" s="184" t="n"/>
      <c r="AD65" s="184" t="n"/>
      <c r="AE65" s="184" t="n"/>
    </row>
    <row r="66">
      <c r="A66" s="14" t="n">
        <v>55</v>
      </c>
      <c r="B66" s="9" t="n">
        <v>44875</v>
      </c>
      <c r="C66" s="7" t="n">
        <v>28159222</v>
      </c>
      <c r="D66" s="7">
        <f>C66/E66</f>
        <v/>
      </c>
      <c r="E66" s="7" t="n">
        <v>81.70999999999999</v>
      </c>
      <c r="F66" s="7">
        <f>D66/100000</f>
        <v/>
      </c>
      <c r="G66" s="7">
        <f>($D$1-F66)/F66*100</f>
        <v/>
      </c>
      <c r="H66" s="7">
        <f>($D$2-F66)/F66*100</f>
        <v/>
      </c>
      <c r="I66" s="7">
        <f>($D$3-F66)/F66*100</f>
        <v/>
      </c>
      <c r="J66" s="7">
        <f>F66/$D$10*100</f>
        <v/>
      </c>
      <c r="K66" s="7">
        <f>N66/L66</f>
        <v/>
      </c>
      <c r="L66" s="7">
        <f>(M66/O66)*100</f>
        <v/>
      </c>
      <c r="M66" s="7">
        <f>O66/R66</f>
        <v/>
      </c>
      <c r="N66" s="7" t="n">
        <v>7.349</v>
      </c>
      <c r="O66" s="7" t="n">
        <v>18028.2</v>
      </c>
      <c r="P66" s="7" t="n">
        <v>4.24</v>
      </c>
      <c r="Q66" s="4">
        <f>N66-L66</f>
        <v/>
      </c>
      <c r="R66" s="7" t="n">
        <v>21.53</v>
      </c>
      <c r="S66" s="7" t="n">
        <v>4.1</v>
      </c>
      <c r="T66" s="7">
        <f>N66-S66</f>
        <v/>
      </c>
      <c r="U66" s="7" t="n">
        <v>110.73</v>
      </c>
      <c r="V66" s="14" t="n"/>
      <c r="W66" s="14" t="n"/>
      <c r="X66" s="184" t="n"/>
      <c r="Y66" s="184" t="n"/>
      <c r="Z66" s="184" t="n"/>
      <c r="AA66" s="184" t="n"/>
      <c r="AB66" s="184" t="n"/>
      <c r="AC66" s="184" t="n"/>
      <c r="AD66" s="184" t="n"/>
      <c r="AE66" s="184" t="n"/>
    </row>
    <row r="67">
      <c r="A67" s="14" t="n">
        <v>56</v>
      </c>
      <c r="B67" s="9" t="n">
        <v>44876</v>
      </c>
      <c r="C67" s="4" t="n">
        <v>28480625.64</v>
      </c>
      <c r="D67" s="7">
        <f>C67/E67</f>
        <v/>
      </c>
      <c r="E67" s="4" t="n">
        <v>80.47</v>
      </c>
      <c r="F67" s="7">
        <f>D67/100000</f>
        <v/>
      </c>
      <c r="G67" s="7">
        <f>($D$1-F67)/F67*100</f>
        <v/>
      </c>
      <c r="H67" s="7">
        <f>($D$2-F67)/F67*100</f>
        <v/>
      </c>
      <c r="I67" s="7">
        <f>($D$3-F67)/F67*100</f>
        <v/>
      </c>
      <c r="J67" s="7">
        <f>F67/$D$10*100</f>
        <v/>
      </c>
      <c r="K67" s="7">
        <f>N67/L67</f>
        <v/>
      </c>
      <c r="L67" s="7">
        <f>(M67/O67)*100</f>
        <v/>
      </c>
      <c r="M67" s="4">
        <f>O67/R67</f>
        <v/>
      </c>
      <c r="N67" s="4" t="n">
        <v>7.307</v>
      </c>
      <c r="O67" s="4" t="n">
        <v>18349.7</v>
      </c>
      <c r="P67" s="4" t="n">
        <v>4.31</v>
      </c>
      <c r="Q67" s="4">
        <f>N67-L67</f>
        <v/>
      </c>
      <c r="R67" s="4" t="n">
        <v>21.92</v>
      </c>
      <c r="S67" s="7" t="n">
        <v>3.81</v>
      </c>
      <c r="T67" s="7">
        <f>N67-S67</f>
        <v/>
      </c>
      <c r="U67" s="7" t="n">
        <v>106.29</v>
      </c>
      <c r="V67" s="14" t="n"/>
      <c r="W67" s="14" t="n"/>
      <c r="X67" s="184" t="n"/>
      <c r="Y67" s="184" t="n"/>
      <c r="Z67" s="184" t="n"/>
      <c r="AA67" s="184" t="n"/>
      <c r="AB67" s="184" t="n"/>
      <c r="AC67" s="184" t="n"/>
      <c r="AD67" s="184" t="n"/>
      <c r="AE67" s="184" t="n"/>
    </row>
    <row r="68">
      <c r="A68" s="14" t="n">
        <v>57</v>
      </c>
      <c r="B68" s="9" t="n">
        <v>44879</v>
      </c>
      <c r="C68" s="4" t="n">
        <v>28498815.4</v>
      </c>
      <c r="D68" s="7">
        <f>C68/E68</f>
        <v/>
      </c>
      <c r="E68" s="4" t="n">
        <v>80.95999999999999</v>
      </c>
      <c r="F68" s="7">
        <f>D68/100000</f>
        <v/>
      </c>
      <c r="G68" s="7">
        <f>($D$1-F68)/F68*100</f>
        <v/>
      </c>
      <c r="H68" s="7">
        <f>($D$2-F68)/F68*100</f>
        <v/>
      </c>
      <c r="I68" s="7">
        <f>($D$3-F68)/F68*100</f>
        <v/>
      </c>
      <c r="J68" s="7">
        <f>F68/$D$10*100</f>
        <v/>
      </c>
      <c r="K68" s="7">
        <f>N68/L68</f>
        <v/>
      </c>
      <c r="L68" s="7">
        <f>(M68/O68)*100</f>
        <v/>
      </c>
      <c r="M68" s="4">
        <f>O68/R68</f>
        <v/>
      </c>
      <c r="N68" s="4" t="n">
        <v>7.287</v>
      </c>
      <c r="O68" s="4" t="n">
        <v>18329.15</v>
      </c>
      <c r="P68" s="4" t="n">
        <v>4.31</v>
      </c>
      <c r="Q68" s="4">
        <f>N68-L68</f>
        <v/>
      </c>
      <c r="R68" s="4" t="n">
        <v>21.79</v>
      </c>
      <c r="S68" s="7" t="n">
        <v>3.89</v>
      </c>
      <c r="T68" s="7">
        <f>N68-S68</f>
        <v/>
      </c>
      <c r="U68" s="7" t="n">
        <v>106.66</v>
      </c>
      <c r="V68" s="14" t="n"/>
      <c r="W68" s="14" t="n"/>
      <c r="X68" s="184" t="n"/>
      <c r="Y68" s="184" t="n"/>
      <c r="Z68" s="184" t="n"/>
      <c r="AA68" s="184" t="n"/>
      <c r="AB68" s="184" t="n"/>
      <c r="AC68" s="184" t="n"/>
      <c r="AD68" s="184" t="n"/>
      <c r="AE68" s="184" t="n"/>
    </row>
    <row r="69">
      <c r="A69" s="14" t="n">
        <v>58</v>
      </c>
      <c r="B69" s="9" t="n">
        <v>44880</v>
      </c>
      <c r="C69" s="4" t="n">
        <v>28541003.57</v>
      </c>
      <c r="D69" s="7">
        <f>C69/E69</f>
        <v/>
      </c>
      <c r="E69" s="4" t="n">
        <v>81.06</v>
      </c>
      <c r="F69" s="7">
        <f>D69/100000</f>
        <v/>
      </c>
      <c r="G69" s="7">
        <f>($D$1-F69)/F69*100</f>
        <v/>
      </c>
      <c r="H69" s="7">
        <f>($D$2-F69)/F69*100</f>
        <v/>
      </c>
      <c r="I69" s="7">
        <f>($D$3-F69)/F69*100</f>
        <v/>
      </c>
      <c r="J69" s="7">
        <f>F69/$D$10*100</f>
        <v/>
      </c>
      <c r="K69" s="7">
        <f>N69/L69</f>
        <v/>
      </c>
      <c r="L69" s="7">
        <f>(M69/O69)*100</f>
        <v/>
      </c>
      <c r="M69" s="4">
        <f>O69/R69</f>
        <v/>
      </c>
      <c r="N69" s="4" t="n">
        <v>7.261</v>
      </c>
      <c r="O69" s="4" t="n">
        <v>18403.4</v>
      </c>
      <c r="P69" s="4" t="n">
        <v>4.32</v>
      </c>
      <c r="Q69" s="4">
        <f>N69-L69</f>
        <v/>
      </c>
      <c r="R69" s="4" t="n">
        <v>21.89</v>
      </c>
      <c r="S69" s="7" t="n">
        <v>3.86</v>
      </c>
      <c r="T69" s="7">
        <f>N69-S69</f>
        <v/>
      </c>
      <c r="U69" s="7" t="n">
        <v>106.4</v>
      </c>
      <c r="V69" s="14" t="n"/>
      <c r="W69" s="14" t="n"/>
      <c r="X69" s="184" t="n"/>
      <c r="Y69" s="184" t="n"/>
      <c r="Z69" s="184" t="n"/>
      <c r="AA69" s="184" t="n"/>
      <c r="AB69" s="184" t="n"/>
      <c r="AC69" s="184" t="n"/>
      <c r="AD69" s="184" t="n"/>
      <c r="AE69" s="184" t="n"/>
    </row>
    <row r="70">
      <c r="A70" s="14" t="n">
        <v>59</v>
      </c>
      <c r="B70" s="9" t="n">
        <v>44881</v>
      </c>
      <c r="C70" s="4" t="n">
        <v>28458400.38</v>
      </c>
      <c r="D70" s="7">
        <f>C70/E70</f>
        <v/>
      </c>
      <c r="E70" s="4" t="n">
        <v>81.48</v>
      </c>
      <c r="F70" s="7">
        <f>D70/100000</f>
        <v/>
      </c>
      <c r="G70" s="7">
        <f>($D$1-F70)/F70*100</f>
        <v/>
      </c>
      <c r="H70" s="7">
        <f>($D$2-F70)/F70*100</f>
        <v/>
      </c>
      <c r="I70" s="7">
        <f>($D$3-F70)/F70*100</f>
        <v/>
      </c>
      <c r="J70" s="7">
        <f>F70/$D$10*100</f>
        <v/>
      </c>
      <c r="K70" s="7">
        <f>N70/L70</f>
        <v/>
      </c>
      <c r="L70" s="7">
        <f>(M70/O70)*100</f>
        <v/>
      </c>
      <c r="M70" s="4">
        <f>O70/R70</f>
        <v/>
      </c>
      <c r="N70" s="4" t="n">
        <v>7.274</v>
      </c>
      <c r="O70" s="4" t="n">
        <v>18409.65</v>
      </c>
      <c r="P70" s="4" t="n">
        <v>4.32</v>
      </c>
      <c r="Q70" s="4">
        <f>N70-L70</f>
        <v/>
      </c>
      <c r="R70" s="4" t="n">
        <v>21.91</v>
      </c>
      <c r="S70" s="7" t="n">
        <v>3.77</v>
      </c>
      <c r="T70" s="7">
        <f>N70-S70</f>
        <v/>
      </c>
      <c r="U70" s="7" t="n">
        <v>106.28</v>
      </c>
      <c r="V70" s="14" t="n"/>
      <c r="W70" s="14" t="n"/>
      <c r="X70" s="184" t="n"/>
      <c r="Y70" s="184" t="n"/>
      <c r="Z70" s="184" t="n"/>
      <c r="AA70" s="184" t="n"/>
      <c r="AB70" s="184" t="n"/>
      <c r="AC70" s="184" t="n"/>
      <c r="AD70" s="184" t="n"/>
      <c r="AE70" s="184" t="n"/>
    </row>
    <row r="71">
      <c r="A71" s="14" t="n">
        <v>60</v>
      </c>
      <c r="B71" s="9" t="n">
        <v>44882</v>
      </c>
      <c r="C71" s="4" t="n">
        <v>28344662.25</v>
      </c>
      <c r="D71" s="7">
        <f>C71/E71</f>
        <v/>
      </c>
      <c r="E71" s="4" t="n">
        <v>81.51000000000001</v>
      </c>
      <c r="F71" s="7">
        <f>D71/100000</f>
        <v/>
      </c>
      <c r="G71" s="7">
        <f>($D$1-F71)/F71*100</f>
        <v/>
      </c>
      <c r="H71" s="7">
        <f>($D$2-F71)/F71*100</f>
        <v/>
      </c>
      <c r="I71" s="7">
        <f>($D$3-F71)/F71*100</f>
        <v/>
      </c>
      <c r="J71" s="7">
        <f>F71/$D$10*100</f>
        <v/>
      </c>
      <c r="K71" s="7">
        <f>N71/L71</f>
        <v/>
      </c>
      <c r="L71" s="7">
        <f>(M71/O71)*100</f>
        <v/>
      </c>
      <c r="M71" s="4">
        <f>O71/R71</f>
        <v/>
      </c>
      <c r="N71" s="4" t="n">
        <v>7.281</v>
      </c>
      <c r="O71" s="4" t="n">
        <v>18434.9</v>
      </c>
      <c r="P71" s="4" t="n">
        <v>4.31</v>
      </c>
      <c r="Q71" s="4">
        <f>N71-L71</f>
        <v/>
      </c>
      <c r="R71" s="4" t="n">
        <v>21.83</v>
      </c>
      <c r="S71" s="7" t="n">
        <v>3.69</v>
      </c>
      <c r="T71" s="7">
        <f>N71-S71</f>
        <v/>
      </c>
      <c r="U71" s="7" t="n">
        <v>106.69</v>
      </c>
      <c r="V71" s="14" t="n"/>
      <c r="W71" s="14" t="n"/>
      <c r="X71" s="184" t="n"/>
      <c r="Y71" s="184" t="n"/>
      <c r="Z71" s="184" t="n"/>
      <c r="AA71" s="184" t="n"/>
      <c r="AB71" s="184" t="n"/>
      <c r="AC71" s="184" t="n"/>
      <c r="AD71" s="184" t="n"/>
      <c r="AE71" s="184" t="n"/>
    </row>
    <row r="72">
      <c r="A72" s="14" t="n">
        <v>61</v>
      </c>
      <c r="B72" s="9" t="n">
        <v>44883</v>
      </c>
      <c r="C72" s="4" t="n">
        <v>28254867.39</v>
      </c>
      <c r="D72" s="7">
        <f>C72/E72</f>
        <v/>
      </c>
      <c r="E72" s="4" t="n">
        <v>81.61</v>
      </c>
      <c r="F72" s="7">
        <f>D72/100000</f>
        <v/>
      </c>
      <c r="G72" s="7">
        <f>($D$1-F72)/F72*100</f>
        <v/>
      </c>
      <c r="H72" s="7">
        <f>($D$2-F72)/F72*100</f>
        <v/>
      </c>
      <c r="I72" s="7">
        <f>($D$3-F72)/F72*100</f>
        <v/>
      </c>
      <c r="J72" s="7">
        <f>F72/$D$10*100</f>
        <v/>
      </c>
      <c r="K72" s="7">
        <f>N72/L72</f>
        <v/>
      </c>
      <c r="L72" s="7">
        <f>(M72/O72)*100</f>
        <v/>
      </c>
      <c r="M72" s="4">
        <f>O72/R72</f>
        <v/>
      </c>
      <c r="N72" s="4" t="n">
        <v>7.307</v>
      </c>
      <c r="O72" s="4" t="n">
        <v>18307.65</v>
      </c>
      <c r="P72" s="4" t="n">
        <v>4.3</v>
      </c>
      <c r="Q72" s="4">
        <f>N72-L72</f>
        <v/>
      </c>
      <c r="R72" s="4" t="n">
        <v>21.79</v>
      </c>
      <c r="S72" s="7" t="n">
        <v>3.76</v>
      </c>
      <c r="T72" s="7">
        <f>N72-S72</f>
        <v/>
      </c>
      <c r="U72" s="7" t="n">
        <v>106.97</v>
      </c>
      <c r="V72" s="14" t="n"/>
      <c r="W72" s="14" t="n"/>
      <c r="X72" s="184" t="n"/>
      <c r="Y72" s="184" t="n"/>
      <c r="Z72" s="184" t="n"/>
      <c r="AA72" s="184" t="n"/>
      <c r="AB72" s="184" t="n"/>
      <c r="AC72" s="184" t="n"/>
      <c r="AD72" s="184" t="n"/>
      <c r="AE72" s="184" t="n"/>
    </row>
    <row r="73">
      <c r="A73" s="14" t="n">
        <v>62</v>
      </c>
      <c r="B73" s="9" t="n">
        <v>44886</v>
      </c>
      <c r="C73" s="4" t="n">
        <v>28116258.97</v>
      </c>
      <c r="D73" s="7">
        <f>C73/E73</f>
        <v/>
      </c>
      <c r="E73" s="4" t="n">
        <v>81.72</v>
      </c>
      <c r="F73" s="7">
        <f>D73/100000</f>
        <v/>
      </c>
      <c r="G73" s="7">
        <f>($D$1-F73)/F73*100</f>
        <v/>
      </c>
      <c r="H73" s="7">
        <f>($D$2-F73)/F73*100</f>
        <v/>
      </c>
      <c r="I73" s="7">
        <f>($D$3-F73)/F73*100</f>
        <v/>
      </c>
      <c r="J73" s="7">
        <f>F73/$D$10*100</f>
        <v/>
      </c>
      <c r="K73" s="7">
        <f>N73/L73</f>
        <v/>
      </c>
      <c r="L73" s="7">
        <f>(M73/O73)*100</f>
        <v/>
      </c>
      <c r="M73" s="4">
        <f>O73/R73</f>
        <v/>
      </c>
      <c r="N73" s="4" t="n">
        <v>7.32</v>
      </c>
      <c r="O73" s="4" t="n">
        <v>18159.95</v>
      </c>
      <c r="P73" s="4" t="n">
        <v>4.26</v>
      </c>
      <c r="Q73" s="4">
        <f>N73-L73</f>
        <v/>
      </c>
      <c r="R73" s="4" t="n">
        <v>21.82</v>
      </c>
      <c r="S73" s="7" t="n">
        <v>3.83</v>
      </c>
      <c r="T73" s="7">
        <f>N73-S73</f>
        <v/>
      </c>
      <c r="U73" s="7" t="n">
        <v>107.78</v>
      </c>
      <c r="V73" s="14" t="n"/>
      <c r="W73" s="14" t="n"/>
      <c r="X73" s="184" t="n"/>
      <c r="Y73" s="184" t="n"/>
      <c r="Z73" s="184" t="n"/>
      <c r="AA73" s="184" t="n"/>
      <c r="AB73" s="184" t="n"/>
      <c r="AC73" s="184" t="n"/>
      <c r="AD73" s="184" t="n"/>
      <c r="AE73" s="184" t="n"/>
    </row>
    <row r="74">
      <c r="A74" s="14" t="n">
        <v>63</v>
      </c>
      <c r="B74" s="9" t="n">
        <v>44887</v>
      </c>
      <c r="C74" s="4" t="n">
        <v>28185214</v>
      </c>
      <c r="D74" s="7">
        <f>C74/E74</f>
        <v/>
      </c>
      <c r="E74" s="4" t="n">
        <v>81.70999999999999</v>
      </c>
      <c r="F74" s="7">
        <f>D74/100000</f>
        <v/>
      </c>
      <c r="G74" s="7">
        <f>($D$1-F74)/F74*100</f>
        <v/>
      </c>
      <c r="H74" s="7">
        <f>($D$2-F74)/F74*100</f>
        <v/>
      </c>
      <c r="I74" s="7">
        <f>($D$3-F74)/F74*100</f>
        <v/>
      </c>
      <c r="J74" s="7">
        <f>F74/$D$10*100</f>
        <v/>
      </c>
      <c r="K74" s="7">
        <f>N74/L74</f>
        <v/>
      </c>
      <c r="L74" s="7">
        <f>(M74/O74)*100</f>
        <v/>
      </c>
      <c r="M74" s="4">
        <f>O74/R74</f>
        <v/>
      </c>
      <c r="N74" s="4" t="n">
        <v>7.285</v>
      </c>
      <c r="O74" s="4" t="n">
        <v>18244.2</v>
      </c>
      <c r="P74" s="4" t="n">
        <v>4.28</v>
      </c>
      <c r="Q74" s="4">
        <f>N74-L74</f>
        <v/>
      </c>
      <c r="R74" s="4" t="n">
        <v>21.93</v>
      </c>
      <c r="S74" s="7" t="n">
        <v>3.75</v>
      </c>
      <c r="T74" s="7">
        <f>N74-S74</f>
        <v/>
      </c>
      <c r="U74" s="7" t="n">
        <v>107.15</v>
      </c>
      <c r="V74" s="14" t="n"/>
      <c r="W74" s="14" t="n"/>
      <c r="X74" s="184" t="n"/>
      <c r="Y74" s="184" t="n"/>
      <c r="Z74" s="184" t="n"/>
      <c r="AA74" s="184" t="n"/>
      <c r="AB74" s="184" t="n"/>
      <c r="AC74" s="184" t="n"/>
      <c r="AD74" s="184" t="n"/>
      <c r="AE74" s="184" t="n"/>
    </row>
    <row r="75">
      <c r="A75" s="14" t="n">
        <v>64</v>
      </c>
      <c r="B75" s="9" t="n">
        <v>44888</v>
      </c>
      <c r="C75" s="4" t="n">
        <v>28225366.32</v>
      </c>
      <c r="D75" s="7">
        <f>C75/E75</f>
        <v/>
      </c>
      <c r="E75" s="4" t="n">
        <v>81.63</v>
      </c>
      <c r="F75" s="7">
        <f>D75/100000</f>
        <v/>
      </c>
      <c r="G75" s="7">
        <f>($D$1-F75)/F75*100</f>
        <v/>
      </c>
      <c r="H75" s="7">
        <f>($D$2-F75)/F75*100</f>
        <v/>
      </c>
      <c r="I75" s="7">
        <f>($D$3-F75)/F75*100</f>
        <v/>
      </c>
      <c r="J75" s="7">
        <f>F75/$D$10*100</f>
        <v/>
      </c>
      <c r="K75" s="7">
        <f>N75/L75</f>
        <v/>
      </c>
      <c r="L75" s="7">
        <f>(M75/O75)*100</f>
        <v/>
      </c>
      <c r="M75" s="4">
        <f>O75/R75</f>
        <v/>
      </c>
      <c r="N75" s="4" t="n">
        <v>7.291</v>
      </c>
      <c r="O75" s="4" t="n">
        <v>18267.25</v>
      </c>
      <c r="P75" s="4" t="n">
        <v>4.29</v>
      </c>
      <c r="Q75" s="4">
        <f>N75-L75</f>
        <v/>
      </c>
      <c r="R75" s="4" t="n">
        <v>21.95</v>
      </c>
      <c r="S75" s="7" t="n">
        <v>3.68</v>
      </c>
      <c r="T75" s="7">
        <f>N75-S75</f>
        <v/>
      </c>
      <c r="U75" s="7" t="n">
        <v>106.1</v>
      </c>
      <c r="V75" s="14" t="n"/>
      <c r="W75" s="14" t="n"/>
      <c r="X75" s="184" t="n"/>
      <c r="Y75" s="184" t="n"/>
      <c r="Z75" s="184" t="n"/>
      <c r="AA75" s="184" t="n"/>
      <c r="AB75" s="184" t="n"/>
      <c r="AC75" s="184" t="n"/>
      <c r="AD75" s="184" t="n"/>
      <c r="AE75" s="184" t="n"/>
    </row>
    <row r="76">
      <c r="A76" s="14" t="n">
        <v>65</v>
      </c>
      <c r="B76" s="9" t="n">
        <v>44889</v>
      </c>
      <c r="C76" s="4" t="n">
        <v>28370058</v>
      </c>
      <c r="D76" s="4">
        <f>C76/E76</f>
        <v/>
      </c>
      <c r="E76" s="4" t="n">
        <v>81.67</v>
      </c>
      <c r="F76" s="4">
        <f>D76/100000</f>
        <v/>
      </c>
      <c r="G76" s="4">
        <f>($D$1-F76)/F76*100</f>
        <v/>
      </c>
      <c r="H76" s="4">
        <f>($D$2-F76)/F76*100</f>
        <v/>
      </c>
      <c r="I76" s="4">
        <f>($D$3-F76)/F76*100</f>
        <v/>
      </c>
      <c r="J76" s="4">
        <f>F76/$D$10*100</f>
        <v/>
      </c>
      <c r="K76" s="4">
        <f>N76/L76</f>
        <v/>
      </c>
      <c r="L76" s="7">
        <f>(M76/O76)*100</f>
        <v/>
      </c>
      <c r="M76" s="4">
        <f>O76/R76</f>
        <v/>
      </c>
      <c r="N76" s="4" t="n">
        <v>7.25</v>
      </c>
      <c r="O76" s="4" t="n">
        <v>18484.1</v>
      </c>
      <c r="P76" s="4" t="n">
        <v>4.34</v>
      </c>
      <c r="Q76" s="4">
        <f>N76-L76</f>
        <v/>
      </c>
      <c r="R76" s="4" t="n">
        <v>22.21</v>
      </c>
      <c r="S76" s="4" t="n">
        <v>3.68</v>
      </c>
      <c r="T76" s="4">
        <f>N76-S76</f>
        <v/>
      </c>
      <c r="U76" s="4" t="n">
        <v>105.88</v>
      </c>
      <c r="V76" s="14" t="n"/>
      <c r="W76" s="14" t="n"/>
      <c r="X76" s="184" t="n"/>
      <c r="Y76" s="184" t="n"/>
      <c r="Z76" s="184" t="n"/>
      <c r="AA76" s="184" t="n"/>
      <c r="AB76" s="184" t="n"/>
      <c r="AC76" s="184" t="n"/>
      <c r="AD76" s="184" t="n"/>
      <c r="AE76" s="184" t="n"/>
    </row>
    <row r="77">
      <c r="A77" s="14" t="n">
        <v>66</v>
      </c>
      <c r="B77" s="8" t="n">
        <v>44890</v>
      </c>
      <c r="C77" s="4" t="n">
        <v>28456423</v>
      </c>
      <c r="D77" s="4">
        <f>C77/E77</f>
        <v/>
      </c>
      <c r="E77" s="4" t="n">
        <v>81.63</v>
      </c>
      <c r="F77" s="4">
        <f>D77/100000</f>
        <v/>
      </c>
      <c r="G77" s="4">
        <f>($D$1-F77)/F77*100</f>
        <v/>
      </c>
      <c r="H77" s="4">
        <f>($D$2-F77)/F77*100</f>
        <v/>
      </c>
      <c r="I77" s="4">
        <f>($D$3-F77)/F77*100</f>
        <v/>
      </c>
      <c r="J77" s="4">
        <f>F77/$D$10*100</f>
        <v/>
      </c>
      <c r="K77" s="4">
        <f>N77/L77</f>
        <v/>
      </c>
      <c r="L77" s="4">
        <f>(M77/O77)*100</f>
        <v/>
      </c>
      <c r="M77" s="4">
        <f>O77/R77</f>
        <v/>
      </c>
      <c r="N77" s="4" t="n">
        <v>7.3</v>
      </c>
      <c r="O77" s="4" t="n">
        <v>18512.75</v>
      </c>
      <c r="P77" s="4" t="n">
        <v>4.35</v>
      </c>
      <c r="Q77" s="4">
        <f>N77-L77</f>
        <v/>
      </c>
      <c r="R77" s="4" t="n">
        <v>22.25</v>
      </c>
      <c r="S77" s="4" t="n">
        <v>3.71</v>
      </c>
      <c r="T77" s="4">
        <f>N77-S77</f>
        <v/>
      </c>
      <c r="U77" s="4" t="n">
        <v>106</v>
      </c>
      <c r="V77" s="14" t="n"/>
      <c r="W77" s="14" t="n"/>
      <c r="X77" s="184" t="n"/>
      <c r="Y77" s="184" t="n"/>
      <c r="Z77" s="184" t="n"/>
      <c r="AA77" s="184" t="n"/>
      <c r="AB77" s="184" t="n"/>
      <c r="AC77" s="184" t="n"/>
      <c r="AD77" s="184" t="n"/>
      <c r="AE77" s="184" t="n"/>
    </row>
    <row r="78">
      <c r="A78" s="14" t="n">
        <v>67</v>
      </c>
      <c r="B78" s="8" t="n">
        <v>44893</v>
      </c>
      <c r="C78" s="4" t="n">
        <v>28659078.46</v>
      </c>
      <c r="D78" s="4">
        <f>C78/E78</f>
        <v/>
      </c>
      <c r="E78" s="4" t="n">
        <v>81.64</v>
      </c>
      <c r="F78" s="4">
        <f>D78/100000</f>
        <v/>
      </c>
      <c r="G78" s="4">
        <f>($D$1-F78)/F78*100</f>
        <v/>
      </c>
      <c r="H78" s="4">
        <f>($D$2-F78)/F78*100</f>
        <v/>
      </c>
      <c r="I78" s="4">
        <f>($D$3-F78)/F78*100</f>
        <v/>
      </c>
      <c r="J78" s="4">
        <f>F78/$D$10*100</f>
        <v/>
      </c>
      <c r="K78" s="4">
        <f>N78/L78</f>
        <v/>
      </c>
      <c r="L78" s="4">
        <f>(M78/O78)*100</f>
        <v/>
      </c>
      <c r="M78" s="4">
        <f>O78/R78</f>
        <v/>
      </c>
      <c r="N78" s="4" t="n">
        <v>7.27</v>
      </c>
      <c r="O78" s="4" t="n">
        <v>18562.75</v>
      </c>
      <c r="P78" s="4" t="n">
        <v>4.36</v>
      </c>
      <c r="Q78" s="4">
        <f>N78-L78</f>
        <v/>
      </c>
      <c r="R78" s="4" t="n">
        <v>22.31</v>
      </c>
      <c r="S78" s="4" t="n">
        <v>3.7</v>
      </c>
      <c r="T78" s="4">
        <f>N78-S78</f>
        <v/>
      </c>
      <c r="U78" s="4" t="n">
        <v>106.63</v>
      </c>
      <c r="V78" s="14" t="n"/>
      <c r="W78" s="14" t="n"/>
      <c r="X78" s="184" t="n"/>
      <c r="Y78" s="184" t="n"/>
      <c r="Z78" s="184" t="n"/>
      <c r="AA78" s="184" t="n"/>
      <c r="AB78" s="184" t="n"/>
      <c r="AC78" s="184" t="n"/>
      <c r="AD78" s="184" t="n"/>
      <c r="AE78" s="184" t="n"/>
    </row>
    <row r="79">
      <c r="A79" s="14" t="n">
        <v>68</v>
      </c>
      <c r="B79" s="8" t="n">
        <v>44894</v>
      </c>
      <c r="C79" s="7" t="n">
        <v>28711500.84</v>
      </c>
      <c r="D79" s="7">
        <f>C79/E79</f>
        <v/>
      </c>
      <c r="E79" s="7" t="n">
        <v>81.62</v>
      </c>
      <c r="F79" s="7">
        <f>D79/100000</f>
        <v/>
      </c>
      <c r="G79" s="7">
        <f>($D$1-F79)/F79*100</f>
        <v/>
      </c>
      <c r="H79" s="7">
        <f>($D$2-F79)/F79*100</f>
        <v/>
      </c>
      <c r="I79" s="7">
        <f>($D$3-F79)/F79*100</f>
        <v/>
      </c>
      <c r="J79" s="7">
        <f>F79/$D$10*100</f>
        <v/>
      </c>
      <c r="K79" s="7">
        <f>N79/L79</f>
        <v/>
      </c>
      <c r="L79" s="4">
        <f>(M79/O79)*100</f>
        <v/>
      </c>
      <c r="M79" s="7">
        <f>O79/R79</f>
        <v/>
      </c>
      <c r="N79" s="7" t="n">
        <v>7.27</v>
      </c>
      <c r="O79" s="7" t="n">
        <v>18618.05</v>
      </c>
      <c r="P79" s="7" t="n">
        <v>4.37</v>
      </c>
      <c r="Q79" s="7">
        <f>N79-L79</f>
        <v/>
      </c>
      <c r="R79" s="7" t="n">
        <v>22.37</v>
      </c>
      <c r="S79" s="7" t="n">
        <v>3.75</v>
      </c>
      <c r="T79" s="7">
        <f>N79-S79</f>
        <v/>
      </c>
      <c r="U79" s="7" t="n">
        <v>106.82</v>
      </c>
      <c r="V79" s="14" t="n"/>
      <c r="W79" s="14" t="n"/>
      <c r="X79" s="184" t="n"/>
      <c r="Y79" s="184" t="n"/>
      <c r="Z79" s="184" t="n"/>
      <c r="AA79" s="184" t="n"/>
      <c r="AB79" s="184" t="n"/>
      <c r="AC79" s="184" t="n"/>
      <c r="AD79" s="184" t="n"/>
      <c r="AE79" s="184" t="n"/>
    </row>
    <row r="80">
      <c r="A80" s="14" t="n">
        <v>69</v>
      </c>
      <c r="B80" s="9" t="n">
        <v>44895</v>
      </c>
      <c r="C80" s="7" t="n">
        <v>28938267.36</v>
      </c>
      <c r="D80" s="7">
        <f>C80/E80</f>
        <v/>
      </c>
      <c r="E80" s="7" t="n">
        <v>81.37</v>
      </c>
      <c r="F80" s="7">
        <f>D80/100000</f>
        <v/>
      </c>
      <c r="G80" s="7">
        <f>($D$1-F80)/F80*100</f>
        <v/>
      </c>
      <c r="H80" s="7">
        <f>($D$2-F80)/F80*100</f>
        <v/>
      </c>
      <c r="I80" s="7">
        <f>($D$3-F80)/F80*100</f>
        <v/>
      </c>
      <c r="J80" s="7">
        <f>F80/$D$10*100</f>
        <v/>
      </c>
      <c r="K80" s="7">
        <f>N80/L80</f>
        <v/>
      </c>
      <c r="L80" s="4">
        <f>(M80/O80)*100</f>
        <v/>
      </c>
      <c r="M80" s="7">
        <f>O80/R80</f>
        <v/>
      </c>
      <c r="N80" s="7" t="n">
        <v>7.28</v>
      </c>
      <c r="O80" s="7" t="n">
        <v>18758.35</v>
      </c>
      <c r="P80" s="7" t="n">
        <v>4.4</v>
      </c>
      <c r="Q80" s="7">
        <f>N80-L80</f>
        <v/>
      </c>
      <c r="R80" s="7" t="n">
        <v>22.54</v>
      </c>
      <c r="S80" s="7" t="n">
        <v>3.61</v>
      </c>
      <c r="T80" s="7">
        <f>N80-S80</f>
        <v/>
      </c>
      <c r="U80" s="7" t="n">
        <v>105.95</v>
      </c>
      <c r="V80" s="14" t="n"/>
      <c r="W80" s="14" t="n"/>
      <c r="X80" s="184" t="n"/>
      <c r="Y80" s="184" t="n"/>
      <c r="Z80" s="184" t="n"/>
      <c r="AA80" s="184" t="n"/>
      <c r="AB80" s="184" t="n"/>
      <c r="AC80" s="184" t="n"/>
      <c r="AD80" s="184" t="n"/>
      <c r="AE80" s="184" t="n"/>
    </row>
    <row r="81">
      <c r="A81" s="14" t="n">
        <v>70</v>
      </c>
      <c r="B81" s="9" t="n">
        <v>44896</v>
      </c>
      <c r="C81" s="7" t="n">
        <v>29075831.84</v>
      </c>
      <c r="D81" s="7">
        <f>C81/E81</f>
        <v/>
      </c>
      <c r="E81" s="7" t="n">
        <v>81.12</v>
      </c>
      <c r="F81" s="7">
        <f>D81/100000</f>
        <v/>
      </c>
      <c r="G81" s="7">
        <f>($D$1-F81)/F81*100</f>
        <v/>
      </c>
      <c r="H81" s="7">
        <f>($D$2-F81)/F81*100</f>
        <v/>
      </c>
      <c r="I81" s="7">
        <f>($D$3-F81)/F81*100</f>
        <v/>
      </c>
      <c r="J81" s="7">
        <f>F81/$D$10*100</f>
        <v/>
      </c>
      <c r="K81" s="7">
        <f>N81/L81</f>
        <v/>
      </c>
      <c r="L81" s="7">
        <f>(M81/O81)*100</f>
        <v/>
      </c>
      <c r="M81" s="7">
        <f>O81/R81</f>
        <v/>
      </c>
      <c r="N81" s="7" t="n">
        <v>7.21</v>
      </c>
      <c r="O81" s="7" t="n">
        <v>18812.5</v>
      </c>
      <c r="P81" s="7" t="n">
        <v>4.42</v>
      </c>
      <c r="Q81" s="7">
        <f>N81-L81</f>
        <v/>
      </c>
      <c r="R81" s="7" t="n">
        <v>22.61</v>
      </c>
      <c r="S81" s="7" t="n">
        <v>3.51</v>
      </c>
      <c r="T81" s="7">
        <f>N81-S81</f>
        <v/>
      </c>
      <c r="U81" s="7" t="n">
        <v>104.73</v>
      </c>
      <c r="V81" s="14" t="n"/>
      <c r="W81" s="14" t="n"/>
      <c r="X81" s="184" t="n"/>
      <c r="Y81" s="184" t="n"/>
      <c r="Z81" s="184" t="n"/>
      <c r="AA81" s="184" t="n"/>
      <c r="AB81" s="184" t="n"/>
      <c r="AC81" s="184" t="n"/>
      <c r="AD81" s="184" t="n"/>
      <c r="AE81" s="184" t="n"/>
    </row>
    <row r="82">
      <c r="A82" s="14" t="n">
        <v>71</v>
      </c>
      <c r="B82" s="9" t="n">
        <v>44897</v>
      </c>
      <c r="C82" s="7" t="n">
        <v>29042825.88</v>
      </c>
      <c r="D82" s="7">
        <f>C82/E82</f>
        <v/>
      </c>
      <c r="E82" s="7" t="n">
        <v>81.41</v>
      </c>
      <c r="F82" s="7">
        <f>D82/100000</f>
        <v/>
      </c>
      <c r="G82" s="7">
        <f>($D$1-F82)/F82*100</f>
        <v/>
      </c>
      <c r="H82" s="7">
        <f>($D$2-F82)/F82*100</f>
        <v/>
      </c>
      <c r="I82" s="7">
        <f>($D$3-F82)/F82*100</f>
        <v/>
      </c>
      <c r="J82" s="7">
        <f>F82/$D$10*100</f>
        <v/>
      </c>
      <c r="K82" s="7">
        <f>N82/L82</f>
        <v/>
      </c>
      <c r="L82" s="7">
        <f>(M82/O82)*100</f>
        <v/>
      </c>
      <c r="M82" s="7">
        <f>O82/R82</f>
        <v/>
      </c>
      <c r="N82" s="7" t="n">
        <v>7.22</v>
      </c>
      <c r="O82" s="7" t="n">
        <v>18781.95</v>
      </c>
      <c r="P82" s="7" t="n">
        <v>4.39</v>
      </c>
      <c r="Q82" s="7">
        <f>N82-L82</f>
        <v/>
      </c>
      <c r="R82" s="7" t="n">
        <v>22.47</v>
      </c>
      <c r="S82" s="7" t="n">
        <v>3.49</v>
      </c>
      <c r="T82" s="7">
        <f>N82-S82</f>
        <v/>
      </c>
      <c r="U82" s="7" t="n">
        <v>104.55</v>
      </c>
      <c r="V82" s="14" t="n"/>
      <c r="W82" s="14" t="n"/>
      <c r="X82" s="184" t="n"/>
      <c r="Y82" s="184" t="n"/>
      <c r="Z82" s="184" t="n"/>
      <c r="AA82" s="184" t="n"/>
      <c r="AB82" s="184" t="n"/>
      <c r="AC82" s="184" t="n"/>
      <c r="AD82" s="184" t="n"/>
      <c r="AE82" s="184" t="n"/>
    </row>
    <row r="83">
      <c r="A83" s="14" t="n">
        <v>72</v>
      </c>
      <c r="B83" s="9" t="n">
        <v>44900</v>
      </c>
      <c r="C83" s="7" t="n">
        <v>29121652.07</v>
      </c>
      <c r="D83" s="7">
        <f>C83/E83</f>
        <v/>
      </c>
      <c r="E83" s="7" t="n">
        <v>81.89</v>
      </c>
      <c r="F83" s="7">
        <f>D83/100000</f>
        <v/>
      </c>
      <c r="G83" s="7">
        <f>($D$1-F83)/F83*100</f>
        <v/>
      </c>
      <c r="H83" s="7">
        <f>($D$2-F83)/F83*100</f>
        <v/>
      </c>
      <c r="I83" s="7">
        <f>($D$3-F83)/F83*100</f>
        <v/>
      </c>
      <c r="J83" s="7">
        <f>F83/$D$10*100</f>
        <v/>
      </c>
      <c r="K83" s="7">
        <f>N83/L83</f>
        <v/>
      </c>
      <c r="L83" s="7">
        <f>(M83/O83)*100</f>
        <v/>
      </c>
      <c r="M83" s="7">
        <f>O83/R83</f>
        <v/>
      </c>
      <c r="N83" s="7" t="n">
        <v>7.22</v>
      </c>
      <c r="O83" s="7" t="n">
        <v>18701.05</v>
      </c>
      <c r="P83" s="7" t="n">
        <v>4.39</v>
      </c>
      <c r="Q83" s="7">
        <f>N83-L83</f>
        <v/>
      </c>
      <c r="R83" s="7" t="n">
        <v>22.47</v>
      </c>
      <c r="S83" s="7" t="n">
        <v>3.58</v>
      </c>
      <c r="T83" s="7">
        <f>N83-S83</f>
        <v/>
      </c>
      <c r="U83" s="7" t="n">
        <v>105.29</v>
      </c>
      <c r="V83" s="14" t="n"/>
      <c r="W83" s="14" t="n"/>
      <c r="X83" s="184" t="n"/>
      <c r="Y83" s="184" t="n"/>
      <c r="Z83" s="184" t="n"/>
      <c r="AA83" s="184" t="n"/>
      <c r="AB83" s="184" t="n"/>
      <c r="AC83" s="184" t="n"/>
      <c r="AD83" s="184" t="n"/>
      <c r="AE83" s="184" t="n"/>
    </row>
    <row r="84">
      <c r="A84" s="14" t="n">
        <v>73</v>
      </c>
      <c r="B84" s="9" t="n">
        <v>44901</v>
      </c>
      <c r="C84" s="7" t="n">
        <v>29079423.52</v>
      </c>
      <c r="D84" s="7">
        <f>C84/E84</f>
        <v/>
      </c>
      <c r="E84" s="7" t="n">
        <v>82.48</v>
      </c>
      <c r="F84" s="7">
        <f>D84/100000</f>
        <v/>
      </c>
      <c r="G84" s="7">
        <f>($D$1-F84)/F84*100</f>
        <v/>
      </c>
      <c r="H84" s="7">
        <f>($D$2-F84)/F84*100</f>
        <v/>
      </c>
      <c r="I84" s="7">
        <f>($D$3-F84)/F84*100</f>
        <v/>
      </c>
      <c r="J84" s="7">
        <f>F84/$D$10*100</f>
        <v/>
      </c>
      <c r="K84" s="7">
        <f>N84/L84</f>
        <v/>
      </c>
      <c r="L84" s="7">
        <f>(M84/O84)*100</f>
        <v/>
      </c>
      <c r="M84" s="7">
        <f>O84/R84</f>
        <v/>
      </c>
      <c r="N84" s="7" t="n">
        <v>7.24</v>
      </c>
      <c r="O84" s="7" t="n">
        <v>18642.75</v>
      </c>
      <c r="P84" s="7" t="n">
        <v>4.38</v>
      </c>
      <c r="Q84" s="7">
        <f>N84-L84</f>
        <v/>
      </c>
      <c r="R84" s="7" t="n">
        <v>22.4</v>
      </c>
      <c r="S84" s="7" t="n">
        <v>3.53</v>
      </c>
      <c r="T84" s="7">
        <f>N84-S84</f>
        <v/>
      </c>
      <c r="U84" s="7" t="n">
        <v>105.58</v>
      </c>
      <c r="V84" s="14" t="n"/>
      <c r="W84" s="14" t="n"/>
      <c r="X84" s="184" t="n"/>
      <c r="Y84" s="184" t="n"/>
      <c r="Z84" s="184" t="n"/>
      <c r="AA84" s="184" t="n"/>
      <c r="AB84" s="184" t="n"/>
      <c r="AC84" s="184" t="n"/>
      <c r="AD84" s="184" t="n"/>
      <c r="AE84" s="184" t="n"/>
    </row>
    <row r="85">
      <c r="A85" s="14" t="n">
        <v>74</v>
      </c>
      <c r="B85" s="9" t="n">
        <v>44902</v>
      </c>
      <c r="C85" s="7" t="n">
        <v>28983371.75</v>
      </c>
      <c r="D85" s="7">
        <f>C85/E85</f>
        <v/>
      </c>
      <c r="E85" s="7" t="n">
        <v>82.2</v>
      </c>
      <c r="F85" s="7">
        <f>D85/100000</f>
        <v/>
      </c>
      <c r="G85" s="7">
        <f>($D$1-F85)/F85*100</f>
        <v/>
      </c>
      <c r="H85" s="7">
        <f>($D$2-F85)/F85*100</f>
        <v/>
      </c>
      <c r="I85" s="7">
        <f>($D$3-F85)/F85*100</f>
        <v/>
      </c>
      <c r="J85" s="7">
        <f>F85/$D$10*100</f>
        <v/>
      </c>
      <c r="K85" s="7">
        <f>N85/L85</f>
        <v/>
      </c>
      <c r="L85" s="7">
        <f>(M85/O85)*100</f>
        <v/>
      </c>
      <c r="M85" s="7">
        <f>O85/R85</f>
        <v/>
      </c>
      <c r="N85" s="7" t="n">
        <v>7.26</v>
      </c>
      <c r="O85" s="7" t="n">
        <v>18560.5</v>
      </c>
      <c r="P85" s="7" t="n">
        <v>4.36</v>
      </c>
      <c r="Q85" s="7">
        <f>N85-L85</f>
        <v/>
      </c>
      <c r="R85" s="7" t="n">
        <v>22.31</v>
      </c>
      <c r="S85" s="7" t="n">
        <v>3.42</v>
      </c>
      <c r="T85" s="7">
        <f>N85-S85</f>
        <v/>
      </c>
      <c r="U85" s="7" t="n">
        <v>105.1</v>
      </c>
      <c r="V85" s="14" t="n"/>
      <c r="W85" s="14" t="n"/>
      <c r="X85" s="184" t="n"/>
      <c r="Y85" s="184" t="n"/>
      <c r="Z85" s="184" t="n"/>
      <c r="AA85" s="184" t="n"/>
      <c r="AB85" s="184" t="n"/>
      <c r="AC85" s="184" t="n"/>
      <c r="AD85" s="184" t="n"/>
      <c r="AE85" s="184" t="n"/>
    </row>
    <row r="86">
      <c r="A86" s="14" t="n">
        <v>75</v>
      </c>
      <c r="B86" s="9" t="n">
        <v>44903</v>
      </c>
      <c r="C86" s="7" t="n">
        <v>29056039.68</v>
      </c>
      <c r="D86" s="7">
        <f>C86/E86</f>
        <v/>
      </c>
      <c r="E86" s="7" t="n">
        <v>82.28</v>
      </c>
      <c r="F86" s="7">
        <f>D86/100000</f>
        <v/>
      </c>
      <c r="G86" s="7">
        <f>($D$1-F86)/F86*100</f>
        <v/>
      </c>
      <c r="H86" s="7">
        <f>($D$2-F86)/F86*100</f>
        <v/>
      </c>
      <c r="I86" s="7">
        <f>($D$3-F86)/F86*100</f>
        <v/>
      </c>
      <c r="J86" s="7">
        <f>F86/$D$10*100</f>
        <v/>
      </c>
      <c r="K86" s="7">
        <f>N86/L86</f>
        <v/>
      </c>
      <c r="L86" s="7">
        <f>(M86/O86)*100</f>
        <v/>
      </c>
      <c r="M86" s="7">
        <f>O86/R86</f>
        <v/>
      </c>
      <c r="N86" s="7" t="n">
        <v>7.28</v>
      </c>
      <c r="O86" s="7" t="n">
        <v>18609.35</v>
      </c>
      <c r="P86" s="7" t="n">
        <v>4.37</v>
      </c>
      <c r="Q86" s="7">
        <f>N86-L86</f>
        <v/>
      </c>
      <c r="R86" s="7" t="n">
        <v>22.36</v>
      </c>
      <c r="S86" s="7" t="n">
        <v>3.48</v>
      </c>
      <c r="T86" s="7">
        <f>N86-S86</f>
        <v/>
      </c>
      <c r="U86" s="7" t="n">
        <v>104.77</v>
      </c>
      <c r="V86" s="14" t="n"/>
      <c r="W86" s="14" t="n"/>
      <c r="X86" s="184" t="n"/>
      <c r="Y86" s="184" t="n"/>
      <c r="Z86" s="184" t="n"/>
      <c r="AA86" s="184" t="n"/>
      <c r="AB86" s="184" t="n"/>
      <c r="AC86" s="184" t="n"/>
      <c r="AD86" s="184" t="n"/>
      <c r="AE86" s="184" t="n"/>
    </row>
    <row r="87">
      <c r="A87" s="14" t="n">
        <v>76</v>
      </c>
      <c r="B87" s="9" t="n">
        <v>44904</v>
      </c>
      <c r="C87" s="7" t="n">
        <v>28918266.54</v>
      </c>
      <c r="D87" s="7">
        <f>C87/E87</f>
        <v/>
      </c>
      <c r="E87" s="7" t="n">
        <v>82.41</v>
      </c>
      <c r="F87" s="7">
        <f>D87/100000</f>
        <v/>
      </c>
      <c r="G87" s="7">
        <f>($D$1-F87)/F87*100</f>
        <v/>
      </c>
      <c r="H87" s="7">
        <f>($D$2-F87)/F87*100</f>
        <v/>
      </c>
      <c r="I87" s="7">
        <f>($D$3-F87)/F87*100</f>
        <v/>
      </c>
      <c r="J87" s="7">
        <f>F87/$D$10*100</f>
        <v/>
      </c>
      <c r="K87" s="7">
        <f>N87/L87</f>
        <v/>
      </c>
      <c r="L87" s="7">
        <f>(M87/O87)*100</f>
        <v/>
      </c>
      <c r="M87" s="7">
        <f>O87/R87</f>
        <v/>
      </c>
      <c r="N87" s="7" t="n">
        <v>7.29</v>
      </c>
      <c r="O87" s="7" t="n">
        <v>18496.6</v>
      </c>
      <c r="P87" s="7" t="n">
        <v>4.34</v>
      </c>
      <c r="Q87" s="7">
        <f>N87-L87</f>
        <v/>
      </c>
      <c r="R87" s="7" t="n">
        <v>22.23</v>
      </c>
      <c r="S87" s="7" t="n">
        <v>3.58</v>
      </c>
      <c r="T87" s="7">
        <f>N87-S87</f>
        <v/>
      </c>
      <c r="U87" s="7" t="n">
        <v>104.81</v>
      </c>
      <c r="V87" s="14" t="n"/>
      <c r="W87" s="14" t="n"/>
      <c r="X87" s="184" t="n"/>
      <c r="Y87" s="184" t="n"/>
      <c r="Z87" s="184" t="n"/>
      <c r="AA87" s="184" t="n"/>
      <c r="AB87" s="184" t="n"/>
      <c r="AC87" s="184" t="n"/>
      <c r="AD87" s="184" t="n"/>
      <c r="AE87" s="184" t="n"/>
    </row>
    <row r="88">
      <c r="A88" s="14" t="n">
        <v>77</v>
      </c>
      <c r="B88" s="9" t="n">
        <v>44907</v>
      </c>
      <c r="C88" s="7" t="n">
        <v>28917889.93</v>
      </c>
      <c r="D88" s="7">
        <f>C88/E88</f>
        <v/>
      </c>
      <c r="E88" s="7" t="n">
        <v>82.63</v>
      </c>
      <c r="F88" s="7">
        <f>D88/100000</f>
        <v/>
      </c>
      <c r="G88" s="7">
        <f>($D$1-F88)/F88*100</f>
        <v/>
      </c>
      <c r="H88" s="7">
        <f>($D$2-F88)/F88*100</f>
        <v/>
      </c>
      <c r="I88" s="7">
        <f>($D$3-F88)/F88*100</f>
        <v/>
      </c>
      <c r="J88" s="7">
        <f>F88/$D$10*100</f>
        <v/>
      </c>
      <c r="K88" s="7">
        <f>N88/L88</f>
        <v/>
      </c>
      <c r="L88" s="7">
        <f>(M88/O88)*100</f>
        <v/>
      </c>
      <c r="M88" s="7">
        <f>O88/R88</f>
        <v/>
      </c>
      <c r="N88" s="7" t="n">
        <v>7.29</v>
      </c>
      <c r="O88" s="7" t="n">
        <v>18497.15</v>
      </c>
      <c r="P88" s="7" t="n">
        <v>4.34</v>
      </c>
      <c r="Q88" s="7">
        <f>N88-L88</f>
        <v/>
      </c>
      <c r="R88" s="7" t="n">
        <v>22.23</v>
      </c>
      <c r="S88" s="7" t="n">
        <v>3.61</v>
      </c>
      <c r="T88" s="7">
        <f>N88-S88</f>
        <v/>
      </c>
      <c r="U88" s="7" t="n">
        <v>105.13</v>
      </c>
      <c r="V88" s="14" t="n"/>
      <c r="W88" s="14" t="n"/>
      <c r="X88" s="184" t="n"/>
      <c r="Y88" s="184" t="n"/>
      <c r="Z88" s="184" t="n"/>
      <c r="AA88" s="184" t="n"/>
      <c r="AB88" s="184" t="n"/>
      <c r="AC88" s="184" t="n"/>
      <c r="AD88" s="184" t="n"/>
      <c r="AE88" s="184" t="n"/>
    </row>
    <row r="89">
      <c r="A89" s="14" t="n">
        <v>78</v>
      </c>
      <c r="B89" s="9" t="n">
        <v>44908</v>
      </c>
      <c r="C89" s="7" t="n">
        <v>29087813.71</v>
      </c>
      <c r="D89" s="7">
        <f>C89/E89</f>
        <v/>
      </c>
      <c r="E89" s="7" t="n">
        <v>82.37</v>
      </c>
      <c r="F89" s="7">
        <f>D89/100000</f>
        <v/>
      </c>
      <c r="G89" s="7">
        <f>($D$1-F89)/F89*100</f>
        <v/>
      </c>
      <c r="H89" s="7">
        <f>($D$2-F89)/F89*100</f>
        <v/>
      </c>
      <c r="I89" s="7">
        <f>($D$3-F89)/F89*100</f>
        <v/>
      </c>
      <c r="J89" s="7">
        <f>F89/$D$10*100</f>
        <v/>
      </c>
      <c r="K89" s="7">
        <f>N89/L89</f>
        <v/>
      </c>
      <c r="L89" s="7">
        <f>(M89/O89)*100</f>
        <v/>
      </c>
      <c r="M89" s="7">
        <f>O89/R89</f>
        <v/>
      </c>
      <c r="N89" s="7" t="n">
        <v>7.26</v>
      </c>
      <c r="O89" s="7" t="n">
        <v>18608</v>
      </c>
      <c r="P89" s="7" t="n">
        <v>4.37</v>
      </c>
      <c r="Q89" s="7">
        <f>N89-L89</f>
        <v/>
      </c>
      <c r="R89" s="7" t="n">
        <v>22.36</v>
      </c>
      <c r="S89" s="7" t="n">
        <v>3.5</v>
      </c>
      <c r="T89" s="7">
        <f>N89-S89</f>
        <v/>
      </c>
      <c r="U89" s="7" t="n">
        <v>103.98</v>
      </c>
      <c r="V89" s="14" t="n"/>
      <c r="W89" s="14" t="n"/>
      <c r="X89" s="184" t="n"/>
      <c r="Y89" s="184" t="n"/>
      <c r="Z89" s="184" t="n"/>
      <c r="AA89" s="184" t="n"/>
      <c r="AB89" s="184" t="n"/>
      <c r="AC89" s="184" t="n"/>
      <c r="AD89" s="184" t="n"/>
      <c r="AE89" s="184" t="n"/>
    </row>
    <row r="90">
      <c r="A90" s="14" t="n">
        <v>79</v>
      </c>
      <c r="B90" s="9" t="n">
        <v>44909</v>
      </c>
      <c r="C90" s="7" t="n">
        <v>29211638.35</v>
      </c>
      <c r="D90" s="7">
        <f>C90/E90</f>
        <v/>
      </c>
      <c r="E90" s="7" t="n">
        <v>82.47</v>
      </c>
      <c r="F90" s="7">
        <f>D90/100000</f>
        <v/>
      </c>
      <c r="G90" s="7">
        <f>($D$1-F90)/F90*100</f>
        <v/>
      </c>
      <c r="H90" s="7">
        <f>($D$2-F90)/F90*100</f>
        <v/>
      </c>
      <c r="I90" s="7">
        <f>($D$3-F90)/F90*100</f>
        <v/>
      </c>
      <c r="J90" s="7">
        <f>F90/$D$10*100</f>
        <v/>
      </c>
      <c r="K90" s="7">
        <f>N90/L90</f>
        <v/>
      </c>
      <c r="L90" s="7">
        <f>(M90/O90)*100</f>
        <v/>
      </c>
      <c r="M90" s="7">
        <f>O90/R90</f>
        <v/>
      </c>
      <c r="N90" s="7" t="n">
        <v>7.22</v>
      </c>
      <c r="O90" s="7" t="n">
        <v>18660.3</v>
      </c>
      <c r="P90" s="7" t="n">
        <v>4.38</v>
      </c>
      <c r="Q90" s="7">
        <f>N90-L90</f>
        <v/>
      </c>
      <c r="R90" s="7" t="n">
        <v>22.43</v>
      </c>
      <c r="S90" s="7" t="n">
        <v>3.47</v>
      </c>
      <c r="T90" s="7">
        <f>N90-S90</f>
        <v/>
      </c>
      <c r="U90" s="7" t="n">
        <v>103.77</v>
      </c>
      <c r="V90" s="14" t="n"/>
      <c r="W90" s="14" t="n"/>
      <c r="X90" s="184" t="n"/>
      <c r="Y90" s="184" t="n"/>
      <c r="Z90" s="184" t="n"/>
      <c r="AA90" s="184" t="n"/>
      <c r="AB90" s="184" t="n"/>
      <c r="AC90" s="184" t="n"/>
      <c r="AD90" s="184" t="n"/>
      <c r="AE90" s="184" t="n"/>
    </row>
    <row r="91">
      <c r="A91" s="14" t="n">
        <v>80</v>
      </c>
      <c r="B91" s="9" t="n">
        <v>44910</v>
      </c>
      <c r="C91" s="7" t="n">
        <v>28934812.59</v>
      </c>
      <c r="D91" s="7">
        <f>C91/E91</f>
        <v/>
      </c>
      <c r="E91" s="7" t="n">
        <v>82.84</v>
      </c>
      <c r="F91" s="7">
        <f>D91/100000</f>
        <v/>
      </c>
      <c r="G91" s="7">
        <f>($D$1-F91)/F91*100</f>
        <v/>
      </c>
      <c r="H91" s="7">
        <f>($D$2-F91)/F91*100</f>
        <v/>
      </c>
      <c r="I91" s="7">
        <f>($D$3-F91)/F91*100</f>
        <v/>
      </c>
      <c r="J91" s="7">
        <f>F91/$D$10*100</f>
        <v/>
      </c>
      <c r="K91" s="7">
        <f>N91/L91</f>
        <v/>
      </c>
      <c r="L91" s="7">
        <f>(M91/O91)*100</f>
        <v/>
      </c>
      <c r="M91" s="7">
        <f>O91/R91</f>
        <v/>
      </c>
      <c r="N91" s="7" t="n">
        <v>7.26</v>
      </c>
      <c r="O91" s="7" t="n">
        <v>18414.9</v>
      </c>
      <c r="P91" s="7" t="n">
        <v>4.32</v>
      </c>
      <c r="Q91" s="7">
        <f>N91-L91</f>
        <v/>
      </c>
      <c r="R91" s="7" t="n">
        <v>22.13</v>
      </c>
      <c r="S91" s="7" t="n">
        <v>3.45</v>
      </c>
      <c r="T91" s="7">
        <f>N91-S91</f>
        <v/>
      </c>
      <c r="U91" s="7" t="n">
        <v>104.56</v>
      </c>
      <c r="V91" s="14" t="n"/>
      <c r="W91" s="14" t="n"/>
      <c r="X91" s="184" t="n"/>
      <c r="Y91" s="184" t="n"/>
      <c r="Z91" s="184" t="n"/>
      <c r="AA91" s="184" t="n"/>
      <c r="AB91" s="184" t="n"/>
      <c r="AC91" s="184" t="n"/>
      <c r="AD91" s="184" t="n"/>
      <c r="AE91" s="184" t="n"/>
    </row>
    <row r="92">
      <c r="A92" s="14" t="n">
        <v>81</v>
      </c>
      <c r="B92" s="9" t="n">
        <v>44911</v>
      </c>
      <c r="C92" s="7" t="n">
        <v>28634300.27</v>
      </c>
      <c r="D92" s="7">
        <f>C92/E92</f>
        <v/>
      </c>
      <c r="E92" s="7" t="n">
        <v>82.7</v>
      </c>
      <c r="F92" s="7">
        <f>D92/100000</f>
        <v/>
      </c>
      <c r="G92" s="7">
        <f>($D$1-F92)/F92*100</f>
        <v/>
      </c>
      <c r="H92" s="7">
        <f>($D$2-F92)/F92*100</f>
        <v/>
      </c>
      <c r="I92" s="7">
        <f>($D$3-F92)/F92*100</f>
        <v/>
      </c>
      <c r="J92" s="7">
        <f>F92/$D$10*100</f>
        <v/>
      </c>
      <c r="K92" s="7">
        <f>N92/L92</f>
        <v/>
      </c>
      <c r="L92" s="7">
        <f>(M92/O92)*100</f>
        <v/>
      </c>
      <c r="M92" s="7">
        <f>O92/R92</f>
        <v/>
      </c>
      <c r="N92" s="7" t="n">
        <v>7.27</v>
      </c>
      <c r="O92" s="7" t="n">
        <v>18269</v>
      </c>
      <c r="P92" s="7" t="n">
        <v>4.29</v>
      </c>
      <c r="Q92" s="7">
        <f>N92-L92</f>
        <v/>
      </c>
      <c r="R92" s="7" t="n">
        <v>21.96</v>
      </c>
      <c r="S92" s="7" t="n">
        <v>3.48</v>
      </c>
      <c r="T92" s="7">
        <f>N92-S92</f>
        <v/>
      </c>
      <c r="U92" s="7" t="n">
        <v>104.7</v>
      </c>
      <c r="V92" s="14" t="n"/>
      <c r="W92" s="14" t="n"/>
      <c r="X92" s="184" t="n"/>
      <c r="Y92" s="184" t="n"/>
      <c r="Z92" s="184" t="n"/>
      <c r="AA92" s="184" t="n"/>
      <c r="AB92" s="184" t="n"/>
      <c r="AC92" s="184" t="n"/>
      <c r="AD92" s="184" t="n"/>
      <c r="AE92" s="184" t="n"/>
    </row>
    <row r="93">
      <c r="A93" s="14" t="n">
        <v>82</v>
      </c>
      <c r="B93" s="9" t="n">
        <v>44914</v>
      </c>
      <c r="C93" s="4" t="n">
        <v>28863824.61</v>
      </c>
      <c r="D93" s="4">
        <f>C93/E93</f>
        <v/>
      </c>
      <c r="E93" s="4" t="n">
        <v>82.64</v>
      </c>
      <c r="F93" s="4">
        <f>D93/100000</f>
        <v/>
      </c>
      <c r="G93" s="4">
        <f>($D$1-F93)/F93*100</f>
        <v/>
      </c>
      <c r="H93" s="4">
        <f>($D$2-F93)/F93*100</f>
        <v/>
      </c>
      <c r="I93" s="4">
        <f>($D$3-F93)/F93*100</f>
        <v/>
      </c>
      <c r="J93" s="4">
        <f>F93/$D$10*100</f>
        <v/>
      </c>
      <c r="K93" s="4">
        <f>N93/L93</f>
        <v/>
      </c>
      <c r="L93" s="4">
        <f>(M93/O93)*100</f>
        <v/>
      </c>
      <c r="M93" s="4">
        <f>O93/R93</f>
        <v/>
      </c>
      <c r="N93" s="4" t="n">
        <v>7.29</v>
      </c>
      <c r="O93" s="4" t="n">
        <v>18420.45</v>
      </c>
      <c r="P93" s="4" t="n">
        <v>4.32</v>
      </c>
      <c r="Q93" s="4">
        <f>N93-L93</f>
        <v/>
      </c>
      <c r="R93" s="4" t="n">
        <v>22.14</v>
      </c>
      <c r="S93" s="4" t="n">
        <v>3.59</v>
      </c>
      <c r="T93" s="4">
        <f>N93-S93</f>
        <v/>
      </c>
      <c r="U93" s="4" t="n">
        <v>104.59</v>
      </c>
      <c r="V93" s="14" t="n"/>
      <c r="W93" s="14" t="n"/>
      <c r="X93" s="184" t="n"/>
      <c r="Y93" s="184" t="n"/>
      <c r="Z93" s="184" t="n"/>
      <c r="AA93" s="184" t="n"/>
      <c r="AB93" s="184" t="n"/>
      <c r="AC93" s="184" t="n"/>
      <c r="AD93" s="184" t="n"/>
      <c r="AE93" s="184" t="n"/>
    </row>
    <row r="94">
      <c r="A94" s="14" t="n">
        <v>83</v>
      </c>
      <c r="B94" s="9" t="n">
        <v>44915</v>
      </c>
      <c r="C94" s="4" t="n">
        <v>28827518.88</v>
      </c>
      <c r="D94" s="4">
        <f>C94/E94</f>
        <v/>
      </c>
      <c r="E94" s="4" t="n">
        <v>82.59999999999999</v>
      </c>
      <c r="F94" s="4">
        <f>D94/100000</f>
        <v/>
      </c>
      <c r="G94" s="4">
        <f>($D$1-F94)/F94*100</f>
        <v/>
      </c>
      <c r="H94" s="4">
        <f>($D$2-F94)/F94*100</f>
        <v/>
      </c>
      <c r="I94" s="4">
        <f>($D$3-F94)/F94*100</f>
        <v/>
      </c>
      <c r="J94" s="4">
        <f>F94/$D$10*100</f>
        <v/>
      </c>
      <c r="K94" s="4">
        <f>N94/L94</f>
        <v/>
      </c>
      <c r="L94" s="4">
        <f>(M94/O94)*100</f>
        <v/>
      </c>
      <c r="M94" s="4">
        <f>O94/R94</f>
        <v/>
      </c>
      <c r="N94" s="4" t="n">
        <v>7.29</v>
      </c>
      <c r="O94" s="4" t="n">
        <v>18385.3</v>
      </c>
      <c r="P94" s="4" t="n">
        <v>4.32</v>
      </c>
      <c r="Q94" s="4">
        <f>N94-L94</f>
        <v/>
      </c>
      <c r="R94" s="4" t="n">
        <v>22.1</v>
      </c>
      <c r="S94" s="4" t="n">
        <v>3.69</v>
      </c>
      <c r="T94" s="4">
        <f>N94-S94</f>
        <v/>
      </c>
      <c r="U94" s="4" t="n">
        <v>103.6</v>
      </c>
      <c r="V94" s="14" t="n"/>
      <c r="W94" s="14" t="n"/>
      <c r="X94" s="184" t="n"/>
      <c r="Y94" s="184" t="n"/>
      <c r="Z94" s="184" t="n"/>
      <c r="AA94" s="184" t="n"/>
      <c r="AB94" s="184" t="n"/>
      <c r="AC94" s="184" t="n"/>
      <c r="AD94" s="184" t="n"/>
      <c r="AE94" s="184" t="n"/>
    </row>
    <row r="95">
      <c r="A95" s="14" t="n">
        <v>84</v>
      </c>
      <c r="B95" s="9" t="n">
        <v>44916</v>
      </c>
      <c r="C95" s="4" t="n">
        <v>28382083.09</v>
      </c>
      <c r="D95" s="4">
        <f>C95/E95</f>
        <v/>
      </c>
      <c r="E95" s="4" t="n">
        <v>82.88</v>
      </c>
      <c r="F95" s="4">
        <f>D95/100000</f>
        <v/>
      </c>
      <c r="G95" s="4">
        <f>($D$1-F95)/F95*100</f>
        <v/>
      </c>
      <c r="H95" s="4">
        <f>($D$2-F95)/F95*100</f>
        <v/>
      </c>
      <c r="I95" s="4">
        <f>($D$3-F95)/F95*100</f>
        <v/>
      </c>
      <c r="J95" s="4">
        <f>F95/$D$10*100</f>
        <v/>
      </c>
      <c r="K95" s="4">
        <f>N95/L95</f>
        <v/>
      </c>
      <c r="L95" s="4">
        <f>(M95/O95)*100</f>
        <v/>
      </c>
      <c r="M95" s="4">
        <f>O95/R95</f>
        <v/>
      </c>
      <c r="N95" s="4" t="n">
        <v>7.28</v>
      </c>
      <c r="O95" s="4" t="n">
        <v>18199.1</v>
      </c>
      <c r="P95" s="4" t="n">
        <v>4.27</v>
      </c>
      <c r="Q95" s="4">
        <f>N95-L95</f>
        <v/>
      </c>
      <c r="R95" s="4" t="n">
        <v>21.87</v>
      </c>
      <c r="S95" s="4" t="n">
        <v>3.67</v>
      </c>
      <c r="T95" s="4">
        <f>N95-S95</f>
        <v/>
      </c>
      <c r="U95" s="4" t="n">
        <v>103.84</v>
      </c>
      <c r="V95" s="14" t="n"/>
      <c r="W95" s="14" t="n"/>
      <c r="X95" s="184" t="n"/>
      <c r="Y95" s="184" t="n"/>
      <c r="Z95" s="184" t="n"/>
      <c r="AA95" s="184" t="n"/>
      <c r="AB95" s="184" t="n"/>
      <c r="AC95" s="184" t="n"/>
      <c r="AD95" s="184" t="n"/>
      <c r="AE95" s="184" t="n"/>
    </row>
    <row r="96">
      <c r="A96" s="14" t="n">
        <v>85</v>
      </c>
      <c r="B96" s="9" t="n">
        <v>44917</v>
      </c>
      <c r="C96" s="4" t="n">
        <v>28142937.85</v>
      </c>
      <c r="D96" s="4">
        <f>C96/E96</f>
        <v/>
      </c>
      <c r="E96" s="4" t="n">
        <v>82.95999999999999</v>
      </c>
      <c r="F96" s="4">
        <f>D96/100000</f>
        <v/>
      </c>
      <c r="G96" s="4">
        <f>($D$1-F96)/F96*100</f>
        <v/>
      </c>
      <c r="H96" s="4">
        <f>($D$2-F96)/F96*100</f>
        <v/>
      </c>
      <c r="I96" s="4">
        <f>($D$3-F96)/F96*100</f>
        <v/>
      </c>
      <c r="J96" s="4">
        <f>F96/$D$10*100</f>
        <v/>
      </c>
      <c r="K96" s="4">
        <f>N96/L96</f>
        <v/>
      </c>
      <c r="L96" s="4">
        <f>(M96/O96)*100</f>
        <v/>
      </c>
      <c r="M96" s="4">
        <f>O96/R96</f>
        <v/>
      </c>
      <c r="N96" s="4" t="n">
        <v>7.31</v>
      </c>
      <c r="O96" s="4" t="n">
        <v>18127.35</v>
      </c>
      <c r="P96" s="4" t="n">
        <v>4.26</v>
      </c>
      <c r="Q96" s="4">
        <f>N96-L96</f>
        <v/>
      </c>
      <c r="R96" s="4" t="n">
        <v>21.79</v>
      </c>
      <c r="S96" s="4" t="n">
        <v>3.68</v>
      </c>
      <c r="T96" s="4">
        <f>N96-S96</f>
        <v/>
      </c>
      <c r="U96" s="4" t="n">
        <v>104.12</v>
      </c>
      <c r="V96" s="14" t="n"/>
      <c r="W96" s="14" t="n"/>
      <c r="X96" s="184" t="n"/>
      <c r="Y96" s="184" t="n"/>
      <c r="Z96" s="184" t="n"/>
      <c r="AA96" s="184" t="n"/>
      <c r="AB96" s="184" t="n"/>
      <c r="AC96" s="184" t="n"/>
      <c r="AD96" s="184" t="n"/>
      <c r="AE96" s="184" t="n"/>
    </row>
    <row r="97">
      <c r="A97" s="14" t="n">
        <v>86</v>
      </c>
      <c r="B97" s="9" t="n">
        <v>44918</v>
      </c>
      <c r="C97" s="4" t="n">
        <v>27298446.79</v>
      </c>
      <c r="D97" s="4">
        <f>C97/E97</f>
        <v/>
      </c>
      <c r="E97" s="4" t="n">
        <v>82.78</v>
      </c>
      <c r="F97" s="4">
        <f>D97/100000</f>
        <v/>
      </c>
      <c r="G97" s="4">
        <f>($D$1-F97)/F97*100</f>
        <v/>
      </c>
      <c r="H97" s="4">
        <f>($D$2-F97)/F97*100</f>
        <v/>
      </c>
      <c r="I97" s="4">
        <f>($D$3-F97)/F97*100</f>
        <v/>
      </c>
      <c r="J97" s="4">
        <f>F97/$D$10*100</f>
        <v/>
      </c>
      <c r="K97" s="4">
        <f>N97/L97</f>
        <v/>
      </c>
      <c r="L97" s="4">
        <f>(M97/O97)*100</f>
        <v/>
      </c>
      <c r="M97" s="4">
        <f>O97/R97</f>
        <v/>
      </c>
      <c r="N97" s="4" t="n">
        <v>7.31</v>
      </c>
      <c r="O97" s="4" t="n">
        <v>17806.8</v>
      </c>
      <c r="P97" s="4" t="n">
        <v>4.18</v>
      </c>
      <c r="Q97" s="4">
        <f>N97-L97</f>
        <v/>
      </c>
      <c r="R97" s="4" t="n">
        <v>21.4</v>
      </c>
      <c r="S97" s="4" t="n">
        <v>3.71</v>
      </c>
      <c r="T97" s="4">
        <f>N97-S97</f>
        <v/>
      </c>
      <c r="U97" s="4" t="n">
        <v>103.95</v>
      </c>
      <c r="V97" s="14" t="n"/>
      <c r="W97" s="14" t="n"/>
      <c r="X97" s="184" t="n"/>
      <c r="Y97" s="184" t="n"/>
      <c r="Z97" s="184" t="n"/>
      <c r="AA97" s="184" t="n"/>
      <c r="AB97" s="184" t="n"/>
      <c r="AC97" s="184" t="n"/>
      <c r="AD97" s="184" t="n"/>
      <c r="AE97" s="184" t="n"/>
    </row>
    <row r="98">
      <c r="A98" s="14" t="n">
        <v>87</v>
      </c>
      <c r="B98" s="9" t="n">
        <v>44921</v>
      </c>
      <c r="C98" s="7" t="n">
        <v>27859586.2</v>
      </c>
      <c r="D98" s="7">
        <f>C98/E98</f>
        <v/>
      </c>
      <c r="E98" s="7" t="n">
        <v>82.65000000000001</v>
      </c>
      <c r="F98" s="7">
        <f>D98/100000</f>
        <v/>
      </c>
      <c r="G98" s="7">
        <f>($D$1-F98)/F98*100</f>
        <v/>
      </c>
      <c r="H98" s="7">
        <f>($D$2-F98)/F98*100</f>
        <v/>
      </c>
      <c r="I98" s="7">
        <f>($D$3-F98)/F98*100</f>
        <v/>
      </c>
      <c r="J98" s="7">
        <f>F98/$D$10*100</f>
        <v/>
      </c>
      <c r="K98" s="7">
        <f>N98/L98</f>
        <v/>
      </c>
      <c r="L98" s="4">
        <f>(M98/O98)*100</f>
        <v/>
      </c>
      <c r="M98" s="4">
        <f>O98/R98</f>
        <v/>
      </c>
      <c r="N98" s="4" t="n">
        <v>7.31</v>
      </c>
      <c r="O98" s="4" t="n">
        <v>18014.6</v>
      </c>
      <c r="P98" s="4" t="n">
        <v>4.23</v>
      </c>
      <c r="Q98" s="4">
        <f>N98-L98</f>
        <v/>
      </c>
      <c r="R98" s="4" t="n">
        <v>21.65</v>
      </c>
      <c r="S98" s="4" t="n">
        <v>3.74</v>
      </c>
      <c r="T98" s="4">
        <f>N98-S98</f>
        <v/>
      </c>
      <c r="U98" s="4" t="n">
        <v>104.33</v>
      </c>
      <c r="V98" s="14" t="n"/>
      <c r="W98" s="14" t="n"/>
      <c r="X98" s="184" t="n"/>
      <c r="Y98" s="184" t="n"/>
      <c r="Z98" s="184" t="n"/>
      <c r="AA98" s="184" t="n"/>
      <c r="AB98" s="184" t="n"/>
      <c r="AC98" s="184" t="n"/>
      <c r="AD98" s="184" t="n"/>
      <c r="AE98" s="184" t="n"/>
    </row>
    <row r="99">
      <c r="A99" s="14" t="n">
        <v>88</v>
      </c>
      <c r="B99" s="9" t="n">
        <v>44922</v>
      </c>
      <c r="C99" s="7" t="n">
        <v>28128814.01</v>
      </c>
      <c r="D99" s="7">
        <f>C99/E99</f>
        <v/>
      </c>
      <c r="E99" s="7" t="n">
        <v>82.83</v>
      </c>
      <c r="F99" s="7">
        <f>D99/100000</f>
        <v/>
      </c>
      <c r="G99" s="7">
        <f>($D$1-F99)/F99*100</f>
        <v/>
      </c>
      <c r="H99" s="7">
        <f>($D$2-F99)/F99*100</f>
        <v/>
      </c>
      <c r="I99" s="7">
        <f>($D$3-F99)/F99*100</f>
        <v/>
      </c>
      <c r="J99" s="7">
        <f>F99/$D$10*100</f>
        <v/>
      </c>
      <c r="K99" s="7">
        <f>N99/L99</f>
        <v/>
      </c>
      <c r="L99" s="4">
        <f>(M99/O99)*100</f>
        <v/>
      </c>
      <c r="M99" s="4">
        <f>O99/R99</f>
        <v/>
      </c>
      <c r="N99" s="4" t="n">
        <v>7.3</v>
      </c>
      <c r="O99" s="4" t="n">
        <v>18132.3</v>
      </c>
      <c r="P99" s="4" t="n">
        <v>4.26</v>
      </c>
      <c r="Q99" s="4">
        <f>N99-L99</f>
        <v/>
      </c>
      <c r="R99" s="4" t="n">
        <v>21.79</v>
      </c>
      <c r="S99" s="4" t="n">
        <v>3.84</v>
      </c>
      <c r="T99" s="4">
        <f>N99-S99</f>
        <v/>
      </c>
      <c r="U99" s="4" t="n">
        <v>104.19</v>
      </c>
      <c r="V99" s="14" t="n"/>
      <c r="W99" s="14" t="n"/>
      <c r="X99" s="184" t="n"/>
      <c r="Y99" s="184" t="n"/>
      <c r="Z99" s="184" t="n"/>
      <c r="AA99" s="184" t="n"/>
      <c r="AB99" s="184" t="n"/>
      <c r="AC99" s="184" t="n"/>
      <c r="AD99" s="184" t="n"/>
      <c r="AE99" s="184" t="n"/>
    </row>
    <row r="100">
      <c r="A100" s="14" t="n">
        <v>89</v>
      </c>
      <c r="B100" s="9" t="n">
        <v>44923</v>
      </c>
      <c r="C100" s="7" t="n">
        <v>28197413.06</v>
      </c>
      <c r="D100" s="7">
        <f>C100/E100</f>
        <v/>
      </c>
      <c r="E100" s="7" t="n">
        <v>82.73</v>
      </c>
      <c r="F100" s="7">
        <f>D100/100000</f>
        <v/>
      </c>
      <c r="G100" s="7">
        <f>($D$1-F100)/F100*100</f>
        <v/>
      </c>
      <c r="H100" s="7">
        <f>($D$2-F100)/F100*100</f>
        <v/>
      </c>
      <c r="I100" s="7">
        <f>($D$3-F100)/F100*100</f>
        <v/>
      </c>
      <c r="J100" s="7">
        <f>F100/$D$10*100</f>
        <v/>
      </c>
      <c r="K100" s="7">
        <f>N100/L100</f>
        <v/>
      </c>
      <c r="L100" s="7">
        <f>(M100/O100)*100</f>
        <v/>
      </c>
      <c r="M100" s="7">
        <f>O100/R100</f>
        <v/>
      </c>
      <c r="N100" s="7" t="n">
        <v>7.31</v>
      </c>
      <c r="O100" s="7" t="n">
        <v>18122.5</v>
      </c>
      <c r="P100" s="7" t="n">
        <v>4.25</v>
      </c>
      <c r="Q100" s="7">
        <f>N100-L100</f>
        <v/>
      </c>
      <c r="R100" s="7" t="n">
        <v>21.78</v>
      </c>
      <c r="S100" s="7" t="n">
        <v>3.88</v>
      </c>
      <c r="T100" s="7">
        <f>N100-S100</f>
        <v/>
      </c>
      <c r="U100" s="7" t="n">
        <v>104.18</v>
      </c>
      <c r="V100" s="14" t="n"/>
      <c r="W100" s="14" t="n"/>
      <c r="X100" s="184" t="n"/>
      <c r="Y100" s="184" t="n"/>
      <c r="Z100" s="184" t="n"/>
      <c r="AA100" s="184" t="n"/>
      <c r="AB100" s="184" t="n"/>
      <c r="AC100" s="184" t="n"/>
      <c r="AD100" s="184" t="n"/>
      <c r="AE100" s="184" t="n"/>
    </row>
    <row r="101">
      <c r="A101" s="14" t="n">
        <v>90</v>
      </c>
      <c r="B101" s="9" t="n">
        <v>44924</v>
      </c>
      <c r="C101" s="7" t="n">
        <v>28320834.65</v>
      </c>
      <c r="D101" s="7">
        <f>C101/E101</f>
        <v/>
      </c>
      <c r="E101" s="7" t="n">
        <v>82.75</v>
      </c>
      <c r="F101" s="7">
        <f>D101/100000</f>
        <v/>
      </c>
      <c r="G101" s="7">
        <f>($D$1-F101)/F101*100</f>
        <v/>
      </c>
      <c r="H101" s="7">
        <f>($D$2-F101)/F101*100</f>
        <v/>
      </c>
      <c r="I101" s="7">
        <f>($D$3-F101)/F101*100</f>
        <v/>
      </c>
      <c r="J101" s="7">
        <f>F101/$D$10*100</f>
        <v/>
      </c>
      <c r="K101" s="7">
        <f>N101/L101</f>
        <v/>
      </c>
      <c r="L101" s="7">
        <f>(M101/O101)*100</f>
        <v/>
      </c>
      <c r="M101" s="7">
        <f>O101/R101</f>
        <v/>
      </c>
      <c r="N101" s="7" t="n">
        <v>7.31</v>
      </c>
      <c r="O101" s="7" t="n">
        <v>18191</v>
      </c>
      <c r="P101" s="7" t="n">
        <v>4.27</v>
      </c>
      <c r="Q101" s="7">
        <f>N101-L101</f>
        <v/>
      </c>
      <c r="R101" s="7" t="n">
        <v>21.86</v>
      </c>
      <c r="S101" s="7" t="n">
        <v>3.82</v>
      </c>
      <c r="T101" s="7">
        <f>N101-S101</f>
        <v/>
      </c>
      <c r="U101" s="7" t="n">
        <v>103.58</v>
      </c>
      <c r="V101" s="14" t="n"/>
      <c r="W101" s="14" t="n"/>
      <c r="X101" s="184" t="n"/>
      <c r="Y101" s="184" t="n"/>
      <c r="Z101" s="184" t="n"/>
      <c r="AA101" s="184" t="n"/>
      <c r="AB101" s="184" t="n"/>
      <c r="AC101" s="184" t="n"/>
      <c r="AD101" s="184" t="n"/>
      <c r="AE101" s="184" t="n"/>
    </row>
    <row r="102">
      <c r="A102" s="14" t="n">
        <v>91</v>
      </c>
      <c r="B102" s="9" t="n">
        <v>44925</v>
      </c>
      <c r="C102" s="7" t="n">
        <v>28323372.4</v>
      </c>
      <c r="D102" s="7">
        <f>C102/E102</f>
        <v/>
      </c>
      <c r="E102" s="7" t="n">
        <v>82.70999999999999</v>
      </c>
      <c r="F102" s="7">
        <f>D102/100000</f>
        <v/>
      </c>
      <c r="G102" s="7">
        <f>($D$1-F102)/F102*100</f>
        <v/>
      </c>
      <c r="H102" s="7">
        <f>($D$2-F102)/F102*100</f>
        <v/>
      </c>
      <c r="I102" s="7">
        <f>($D$3-F102)/F102*100</f>
        <v/>
      </c>
      <c r="J102" s="7">
        <f>F102/$D$10*100</f>
        <v/>
      </c>
      <c r="K102" s="7">
        <f>N102/L102</f>
        <v/>
      </c>
      <c r="L102" s="7">
        <f>(M102/O102)*100</f>
        <v/>
      </c>
      <c r="M102" s="7">
        <f>O102/R102</f>
        <v/>
      </c>
      <c r="N102" s="7" t="n">
        <v>7.32</v>
      </c>
      <c r="O102" s="7" t="n">
        <v>18105.3</v>
      </c>
      <c r="P102" s="7" t="n">
        <v>4.25</v>
      </c>
      <c r="Q102" s="7">
        <f>N102-L102</f>
        <v/>
      </c>
      <c r="R102" s="7" t="n">
        <v>21.79</v>
      </c>
      <c r="S102" s="7" t="n">
        <v>3.87</v>
      </c>
      <c r="T102" s="7">
        <f>N102-S102</f>
        <v/>
      </c>
      <c r="U102" s="7" t="n">
        <v>103.26</v>
      </c>
      <c r="V102" s="14" t="n"/>
      <c r="W102" s="14" t="n"/>
      <c r="X102" s="184" t="n"/>
      <c r="Y102" s="184" t="n"/>
      <c r="Z102" s="184" t="n"/>
      <c r="AA102" s="184" t="n"/>
      <c r="AB102" s="184" t="n"/>
      <c r="AC102" s="184" t="n"/>
      <c r="AD102" s="184" t="n"/>
      <c r="AE102" s="184" t="n"/>
    </row>
    <row r="103">
      <c r="A103" s="14" t="n">
        <v>92</v>
      </c>
      <c r="B103" s="9" t="n">
        <v>44928</v>
      </c>
      <c r="C103" s="7" t="n">
        <v>28454959.14</v>
      </c>
      <c r="D103" s="7">
        <f>C103/E103</f>
        <v/>
      </c>
      <c r="E103" s="7" t="n">
        <v>82.73999999999999</v>
      </c>
      <c r="F103" s="7">
        <f>D103/100000</f>
        <v/>
      </c>
      <c r="G103" s="7">
        <f>($D$1-F103)/F103*100</f>
        <v/>
      </c>
      <c r="H103" s="7">
        <f>($D$2-F103)/F103*100</f>
        <v/>
      </c>
      <c r="I103" s="7">
        <f>($D$3-F103)/F103*100</f>
        <v/>
      </c>
      <c r="J103" s="7">
        <f>F103/$D$10*100</f>
        <v/>
      </c>
      <c r="K103" s="7">
        <f>N103/L103</f>
        <v/>
      </c>
      <c r="L103" s="7">
        <f>(M103/O103)*100</f>
        <v/>
      </c>
      <c r="M103" s="7">
        <f>O103/R103</f>
        <v/>
      </c>
      <c r="N103" s="7" t="n">
        <v>7.34</v>
      </c>
      <c r="O103" s="7" t="n">
        <v>18197.45</v>
      </c>
      <c r="P103" s="7" t="n">
        <v>4.27</v>
      </c>
      <c r="Q103" s="7">
        <f>N103-L103</f>
        <v/>
      </c>
      <c r="R103" s="7" t="n">
        <v>21.9</v>
      </c>
      <c r="S103" s="7" t="n">
        <v>3.87</v>
      </c>
      <c r="T103" s="7">
        <f>N103-S103</f>
        <v/>
      </c>
      <c r="U103" s="7" t="n">
        <v>104.41</v>
      </c>
      <c r="V103" s="14" t="n"/>
      <c r="W103" s="14" t="n"/>
      <c r="X103" s="184" t="n"/>
      <c r="Y103" s="184" t="n"/>
      <c r="Z103" s="184" t="n"/>
      <c r="AA103" s="184" t="n"/>
      <c r="AB103" s="184" t="n"/>
      <c r="AC103" s="184" t="n"/>
      <c r="AD103" s="184" t="n"/>
      <c r="AE103" s="184" t="n"/>
    </row>
    <row r="104">
      <c r="A104" s="14" t="n">
        <v>93</v>
      </c>
      <c r="B104" s="9" t="n">
        <v>44929</v>
      </c>
      <c r="C104" s="4" t="n">
        <v>28548825.78</v>
      </c>
      <c r="D104" s="4">
        <f>C104/E104</f>
        <v/>
      </c>
      <c r="E104" s="4" t="n">
        <v>82.77</v>
      </c>
      <c r="F104" s="4">
        <f>D104/100000</f>
        <v/>
      </c>
      <c r="G104" s="4">
        <f>($D$1-F104)/F104*100</f>
        <v/>
      </c>
      <c r="H104" s="4">
        <f>($D$2-F104)/F104*100</f>
        <v/>
      </c>
      <c r="I104" s="4">
        <f>($D$3-F104)/F104*100</f>
        <v/>
      </c>
      <c r="J104" s="4">
        <f>F104/$D$10*100</f>
        <v/>
      </c>
      <c r="K104" s="4">
        <f>N104/L104</f>
        <v/>
      </c>
      <c r="L104" s="4">
        <f>(M104/O104)*100</f>
        <v/>
      </c>
      <c r="M104" s="4">
        <f>O104/R104</f>
        <v/>
      </c>
      <c r="N104" s="4" t="n">
        <v>7.32</v>
      </c>
      <c r="O104" s="4" t="n">
        <v>18232.55</v>
      </c>
      <c r="P104" s="4" t="n">
        <v>4.28</v>
      </c>
      <c r="Q104" s="4">
        <f>N104-L104</f>
        <v/>
      </c>
      <c r="R104" s="4" t="n">
        <v>21.94</v>
      </c>
      <c r="S104" s="4" t="n">
        <v>3.75</v>
      </c>
      <c r="T104" s="4">
        <f>N104-S104</f>
        <v/>
      </c>
      <c r="U104" s="4" t="n">
        <v>104.31</v>
      </c>
      <c r="V104" s="14" t="n"/>
      <c r="W104" s="14" t="n"/>
      <c r="X104" s="184" t="n"/>
      <c r="Y104" s="184" t="n"/>
      <c r="Z104" s="184" t="n"/>
      <c r="AA104" s="184" t="n"/>
      <c r="AB104" s="184" t="n"/>
      <c r="AC104" s="184" t="n"/>
      <c r="AD104" s="184" t="n"/>
      <c r="AE104" s="184" t="n"/>
    </row>
    <row r="105">
      <c r="A105" s="14" t="n">
        <v>94</v>
      </c>
      <c r="B105" s="9" t="n">
        <v>44930</v>
      </c>
      <c r="C105" s="4" t="n">
        <v>28257665.92</v>
      </c>
      <c r="D105" s="4">
        <f>C105/E105</f>
        <v/>
      </c>
      <c r="E105" s="4" t="n">
        <v>82.64</v>
      </c>
      <c r="F105" s="4">
        <f>D105/100000</f>
        <v/>
      </c>
      <c r="G105" s="4">
        <f>($D$1-F105)/F105*100</f>
        <v/>
      </c>
      <c r="H105" s="4">
        <f>($D$2-F105)/F105*100</f>
        <v/>
      </c>
      <c r="I105" s="4">
        <f>($D$3-F105)/F105*100</f>
        <v/>
      </c>
      <c r="J105" s="4">
        <f>F105/$D$10*100</f>
        <v/>
      </c>
      <c r="K105" s="4">
        <f>N105/L105</f>
        <v/>
      </c>
      <c r="L105" s="4">
        <f>(M105/O105)*100</f>
        <v/>
      </c>
      <c r="M105" s="4">
        <f>O105/R105</f>
        <v/>
      </c>
      <c r="N105" s="4" t="n">
        <v>7.32</v>
      </c>
      <c r="O105" s="4" t="n">
        <v>18042.95</v>
      </c>
      <c r="P105" s="4" t="n">
        <v>4.23</v>
      </c>
      <c r="Q105" s="4">
        <f>N105-L105</f>
        <v/>
      </c>
      <c r="R105" s="4" t="n">
        <v>21.71</v>
      </c>
      <c r="S105" s="4" t="n">
        <v>3.69</v>
      </c>
      <c r="T105" s="4">
        <f>N105-S105</f>
        <v/>
      </c>
      <c r="U105" s="4" t="n">
        <v>104.02</v>
      </c>
      <c r="V105" s="14" t="n"/>
      <c r="W105" s="14" t="n"/>
      <c r="X105" s="184" t="n"/>
      <c r="Y105" s="184" t="n"/>
      <c r="Z105" s="184" t="n"/>
      <c r="AA105" s="184" t="n"/>
      <c r="AB105" s="184" t="n"/>
      <c r="AC105" s="184" t="n"/>
      <c r="AD105" s="184" t="n"/>
      <c r="AE105" s="184" t="n"/>
    </row>
    <row r="106">
      <c r="A106" s="14" t="n">
        <v>95</v>
      </c>
      <c r="B106" s="9" t="n">
        <v>44931</v>
      </c>
      <c r="C106" s="4" t="n">
        <v>28279705.52</v>
      </c>
      <c r="D106" s="4">
        <f>C106/E106</f>
        <v/>
      </c>
      <c r="E106" s="4" t="n">
        <v>82.56</v>
      </c>
      <c r="F106" s="4">
        <f>D106/100000</f>
        <v/>
      </c>
      <c r="G106" s="4">
        <f>($D$1-F106)/F106*100</f>
        <v/>
      </c>
      <c r="H106" s="4">
        <f>($D$2-F106)/F106*100</f>
        <v/>
      </c>
      <c r="I106" s="4">
        <f>($D$3-F106)/F106*100</f>
        <v/>
      </c>
      <c r="J106" s="4">
        <f>F106/$D$10*100</f>
        <v/>
      </c>
      <c r="K106" s="4">
        <f>N106/L106</f>
        <v/>
      </c>
      <c r="L106" s="4">
        <f>(M106/O106)*100</f>
        <v/>
      </c>
      <c r="M106" s="4">
        <f>O106/R106</f>
        <v/>
      </c>
      <c r="N106" s="4" t="n">
        <v>7.32</v>
      </c>
      <c r="O106" s="4" t="n">
        <v>17992.15</v>
      </c>
      <c r="P106" s="4" t="n">
        <v>4.22</v>
      </c>
      <c r="Q106" s="4">
        <f>N106-L106</f>
        <v/>
      </c>
      <c r="R106" s="4" t="n">
        <v>21.65</v>
      </c>
      <c r="S106" s="4" t="n">
        <v>3.72</v>
      </c>
      <c r="T106" s="4">
        <f>N106-S106</f>
        <v/>
      </c>
      <c r="U106" s="4" t="n">
        <v>104.82</v>
      </c>
      <c r="V106" s="14" t="n"/>
      <c r="W106" s="14" t="n"/>
      <c r="X106" s="184" t="n"/>
      <c r="Y106" s="184" t="n"/>
      <c r="Z106" s="184" t="n"/>
      <c r="AA106" s="184" t="n"/>
      <c r="AB106" s="184" t="n"/>
      <c r="AC106" s="184" t="n"/>
      <c r="AD106" s="184" t="n"/>
      <c r="AE106" s="184" t="n"/>
    </row>
    <row r="107">
      <c r="A107" s="14" t="n">
        <v>96</v>
      </c>
      <c r="B107" s="9" t="n">
        <v>44932</v>
      </c>
      <c r="C107" s="4" t="n">
        <v>28057696.47</v>
      </c>
      <c r="D107" s="4">
        <f>C107/E107</f>
        <v/>
      </c>
      <c r="E107" s="4" t="n">
        <v>82.27</v>
      </c>
      <c r="F107" s="4">
        <f>D107/100000</f>
        <v/>
      </c>
      <c r="G107" s="4">
        <f>($D$1-F107)/F107*100</f>
        <v/>
      </c>
      <c r="H107" s="4">
        <f>($D$2-F107)/F107*100</f>
        <v/>
      </c>
      <c r="I107" s="4">
        <f>($D$3-F107)/F107*100</f>
        <v/>
      </c>
      <c r="J107" s="4">
        <f>F107/$D$10*100</f>
        <v/>
      </c>
      <c r="K107" s="4">
        <f>N107/L107</f>
        <v/>
      </c>
      <c r="L107" s="4">
        <f>(M107/O107)*100</f>
        <v/>
      </c>
      <c r="M107" s="4">
        <f>O107/R107</f>
        <v/>
      </c>
      <c r="N107" s="4" t="n">
        <v>7.37</v>
      </c>
      <c r="O107" s="4" t="n">
        <v>17859.45</v>
      </c>
      <c r="P107" s="4" t="n">
        <v>4.19</v>
      </c>
      <c r="Q107" s="4">
        <f>N107-L107</f>
        <v/>
      </c>
      <c r="R107" s="4" t="n">
        <v>21.49</v>
      </c>
      <c r="S107" s="4" t="n">
        <v>3.56</v>
      </c>
      <c r="T107" s="4">
        <f>N107-S107</f>
        <v/>
      </c>
      <c r="U107" s="4" t="n">
        <v>103.64</v>
      </c>
      <c r="V107" s="14" t="n"/>
      <c r="W107" s="14" t="n"/>
      <c r="X107" s="184" t="n"/>
      <c r="Y107" s="184" t="n"/>
      <c r="Z107" s="184" t="n"/>
      <c r="AA107" s="184" t="n"/>
      <c r="AB107" s="184" t="n"/>
      <c r="AC107" s="184" t="n"/>
      <c r="AD107" s="184" t="n"/>
      <c r="AE107" s="184" t="n"/>
    </row>
    <row r="108">
      <c r="A108" s="14" t="n">
        <v>97</v>
      </c>
      <c r="B108" s="8" t="n">
        <v>44935</v>
      </c>
      <c r="C108" s="4" t="n">
        <v>28374278.26</v>
      </c>
      <c r="D108" s="4">
        <f>C108/E108</f>
        <v/>
      </c>
      <c r="E108" s="4" t="n">
        <v>82.17</v>
      </c>
      <c r="F108" s="4">
        <f>D108/100000</f>
        <v/>
      </c>
      <c r="G108" s="4">
        <f>($D$1-F108)/F108*100</f>
        <v/>
      </c>
      <c r="H108" s="4">
        <f>($D$2-F108)/F108*100</f>
        <v/>
      </c>
      <c r="I108" s="4">
        <f>($D$3-F108)/F108*100</f>
        <v/>
      </c>
      <c r="J108" s="4">
        <f>F108/$D$10*100</f>
        <v/>
      </c>
      <c r="K108" s="4">
        <f>N108/L108</f>
        <v/>
      </c>
      <c r="L108" s="4">
        <f>(M108/O108)*100</f>
        <v/>
      </c>
      <c r="M108" s="4">
        <f>O108/R108</f>
        <v/>
      </c>
      <c r="N108" s="4" t="n">
        <v>7.34</v>
      </c>
      <c r="O108" s="4" t="n">
        <v>18101.2</v>
      </c>
      <c r="P108" s="4" t="n">
        <v>4.25</v>
      </c>
      <c r="Q108" s="4">
        <f>N108-L108</f>
        <v/>
      </c>
      <c r="R108" s="4" t="n">
        <v>21.78</v>
      </c>
      <c r="S108" s="4" t="n">
        <v>3.52</v>
      </c>
      <c r="T108" s="4">
        <f>N108-S108</f>
        <v/>
      </c>
      <c r="U108" s="4" t="n">
        <v>102.73</v>
      </c>
      <c r="V108" s="14" t="n"/>
      <c r="W108" s="14" t="n"/>
      <c r="X108" s="184" t="n"/>
      <c r="Y108" s="184" t="n"/>
      <c r="Z108" s="184" t="n"/>
      <c r="AA108" s="184" t="n"/>
      <c r="AB108" s="184" t="n"/>
      <c r="AC108" s="184" t="n"/>
      <c r="AD108" s="184" t="n"/>
      <c r="AE108" s="184" t="n"/>
    </row>
    <row r="109">
      <c r="A109" s="14" t="n">
        <v>98</v>
      </c>
      <c r="B109" s="8" t="n">
        <v>44936</v>
      </c>
      <c r="C109" s="4" t="n">
        <v>28164222.44</v>
      </c>
      <c r="D109" s="4">
        <f>C109/E109</f>
        <v/>
      </c>
      <c r="E109" s="4" t="n">
        <v>81.59999999999999</v>
      </c>
      <c r="F109" s="4">
        <f>D109/100000</f>
        <v/>
      </c>
      <c r="G109" s="4">
        <f>($D$1-F109)/F109*100</f>
        <v/>
      </c>
      <c r="H109" s="4">
        <f>($D$2-F109)/F109*100</f>
        <v/>
      </c>
      <c r="I109" s="4">
        <f>($D$3-F109)/F109*100</f>
        <v/>
      </c>
      <c r="J109" s="4">
        <f>F109/$D$10*100</f>
        <v/>
      </c>
      <c r="K109" s="4">
        <f>N109/L109</f>
        <v/>
      </c>
      <c r="L109" s="4">
        <f>(M109/O109)*100</f>
        <v/>
      </c>
      <c r="M109" s="4">
        <f>O109/R109</f>
        <v/>
      </c>
      <c r="N109" s="4" t="n">
        <v>7.31</v>
      </c>
      <c r="O109" s="4" t="n">
        <v>17914.15</v>
      </c>
      <c r="P109" s="4" t="n">
        <v>4.2</v>
      </c>
      <c r="Q109" s="4">
        <f>N109-L109</f>
        <v/>
      </c>
      <c r="R109" s="4" t="n">
        <v>21.56</v>
      </c>
      <c r="S109" s="4" t="n">
        <v>3.61</v>
      </c>
      <c r="T109" s="4">
        <f>N109-S109</f>
        <v/>
      </c>
      <c r="U109" s="4" t="n">
        <v>102.98</v>
      </c>
      <c r="V109" s="14" t="n"/>
      <c r="W109" s="14" t="n"/>
      <c r="X109" s="184" t="n"/>
      <c r="Y109" s="184" t="n"/>
      <c r="Z109" s="184" t="n"/>
      <c r="AA109" s="184" t="n"/>
      <c r="AB109" s="184" t="n"/>
      <c r="AC109" s="184" t="n"/>
      <c r="AD109" s="184" t="n"/>
      <c r="AE109" s="184" t="n"/>
    </row>
    <row r="110">
      <c r="A110" s="14" t="n">
        <v>99</v>
      </c>
      <c r="B110" s="8" t="n">
        <v>44937</v>
      </c>
      <c r="C110" s="4" t="n">
        <v>28116864.29</v>
      </c>
      <c r="D110" s="4">
        <f>C110/E110</f>
        <v/>
      </c>
      <c r="E110" s="4" t="n">
        <v>81.63</v>
      </c>
      <c r="F110" s="4">
        <f>D110/100000</f>
        <v/>
      </c>
      <c r="G110" s="4">
        <f>($D$1-F110)/F110*100</f>
        <v/>
      </c>
      <c r="H110" s="4">
        <f>($D$2-F110)/F110*100</f>
        <v/>
      </c>
      <c r="I110" s="4">
        <f>($D$3-F110)/F110*100</f>
        <v/>
      </c>
      <c r="J110" s="4">
        <f>F110/$D$10*100</f>
        <v/>
      </c>
      <c r="K110" s="4">
        <f>N110/L110</f>
        <v/>
      </c>
      <c r="L110" s="4">
        <f>(M110/O110)*100</f>
        <v/>
      </c>
      <c r="M110" s="4">
        <f>O110/R110</f>
        <v/>
      </c>
      <c r="N110" s="4" t="n">
        <v>7.29</v>
      </c>
      <c r="O110" s="4" t="n">
        <v>17895.7</v>
      </c>
      <c r="P110" s="4" t="n">
        <v>4.2</v>
      </c>
      <c r="Q110" s="4">
        <f>N110-L110</f>
        <v/>
      </c>
      <c r="R110" s="4" t="n">
        <v>21.52</v>
      </c>
      <c r="S110" s="4" t="n">
        <v>3.54</v>
      </c>
      <c r="T110" s="4">
        <f>N110-S110</f>
        <v/>
      </c>
      <c r="U110" s="4" t="n">
        <v>102.92</v>
      </c>
      <c r="V110" s="14" t="n"/>
      <c r="W110" s="14" t="n"/>
      <c r="X110" s="184" t="n"/>
      <c r="Y110" s="184" t="n"/>
      <c r="Z110" s="184" t="n"/>
      <c r="AA110" s="184" t="n"/>
      <c r="AB110" s="184" t="n"/>
      <c r="AC110" s="184" t="n"/>
      <c r="AD110" s="184" t="n"/>
      <c r="AE110" s="184" t="n"/>
    </row>
    <row r="111">
      <c r="A111" s="14" t="n">
        <v>100</v>
      </c>
      <c r="B111" s="8" t="n">
        <v>44938</v>
      </c>
      <c r="C111" s="4" t="n">
        <v>28079394.95</v>
      </c>
      <c r="D111" s="4">
        <f>C111/E111</f>
        <v/>
      </c>
      <c r="E111" s="4" t="n">
        <v>81.09999999999999</v>
      </c>
      <c r="F111" s="4">
        <f>D111/100000</f>
        <v/>
      </c>
      <c r="G111" s="4">
        <f>($D$1-F111)/F111*100</f>
        <v/>
      </c>
      <c r="H111" s="4">
        <f>($D$2-F111)/F111*100</f>
        <v/>
      </c>
      <c r="I111" s="4">
        <f>($D$3-F111)/F111*100</f>
        <v/>
      </c>
      <c r="J111" s="4">
        <f>F111/$D$10*100</f>
        <v/>
      </c>
      <c r="K111" s="4">
        <f>N111/L111</f>
        <v/>
      </c>
      <c r="L111" s="4">
        <f>(M111/O111)*100</f>
        <v/>
      </c>
      <c r="M111" s="4">
        <f>O111/R111</f>
        <v/>
      </c>
      <c r="N111" s="4" t="n">
        <v>7.28</v>
      </c>
      <c r="O111" s="4" t="n">
        <v>17858.2</v>
      </c>
      <c r="P111" s="4" t="n">
        <v>4.19</v>
      </c>
      <c r="Q111" s="4">
        <f>N111-L111</f>
        <v/>
      </c>
      <c r="R111" s="4" t="n">
        <v>21.47</v>
      </c>
      <c r="S111" s="4" t="n">
        <v>3.44</v>
      </c>
      <c r="T111" s="4">
        <f>N111-S111</f>
        <v/>
      </c>
      <c r="U111" s="4" t="n">
        <v>101.99</v>
      </c>
      <c r="V111" s="14" t="n"/>
      <c r="W111" s="14" t="n"/>
      <c r="X111" s="184" t="n"/>
      <c r="Y111" s="184" t="n"/>
      <c r="Z111" s="184" t="n"/>
      <c r="AA111" s="184" t="n"/>
      <c r="AB111" s="184" t="n"/>
      <c r="AC111" s="184" t="n"/>
      <c r="AD111" s="184" t="n"/>
      <c r="AE111" s="184" t="n"/>
    </row>
    <row r="112">
      <c r="A112" s="14" t="n">
        <v>101</v>
      </c>
      <c r="B112" s="8" t="n">
        <v>44939</v>
      </c>
      <c r="C112" s="4" t="n">
        <v>28213564.25</v>
      </c>
      <c r="D112" s="4">
        <f>C112/E112</f>
        <v/>
      </c>
      <c r="E112" s="4" t="n">
        <v>81.28</v>
      </c>
      <c r="F112" s="4">
        <f>D112/100000</f>
        <v/>
      </c>
      <c r="G112" s="4">
        <f>($D$1-F112)/F112*100</f>
        <v/>
      </c>
      <c r="H112" s="4">
        <f>($D$2-F112)/F112*100</f>
        <v/>
      </c>
      <c r="I112" s="4">
        <f>($D$3-F112)/F112*100</f>
        <v/>
      </c>
      <c r="J112" s="4">
        <f>F112/$D$10*100</f>
        <v/>
      </c>
      <c r="K112" s="4">
        <f>N112/L112</f>
        <v/>
      </c>
      <c r="L112" s="4">
        <f>(M112/O112)*100</f>
        <v/>
      </c>
      <c r="M112" s="4">
        <f>O112/R112</f>
        <v/>
      </c>
      <c r="N112" s="4" t="n">
        <v>7.29</v>
      </c>
      <c r="O112" s="4" t="n">
        <v>17956.6</v>
      </c>
      <c r="P112" s="4" t="n">
        <v>4.21</v>
      </c>
      <c r="Q112" s="4">
        <f>N112-L112</f>
        <v/>
      </c>
      <c r="R112" s="4" t="n">
        <v>21.54</v>
      </c>
      <c r="S112" s="4" t="n">
        <v>3.49</v>
      </c>
      <c r="T112" s="4">
        <f>N112-S112</f>
        <v/>
      </c>
      <c r="U112" s="4" t="n">
        <v>101.94</v>
      </c>
      <c r="V112" s="14" t="n"/>
      <c r="W112" s="14" t="n"/>
      <c r="X112" s="184" t="n"/>
      <c r="Y112" s="184" t="n"/>
      <c r="Z112" s="184" t="n"/>
      <c r="AA112" s="184" t="n"/>
      <c r="AB112" s="184" t="n"/>
      <c r="AC112" s="184" t="n"/>
      <c r="AD112" s="184" t="n"/>
      <c r="AE112" s="184" t="n"/>
    </row>
    <row r="113">
      <c r="A113" s="14" t="n">
        <v>102</v>
      </c>
      <c r="B113" s="8" t="n">
        <v>44942</v>
      </c>
      <c r="C113" s="4" t="n">
        <v>28147293.2</v>
      </c>
      <c r="D113" s="4">
        <f>C113/E113</f>
        <v/>
      </c>
      <c r="E113" s="4" t="n">
        <v>81.62</v>
      </c>
      <c r="F113" s="4">
        <f>D113/100000</f>
        <v/>
      </c>
      <c r="G113" s="4">
        <f>($D$1-F113)/F113*100</f>
        <v/>
      </c>
      <c r="H113" s="4">
        <f>($D$2-F113)/F113*100</f>
        <v/>
      </c>
      <c r="I113" s="4">
        <f>($D$3-F113)/F113*100</f>
        <v/>
      </c>
      <c r="J113" s="4">
        <f>F113/$D$10*100</f>
        <v/>
      </c>
      <c r="K113" s="4">
        <f>N113/L113</f>
        <v/>
      </c>
      <c r="L113" s="4">
        <f>(M113/O113)*100</f>
        <v/>
      </c>
      <c r="M113" s="4">
        <f>O113/R113</f>
        <v/>
      </c>
      <c r="N113" s="4" t="n">
        <v>7.32</v>
      </c>
      <c r="O113" s="4" t="n">
        <v>17894.85</v>
      </c>
      <c r="P113" s="4" t="n">
        <v>4.19</v>
      </c>
      <c r="Q113" s="4">
        <f>N113-L113</f>
        <v/>
      </c>
      <c r="R113" s="4" t="n">
        <v>21.34</v>
      </c>
      <c r="S113" s="4" t="n">
        <v>3.52</v>
      </c>
      <c r="T113" s="4">
        <f>N113-S113</f>
        <v/>
      </c>
      <c r="U113" s="4" t="n">
        <v>101.94</v>
      </c>
      <c r="V113" s="14" t="n"/>
      <c r="W113" s="14" t="n"/>
      <c r="X113" s="184" t="n"/>
      <c r="Y113" s="184" t="n"/>
      <c r="Z113" s="184" t="n"/>
      <c r="AA113" s="184" t="n"/>
      <c r="AB113" s="184" t="n"/>
      <c r="AC113" s="184" t="n"/>
      <c r="AD113" s="184" t="n"/>
      <c r="AE113" s="184" t="n"/>
    </row>
    <row r="114">
      <c r="A114" s="14" t="n">
        <v>103</v>
      </c>
      <c r="B114" s="8" t="n">
        <v>44943</v>
      </c>
      <c r="C114" s="4" t="n">
        <v>28272804.64</v>
      </c>
      <c r="D114" s="4">
        <f>C114/E114</f>
        <v/>
      </c>
      <c r="E114" s="4" t="n">
        <v>81.63</v>
      </c>
      <c r="F114" s="4">
        <f>D114/100000</f>
        <v/>
      </c>
      <c r="G114" s="4">
        <f>($D$1-F114)/F114*100</f>
        <v/>
      </c>
      <c r="H114" s="4">
        <f>($D$2-F114)/F114*100</f>
        <v/>
      </c>
      <c r="I114" s="4">
        <f>($D$3-F114)/F114*100</f>
        <v/>
      </c>
      <c r="J114" s="4">
        <f>F114/$D$10*100</f>
        <v/>
      </c>
      <c r="K114" s="4">
        <f>N114/L114</f>
        <v/>
      </c>
      <c r="L114" s="4">
        <f>(M114/O114)*100</f>
        <v/>
      </c>
      <c r="M114" s="4">
        <f>O114/R114</f>
        <v/>
      </c>
      <c r="N114" s="4" t="n">
        <v>7.33</v>
      </c>
      <c r="O114" s="4" t="n">
        <v>18053.3</v>
      </c>
      <c r="P114" s="4" t="n">
        <v>4.23</v>
      </c>
      <c r="Q114" s="4">
        <f>N114-L114</f>
        <v/>
      </c>
      <c r="R114" s="4" t="n">
        <v>21.53</v>
      </c>
      <c r="S114" s="4" t="n">
        <v>3.54</v>
      </c>
      <c r="T114" s="4">
        <f>N114-S114</f>
        <v/>
      </c>
      <c r="U114" s="4" t="n">
        <v>102.14</v>
      </c>
      <c r="V114" s="14" t="n"/>
      <c r="W114" s="14" t="n"/>
      <c r="X114" s="184" t="n"/>
      <c r="Y114" s="184" t="n"/>
      <c r="Z114" s="184" t="n"/>
      <c r="AA114" s="184" t="n"/>
      <c r="AB114" s="184" t="n"/>
      <c r="AC114" s="184" t="n"/>
      <c r="AD114" s="184" t="n"/>
      <c r="AE114" s="184" t="n"/>
    </row>
    <row r="115">
      <c r="A115" s="14" t="n">
        <v>104</v>
      </c>
      <c r="B115" s="8" t="n">
        <v>44944</v>
      </c>
      <c r="C115" s="4" t="n">
        <v>28363289.33</v>
      </c>
      <c r="D115" s="4">
        <f>C115/E115</f>
        <v/>
      </c>
      <c r="E115" s="4" t="n">
        <v>81.44</v>
      </c>
      <c r="F115" s="4">
        <f>D115/100000</f>
        <v/>
      </c>
      <c r="G115" s="4">
        <f>($D$1-F115)/F115*100</f>
        <v/>
      </c>
      <c r="H115" s="4">
        <f>($D$2-F115)/F115*100</f>
        <v/>
      </c>
      <c r="I115" s="4">
        <f>($D$3-F115)/F115*100</f>
        <v/>
      </c>
      <c r="J115" s="4">
        <f>F115/$D$10*100</f>
        <v/>
      </c>
      <c r="K115" s="4">
        <f>N115/L115</f>
        <v/>
      </c>
      <c r="L115" s="4">
        <f>(M115/O115)*100</f>
        <v/>
      </c>
      <c r="M115" s="4">
        <f>O115/R115</f>
        <v/>
      </c>
      <c r="N115" s="4" t="n">
        <v>7.32</v>
      </c>
      <c r="O115" s="4" t="n">
        <v>18165.35</v>
      </c>
      <c r="P115" s="4" t="n">
        <v>4.26</v>
      </c>
      <c r="Q115" s="4">
        <f>N115-L115</f>
        <v/>
      </c>
      <c r="R115" s="4" t="n">
        <v>21.67</v>
      </c>
      <c r="S115" s="4" t="n">
        <v>3.37</v>
      </c>
      <c r="T115" s="4">
        <f>N115-S115</f>
        <v/>
      </c>
      <c r="U115" s="4" t="n">
        <v>102.1</v>
      </c>
      <c r="V115" s="14" t="n"/>
      <c r="W115" s="14" t="n"/>
      <c r="X115" s="184" t="n"/>
      <c r="Y115" s="184" t="n"/>
      <c r="Z115" s="184" t="n"/>
      <c r="AA115" s="184" t="n"/>
      <c r="AB115" s="184" t="n"/>
      <c r="AC115" s="184" t="n"/>
      <c r="AD115" s="184" t="n"/>
      <c r="AE115" s="184" t="n"/>
    </row>
    <row r="116">
      <c r="A116" s="14" t="n">
        <v>105</v>
      </c>
      <c r="B116" s="8" t="n">
        <v>44945</v>
      </c>
      <c r="C116" s="4" t="n">
        <v>28269497.64</v>
      </c>
      <c r="D116" s="4">
        <f>C116/E116</f>
        <v/>
      </c>
      <c r="E116" s="4" t="n">
        <v>81.23999999999999</v>
      </c>
      <c r="F116" s="4">
        <f>D116/100000</f>
        <v/>
      </c>
      <c r="G116" s="4">
        <f>($D$1-F116)/F116*100</f>
        <v/>
      </c>
      <c r="H116" s="4">
        <f>($D$2-F116)/F116*100</f>
        <v/>
      </c>
      <c r="I116" s="4">
        <f>($D$3-F116)/F116*100</f>
        <v/>
      </c>
      <c r="J116" s="4">
        <f>F116/$D$10*100</f>
        <v/>
      </c>
      <c r="K116" s="4">
        <f>N116/L116</f>
        <v/>
      </c>
      <c r="L116" s="4">
        <f>(M116/O116)*100</f>
        <v/>
      </c>
      <c r="M116" s="4">
        <f>O116/R116</f>
        <v/>
      </c>
      <c r="N116" s="4" t="n">
        <v>7.31</v>
      </c>
      <c r="O116" s="4" t="n">
        <v>18107.85</v>
      </c>
      <c r="P116" s="4" t="n">
        <v>4.24</v>
      </c>
      <c r="Q116" s="4">
        <f>N116-L116</f>
        <v/>
      </c>
      <c r="R116" s="4" t="n">
        <v>21.56</v>
      </c>
      <c r="S116" s="4" t="n">
        <v>3.39</v>
      </c>
      <c r="T116" s="4">
        <f>N116-S116</f>
        <v/>
      </c>
      <c r="U116" s="4" t="n">
        <v>101.83</v>
      </c>
      <c r="V116" s="14" t="n"/>
      <c r="W116" s="14" t="n"/>
      <c r="X116" s="184" t="n"/>
      <c r="Y116" s="184" t="n"/>
      <c r="Z116" s="184" t="n"/>
      <c r="AA116" s="184" t="n"/>
      <c r="AB116" s="184" t="n"/>
      <c r="AC116" s="184" t="n"/>
      <c r="AD116" s="184" t="n"/>
      <c r="AE116" s="184" t="n"/>
    </row>
    <row r="117">
      <c r="A117" s="14" t="n">
        <v>106</v>
      </c>
      <c r="B117" s="8" t="n">
        <v>44946</v>
      </c>
      <c r="C117" s="4" t="n">
        <v>28114163.94</v>
      </c>
      <c r="D117" s="4">
        <f>C117/E117</f>
        <v/>
      </c>
      <c r="E117" s="4" t="n">
        <v>80.97</v>
      </c>
      <c r="F117" s="4">
        <f>D117/100000</f>
        <v/>
      </c>
      <c r="G117" s="4">
        <f>($D$1-F117)/F117*100</f>
        <v/>
      </c>
      <c r="H117" s="4">
        <f>($D$2-F117)/F117*100</f>
        <v/>
      </c>
      <c r="I117" s="4">
        <f>($D$3-F117)/F117*100</f>
        <v/>
      </c>
      <c r="J117" s="4">
        <f>F117/$D$10*100</f>
        <v/>
      </c>
      <c r="K117" s="4">
        <f>N117/L117</f>
        <v/>
      </c>
      <c r="L117" s="4">
        <f>(M117/O117)*100</f>
        <v/>
      </c>
      <c r="M117" s="4">
        <f>O117/R117</f>
        <v/>
      </c>
      <c r="N117" s="4" t="n">
        <v>7.34</v>
      </c>
      <c r="O117" s="4" t="n">
        <v>18027.65</v>
      </c>
      <c r="P117" s="4" t="n">
        <v>4.23</v>
      </c>
      <c r="Q117" s="4">
        <f>N117-L117</f>
        <v/>
      </c>
      <c r="R117" s="4" t="n">
        <v>21.46</v>
      </c>
      <c r="S117" s="4" t="n">
        <v>3.48</v>
      </c>
      <c r="T117" s="4">
        <f>N117-S117</f>
        <v/>
      </c>
      <c r="U117" s="4" t="n">
        <v>101.78</v>
      </c>
      <c r="V117" s="14" t="n"/>
      <c r="W117" s="14" t="n"/>
      <c r="X117" s="184" t="n"/>
      <c r="Y117" s="184" t="n"/>
      <c r="Z117" s="184" t="n"/>
      <c r="AA117" s="184" t="n"/>
      <c r="AB117" s="184" t="n"/>
      <c r="AC117" s="184" t="n"/>
      <c r="AD117" s="184" t="n"/>
      <c r="AE117" s="184" t="n"/>
    </row>
    <row r="118">
      <c r="A118" s="14" t="n">
        <v>107</v>
      </c>
      <c r="B118" s="9" t="n">
        <v>44949</v>
      </c>
      <c r="C118" s="7" t="n">
        <v>28167739.33</v>
      </c>
      <c r="D118" s="7">
        <f>C118/E118</f>
        <v/>
      </c>
      <c r="E118" s="7" t="n">
        <v>81.47</v>
      </c>
      <c r="F118" s="7">
        <f>D118/100000</f>
        <v/>
      </c>
      <c r="G118" s="7">
        <f>($D$1-F118)/F118*100</f>
        <v/>
      </c>
      <c r="H118" s="7">
        <f>($D$2-F118)/F118*100</f>
        <v/>
      </c>
      <c r="I118" s="7">
        <f>($D$3-F118)/F118*100</f>
        <v/>
      </c>
      <c r="J118" s="7">
        <f>F118/$D$10*100</f>
        <v/>
      </c>
      <c r="K118" s="7">
        <f>N118/L118</f>
        <v/>
      </c>
      <c r="L118" s="4">
        <f>(M118/O118)*100</f>
        <v/>
      </c>
      <c r="M118" s="4">
        <f>O118/R118</f>
        <v/>
      </c>
      <c r="N118" s="7" t="n">
        <v>7.35</v>
      </c>
      <c r="O118" s="7" t="n">
        <v>18118.55</v>
      </c>
      <c r="P118" s="7" t="n">
        <v>4.25</v>
      </c>
      <c r="Q118" s="4">
        <f>N118-L118</f>
        <v/>
      </c>
      <c r="R118" s="7" t="n">
        <v>21.6</v>
      </c>
      <c r="S118" s="7" t="n">
        <v>3.52</v>
      </c>
      <c r="T118" s="4">
        <f>N118-S118</f>
        <v/>
      </c>
      <c r="U118" s="7" t="n">
        <v>101.91</v>
      </c>
      <c r="V118" s="14" t="n"/>
      <c r="W118" s="14" t="n"/>
      <c r="X118" s="184" t="n"/>
      <c r="Y118" s="184" t="n"/>
      <c r="Z118" s="184" t="n"/>
      <c r="AA118" s="184" t="n"/>
      <c r="AB118" s="184" t="n"/>
      <c r="AC118" s="184" t="n"/>
      <c r="AD118" s="184" t="n"/>
      <c r="AE118" s="184" t="n"/>
    </row>
    <row r="119">
      <c r="A119" s="14" t="n">
        <v>108</v>
      </c>
      <c r="B119" s="9" t="n">
        <v>44950</v>
      </c>
      <c r="C119" s="7" t="n">
        <v>28128809.69</v>
      </c>
      <c r="D119" s="7">
        <f>C119/E119</f>
        <v/>
      </c>
      <c r="E119" s="7" t="n">
        <v>81.59</v>
      </c>
      <c r="F119" s="7">
        <f>D119/100000</f>
        <v/>
      </c>
      <c r="G119" s="7">
        <f>($D$1-F119)/F119*100</f>
        <v/>
      </c>
      <c r="H119" s="7">
        <f>($D$2-F119)/F119*100</f>
        <v/>
      </c>
      <c r="I119" s="7">
        <f>($D$3-F119)/F119*100</f>
        <v/>
      </c>
      <c r="J119" s="7">
        <f>F119/$D$10*100</f>
        <v/>
      </c>
      <c r="K119" s="7">
        <f>N119/L119</f>
        <v/>
      </c>
      <c r="L119" s="4">
        <f>(M119/O119)*100</f>
        <v/>
      </c>
      <c r="M119" s="4">
        <f>O119/R119</f>
        <v/>
      </c>
      <c r="N119" s="7" t="n">
        <v>7.34</v>
      </c>
      <c r="O119" s="7" t="n">
        <v>18118.3</v>
      </c>
      <c r="P119" s="7" t="n">
        <v>4.25</v>
      </c>
      <c r="Q119" s="4">
        <f>N119-L119</f>
        <v/>
      </c>
      <c r="R119" s="7" t="n">
        <v>21.49</v>
      </c>
      <c r="S119" s="7" t="n">
        <v>3.45</v>
      </c>
      <c r="T119" s="4">
        <f>N119-S119</f>
        <v/>
      </c>
      <c r="U119" s="7" t="n">
        <v>101.67</v>
      </c>
      <c r="V119" s="14" t="n"/>
      <c r="W119" s="14" t="n"/>
      <c r="X119" s="184" t="n"/>
      <c r="Y119" s="184" t="n"/>
      <c r="Z119" s="184" t="n"/>
      <c r="AA119" s="184" t="n"/>
      <c r="AB119" s="184" t="n"/>
      <c r="AC119" s="184" t="n"/>
      <c r="AD119" s="184" t="n"/>
      <c r="AE119" s="184" t="n"/>
    </row>
    <row r="120">
      <c r="A120" s="14" t="n">
        <v>109</v>
      </c>
      <c r="B120" s="9" t="n">
        <v>44951</v>
      </c>
      <c r="C120" s="4" t="n">
        <v>27733829.37</v>
      </c>
      <c r="D120" s="4">
        <f>C120/E120</f>
        <v/>
      </c>
      <c r="E120" s="4" t="n">
        <v>81.48999999999999</v>
      </c>
      <c r="F120" s="4">
        <f>D120/100000</f>
        <v/>
      </c>
      <c r="G120" s="4">
        <f>($D$1-F120)/F120*100</f>
        <v/>
      </c>
      <c r="H120" s="4">
        <f>($D$2-F120)/F120*100</f>
        <v/>
      </c>
      <c r="I120" s="4">
        <f>($D$3-F120)/F120*100</f>
        <v/>
      </c>
      <c r="J120" s="4">
        <f>F120/$D$10*100</f>
        <v/>
      </c>
      <c r="K120" s="4">
        <f>N120/L120</f>
        <v/>
      </c>
      <c r="L120" s="4">
        <f>(M120/O120)*100</f>
        <v/>
      </c>
      <c r="M120" s="4">
        <f>O120/R120</f>
        <v/>
      </c>
      <c r="N120" s="4" t="n">
        <v>7.34</v>
      </c>
      <c r="O120" s="4" t="n">
        <v>17891.95</v>
      </c>
      <c r="P120" s="4" t="n">
        <v>4.19</v>
      </c>
      <c r="Q120" s="4">
        <f>N120-L120</f>
        <v/>
      </c>
      <c r="R120" s="4" t="n">
        <v>21.19</v>
      </c>
      <c r="S120" s="4" t="n">
        <v>3.44</v>
      </c>
      <c r="T120" s="4">
        <f>N120-S120</f>
        <v/>
      </c>
      <c r="U120" s="4" t="n">
        <v>101.41</v>
      </c>
      <c r="V120" s="14" t="n"/>
      <c r="W120" s="14" t="n"/>
      <c r="X120" s="184" t="n"/>
      <c r="Y120" s="184" t="n"/>
      <c r="Z120" s="184" t="n"/>
      <c r="AA120" s="184" t="n"/>
      <c r="AB120" s="184" t="n"/>
      <c r="AC120" s="184" t="n"/>
      <c r="AD120" s="184" t="n"/>
      <c r="AE120" s="184" t="n"/>
    </row>
    <row r="121">
      <c r="A121" s="14" t="n">
        <v>110</v>
      </c>
      <c r="B121" s="8" t="n">
        <v>44953</v>
      </c>
      <c r="C121" s="4" t="n">
        <v>27050860.65</v>
      </c>
      <c r="D121" s="4">
        <f>C121/E121</f>
        <v/>
      </c>
      <c r="E121" s="4" t="n">
        <v>81.51000000000001</v>
      </c>
      <c r="F121" s="4">
        <f>D121/100000</f>
        <v/>
      </c>
      <c r="G121" s="4">
        <f>($D$1-F121)/F121*100</f>
        <v/>
      </c>
      <c r="H121" s="4">
        <f>($D$2-F121)/F121*100</f>
        <v/>
      </c>
      <c r="I121" s="4">
        <f>($D$3-F121)/F121*100</f>
        <v/>
      </c>
      <c r="J121" s="4">
        <f>F121/$D$10*100</f>
        <v/>
      </c>
      <c r="K121" s="4">
        <f>N121/L121</f>
        <v/>
      </c>
      <c r="L121" s="4">
        <f>(M121/O121)*100</f>
        <v/>
      </c>
      <c r="M121" s="4">
        <f>O121/R121</f>
        <v/>
      </c>
      <c r="N121" s="4" t="n">
        <v>7.38</v>
      </c>
      <c r="O121" s="4" t="n">
        <v>17604.35</v>
      </c>
      <c r="P121" s="4" t="n">
        <v>4.13</v>
      </c>
      <c r="Q121" s="4">
        <f>N121-L121</f>
        <v/>
      </c>
      <c r="R121" s="4" t="n">
        <v>20.7</v>
      </c>
      <c r="S121" s="4" t="n">
        <v>3.5</v>
      </c>
      <c r="T121" s="4">
        <f>N121-S121</f>
        <v/>
      </c>
      <c r="U121" s="4" t="n">
        <v>101.72</v>
      </c>
      <c r="V121" s="14" t="n"/>
      <c r="W121" s="14" t="n"/>
      <c r="X121" s="184" t="n"/>
      <c r="Y121" s="184" t="n"/>
      <c r="Z121" s="184" t="n"/>
      <c r="AA121" s="184" t="n"/>
      <c r="AB121" s="184" t="n"/>
      <c r="AC121" s="184" t="n"/>
      <c r="AD121" s="184" t="n"/>
      <c r="AE121" s="184" t="n"/>
    </row>
    <row r="122">
      <c r="A122" s="14" t="n">
        <v>111</v>
      </c>
      <c r="B122" s="8" t="n">
        <v>44956</v>
      </c>
      <c r="C122" s="4" t="n">
        <v>26928726.69</v>
      </c>
      <c r="D122" s="4">
        <f>C122/E122</f>
        <v/>
      </c>
      <c r="E122" s="4" t="n">
        <v>81.52</v>
      </c>
      <c r="F122" s="4">
        <f>D122/100000</f>
        <v/>
      </c>
      <c r="G122" s="4">
        <f>($D$1-F122)/F122*100</f>
        <v/>
      </c>
      <c r="H122" s="4">
        <f>($D$2-F122)/F122*100</f>
        <v/>
      </c>
      <c r="I122" s="4">
        <f>($D$3-F122)/F122*100</f>
        <v/>
      </c>
      <c r="J122" s="4">
        <f>F122/$D$10*100</f>
        <v/>
      </c>
      <c r="K122" s="4">
        <f>N122/L122</f>
        <v/>
      </c>
      <c r="L122" s="4">
        <f>(M122/O122)*100</f>
        <v/>
      </c>
      <c r="M122" s="4">
        <f>O122/R122</f>
        <v/>
      </c>
      <c r="N122" s="4" t="n">
        <v>7.4</v>
      </c>
      <c r="O122" s="4" t="n">
        <v>17648.95</v>
      </c>
      <c r="P122" s="4" t="n">
        <v>4.14</v>
      </c>
      <c r="Q122" s="4">
        <f>N122-L122</f>
        <v/>
      </c>
      <c r="R122" s="4" t="n">
        <v>20.73</v>
      </c>
      <c r="S122" s="4" t="n">
        <v>3.54</v>
      </c>
      <c r="T122" s="4">
        <f>N122-S122</f>
        <v/>
      </c>
      <c r="U122" s="4" t="n">
        <v>102.08</v>
      </c>
      <c r="V122" s="14" t="n"/>
      <c r="W122" s="14" t="n"/>
      <c r="X122" s="184" t="n"/>
      <c r="Y122" s="184" t="n"/>
      <c r="Z122" s="184" t="n"/>
      <c r="AA122" s="184" t="n"/>
      <c r="AB122" s="184" t="n"/>
      <c r="AC122" s="184" t="n"/>
      <c r="AD122" s="184" t="n"/>
      <c r="AE122" s="184" t="n"/>
    </row>
    <row r="123">
      <c r="A123" s="14" t="n">
        <v>112</v>
      </c>
      <c r="B123" s="8" t="n">
        <v>44957</v>
      </c>
      <c r="C123" s="4" t="n">
        <v>27111145.75</v>
      </c>
      <c r="D123" s="4">
        <f>C123/E123</f>
        <v/>
      </c>
      <c r="E123" s="4" t="n">
        <v>81.73</v>
      </c>
      <c r="F123" s="4">
        <f>D123/100000</f>
        <v/>
      </c>
      <c r="G123" s="4">
        <f>($D$1-F123)/F123*100</f>
        <v/>
      </c>
      <c r="H123" s="4">
        <f>($D$2-F123)/F123*100</f>
        <v/>
      </c>
      <c r="I123" s="4">
        <f>($D$3-F123)/F123*100</f>
        <v/>
      </c>
      <c r="J123" s="4">
        <f>F123/$D$10*100</f>
        <v/>
      </c>
      <c r="K123" s="4">
        <f>N123/L123</f>
        <v/>
      </c>
      <c r="L123" s="4">
        <f>(M123/O123)*100</f>
        <v/>
      </c>
      <c r="M123" s="4">
        <f>O123/R123</f>
        <v/>
      </c>
      <c r="N123" s="4" t="n">
        <v>7.34</v>
      </c>
      <c r="O123" s="4" t="n">
        <v>17662.15</v>
      </c>
      <c r="P123" s="4" t="n">
        <v>4.14</v>
      </c>
      <c r="Q123" s="4">
        <f>N123-L123</f>
        <v/>
      </c>
      <c r="R123" s="4" t="n">
        <v>20.73</v>
      </c>
      <c r="S123" s="4" t="n">
        <v>3.51</v>
      </c>
      <c r="T123" s="4">
        <f>N123-S123</f>
        <v/>
      </c>
      <c r="U123" s="4" t="n">
        <v>101.91</v>
      </c>
      <c r="V123" s="14" t="n"/>
      <c r="W123" s="14" t="n"/>
      <c r="X123" s="184" t="n"/>
      <c r="Y123" s="184" t="n"/>
      <c r="Z123" s="184" t="n"/>
      <c r="AA123" s="184" t="n"/>
      <c r="AB123" s="184" t="n"/>
      <c r="AC123" s="184" t="n"/>
      <c r="AD123" s="184" t="n"/>
      <c r="AE123" s="184" t="n"/>
    </row>
    <row r="124">
      <c r="A124" s="14" t="n">
        <v>113</v>
      </c>
      <c r="B124" s="8" t="n">
        <v>44958</v>
      </c>
      <c r="C124" s="4" t="n">
        <v>26746400.52</v>
      </c>
      <c r="D124" s="4">
        <f>C124/E124</f>
        <v/>
      </c>
      <c r="E124" s="4" t="n">
        <v>81.73</v>
      </c>
      <c r="F124" s="4">
        <f>D124/100000</f>
        <v/>
      </c>
      <c r="G124" s="4">
        <f>($D$1-F124)/F124*100</f>
        <v/>
      </c>
      <c r="H124" s="4">
        <f>($D$2-F124)/F124*100</f>
        <v/>
      </c>
      <c r="I124" s="4">
        <f>($D$3-F124)/F124*100</f>
        <v/>
      </c>
      <c r="J124" s="4">
        <f>F124/$D$10*100</f>
        <v/>
      </c>
      <c r="K124" s="4">
        <f>N124/L124</f>
        <v/>
      </c>
      <c r="L124" s="4">
        <f>(M124/O124)*100</f>
        <v/>
      </c>
      <c r="M124" s="4">
        <f>O124/R124</f>
        <v/>
      </c>
      <c r="N124" s="4" t="n">
        <v>7.27</v>
      </c>
      <c r="O124" s="4" t="n">
        <v>17616.3</v>
      </c>
      <c r="P124" s="4" t="n">
        <v>4.13</v>
      </c>
      <c r="Q124" s="4">
        <f>N124-L124</f>
        <v/>
      </c>
      <c r="R124" s="4" t="n">
        <v>20.68</v>
      </c>
      <c r="S124" s="4" t="n">
        <v>3.41</v>
      </c>
      <c r="T124" s="4">
        <f>N124-S124</f>
        <v/>
      </c>
      <c r="U124" s="4" t="n">
        <v>101.02</v>
      </c>
      <c r="V124" s="14" t="n"/>
      <c r="W124" s="14" t="n"/>
      <c r="X124" s="184" t="n"/>
      <c r="Y124" s="184" t="n"/>
      <c r="Z124" s="184" t="n"/>
      <c r="AA124" s="184" t="n"/>
      <c r="AB124" s="184" t="n"/>
      <c r="AC124" s="184" t="n"/>
      <c r="AD124" s="184" t="n"/>
      <c r="AE124" s="184" t="n"/>
    </row>
    <row r="125">
      <c r="A125" s="14" t="n">
        <v>114</v>
      </c>
      <c r="B125" s="8" t="n">
        <v>44959</v>
      </c>
      <c r="C125" s="4" t="n">
        <v>26661814.81</v>
      </c>
      <c r="D125" s="4">
        <f>C125/E125</f>
        <v/>
      </c>
      <c r="E125" s="4" t="n">
        <v>82.03</v>
      </c>
      <c r="F125" s="4">
        <f>D125/100000</f>
        <v/>
      </c>
      <c r="G125" s="4">
        <f>($D$1-F125)/F125*100</f>
        <v/>
      </c>
      <c r="H125" s="4">
        <f>($D$2-F125)/F125*100</f>
        <v/>
      </c>
      <c r="I125" s="4">
        <f>($D$3-F125)/F125*100</f>
        <v/>
      </c>
      <c r="J125" s="4">
        <f>F125/$D$10*100</f>
        <v/>
      </c>
      <c r="K125" s="4">
        <f>N125/L125</f>
        <v/>
      </c>
      <c r="L125" s="4">
        <f>(M125/O125)*100</f>
        <v/>
      </c>
      <c r="M125" s="4">
        <f>O125/R125</f>
        <v/>
      </c>
      <c r="N125" s="4" t="n">
        <v>7.29</v>
      </c>
      <c r="O125" s="4" t="n">
        <v>17610.4</v>
      </c>
      <c r="P125" s="4" t="n">
        <v>4.13</v>
      </c>
      <c r="Q125" s="4">
        <f>N125-L125</f>
        <v/>
      </c>
      <c r="R125" s="4" t="n">
        <v>20.59</v>
      </c>
      <c r="S125" s="4" t="n">
        <v>3.4</v>
      </c>
      <c r="T125" s="4">
        <f>N125-S125</f>
        <v/>
      </c>
      <c r="U125" s="4" t="n">
        <v>101.57</v>
      </c>
      <c r="V125" s="14" t="n"/>
      <c r="W125" s="14" t="n"/>
      <c r="X125" s="184" t="n"/>
      <c r="Y125" s="184" t="n"/>
      <c r="Z125" s="184" t="n"/>
      <c r="AA125" s="184" t="n"/>
      <c r="AB125" s="184" t="n"/>
      <c r="AC125" s="184" t="n"/>
      <c r="AD125" s="184" t="n"/>
      <c r="AE125" s="184" t="n"/>
    </row>
    <row r="126">
      <c r="A126" s="14" t="n">
        <v>115</v>
      </c>
      <c r="B126" s="8" t="n">
        <v>44960</v>
      </c>
      <c r="C126" s="4" t="n">
        <v>26765509.93</v>
      </c>
      <c r="D126" s="4">
        <f>C126/E126</f>
        <v/>
      </c>
      <c r="E126" s="4" t="n">
        <v>82.2</v>
      </c>
      <c r="F126" s="4">
        <f>D126/100000</f>
        <v/>
      </c>
      <c r="G126" s="4">
        <f>($D$1-F126)/F126*100</f>
        <v/>
      </c>
      <c r="H126" s="4">
        <f>($D$2-F126)/F126*100</f>
        <v/>
      </c>
      <c r="I126" s="4">
        <f>($D$3-F126)/F126*100</f>
        <v/>
      </c>
      <c r="J126" s="4">
        <f>F126/$D$10*100</f>
        <v/>
      </c>
      <c r="K126" s="4">
        <f>N126/L126</f>
        <v/>
      </c>
      <c r="L126" s="4">
        <f>(M126/O126)*100</f>
        <v/>
      </c>
      <c r="M126" s="4">
        <f>O126/R126</f>
        <v/>
      </c>
      <c r="N126" s="4" t="n">
        <v>7.27</v>
      </c>
      <c r="O126" s="4" t="n">
        <v>17854.05</v>
      </c>
      <c r="P126" s="4" t="n">
        <v>4.18</v>
      </c>
      <c r="Q126" s="4">
        <f>N126-L126</f>
        <v/>
      </c>
      <c r="R126" s="4" t="n">
        <v>20.86</v>
      </c>
      <c r="S126" s="4" t="n">
        <v>3.51</v>
      </c>
      <c r="T126" s="4">
        <f>N126-S126</f>
        <v/>
      </c>
      <c r="U126" s="4" t="n">
        <v>102.75</v>
      </c>
      <c r="V126" s="14" t="n"/>
      <c r="W126" s="14" t="n"/>
      <c r="X126" s="184" t="n"/>
      <c r="Y126" s="184" t="n"/>
      <c r="Z126" s="184" t="n"/>
      <c r="AA126" s="184" t="n"/>
      <c r="AB126" s="184" t="n"/>
      <c r="AC126" s="184" t="n"/>
      <c r="AD126" s="184" t="n"/>
      <c r="AE126" s="184" t="n"/>
    </row>
    <row r="127">
      <c r="A127" s="14" t="n">
        <v>116</v>
      </c>
      <c r="B127" s="8" t="n">
        <v>44963</v>
      </c>
      <c r="C127" s="7" t="n">
        <v>26741660.66</v>
      </c>
      <c r="D127" s="7">
        <f>C127/E127</f>
        <v/>
      </c>
      <c r="E127" s="7" t="n">
        <v>82.73999999999999</v>
      </c>
      <c r="F127" s="7">
        <f>D127/100000</f>
        <v/>
      </c>
      <c r="G127" s="7">
        <f>($D$1-F127)/F127*100</f>
        <v/>
      </c>
      <c r="H127" s="7">
        <f>($D$2-F127)/F127*100</f>
        <v/>
      </c>
      <c r="I127" s="7">
        <f>($D$3-F127)/F127*100</f>
        <v/>
      </c>
      <c r="J127" s="7">
        <f>F127/$D$10*100</f>
        <v/>
      </c>
      <c r="K127" s="7">
        <f>N127/L127</f>
        <v/>
      </c>
      <c r="L127" s="7">
        <f>(M127/O127)*100</f>
        <v/>
      </c>
      <c r="M127" s="7">
        <f>O127/R127</f>
        <v/>
      </c>
      <c r="N127" s="7" t="n">
        <v>7.32</v>
      </c>
      <c r="O127" s="7" t="n">
        <v>17764.6</v>
      </c>
      <c r="P127" s="7" t="n">
        <v>4.16</v>
      </c>
      <c r="Q127" s="7">
        <f>N127-L127</f>
        <v/>
      </c>
      <c r="R127" s="7" t="n">
        <v>20.71</v>
      </c>
      <c r="S127" s="7" t="n">
        <v>3.64</v>
      </c>
      <c r="T127" s="7">
        <f>N127-S127</f>
        <v/>
      </c>
      <c r="U127" s="7" t="n">
        <v>103.49</v>
      </c>
      <c r="V127" s="14" t="n"/>
      <c r="W127" s="14" t="n"/>
      <c r="X127" s="184" t="n"/>
      <c r="Y127" s="184" t="n"/>
      <c r="Z127" s="184" t="n"/>
      <c r="AA127" s="184" t="n"/>
      <c r="AB127" s="184" t="n"/>
      <c r="AC127" s="184" t="n"/>
      <c r="AD127" s="184" t="n"/>
      <c r="AE127" s="184" t="n"/>
    </row>
    <row r="128">
      <c r="A128" s="14" t="n">
        <v>117</v>
      </c>
      <c r="B128" s="8" t="n">
        <v>44964</v>
      </c>
      <c r="C128" s="7" t="n">
        <v>26700115.29</v>
      </c>
      <c r="D128" s="7">
        <f>C128/E128</f>
        <v/>
      </c>
      <c r="E128" s="7" t="n">
        <v>82.86</v>
      </c>
      <c r="F128" s="7">
        <f>D128/100000</f>
        <v/>
      </c>
      <c r="G128" s="7">
        <f>($D$1-F128)/F128*100</f>
        <v/>
      </c>
      <c r="H128" s="7">
        <f>($D$2-F128)/F128*100</f>
        <v/>
      </c>
      <c r="I128" s="7">
        <f>($D$3-F128)/F128*100</f>
        <v/>
      </c>
      <c r="J128" s="7">
        <f>F128/$D$10*100</f>
        <v/>
      </c>
      <c r="K128" s="7">
        <f>N128/L128</f>
        <v/>
      </c>
      <c r="L128" s="7">
        <f>(M128/O128)*100</f>
        <v/>
      </c>
      <c r="M128" s="7">
        <f>O128/R128</f>
        <v/>
      </c>
      <c r="N128" s="7" t="n">
        <v>7.3</v>
      </c>
      <c r="O128" s="7" t="n">
        <v>17721.5</v>
      </c>
      <c r="P128" s="7" t="n">
        <v>4.15</v>
      </c>
      <c r="Q128" s="7">
        <f>N128-L128</f>
        <v/>
      </c>
      <c r="R128" s="7" t="n">
        <v>20.5</v>
      </c>
      <c r="S128" s="7" t="n">
        <v>3.67</v>
      </c>
      <c r="T128" s="7">
        <f>N128-S128</f>
        <v/>
      </c>
      <c r="U128" s="7" t="n">
        <v>103.29</v>
      </c>
      <c r="V128" s="14" t="n"/>
      <c r="W128" s="14" t="n"/>
      <c r="X128" s="184" t="n"/>
      <c r="Y128" s="184" t="n"/>
      <c r="Z128" s="184" t="n"/>
      <c r="AA128" s="184" t="n"/>
      <c r="AB128" s="184" t="n"/>
      <c r="AC128" s="184" t="n"/>
      <c r="AD128" s="184" t="n"/>
      <c r="AE128" s="184" t="n"/>
    </row>
    <row r="129">
      <c r="A129" s="14" t="n">
        <v>118</v>
      </c>
      <c r="B129" s="8" t="n">
        <v>44965</v>
      </c>
      <c r="C129" s="7" t="n">
        <v>26957063.47</v>
      </c>
      <c r="D129" s="7">
        <f>C129/E129</f>
        <v/>
      </c>
      <c r="E129" s="7" t="n">
        <v>82.65000000000001</v>
      </c>
      <c r="F129" s="7">
        <f>D129/100000</f>
        <v/>
      </c>
      <c r="G129" s="7">
        <f>($D$1-F129)/F129*100</f>
        <v/>
      </c>
      <c r="H129" s="7">
        <f>($D$2-F129)/F129*100</f>
        <v/>
      </c>
      <c r="I129" s="7">
        <f>($D$3-F129)/F129*100</f>
        <v/>
      </c>
      <c r="J129" s="7">
        <f>F129/$D$10*100</f>
        <v/>
      </c>
      <c r="K129" s="7">
        <f>N129/L129</f>
        <v/>
      </c>
      <c r="L129" s="7">
        <f>(M129/O129)*100</f>
        <v/>
      </c>
      <c r="M129" s="7">
        <f>O129/R129</f>
        <v/>
      </c>
      <c r="N129" s="7" t="n">
        <v>7.34</v>
      </c>
      <c r="O129" s="7" t="n">
        <v>17871.7</v>
      </c>
      <c r="P129" s="7" t="n">
        <v>4.19</v>
      </c>
      <c r="Q129" s="7">
        <f>N129-L129</f>
        <v/>
      </c>
      <c r="R129" s="7" t="n">
        <v>21.1</v>
      </c>
      <c r="S129" s="7" t="n">
        <v>3.61</v>
      </c>
      <c r="T129" s="7">
        <f>N129-S129</f>
        <v/>
      </c>
      <c r="U129" s="7" t="n">
        <v>103.27</v>
      </c>
      <c r="V129" s="14" t="n"/>
      <c r="W129" s="14" t="n"/>
      <c r="X129" s="184" t="n"/>
      <c r="Y129" s="184" t="n"/>
      <c r="Z129" s="184" t="n"/>
      <c r="AA129" s="184" t="n"/>
      <c r="AB129" s="184" t="n"/>
      <c r="AC129" s="184" t="n"/>
      <c r="AD129" s="184" t="n"/>
      <c r="AE129" s="184" t="n"/>
    </row>
    <row r="130">
      <c r="A130" s="14" t="n">
        <v>119</v>
      </c>
      <c r="B130" s="8" t="n">
        <v>44966</v>
      </c>
      <c r="C130" s="7" t="n">
        <v>26930932.71</v>
      </c>
      <c r="D130" s="7">
        <f>C130/E130</f>
        <v/>
      </c>
      <c r="E130" s="7" t="n">
        <v>82.51000000000001</v>
      </c>
      <c r="F130" s="7">
        <f>D130/100000</f>
        <v/>
      </c>
      <c r="G130" s="7">
        <f>($D$1-F130)/F130*100</f>
        <v/>
      </c>
      <c r="H130" s="7">
        <f>($D$2-F130)/F130*100</f>
        <v/>
      </c>
      <c r="I130" s="7">
        <f>($D$3-F130)/F130*100</f>
        <v/>
      </c>
      <c r="J130" s="7">
        <f>F130/$D$10*100</f>
        <v/>
      </c>
      <c r="K130" s="7">
        <f>N130/L130</f>
        <v/>
      </c>
      <c r="L130" s="7">
        <f>(M130/O130)*100</f>
        <v/>
      </c>
      <c r="M130" s="7">
        <f>O130/R130</f>
        <v/>
      </c>
      <c r="N130" s="7" t="n">
        <v>7.34</v>
      </c>
      <c r="O130" s="7" t="n">
        <v>17893.45</v>
      </c>
      <c r="P130" s="7" t="n">
        <v>4.19</v>
      </c>
      <c r="Q130" s="7">
        <f>N130-L130</f>
        <v/>
      </c>
      <c r="R130" s="7" t="n">
        <v>21.11</v>
      </c>
      <c r="S130" s="7" t="n">
        <v>3.66</v>
      </c>
      <c r="T130" s="7">
        <f>N130-S130</f>
        <v/>
      </c>
      <c r="U130" s="7" t="n">
        <v>103.1</v>
      </c>
      <c r="V130" s="14" t="n"/>
      <c r="W130" s="14" t="n"/>
      <c r="X130" s="184" t="n"/>
      <c r="Y130" s="184" t="n"/>
      <c r="Z130" s="184" t="n"/>
      <c r="AA130" s="184" t="n"/>
      <c r="AB130" s="184" t="n"/>
      <c r="AC130" s="184" t="n"/>
      <c r="AD130" s="184" t="n"/>
      <c r="AE130" s="184" t="n"/>
    </row>
    <row r="131">
      <c r="A131" s="14" t="n">
        <v>120</v>
      </c>
      <c r="B131" s="8" t="n">
        <v>44967</v>
      </c>
      <c r="C131" s="7" t="n">
        <v>26915279.02</v>
      </c>
      <c r="D131" s="7">
        <f>C131/E131</f>
        <v/>
      </c>
      <c r="E131" s="7" t="n">
        <v>82.51000000000001</v>
      </c>
      <c r="F131" s="7">
        <f>D131/100000</f>
        <v/>
      </c>
      <c r="G131" s="7">
        <f>($D$1-F131)/F131*100</f>
        <v/>
      </c>
      <c r="H131" s="7">
        <f>($D$2-F131)/F131*100</f>
        <v/>
      </c>
      <c r="I131" s="7">
        <f>($D$3-F131)/F131*100</f>
        <v/>
      </c>
      <c r="J131" s="7">
        <f>F131/$D$10*100</f>
        <v/>
      </c>
      <c r="K131" s="7">
        <f>N131/L131</f>
        <v/>
      </c>
      <c r="L131" s="7">
        <f>(M131/O131)*100</f>
        <v/>
      </c>
      <c r="M131" s="7">
        <f>O131/R131</f>
        <v/>
      </c>
      <c r="N131" s="7" t="n">
        <v>7.36</v>
      </c>
      <c r="O131" s="7" t="n">
        <v>17856.5</v>
      </c>
      <c r="P131" s="7" t="n">
        <v>4.18</v>
      </c>
      <c r="Q131" s="7">
        <f>N131-L131</f>
        <v/>
      </c>
      <c r="R131" s="7" t="n">
        <v>21.06</v>
      </c>
      <c r="S131" s="7" t="n">
        <v>3.74</v>
      </c>
      <c r="T131" s="7">
        <f>N131-S131</f>
        <v/>
      </c>
      <c r="U131" s="7" t="n">
        <v>103.53</v>
      </c>
      <c r="V131" s="14" t="n"/>
      <c r="W131" s="14" t="n"/>
      <c r="X131" s="184" t="n"/>
      <c r="Y131" s="184" t="n"/>
      <c r="Z131" s="184" t="n"/>
      <c r="AA131" s="184" t="n"/>
      <c r="AB131" s="184" t="n"/>
      <c r="AC131" s="184" t="n"/>
      <c r="AD131" s="184" t="n"/>
      <c r="AE131" s="184" t="n"/>
    </row>
    <row r="132">
      <c r="A132" s="14" t="n">
        <v>121</v>
      </c>
      <c r="B132" s="8" t="n">
        <v>44970</v>
      </c>
      <c r="C132" s="7" t="n">
        <v>26664344.36</v>
      </c>
      <c r="D132" s="7">
        <f>C132/E132</f>
        <v/>
      </c>
      <c r="E132" s="7" t="n">
        <v>82.59</v>
      </c>
      <c r="F132" s="7">
        <f>D132/100000</f>
        <v/>
      </c>
      <c r="G132" s="7">
        <f>($D$1-F132)/F132*100</f>
        <v/>
      </c>
      <c r="H132" s="7">
        <f>($D$2-F132)/F132*100</f>
        <v/>
      </c>
      <c r="I132" s="7">
        <f>($D$3-F132)/F132*100</f>
        <v/>
      </c>
      <c r="J132" s="7">
        <f>F132/$D$10*100</f>
        <v/>
      </c>
      <c r="K132" s="7">
        <f>N132/L132</f>
        <v/>
      </c>
      <c r="L132" s="7">
        <f>(M132/O132)*100</f>
        <v/>
      </c>
      <c r="M132" s="7">
        <f>O132/R132</f>
        <v/>
      </c>
      <c r="N132" s="7" t="n">
        <v>7.36</v>
      </c>
      <c r="O132" s="7" t="n">
        <v>17770.9</v>
      </c>
      <c r="P132" s="7" t="n">
        <v>4.16</v>
      </c>
      <c r="Q132" s="7">
        <f>N132-L132</f>
        <v/>
      </c>
      <c r="R132" s="7" t="n">
        <v>21.05</v>
      </c>
      <c r="S132" s="7" t="n">
        <v>3.7</v>
      </c>
      <c r="T132" s="7">
        <f>N132-S132</f>
        <v/>
      </c>
      <c r="U132" s="7" t="n">
        <v>103.24</v>
      </c>
      <c r="V132" s="14" t="n"/>
      <c r="W132" s="14" t="n"/>
      <c r="X132" s="184" t="n"/>
      <c r="Y132" s="184" t="n"/>
      <c r="Z132" s="184" t="n"/>
      <c r="AA132" s="184" t="n"/>
      <c r="AB132" s="184" t="n"/>
      <c r="AC132" s="184" t="n"/>
      <c r="AD132" s="184" t="n"/>
      <c r="AE132" s="184" t="n"/>
    </row>
    <row r="133">
      <c r="A133" s="14" t="n">
        <v>122</v>
      </c>
      <c r="B133" s="8" t="n">
        <v>44971</v>
      </c>
      <c r="C133" s="7" t="n">
        <v>26694006.67</v>
      </c>
      <c r="D133" s="7">
        <f>C133/E133</f>
        <v/>
      </c>
      <c r="E133" s="7" t="n">
        <v>82.91</v>
      </c>
      <c r="F133" s="7">
        <f>D133/100000</f>
        <v/>
      </c>
      <c r="G133" s="7">
        <f>($D$1-F133)/F133*100</f>
        <v/>
      </c>
      <c r="H133" s="7">
        <f>($D$2-F133)/F133*100</f>
        <v/>
      </c>
      <c r="I133" s="7">
        <f>($D$3-F133)/F133*100</f>
        <v/>
      </c>
      <c r="J133" s="7">
        <f>F133/$D$10*100</f>
        <v/>
      </c>
      <c r="K133" s="7">
        <f>N133/L133</f>
        <v/>
      </c>
      <c r="L133" s="7">
        <f>(M133/O133)*100</f>
        <v/>
      </c>
      <c r="M133" s="7">
        <f>O133/R133</f>
        <v/>
      </c>
      <c r="N133" s="7" t="n">
        <v>7.37</v>
      </c>
      <c r="O133" s="7" t="n">
        <v>17929.85</v>
      </c>
      <c r="P133" s="7" t="n">
        <v>4.2</v>
      </c>
      <c r="Q133" s="7">
        <f>N133-L133</f>
        <v/>
      </c>
      <c r="R133" s="7" t="n">
        <v>21.21</v>
      </c>
      <c r="S133" s="7" t="n">
        <v>3.75</v>
      </c>
      <c r="T133" s="7">
        <f>N133-S133</f>
        <v/>
      </c>
      <c r="U133" s="7" t="n">
        <v>103.12</v>
      </c>
      <c r="V133" s="14" t="n"/>
      <c r="W133" s="14" t="n"/>
      <c r="X133" s="184" t="n"/>
      <c r="Y133" s="184" t="n"/>
      <c r="Z133" s="184" t="n"/>
      <c r="AA133" s="184" t="n"/>
      <c r="AB133" s="184" t="n"/>
      <c r="AC133" s="184" t="n"/>
      <c r="AD133" s="184" t="n"/>
      <c r="AE133" s="184" t="n"/>
    </row>
    <row r="134">
      <c r="A134" s="14" t="n">
        <v>123</v>
      </c>
      <c r="B134" s="8" t="n">
        <v>44972</v>
      </c>
      <c r="C134" s="7" t="n">
        <v>26818616</v>
      </c>
      <c r="D134" s="7">
        <f>C134/E134</f>
        <v/>
      </c>
      <c r="E134" s="7" t="n">
        <v>82.75</v>
      </c>
      <c r="F134" s="7">
        <f>D134/100000</f>
        <v/>
      </c>
      <c r="G134" s="7">
        <f>($D$1-F134)/F134*100</f>
        <v/>
      </c>
      <c r="H134" s="7">
        <f>($D$2-F134)/F134*100</f>
        <v/>
      </c>
      <c r="I134" s="7">
        <f>($D$3-F134)/F134*100</f>
        <v/>
      </c>
      <c r="J134" s="7">
        <f>F134/$D$10*100</f>
        <v/>
      </c>
      <c r="K134" s="7">
        <f>N134/L134</f>
        <v/>
      </c>
      <c r="L134" s="7">
        <f>(M134/O134)*100</f>
        <v/>
      </c>
      <c r="M134" s="7">
        <f>O134/R134</f>
        <v/>
      </c>
      <c r="N134" s="7" t="n">
        <v>7.34</v>
      </c>
      <c r="O134" s="7" t="n">
        <v>18015.85</v>
      </c>
      <c r="P134" s="7" t="n">
        <v>4.22</v>
      </c>
      <c r="Q134" s="7">
        <f>N134-L134</f>
        <v/>
      </c>
      <c r="R134" s="7" t="n">
        <v>21.31</v>
      </c>
      <c r="S134" s="7" t="n">
        <v>3.8</v>
      </c>
      <c r="T134" s="7">
        <f>N134-S134</f>
        <v/>
      </c>
      <c r="U134" s="7" t="n">
        <v>103.83</v>
      </c>
      <c r="V134" s="14" t="n"/>
      <c r="W134" s="14" t="n"/>
      <c r="X134" s="184" t="n"/>
      <c r="Y134" s="184" t="n"/>
      <c r="Z134" s="184" t="n"/>
      <c r="AA134" s="184" t="n"/>
      <c r="AB134" s="184" t="n"/>
      <c r="AC134" s="184" t="n"/>
      <c r="AD134" s="184" t="n"/>
      <c r="AE134" s="184" t="n"/>
    </row>
    <row r="135">
      <c r="A135" s="14" t="n">
        <v>124</v>
      </c>
      <c r="B135" s="8" t="n">
        <v>44973</v>
      </c>
      <c r="C135" s="7" t="n">
        <v>26922333.53</v>
      </c>
      <c r="D135" s="7">
        <f>C135/E135</f>
        <v/>
      </c>
      <c r="E135" s="7" t="n">
        <v>82.70999999999999</v>
      </c>
      <c r="F135" s="7">
        <f>D135/100000</f>
        <v/>
      </c>
      <c r="G135" s="7">
        <f>($D$1-F135)/F135*100</f>
        <v/>
      </c>
      <c r="H135" s="7">
        <f>($D$2-F135)/F135*100</f>
        <v/>
      </c>
      <c r="I135" s="7">
        <f>($D$3-F135)/F135*100</f>
        <v/>
      </c>
      <c r="J135" s="7">
        <f>F135/$D$10*100</f>
        <v/>
      </c>
      <c r="K135" s="7">
        <f>N135/L135</f>
        <v/>
      </c>
      <c r="L135" s="7">
        <f>(M135/O135)*100</f>
        <v/>
      </c>
      <c r="M135" s="7">
        <f>O135/R135</f>
        <v/>
      </c>
      <c r="N135" s="7" t="n">
        <v>7.34</v>
      </c>
      <c r="O135" s="7" t="n">
        <v>18035.85</v>
      </c>
      <c r="P135" s="7" t="n">
        <v>4.23</v>
      </c>
      <c r="Q135" s="7">
        <f>N135-L135</f>
        <v/>
      </c>
      <c r="R135" s="7" t="n">
        <v>21.26</v>
      </c>
      <c r="S135" s="7" t="n">
        <v>3.86</v>
      </c>
      <c r="T135" s="7">
        <f>N135-S135</f>
        <v/>
      </c>
      <c r="U135" s="7" t="n">
        <v>103.79</v>
      </c>
      <c r="V135" s="14" t="n"/>
      <c r="W135" s="14" t="n"/>
      <c r="X135" s="184" t="n"/>
      <c r="Y135" s="184" t="n"/>
      <c r="Z135" s="184" t="n"/>
      <c r="AA135" s="184" t="n"/>
      <c r="AB135" s="184" t="n"/>
      <c r="AC135" s="184" t="n"/>
      <c r="AD135" s="184" t="n"/>
      <c r="AE135" s="184" t="n"/>
    </row>
    <row r="136">
      <c r="A136" s="14" t="n">
        <v>125</v>
      </c>
      <c r="B136" s="8" t="n">
        <v>44974</v>
      </c>
      <c r="C136" s="7" t="n">
        <v>26785333.57</v>
      </c>
      <c r="D136" s="7">
        <f>C136/E136</f>
        <v/>
      </c>
      <c r="E136" s="7" t="n">
        <v>82.75</v>
      </c>
      <c r="F136" s="7">
        <f>D136/100000</f>
        <v/>
      </c>
      <c r="G136" s="7">
        <f>($D$1-F136)/F136*100</f>
        <v/>
      </c>
      <c r="H136" s="7">
        <f>($D$2-F136)/F136*100</f>
        <v/>
      </c>
      <c r="I136" s="7">
        <f>($D$3-F136)/F136*100</f>
        <v/>
      </c>
      <c r="J136" s="7">
        <f>F136/$D$10*100</f>
        <v/>
      </c>
      <c r="K136" s="7">
        <f>N136/L136</f>
        <v/>
      </c>
      <c r="L136" s="7">
        <f>(M136/O136)*100</f>
        <v/>
      </c>
      <c r="M136" s="7">
        <f>O136/R136</f>
        <v/>
      </c>
      <c r="N136" s="7" t="n">
        <v>7.38</v>
      </c>
      <c r="O136" s="7" t="n">
        <v>17944.2</v>
      </c>
      <c r="P136" s="7" t="n">
        <v>4.2</v>
      </c>
      <c r="Q136" s="7">
        <f>N136-L136</f>
        <v/>
      </c>
      <c r="R136" s="7" t="n">
        <v>21.15</v>
      </c>
      <c r="S136" s="7" t="n">
        <v>3.81</v>
      </c>
      <c r="T136" s="7">
        <f>N136-S136</f>
        <v/>
      </c>
      <c r="U136" s="7" t="n">
        <v>103.78</v>
      </c>
      <c r="V136" s="14" t="n"/>
      <c r="W136" s="14" t="n"/>
      <c r="X136" s="184" t="n"/>
      <c r="Y136" s="184" t="n"/>
      <c r="Z136" s="184" t="n"/>
      <c r="AA136" s="184" t="n"/>
      <c r="AB136" s="184" t="n"/>
      <c r="AC136" s="184" t="n"/>
      <c r="AD136" s="184" t="n"/>
      <c r="AE136" s="184" t="n"/>
    </row>
    <row r="137">
      <c r="A137" s="14" t="n">
        <v>126</v>
      </c>
      <c r="B137" s="8" t="n">
        <v>44977</v>
      </c>
      <c r="C137" s="7" t="n">
        <v>26684476.87</v>
      </c>
      <c r="D137" s="7">
        <f>C137/E137</f>
        <v/>
      </c>
      <c r="E137" s="7" t="n">
        <v>82.69</v>
      </c>
      <c r="F137" s="7">
        <f>D137/100000</f>
        <v/>
      </c>
      <c r="G137" s="7">
        <f>($D$1-F137)/F137*100</f>
        <v/>
      </c>
      <c r="H137" s="7">
        <f>($D$2-F137)/F137*100</f>
        <v/>
      </c>
      <c r="I137" s="7">
        <f>($D$3-F137)/F137*100</f>
        <v/>
      </c>
      <c r="J137" s="7">
        <f>F137/$D$10*100</f>
        <v/>
      </c>
      <c r="K137" s="7">
        <f>N137/L137</f>
        <v/>
      </c>
      <c r="L137" s="7">
        <f>(M137/O137)*100</f>
        <v/>
      </c>
      <c r="M137" s="7">
        <f>O137/R137</f>
        <v/>
      </c>
      <c r="N137" s="7" t="n">
        <v>7.37</v>
      </c>
      <c r="O137" s="7" t="n">
        <v>17844.6</v>
      </c>
      <c r="P137" s="7" t="n">
        <v>4.18</v>
      </c>
      <c r="Q137" s="7">
        <f>N137-L137</f>
        <v/>
      </c>
      <c r="R137" s="7" t="n">
        <v>21.04</v>
      </c>
      <c r="S137" s="7" t="n">
        <v>3.85</v>
      </c>
      <c r="T137" s="7">
        <f>N137-S137</f>
        <v/>
      </c>
      <c r="U137" s="7" t="n">
        <v>103.78</v>
      </c>
      <c r="V137" s="14" t="n"/>
      <c r="W137" s="14" t="n"/>
      <c r="X137" s="184" t="n"/>
      <c r="Y137" s="184" t="n"/>
      <c r="Z137" s="184" t="n"/>
      <c r="AA137" s="184" t="n"/>
      <c r="AB137" s="184" t="n"/>
      <c r="AC137" s="184" t="n"/>
      <c r="AD137" s="184" t="n"/>
      <c r="AE137" s="184" t="n"/>
    </row>
    <row r="138">
      <c r="A138" s="14" t="n">
        <v>127</v>
      </c>
      <c r="B138" s="8" t="n">
        <v>44978</v>
      </c>
      <c r="C138" s="7" t="n">
        <v>26617539.13</v>
      </c>
      <c r="D138" s="7">
        <f>C138/E138</f>
        <v/>
      </c>
      <c r="E138" s="7" t="n">
        <v>82.86</v>
      </c>
      <c r="F138" s="7">
        <f>D138/100000</f>
        <v/>
      </c>
      <c r="G138" s="7">
        <f>($D$1-F138)/F138*100</f>
        <v/>
      </c>
      <c r="H138" s="7">
        <f>($D$2-F138)/F138*100</f>
        <v/>
      </c>
      <c r="I138" s="7">
        <f>($D$3-F138)/F138*100</f>
        <v/>
      </c>
      <c r="J138" s="7">
        <f>F138/$D$10*100</f>
        <v/>
      </c>
      <c r="K138" s="7">
        <f>N138/L138</f>
        <v/>
      </c>
      <c r="L138" s="7">
        <f>(M138/O138)*100</f>
        <v/>
      </c>
      <c r="M138" s="7">
        <f>O138/R138</f>
        <v/>
      </c>
      <c r="N138" s="7" t="n">
        <v>7.39</v>
      </c>
      <c r="O138" s="7" t="n">
        <v>17826.7</v>
      </c>
      <c r="P138" s="7" t="n">
        <v>4.18</v>
      </c>
      <c r="Q138" s="7">
        <f>N138-L138</f>
        <v/>
      </c>
      <c r="R138" s="7" t="n">
        <v>21.01</v>
      </c>
      <c r="S138" s="7" t="n">
        <v>3.95</v>
      </c>
      <c r="T138" s="7">
        <f>N138-S138</f>
        <v/>
      </c>
      <c r="U138" s="7" t="n">
        <v>104.11</v>
      </c>
      <c r="V138" s="14" t="n"/>
      <c r="W138" s="14" t="n"/>
      <c r="X138" s="184" t="n"/>
      <c r="Y138" s="184" t="n"/>
      <c r="Z138" s="184" t="n"/>
      <c r="AA138" s="184" t="n"/>
      <c r="AB138" s="184" t="n"/>
      <c r="AC138" s="184" t="n"/>
      <c r="AD138" s="184" t="n"/>
      <c r="AE138" s="184" t="n"/>
    </row>
    <row r="139">
      <c r="A139" s="14" t="n">
        <v>128</v>
      </c>
      <c r="B139" s="8" t="n">
        <v>44979</v>
      </c>
      <c r="C139" s="7" t="n">
        <v>26357865.24</v>
      </c>
      <c r="D139" s="7">
        <f>C139/E139</f>
        <v/>
      </c>
      <c r="E139" s="7" t="n">
        <v>82.83</v>
      </c>
      <c r="F139" s="7">
        <f>D139/100000</f>
        <v/>
      </c>
      <c r="G139" s="7">
        <f>($D$1-F139)/F139*100</f>
        <v/>
      </c>
      <c r="H139" s="7">
        <f>($D$2-F139)/F139*100</f>
        <v/>
      </c>
      <c r="I139" s="7">
        <f>($D$3-F139)/F139*100</f>
        <v/>
      </c>
      <c r="J139" s="7">
        <f>F139/$D$10*100</f>
        <v/>
      </c>
      <c r="K139" s="7">
        <f>N139/L139</f>
        <v/>
      </c>
      <c r="L139" s="7">
        <f>(M139/O139)*100</f>
        <v/>
      </c>
      <c r="M139" s="7">
        <f>O139/R139</f>
        <v/>
      </c>
      <c r="N139" s="7" t="n">
        <v>7.42</v>
      </c>
      <c r="O139" s="7" t="n">
        <v>17554.3</v>
      </c>
      <c r="P139" s="7" t="n">
        <v>4.11</v>
      </c>
      <c r="Q139" s="7">
        <f>N139-L139</f>
        <v/>
      </c>
      <c r="R139" s="7" t="n">
        <v>20.69</v>
      </c>
      <c r="S139" s="7" t="n">
        <v>3.92</v>
      </c>
      <c r="T139" s="7">
        <f>N139-S139</f>
        <v/>
      </c>
      <c r="U139" s="7" t="n">
        <v>104.52</v>
      </c>
      <c r="V139" s="14" t="n"/>
      <c r="W139" s="14" t="n"/>
      <c r="X139" s="184" t="n"/>
      <c r="Y139" s="184" t="n"/>
      <c r="Z139" s="184" t="n"/>
      <c r="AA139" s="184" t="n"/>
      <c r="AB139" s="184" t="n"/>
      <c r="AC139" s="184" t="n"/>
      <c r="AD139" s="184" t="n"/>
      <c r="AE139" s="184" t="n"/>
    </row>
    <row r="140">
      <c r="A140" s="14" t="n">
        <v>129</v>
      </c>
      <c r="B140" s="8" t="n">
        <v>44980</v>
      </c>
      <c r="C140" s="7" t="n">
        <v>26175144.27</v>
      </c>
      <c r="D140" s="7">
        <f>C140/E140</f>
        <v/>
      </c>
      <c r="E140" s="7" t="n">
        <v>82.73999999999999</v>
      </c>
      <c r="F140" s="7">
        <f>D140/100000</f>
        <v/>
      </c>
      <c r="G140" s="7">
        <f>($D$1-F140)/F140*100</f>
        <v/>
      </c>
      <c r="H140" s="7">
        <f>($D$2-F140)/F140*100</f>
        <v/>
      </c>
      <c r="I140" s="7">
        <f>($D$3-F140)/F140*100</f>
        <v/>
      </c>
      <c r="J140" s="7">
        <f>F140/$D$10*100</f>
        <v/>
      </c>
      <c r="K140" s="7">
        <f>N140/L140</f>
        <v/>
      </c>
      <c r="L140" s="7">
        <f>(M140/O140)*100</f>
        <v/>
      </c>
      <c r="M140" s="7">
        <f>O140/R140</f>
        <v/>
      </c>
      <c r="N140" s="7" t="n">
        <v>7.39</v>
      </c>
      <c r="O140" s="7" t="n">
        <v>17511.25</v>
      </c>
      <c r="P140" s="7" t="n">
        <v>4.1</v>
      </c>
      <c r="Q140" s="7">
        <f>N140-L140</f>
        <v/>
      </c>
      <c r="R140" s="7" t="n">
        <v>20.64</v>
      </c>
      <c r="S140" s="7" t="n">
        <v>3.89</v>
      </c>
      <c r="T140" s="7">
        <f>N140-S140</f>
        <v/>
      </c>
      <c r="U140" s="7" t="n">
        <v>104.55</v>
      </c>
      <c r="V140" s="14" t="n"/>
      <c r="W140" s="14" t="n"/>
      <c r="X140" s="184" t="n"/>
      <c r="Y140" s="184" t="n"/>
      <c r="Z140" s="184" t="n"/>
      <c r="AA140" s="184" t="n"/>
      <c r="AB140" s="184" t="n"/>
      <c r="AC140" s="184" t="n"/>
      <c r="AD140" s="184" t="n"/>
      <c r="AE140" s="184" t="n"/>
    </row>
    <row r="141">
      <c r="A141" s="14" t="n">
        <v>130</v>
      </c>
      <c r="B141" s="8" t="n">
        <v>44981</v>
      </c>
      <c r="C141" s="4" t="n">
        <v>26094987.69</v>
      </c>
      <c r="D141" s="4">
        <f>C141/E141</f>
        <v/>
      </c>
      <c r="E141" s="4" t="n">
        <v>82.89</v>
      </c>
      <c r="F141" s="4">
        <f>D141/100000</f>
        <v/>
      </c>
      <c r="G141" s="4">
        <f>($D$1-F141)/F141*100</f>
        <v/>
      </c>
      <c r="H141" s="4">
        <f>($D$2-F141)/F141*100</f>
        <v/>
      </c>
      <c r="I141" s="4">
        <f>($D$3-F141)/F141*100</f>
        <v/>
      </c>
      <c r="J141" s="4">
        <f>F141/$D$10*100</f>
        <v/>
      </c>
      <c r="K141" s="4">
        <f>N141/L141</f>
        <v/>
      </c>
      <c r="L141" s="4">
        <f>(M141/O141)*100</f>
        <v/>
      </c>
      <c r="M141" s="4">
        <f>O141/R141</f>
        <v/>
      </c>
      <c r="N141" s="4" t="n">
        <v>7.41</v>
      </c>
      <c r="O141" s="4" t="n">
        <v>17465.8</v>
      </c>
      <c r="P141" s="4" t="n">
        <v>4.09</v>
      </c>
      <c r="Q141" s="4">
        <f>N141-L141</f>
        <v/>
      </c>
      <c r="R141" s="4" t="n">
        <v>20.58</v>
      </c>
      <c r="S141" s="4" t="n">
        <v>3.94</v>
      </c>
      <c r="T141" s="7">
        <f>N141-S141</f>
        <v/>
      </c>
      <c r="U141" s="4" t="n">
        <v>105.15</v>
      </c>
      <c r="V141" s="14" t="n"/>
      <c r="W141" s="14" t="n"/>
      <c r="X141" s="184" t="n"/>
      <c r="Y141" s="184" t="n"/>
      <c r="Z141" s="184" t="n"/>
      <c r="AA141" s="184" t="n"/>
      <c r="AB141" s="184" t="n"/>
      <c r="AC141" s="184" t="n"/>
      <c r="AD141" s="184" t="n"/>
      <c r="AE141" s="184" t="n"/>
    </row>
    <row r="142">
      <c r="A142" s="14" t="n">
        <v>131</v>
      </c>
      <c r="B142" s="8" t="n">
        <v>44984</v>
      </c>
      <c r="C142" s="4" t="n">
        <v>25877397.68</v>
      </c>
      <c r="D142" s="4">
        <f>C142/E142</f>
        <v/>
      </c>
      <c r="E142" s="4" t="n">
        <v>82.65000000000001</v>
      </c>
      <c r="F142" s="4">
        <f>D142/100000</f>
        <v/>
      </c>
      <c r="G142" s="4">
        <f>($D$1-F142)/F142*100</f>
        <v/>
      </c>
      <c r="H142" s="4">
        <f>($D$2-F142)/F142*100</f>
        <v/>
      </c>
      <c r="I142" s="4">
        <f>($D$3-F142)/F142*100</f>
        <v/>
      </c>
      <c r="J142" s="4">
        <f>F142/$D$10*100</f>
        <v/>
      </c>
      <c r="K142" s="4">
        <f>N142/L142</f>
        <v/>
      </c>
      <c r="L142" s="4">
        <f>(M142/O142)*100</f>
        <v/>
      </c>
      <c r="M142" s="4">
        <f>O142/R142</f>
        <v/>
      </c>
      <c r="N142" s="4" t="n">
        <v>7.44</v>
      </c>
      <c r="O142" s="4" t="n">
        <v>17392.7</v>
      </c>
      <c r="P142" s="4" t="n">
        <v>4.07</v>
      </c>
      <c r="Q142" s="4">
        <f>N142-L142</f>
        <v/>
      </c>
      <c r="R142" s="4" t="n">
        <v>20.49</v>
      </c>
      <c r="S142" s="4" t="n">
        <v>3.92</v>
      </c>
      <c r="T142" s="7">
        <f>N142-S142</f>
        <v/>
      </c>
      <c r="U142" s="4" t="n">
        <v>104.6</v>
      </c>
      <c r="V142" s="14" t="n"/>
      <c r="W142" s="14" t="n"/>
      <c r="X142" s="184" t="n"/>
      <c r="Y142" s="184" t="n"/>
      <c r="Z142" s="184" t="n"/>
      <c r="AA142" s="184" t="n"/>
      <c r="AB142" s="184" t="n"/>
      <c r="AC142" s="184" t="n"/>
      <c r="AD142" s="184" t="n"/>
      <c r="AE142" s="184" t="n"/>
    </row>
    <row r="143">
      <c r="A143" s="14" t="n">
        <v>132</v>
      </c>
      <c r="B143" s="8" t="n">
        <v>44985</v>
      </c>
      <c r="C143" s="4" t="n">
        <v>25868361.12</v>
      </c>
      <c r="D143" s="4">
        <f>C143/E143</f>
        <v/>
      </c>
      <c r="E143" s="4" t="n">
        <v>82.64</v>
      </c>
      <c r="F143" s="4">
        <f>D143/100000</f>
        <v/>
      </c>
      <c r="G143" s="4">
        <f>($D$1-F143)/F143*100</f>
        <v/>
      </c>
      <c r="H143" s="4">
        <f>($D$2-F143)/F143*100</f>
        <v/>
      </c>
      <c r="I143" s="4">
        <f>($D$3-F143)/F143*100</f>
        <v/>
      </c>
      <c r="J143" s="4">
        <f>F143/$D$10*100</f>
        <v/>
      </c>
      <c r="K143" s="4">
        <f>N143/L143</f>
        <v/>
      </c>
      <c r="L143" s="4">
        <f>(M143/O143)*100</f>
        <v/>
      </c>
      <c r="M143" s="4">
        <f>O143/R143</f>
        <v/>
      </c>
      <c r="N143" s="4" t="n">
        <v>7.45</v>
      </c>
      <c r="O143" s="4" t="n">
        <v>17303.95</v>
      </c>
      <c r="P143" s="4" t="n">
        <v>4.05</v>
      </c>
      <c r="Q143" s="4">
        <f>N143-L143</f>
        <v/>
      </c>
      <c r="R143" s="4" t="n">
        <v>20.39</v>
      </c>
      <c r="S143" s="4" t="n">
        <v>3.93</v>
      </c>
      <c r="T143" s="7">
        <f>N143-S143</f>
        <v/>
      </c>
      <c r="U143" s="4" t="n">
        <v>104.93</v>
      </c>
      <c r="V143" s="14" t="n"/>
      <c r="W143" s="14" t="n"/>
      <c r="X143" s="184" t="n"/>
      <c r="Y143" s="184" t="n"/>
      <c r="Z143" s="184" t="n"/>
      <c r="AA143" s="184" t="n"/>
      <c r="AB143" s="184" t="n"/>
      <c r="AC143" s="184" t="n"/>
      <c r="AD143" s="184" t="n"/>
      <c r="AE143" s="184" t="n"/>
    </row>
    <row r="144">
      <c r="A144" s="14" t="n">
        <v>133</v>
      </c>
      <c r="B144" s="8" t="n">
        <v>44986</v>
      </c>
      <c r="C144" s="4" t="n">
        <v>26188931.89</v>
      </c>
      <c r="D144" s="4">
        <f>C144/E144</f>
        <v/>
      </c>
      <c r="E144" s="4" t="n">
        <v>82.43000000000001</v>
      </c>
      <c r="F144" s="4">
        <f>D144/100000</f>
        <v/>
      </c>
      <c r="G144" s="4">
        <f>($D$1-F144)/F144*100</f>
        <v/>
      </c>
      <c r="H144" s="4">
        <f>($D$2-F144)/F144*100</f>
        <v/>
      </c>
      <c r="I144" s="4">
        <f>($D$3-F144)/F144*100</f>
        <v/>
      </c>
      <c r="J144" s="4">
        <f>F144/$D$10*100</f>
        <v/>
      </c>
      <c r="K144" s="4">
        <f>N144/L144</f>
        <v/>
      </c>
      <c r="L144" s="4">
        <f>(M144/O144)*100</f>
        <v/>
      </c>
      <c r="M144" s="4">
        <f>O144/R144</f>
        <v/>
      </c>
      <c r="N144" s="4" t="n">
        <v>7.45</v>
      </c>
      <c r="O144" s="4" t="n">
        <v>17450.9</v>
      </c>
      <c r="P144" s="4" t="n">
        <v>4.09</v>
      </c>
      <c r="Q144" s="4">
        <f>N144-L144</f>
        <v/>
      </c>
      <c r="R144" s="4" t="n">
        <v>20.56</v>
      </c>
      <c r="S144" s="4" t="n">
        <v>3.99</v>
      </c>
      <c r="T144" s="7">
        <f>N144-S144</f>
        <v/>
      </c>
      <c r="U144" s="4" t="n">
        <v>104.43</v>
      </c>
      <c r="V144" s="14" t="n"/>
      <c r="W144" s="14" t="n"/>
      <c r="X144" s="184" t="n"/>
      <c r="Y144" s="184" t="n"/>
      <c r="Z144" s="184" t="n"/>
      <c r="AA144" s="184" t="n"/>
      <c r="AB144" s="184" t="n"/>
      <c r="AC144" s="184" t="n"/>
      <c r="AD144" s="184" t="n"/>
      <c r="AE144" s="184" t="n"/>
    </row>
    <row r="145">
      <c r="A145" s="14" t="n">
        <v>134</v>
      </c>
      <c r="B145" s="8" t="n">
        <v>44987</v>
      </c>
      <c r="C145" s="4" t="n">
        <v>26093404.38</v>
      </c>
      <c r="D145" s="4">
        <f>C145/E145</f>
        <v/>
      </c>
      <c r="E145" s="4" t="n">
        <v>82.34999999999999</v>
      </c>
      <c r="F145" s="4">
        <f>D145/100000</f>
        <v/>
      </c>
      <c r="G145" s="4">
        <f>($D$1-F145)/F145*100</f>
        <v/>
      </c>
      <c r="H145" s="4">
        <f>($D$2-F145)/F145*100</f>
        <v/>
      </c>
      <c r="I145" s="4">
        <f>($D$3-F145)/F145*100</f>
        <v/>
      </c>
      <c r="J145" s="4">
        <f>F145/$D$10*100</f>
        <v/>
      </c>
      <c r="K145" s="4">
        <f>N145/L145</f>
        <v/>
      </c>
      <c r="L145" s="4">
        <f>(M145/O145)*100</f>
        <v/>
      </c>
      <c r="M145" s="4">
        <f>O145/R145</f>
        <v/>
      </c>
      <c r="N145" s="4" t="n">
        <v>7.43</v>
      </c>
      <c r="O145" s="4" t="n">
        <v>17321.9</v>
      </c>
      <c r="P145" s="4" t="n">
        <v>4.06</v>
      </c>
      <c r="Q145" s="4">
        <f>N145-L145</f>
        <v/>
      </c>
      <c r="R145" s="4" t="n">
        <v>20.41</v>
      </c>
      <c r="S145" s="4" t="n">
        <v>4.06</v>
      </c>
      <c r="T145" s="7">
        <f>N145-S145</f>
        <v/>
      </c>
      <c r="U145" s="4" t="n">
        <v>104.99</v>
      </c>
      <c r="V145" s="14" t="n"/>
      <c r="W145" s="14" t="n"/>
      <c r="X145" s="184" t="n"/>
      <c r="Y145" s="184" t="n"/>
      <c r="Z145" s="184" t="n"/>
      <c r="AA145" s="184" t="n"/>
      <c r="AB145" s="184" t="n"/>
      <c r="AC145" s="184" t="n"/>
      <c r="AD145" s="184" t="n"/>
      <c r="AE145" s="184" t="n"/>
    </row>
    <row r="146">
      <c r="A146" s="14" t="n">
        <v>135</v>
      </c>
      <c r="B146" s="8" t="n">
        <v>44988</v>
      </c>
      <c r="C146" s="7" t="n">
        <v>26437737.79</v>
      </c>
      <c r="D146" s="7">
        <f>C146/E146</f>
        <v/>
      </c>
      <c r="E146" s="7" t="n">
        <v>81.68000000000001</v>
      </c>
      <c r="F146" s="7">
        <f>D146/100000</f>
        <v/>
      </c>
      <c r="G146" s="7">
        <f>($D$1-F146)/F146*100</f>
        <v/>
      </c>
      <c r="H146" s="7">
        <f>($D$2-F146)/F146*100</f>
        <v/>
      </c>
      <c r="I146" s="7">
        <f>($D$3-F146)/F146*100</f>
        <v/>
      </c>
      <c r="J146" s="7">
        <f>F146/$D$10*100</f>
        <v/>
      </c>
      <c r="K146" s="7">
        <f>N146/L146</f>
        <v/>
      </c>
      <c r="L146" s="7">
        <f>(M146/O146)*100</f>
        <v/>
      </c>
      <c r="M146" s="7">
        <f>O146/R146</f>
        <v/>
      </c>
      <c r="N146" s="7" t="n">
        <v>7.41</v>
      </c>
      <c r="O146" s="7" t="n">
        <v>17594.35</v>
      </c>
      <c r="P146" s="7" t="n">
        <v>4.12</v>
      </c>
      <c r="Q146" s="7">
        <f>N146-L146</f>
        <v/>
      </c>
      <c r="R146" s="7" t="n">
        <v>20.73</v>
      </c>
      <c r="S146" s="7" t="n">
        <v>3.95</v>
      </c>
      <c r="T146" s="7">
        <f>N146-S146</f>
        <v/>
      </c>
      <c r="U146" s="7" t="n">
        <v>104.48</v>
      </c>
      <c r="V146" s="14" t="n"/>
      <c r="W146" s="14" t="n"/>
      <c r="X146" s="184" t="n"/>
      <c r="Y146" s="184" t="n"/>
      <c r="Z146" s="184" t="n"/>
      <c r="AA146" s="184" t="n"/>
      <c r="AB146" s="184" t="n"/>
      <c r="AC146" s="184" t="n"/>
      <c r="AD146" s="184" t="n"/>
      <c r="AE146" s="184" t="n"/>
    </row>
    <row r="147">
      <c r="A147" s="14" t="n">
        <v>136</v>
      </c>
      <c r="B147" s="8" t="n">
        <v>44991</v>
      </c>
      <c r="C147" s="4" t="n">
        <v>26633874.88</v>
      </c>
      <c r="D147" s="4">
        <f>C147/E147</f>
        <v/>
      </c>
      <c r="E147" s="4" t="n">
        <v>81.81</v>
      </c>
      <c r="F147" s="4">
        <f>D147/100000</f>
        <v/>
      </c>
      <c r="G147" s="4">
        <f>($D$1-F147)/F147*100</f>
        <v/>
      </c>
      <c r="H147" s="4">
        <f>($D$2-F147)/F147*100</f>
        <v/>
      </c>
      <c r="I147" s="4">
        <f>($D$3-F147)/F147*100</f>
        <v/>
      </c>
      <c r="J147" s="4">
        <f>F147/$D$10*100</f>
        <v/>
      </c>
      <c r="K147" s="4">
        <f>N147/L147</f>
        <v/>
      </c>
      <c r="L147" s="4">
        <f>(M147/O147)*100</f>
        <v/>
      </c>
      <c r="M147" s="4">
        <f>O147/R147</f>
        <v/>
      </c>
      <c r="N147" s="4" t="n">
        <v>7.41</v>
      </c>
      <c r="O147" s="4" t="n">
        <v>17711.45</v>
      </c>
      <c r="P147" s="4" t="n">
        <v>4.15</v>
      </c>
      <c r="Q147" s="4">
        <f>N147-L147</f>
        <v/>
      </c>
      <c r="R147" s="4" t="n">
        <v>20.87</v>
      </c>
      <c r="S147" s="4" t="n">
        <v>3.96</v>
      </c>
      <c r="T147" s="7">
        <f>N147-S147</f>
        <v/>
      </c>
      <c r="U147" s="4" t="n">
        <v>104.24</v>
      </c>
      <c r="V147" s="14" t="n"/>
      <c r="W147" s="14" t="n"/>
      <c r="X147" s="184" t="n"/>
      <c r="Y147" s="184" t="n"/>
      <c r="Z147" s="184" t="n"/>
      <c r="AA147" s="184" t="n"/>
      <c r="AB147" s="184" t="n"/>
      <c r="AC147" s="184" t="n"/>
      <c r="AD147" s="184" t="n"/>
      <c r="AE147" s="184" t="n"/>
    </row>
    <row r="148">
      <c r="A148" s="14" t="n">
        <v>137</v>
      </c>
      <c r="B148" s="8" t="n">
        <v>44993</v>
      </c>
      <c r="C148" s="4" t="n">
        <v>26721005.23</v>
      </c>
      <c r="D148" s="4">
        <f>C148/E148</f>
        <v/>
      </c>
      <c r="E148" s="4" t="n">
        <v>81.95</v>
      </c>
      <c r="F148" s="4">
        <f>D148/100000</f>
        <v/>
      </c>
      <c r="G148" s="4">
        <f>($D$1-F148)/F148*100</f>
        <v/>
      </c>
      <c r="H148" s="4">
        <f>($D$2-F148)/F148*100</f>
        <v/>
      </c>
      <c r="I148" s="4">
        <f>($D$3-F148)/F148*100</f>
        <v/>
      </c>
      <c r="J148" s="4">
        <f>F148/$D$10*100</f>
        <v/>
      </c>
      <c r="K148" s="4">
        <f>N148/L148</f>
        <v/>
      </c>
      <c r="L148" s="4">
        <f>(M148/O148)*100</f>
        <v/>
      </c>
      <c r="M148" s="4">
        <f>O148/R148</f>
        <v/>
      </c>
      <c r="N148" s="4" t="n">
        <v>7.45</v>
      </c>
      <c r="O148" s="4" t="n">
        <v>17754.4</v>
      </c>
      <c r="P148" s="4" t="n">
        <v>4.16</v>
      </c>
      <c r="Q148" s="4">
        <f>N148-L148</f>
        <v/>
      </c>
      <c r="R148" s="4" t="n">
        <v>20.92</v>
      </c>
      <c r="S148" s="4" t="n">
        <v>3.98</v>
      </c>
      <c r="T148" s="7">
        <f>N148-S148</f>
        <v/>
      </c>
      <c r="U148" s="4" t="n">
        <v>105.63</v>
      </c>
      <c r="V148" s="14" t="n"/>
      <c r="W148" s="14" t="n"/>
      <c r="X148" s="184" t="n"/>
      <c r="Y148" s="184" t="n"/>
      <c r="Z148" s="184" t="n"/>
      <c r="AA148" s="184" t="n"/>
      <c r="AB148" s="184" t="n"/>
      <c r="AC148" s="184" t="n"/>
      <c r="AD148" s="184" t="n"/>
      <c r="AE148" s="184" t="n"/>
    </row>
    <row r="149">
      <c r="A149" s="14" t="n">
        <v>138</v>
      </c>
      <c r="B149" s="8" t="n">
        <v>44994</v>
      </c>
      <c r="C149" s="4" t="n">
        <v>26536568.51</v>
      </c>
      <c r="D149" s="4">
        <f>C149/E149</f>
        <v/>
      </c>
      <c r="E149" s="4" t="n">
        <v>82.02</v>
      </c>
      <c r="F149" s="4">
        <f>D149/100000</f>
        <v/>
      </c>
      <c r="G149" s="4">
        <f>($D$1-F149)/F149*100</f>
        <v/>
      </c>
      <c r="H149" s="4">
        <f>($D$2-F149)/F149*100</f>
        <v/>
      </c>
      <c r="I149" s="4">
        <f>($D$3-F149)/F149*100</f>
        <v/>
      </c>
      <c r="J149" s="4">
        <f>F149/$D$10*100</f>
        <v/>
      </c>
      <c r="K149" s="4">
        <f>N149/L149</f>
        <v/>
      </c>
      <c r="L149" s="4">
        <f>(M149/O149)*100</f>
        <v/>
      </c>
      <c r="M149" s="4">
        <f>O149/R149</f>
        <v/>
      </c>
      <c r="N149" s="4" t="n">
        <v>7.44</v>
      </c>
      <c r="O149" s="4" t="n">
        <v>17589.6</v>
      </c>
      <c r="P149" s="4" t="n">
        <v>4.12</v>
      </c>
      <c r="Q149" s="4">
        <f>N149-L149</f>
        <v/>
      </c>
      <c r="R149" s="4" t="n">
        <v>20.73</v>
      </c>
      <c r="S149" s="4" t="n">
        <v>3.9</v>
      </c>
      <c r="T149" s="7">
        <f>N149-S149</f>
        <v/>
      </c>
      <c r="U149" s="4" t="n">
        <v>105.3</v>
      </c>
      <c r="V149" s="14" t="n"/>
      <c r="W149" s="14" t="n"/>
      <c r="X149" s="184" t="n"/>
      <c r="Y149" s="184" t="n"/>
      <c r="Z149" s="184" t="n"/>
      <c r="AA149" s="184" t="n"/>
      <c r="AB149" s="184" t="n"/>
      <c r="AC149" s="184" t="n"/>
      <c r="AD149" s="184" t="n"/>
      <c r="AE149" s="184" t="n"/>
    </row>
    <row r="150">
      <c r="A150" s="14" t="n">
        <v>139</v>
      </c>
      <c r="B150" s="8" t="n">
        <v>44995</v>
      </c>
      <c r="C150" s="4" t="n">
        <v>26402869.56</v>
      </c>
      <c r="D150" s="4">
        <f>C150/E150</f>
        <v/>
      </c>
      <c r="E150" s="4" t="n">
        <v>81.95999999999999</v>
      </c>
      <c r="F150" s="4">
        <f>D150/100000</f>
        <v/>
      </c>
      <c r="G150" s="4">
        <f>($D$1-F150)/F150*100</f>
        <v/>
      </c>
      <c r="H150" s="4">
        <f>($D$2-F150)/F150*100</f>
        <v/>
      </c>
      <c r="I150" s="4">
        <f>($D$3-F150)/F150*100</f>
        <v/>
      </c>
      <c r="J150" s="4">
        <f>F150/$D$10*100</f>
        <v/>
      </c>
      <c r="K150" s="4">
        <f>N150/L150</f>
        <v/>
      </c>
      <c r="L150" s="4">
        <f>(M150/O150)*100</f>
        <v/>
      </c>
      <c r="M150" s="4">
        <f>O150/R150</f>
        <v/>
      </c>
      <c r="N150" s="4" t="n">
        <v>7.42</v>
      </c>
      <c r="O150" s="4" t="n">
        <v>17412.9</v>
      </c>
      <c r="P150" s="4" t="n">
        <v>4.08</v>
      </c>
      <c r="Q150" s="4">
        <f>N150-L150</f>
        <v/>
      </c>
      <c r="R150" s="4" t="n">
        <v>20.52</v>
      </c>
      <c r="S150" s="4" t="n">
        <v>3.7</v>
      </c>
      <c r="T150" s="7">
        <f>N150-S150</f>
        <v/>
      </c>
      <c r="U150" s="4" t="n">
        <v>104.55</v>
      </c>
      <c r="V150" s="14" t="n"/>
      <c r="W150" s="14" t="n"/>
      <c r="X150" s="184" t="n"/>
      <c r="Y150" s="184" t="n"/>
      <c r="Z150" s="184" t="n"/>
      <c r="AA150" s="184" t="n"/>
      <c r="AB150" s="184" t="n"/>
      <c r="AC150" s="184" t="n"/>
      <c r="AD150" s="184" t="n"/>
      <c r="AE150" s="184" t="n"/>
    </row>
    <row r="151">
      <c r="A151" s="14" t="n">
        <v>140</v>
      </c>
      <c r="B151" s="8" t="n">
        <v>44998</v>
      </c>
      <c r="C151" s="10" t="n">
        <v>25959096.38</v>
      </c>
      <c r="D151" s="10">
        <f>C151/E151</f>
        <v/>
      </c>
      <c r="E151" s="10" t="n">
        <v>82.23</v>
      </c>
      <c r="F151" s="10">
        <f>D151/100000</f>
        <v/>
      </c>
      <c r="G151" s="10">
        <f>($D$1-F151)/F151*100</f>
        <v/>
      </c>
      <c r="H151" s="10">
        <f>($D$2-F151)/F151*100</f>
        <v/>
      </c>
      <c r="I151" s="10">
        <f>($D$3-F151)/F151*100</f>
        <v/>
      </c>
      <c r="J151" s="10">
        <f>F151/$D$10*100</f>
        <v/>
      </c>
      <c r="K151" s="10">
        <f>N151/L151</f>
        <v/>
      </c>
      <c r="L151" s="10">
        <f>(M151/O151)*100</f>
        <v/>
      </c>
      <c r="M151" s="10">
        <f>O151/R151</f>
        <v/>
      </c>
      <c r="N151" s="10" t="n">
        <v>7.36</v>
      </c>
      <c r="O151" s="10" t="n">
        <v>17154.3</v>
      </c>
      <c r="P151" s="10" t="n">
        <v>4.02</v>
      </c>
      <c r="Q151" s="10">
        <f>N151-L151</f>
        <v/>
      </c>
      <c r="R151" s="10" t="n">
        <v>20.21</v>
      </c>
      <c r="S151" s="10" t="n">
        <v>3.54</v>
      </c>
      <c r="T151" s="7">
        <f>N151-S151</f>
        <v/>
      </c>
      <c r="U151" s="10" t="n">
        <v>103.71</v>
      </c>
      <c r="V151" s="14" t="n"/>
      <c r="W151" s="14" t="n"/>
      <c r="X151" s="184" t="n"/>
      <c r="Y151" s="184" t="n"/>
      <c r="Z151" s="184" t="n"/>
      <c r="AA151" s="184" t="n"/>
      <c r="AB151" s="184" t="n"/>
      <c r="AC151" s="184" t="n"/>
      <c r="AD151" s="184" t="n"/>
      <c r="AE151" s="184" t="n"/>
    </row>
    <row r="152">
      <c r="A152" s="14" t="n">
        <v>141</v>
      </c>
      <c r="B152" s="8" t="n">
        <v>44999</v>
      </c>
      <c r="C152" s="10" t="n">
        <v>25743073.08</v>
      </c>
      <c r="D152" s="10">
        <f>C152/E152</f>
        <v/>
      </c>
      <c r="E152" s="10" t="n">
        <v>82.23999999999999</v>
      </c>
      <c r="F152" s="10">
        <f>D152/100000</f>
        <v/>
      </c>
      <c r="G152" s="10">
        <f>($D$1-F152)/F152*100</f>
        <v/>
      </c>
      <c r="H152" s="10">
        <f>($D$2-F152)/F152*100</f>
        <v/>
      </c>
      <c r="I152" s="10">
        <f>($D$3-F152)/F152*100</f>
        <v/>
      </c>
      <c r="J152" s="10">
        <f>F152/$D$10*100</f>
        <v/>
      </c>
      <c r="K152" s="10">
        <f>N152/L152</f>
        <v/>
      </c>
      <c r="L152" s="10">
        <f>(M152/O152)*100</f>
        <v/>
      </c>
      <c r="M152" s="10">
        <f>O152/R152</f>
        <v/>
      </c>
      <c r="N152" s="10" t="n">
        <v>7.37</v>
      </c>
      <c r="O152" s="10" t="n">
        <v>17043.3</v>
      </c>
      <c r="P152" s="10" t="n">
        <v>3.99</v>
      </c>
      <c r="Q152" s="10">
        <f>N152-L152</f>
        <v/>
      </c>
      <c r="R152" s="10" t="n">
        <v>20.08</v>
      </c>
      <c r="S152" s="10" t="n">
        <v>3.68</v>
      </c>
      <c r="T152" s="7">
        <f>N152-S152</f>
        <v/>
      </c>
      <c r="U152" s="10" t="n">
        <v>103.21</v>
      </c>
      <c r="V152" s="14" t="n"/>
      <c r="W152" s="14" t="n"/>
      <c r="X152" s="184" t="n"/>
      <c r="Y152" s="184" t="n"/>
      <c r="Z152" s="184" t="n"/>
      <c r="AA152" s="184" t="n"/>
      <c r="AB152" s="184" t="n"/>
      <c r="AC152" s="184" t="n"/>
      <c r="AD152" s="184" t="n"/>
      <c r="AE152" s="184" t="n"/>
    </row>
    <row r="153">
      <c r="A153" s="14" t="n">
        <v>142</v>
      </c>
      <c r="B153" s="8" t="n">
        <v>45000</v>
      </c>
      <c r="C153" s="10" t="n">
        <v>25697974.78</v>
      </c>
      <c r="D153" s="10">
        <f>C153/E153</f>
        <v/>
      </c>
      <c r="E153" s="10" t="n">
        <v>82.88</v>
      </c>
      <c r="F153" s="10">
        <f>D153/100000</f>
        <v/>
      </c>
      <c r="G153" s="10">
        <f>($D$1-F153)/F153*100</f>
        <v/>
      </c>
      <c r="H153" s="10">
        <f>($D$2-F153)/F153*100</f>
        <v/>
      </c>
      <c r="I153" s="10">
        <f>($D$3-F153)/F153*100</f>
        <v/>
      </c>
      <c r="J153" s="10">
        <f>F153/$D$10*100</f>
        <v/>
      </c>
      <c r="K153" s="10">
        <f>N153/L153</f>
        <v/>
      </c>
      <c r="L153" s="10">
        <f>(M153/O153)*100</f>
        <v/>
      </c>
      <c r="M153" s="10">
        <f>O153/R153</f>
        <v/>
      </c>
      <c r="N153" s="10" t="n">
        <v>7.36</v>
      </c>
      <c r="O153" s="10" t="n">
        <v>16972.15</v>
      </c>
      <c r="P153" s="10" t="n">
        <v>3.97</v>
      </c>
      <c r="Q153" s="10">
        <f>N153-L153</f>
        <v/>
      </c>
      <c r="R153" s="10" t="n">
        <v>20</v>
      </c>
      <c r="S153" s="10" t="n">
        <v>3.46</v>
      </c>
      <c r="T153" s="7">
        <f>N153-S153</f>
        <v/>
      </c>
      <c r="U153" s="10" t="n">
        <v>104.27</v>
      </c>
      <c r="V153" s="14" t="n"/>
      <c r="W153" s="14" t="n"/>
      <c r="X153" s="184" t="n"/>
      <c r="Y153" s="184" t="n"/>
      <c r="Z153" s="184" t="n"/>
      <c r="AA153" s="184" t="n"/>
      <c r="AB153" s="184" t="n"/>
      <c r="AC153" s="184" t="n"/>
      <c r="AD153" s="184" t="n"/>
      <c r="AE153" s="184" t="n"/>
    </row>
    <row r="154">
      <c r="A154" s="14" t="n">
        <v>143</v>
      </c>
      <c r="B154" s="8" t="n">
        <v>45001</v>
      </c>
      <c r="C154" s="10" t="n">
        <v>25708611.52</v>
      </c>
      <c r="D154" s="10">
        <f>C154/E154</f>
        <v/>
      </c>
      <c r="E154" s="10" t="n">
        <v>82.62</v>
      </c>
      <c r="F154" s="10">
        <f>D154/100000</f>
        <v/>
      </c>
      <c r="G154" s="10">
        <f>($D$1-F154)/F154*100</f>
        <v/>
      </c>
      <c r="H154" s="10">
        <f>($D$2-F154)/F154*100</f>
        <v/>
      </c>
      <c r="I154" s="10">
        <f>($D$3-F154)/F154*100</f>
        <v/>
      </c>
      <c r="J154" s="10">
        <f>F154/$D$10*100</f>
        <v/>
      </c>
      <c r="K154" s="10">
        <f>N154/L154</f>
        <v/>
      </c>
      <c r="L154" s="10">
        <f>(M154/O154)*100</f>
        <v/>
      </c>
      <c r="M154" s="10">
        <f>O154/R154</f>
        <v/>
      </c>
      <c r="N154" s="10" t="n">
        <v>7.35</v>
      </c>
      <c r="O154" s="10" t="n">
        <v>16985.6</v>
      </c>
      <c r="P154" s="10" t="n">
        <v>3.98</v>
      </c>
      <c r="Q154" s="10">
        <f>N154-L154</f>
        <v/>
      </c>
      <c r="R154" s="10" t="n">
        <v>20.01</v>
      </c>
      <c r="S154" s="10" t="n">
        <v>3.57</v>
      </c>
      <c r="T154" s="7">
        <f>N154-S154</f>
        <v/>
      </c>
      <c r="U154" s="10" t="n">
        <v>104.09</v>
      </c>
      <c r="V154" s="14" t="n"/>
      <c r="W154" s="14" t="n"/>
      <c r="X154" s="184" t="n"/>
      <c r="Y154" s="184" t="n"/>
      <c r="Z154" s="184" t="n"/>
      <c r="AA154" s="184" t="n"/>
      <c r="AB154" s="184" t="n"/>
      <c r="AC154" s="184" t="n"/>
      <c r="AD154" s="184" t="n"/>
      <c r="AE154" s="184" t="n"/>
    </row>
    <row r="155">
      <c r="A155" s="14" t="n">
        <v>144</v>
      </c>
      <c r="B155" s="8" t="n">
        <v>45002</v>
      </c>
      <c r="C155" s="10" t="n">
        <v>25858831.17</v>
      </c>
      <c r="D155" s="10">
        <f>C155/E155</f>
        <v/>
      </c>
      <c r="E155" s="10" t="n">
        <v>82.52</v>
      </c>
      <c r="F155" s="10">
        <f>D155/100000</f>
        <v/>
      </c>
      <c r="G155" s="10">
        <f>($D$1-F155)/F155*100</f>
        <v/>
      </c>
      <c r="H155" s="10">
        <f>($D$2-F155)/F155*100</f>
        <v/>
      </c>
      <c r="I155" s="10">
        <f>($D$3-F155)/F155*100</f>
        <v/>
      </c>
      <c r="J155" s="10">
        <f>F155/$D$10*100</f>
        <v/>
      </c>
      <c r="K155" s="10">
        <f>N155/L155</f>
        <v/>
      </c>
      <c r="L155" s="10">
        <f>(M155/O155)*100</f>
        <v/>
      </c>
      <c r="M155" s="10">
        <f>O155/R155</f>
        <v/>
      </c>
      <c r="N155" s="10" t="n">
        <v>7.35</v>
      </c>
      <c r="O155" s="10" t="n">
        <v>17100.05</v>
      </c>
      <c r="P155" s="10" t="n">
        <v>4</v>
      </c>
      <c r="Q155" s="10">
        <f>N155-L155</f>
        <v/>
      </c>
      <c r="R155" s="10" t="n">
        <v>20.15</v>
      </c>
      <c r="S155" s="10" t="n">
        <v>3.43</v>
      </c>
      <c r="T155" s="7">
        <f>N155-S155</f>
        <v/>
      </c>
      <c r="U155" s="10" t="n">
        <v>103.36</v>
      </c>
      <c r="V155" s="14" t="n"/>
      <c r="W155" s="14" t="n"/>
      <c r="X155" s="184" t="n"/>
      <c r="Y155" s="184" t="n"/>
      <c r="Z155" s="184" t="n"/>
      <c r="AA155" s="184" t="n"/>
      <c r="AB155" s="184" t="n"/>
      <c r="AC155" s="184" t="n"/>
      <c r="AD155" s="184" t="n"/>
      <c r="AE155" s="184" t="n"/>
    </row>
    <row r="156">
      <c r="A156" s="14" t="n">
        <v>145</v>
      </c>
      <c r="B156" s="8" t="n">
        <v>45005</v>
      </c>
      <c r="C156" s="10" t="n">
        <v>25644938</v>
      </c>
      <c r="D156" s="10">
        <f>C156/E156</f>
        <v/>
      </c>
      <c r="E156" s="10" t="n">
        <v>82.51000000000001</v>
      </c>
      <c r="F156" s="10">
        <f>D156/100000</f>
        <v/>
      </c>
      <c r="G156" s="10">
        <f>($D$1-F156)/F156*100</f>
        <v/>
      </c>
      <c r="H156" s="10">
        <f>($D$2-F156)/F156*100</f>
        <v/>
      </c>
      <c r="I156" s="10">
        <f>($D$3-F156)/F156*100</f>
        <v/>
      </c>
      <c r="J156" s="10">
        <f>F156/$D$10*100</f>
        <v/>
      </c>
      <c r="K156" s="10">
        <f>N156/L156</f>
        <v/>
      </c>
      <c r="L156" s="10">
        <f>(M156/O156)*100</f>
        <v/>
      </c>
      <c r="M156" s="10">
        <f>O156/R156</f>
        <v/>
      </c>
      <c r="N156" s="10" t="n">
        <v>7.33</v>
      </c>
      <c r="O156" s="10" t="n">
        <v>16988.4</v>
      </c>
      <c r="P156" s="10" t="n">
        <v>3.98</v>
      </c>
      <c r="Q156" s="10">
        <f>N156-L156</f>
        <v/>
      </c>
      <c r="R156" s="10" t="n">
        <v>20.02</v>
      </c>
      <c r="S156" s="10" t="n">
        <v>3.48</v>
      </c>
      <c r="T156" s="7">
        <f>N156-S156</f>
        <v/>
      </c>
      <c r="U156" s="10" t="n">
        <v>102.93</v>
      </c>
      <c r="V156" s="14" t="n"/>
      <c r="W156" s="14" t="n"/>
      <c r="X156" s="184" t="n"/>
      <c r="Y156" s="184" t="n"/>
      <c r="Z156" s="184" t="n"/>
      <c r="AA156" s="184" t="n"/>
      <c r="AB156" s="184" t="n"/>
      <c r="AC156" s="184" t="n"/>
      <c r="AD156" s="184" t="n"/>
      <c r="AE156" s="184" t="n"/>
    </row>
    <row r="157">
      <c r="A157" s="14" t="n">
        <v>146</v>
      </c>
      <c r="B157" s="8" t="n">
        <v>45006</v>
      </c>
      <c r="C157" s="10" t="n">
        <v>25795566.99</v>
      </c>
      <c r="D157" s="10">
        <f>C157/E157</f>
        <v/>
      </c>
      <c r="E157" s="10" t="n">
        <v>82.67</v>
      </c>
      <c r="F157" s="10">
        <f>D157/100000</f>
        <v/>
      </c>
      <c r="G157" s="10">
        <f>($D$1-F157)/F157*100</f>
        <v/>
      </c>
      <c r="H157" s="10">
        <f>($D$2-F157)/F157*100</f>
        <v/>
      </c>
      <c r="I157" s="10">
        <f>($D$3-F157)/F157*100</f>
        <v/>
      </c>
      <c r="J157" s="10">
        <f>F157/$D$10*100</f>
        <v/>
      </c>
      <c r="K157" s="10">
        <f>N157/L157</f>
        <v/>
      </c>
      <c r="L157" s="10">
        <f>(M157/O157)*100</f>
        <v/>
      </c>
      <c r="M157" s="10">
        <f>O157/R157</f>
        <v/>
      </c>
      <c r="N157" s="10" t="n">
        <v>7.35</v>
      </c>
      <c r="O157" s="10" t="n">
        <v>17107.5</v>
      </c>
      <c r="P157" s="10" t="n">
        <v>4.01</v>
      </c>
      <c r="Q157" s="10">
        <f>N157-L157</f>
        <v/>
      </c>
      <c r="R157" s="10" t="n">
        <v>20.16</v>
      </c>
      <c r="S157" s="10" t="n">
        <v>3.6</v>
      </c>
      <c r="T157" s="7">
        <f>N157-S157</f>
        <v/>
      </c>
      <c r="U157" s="10" t="n">
        <v>102.89</v>
      </c>
      <c r="V157" s="14" t="n"/>
      <c r="W157" s="14" t="n"/>
      <c r="X157" s="184" t="n"/>
      <c r="Y157" s="184" t="n"/>
      <c r="Z157" s="184" t="n"/>
      <c r="AA157" s="184" t="n"/>
      <c r="AB157" s="184" t="n"/>
      <c r="AC157" s="184" t="n"/>
      <c r="AD157" s="184" t="n"/>
      <c r="AE157" s="184" t="n"/>
    </row>
    <row r="158">
      <c r="A158" s="14" t="n">
        <v>147</v>
      </c>
      <c r="B158" s="8" t="n">
        <v>45007</v>
      </c>
      <c r="C158" s="10" t="n">
        <v>25904836.19</v>
      </c>
      <c r="D158" s="10">
        <f>C158/E158</f>
        <v/>
      </c>
      <c r="E158" s="10" t="n">
        <v>82.5</v>
      </c>
      <c r="F158" s="10">
        <f>D158/100000</f>
        <v/>
      </c>
      <c r="G158" s="10">
        <f>($D$1-F158)/F158*100</f>
        <v/>
      </c>
      <c r="H158" s="10">
        <f>($D$2-F158)/F158*100</f>
        <v/>
      </c>
      <c r="I158" s="10">
        <f>($D$3-F158)/F158*100</f>
        <v/>
      </c>
      <c r="J158" s="10">
        <f>F158/$D$10*100</f>
        <v/>
      </c>
      <c r="K158" s="10">
        <f>N158/L158</f>
        <v/>
      </c>
      <c r="L158" s="10">
        <f>(M158/O158)*100</f>
        <v/>
      </c>
      <c r="M158" s="10">
        <f>O158/R158</f>
        <v/>
      </c>
      <c r="N158" s="10" t="n">
        <v>7.35</v>
      </c>
      <c r="O158" s="10" t="n">
        <v>17151.9</v>
      </c>
      <c r="P158" s="10" t="n">
        <v>4.02</v>
      </c>
      <c r="Q158" s="10">
        <f>N158-L158</f>
        <v/>
      </c>
      <c r="R158" s="10" t="n">
        <v>20.21</v>
      </c>
      <c r="S158" s="10" t="n">
        <v>3.45</v>
      </c>
      <c r="T158" s="7">
        <f>N158-S158</f>
        <v/>
      </c>
      <c r="U158" s="10" t="n">
        <v>101.97</v>
      </c>
      <c r="V158" s="14" t="n"/>
      <c r="W158" s="14" t="n"/>
      <c r="X158" s="184" t="n"/>
      <c r="Y158" s="184" t="n"/>
      <c r="Z158" s="184" t="n"/>
      <c r="AA158" s="184" t="n"/>
      <c r="AB158" s="184" t="n"/>
      <c r="AC158" s="184" t="n"/>
      <c r="AD158" s="184" t="n"/>
      <c r="AE158" s="184" t="n"/>
    </row>
    <row r="159">
      <c r="A159" s="14" t="n">
        <v>148</v>
      </c>
      <c r="B159" s="8" t="n">
        <v>45008</v>
      </c>
      <c r="C159" s="10" t="n">
        <v>25820157.54</v>
      </c>
      <c r="D159" s="10">
        <f>C159/E159</f>
        <v/>
      </c>
      <c r="E159" s="10" t="n">
        <v>82.23</v>
      </c>
      <c r="F159" s="10">
        <f>D159/100000</f>
        <v/>
      </c>
      <c r="G159" s="10">
        <f>($D$1-F159)/F159*100</f>
        <v/>
      </c>
      <c r="H159" s="10">
        <f>($D$2-F159)/F159*100</f>
        <v/>
      </c>
      <c r="I159" s="10">
        <f>($D$3-F159)/F159*100</f>
        <v/>
      </c>
      <c r="J159" s="10">
        <f>F159/$D$10*100</f>
        <v/>
      </c>
      <c r="K159" s="10">
        <f>N159/L159</f>
        <v/>
      </c>
      <c r="L159" s="10">
        <f>(M159/O159)*100</f>
        <v/>
      </c>
      <c r="M159" s="10">
        <f>O159/R159</f>
        <v/>
      </c>
      <c r="N159" s="10" t="n">
        <v>7.34</v>
      </c>
      <c r="O159" s="10" t="n">
        <v>17076.9</v>
      </c>
      <c r="P159" s="10" t="n">
        <v>4</v>
      </c>
      <c r="Q159" s="10">
        <f>N159-L159</f>
        <v/>
      </c>
      <c r="R159" s="10" t="n">
        <v>20.12</v>
      </c>
      <c r="S159" s="10" t="n">
        <v>3.41</v>
      </c>
      <c r="T159" s="7">
        <f>N159-S159</f>
        <v/>
      </c>
      <c r="U159" s="10" t="n">
        <v>102.2</v>
      </c>
      <c r="V159" s="7">
        <f>(R159*W159)</f>
        <v/>
      </c>
      <c r="W159" s="13" t="n">
        <v>0.0674</v>
      </c>
      <c r="X159" s="184" t="n"/>
      <c r="Y159" s="184" t="n"/>
      <c r="Z159" s="184" t="n"/>
      <c r="AA159" s="184" t="n"/>
      <c r="AB159" s="184" t="n"/>
      <c r="AC159" s="184" t="n"/>
      <c r="AD159" s="184" t="n"/>
      <c r="AE159" s="184" t="n"/>
    </row>
    <row r="160">
      <c r="A160" s="14" t="n">
        <v>149</v>
      </c>
      <c r="B160" s="20" t="n">
        <v>45009</v>
      </c>
      <c r="C160" s="10" t="n">
        <v>25564724.41</v>
      </c>
      <c r="D160" s="10">
        <f>C160/E160</f>
        <v/>
      </c>
      <c r="E160" s="10" t="n">
        <v>82.33</v>
      </c>
      <c r="F160" s="10">
        <f>D160/100000</f>
        <v/>
      </c>
      <c r="G160" s="10">
        <f>($D$1-F160)/F160*100</f>
        <v/>
      </c>
      <c r="H160" s="10">
        <f>($D$2-F160)/F160*100</f>
        <v/>
      </c>
      <c r="I160" s="10">
        <f>($D$3-F160)/F160*100</f>
        <v/>
      </c>
      <c r="J160" s="10">
        <f>F160/$D$10*100</f>
        <v/>
      </c>
      <c r="K160" s="10">
        <f>N160/L160</f>
        <v/>
      </c>
      <c r="L160" s="10">
        <f>(M160/O160)*100</f>
        <v/>
      </c>
      <c r="M160" s="10">
        <f>O160/R160</f>
        <v/>
      </c>
      <c r="N160" s="10" t="n">
        <v>7.31</v>
      </c>
      <c r="O160" s="10" t="n">
        <v>16945.05</v>
      </c>
      <c r="P160" s="10" t="n">
        <v>3.97</v>
      </c>
      <c r="Q160" s="10">
        <f>N160-L160</f>
        <v/>
      </c>
      <c r="R160" s="10" t="n">
        <v>19.97</v>
      </c>
      <c r="S160" s="10" t="n">
        <v>3.37</v>
      </c>
      <c r="T160" s="7">
        <f>N160-S160</f>
        <v/>
      </c>
      <c r="U160" s="10" t="n">
        <v>102.76</v>
      </c>
      <c r="V160" s="7">
        <f>(R160*W160)</f>
        <v/>
      </c>
      <c r="W160" s="13" t="n">
        <v>0.06809999999999999</v>
      </c>
      <c r="X160" s="184" t="n"/>
      <c r="Y160" s="184" t="n"/>
      <c r="Z160" s="184" t="n"/>
      <c r="AA160" s="184" t="n"/>
      <c r="AB160" s="184" t="n"/>
      <c r="AC160" s="184" t="n"/>
      <c r="AD160" s="184" t="n"/>
      <c r="AE160" s="184" t="n"/>
    </row>
    <row r="161">
      <c r="A161" s="14" t="n">
        <v>150</v>
      </c>
      <c r="B161" s="8" t="n">
        <v>45012</v>
      </c>
      <c r="C161" s="4" t="n">
        <v>25359102</v>
      </c>
      <c r="D161" s="4">
        <f>C161/E161</f>
        <v/>
      </c>
      <c r="E161" s="4" t="n">
        <v>82.37</v>
      </c>
      <c r="F161" s="4">
        <f>D161/100000</f>
        <v/>
      </c>
      <c r="G161" s="4">
        <f>($D$1-F161)/F161*100</f>
        <v/>
      </c>
      <c r="H161" s="4">
        <f>($D$2-F161)/F161*100</f>
        <v/>
      </c>
      <c r="I161" s="4">
        <f>($D$3-F161)/F161*100</f>
        <v/>
      </c>
      <c r="J161" s="4">
        <f>F161/$D$10*100</f>
        <v/>
      </c>
      <c r="K161" s="4">
        <f>N161/L161</f>
        <v/>
      </c>
      <c r="L161" s="4">
        <f>(M161/O161)*100</f>
        <v/>
      </c>
      <c r="M161" s="4">
        <f>O161/R161</f>
        <v/>
      </c>
      <c r="N161" s="4" t="n">
        <v>7.3</v>
      </c>
      <c r="O161" s="4" t="n">
        <v>16985.7</v>
      </c>
      <c r="P161" s="4" t="n">
        <v>4</v>
      </c>
      <c r="Q161" s="4">
        <f>N161-L161</f>
        <v/>
      </c>
      <c r="R161" s="4" t="n">
        <v>20</v>
      </c>
      <c r="S161" s="4" t="n">
        <v>3.47</v>
      </c>
      <c r="T161" s="7">
        <f>N161-S161</f>
        <v/>
      </c>
      <c r="U161" s="4" t="n">
        <v>102.69</v>
      </c>
      <c r="V161" s="7">
        <f>(R161*W161)</f>
        <v/>
      </c>
      <c r="W161" s="13" t="n">
        <v>0.0689</v>
      </c>
      <c r="X161" s="184" t="n"/>
      <c r="Y161" s="184" t="n"/>
      <c r="Z161" s="184" t="n"/>
      <c r="AA161" s="184" t="n"/>
      <c r="AB161" s="184" t="n"/>
      <c r="AC161" s="184" t="n"/>
      <c r="AD161" s="184" t="n"/>
      <c r="AE161" s="184" t="n"/>
    </row>
    <row r="162">
      <c r="A162" s="14" t="n">
        <v>151</v>
      </c>
      <c r="B162" s="8" t="n">
        <v>45013</v>
      </c>
      <c r="C162" s="4" t="n">
        <v>25301383.41</v>
      </c>
      <c r="D162" s="4">
        <f>C162/E162</f>
        <v/>
      </c>
      <c r="E162" s="4" t="n">
        <v>82.17</v>
      </c>
      <c r="F162" s="4">
        <f>D162/100000</f>
        <v/>
      </c>
      <c r="G162" s="4">
        <f>($D$1-F162)/F162*100</f>
        <v/>
      </c>
      <c r="H162" s="4">
        <f>($D$2-F162)/F162*100</f>
        <v/>
      </c>
      <c r="I162" s="4">
        <f>($D$3-F162)/F162*100</f>
        <v/>
      </c>
      <c r="J162" s="4">
        <f>F162/$D$10*100</f>
        <v/>
      </c>
      <c r="K162" s="4">
        <f>N162/L162</f>
        <v/>
      </c>
      <c r="L162" s="4">
        <f>(M162/O162)*100</f>
        <v/>
      </c>
      <c r="M162" s="4">
        <f>O162/R162</f>
        <v/>
      </c>
      <c r="N162" s="4" t="n">
        <v>7.32</v>
      </c>
      <c r="O162" s="4" t="n">
        <v>16951.7</v>
      </c>
      <c r="P162" s="4" t="n">
        <v>3.97</v>
      </c>
      <c r="Q162" s="4">
        <f>N162-L162</f>
        <v/>
      </c>
      <c r="R162" s="4" t="n">
        <v>19.97</v>
      </c>
      <c r="S162" s="4" t="n">
        <v>3.57</v>
      </c>
      <c r="T162" s="7">
        <f>N162-S162</f>
        <v/>
      </c>
      <c r="U162" s="4" t="n">
        <v>102.1</v>
      </c>
      <c r="V162" s="7">
        <f>(R162*W162)</f>
        <v/>
      </c>
      <c r="W162" s="13" t="n">
        <v>0.0712</v>
      </c>
      <c r="X162" s="184" t="n"/>
      <c r="Y162" s="184" t="n"/>
      <c r="Z162" s="184" t="n"/>
      <c r="AA162" s="184" t="n"/>
      <c r="AB162" s="184" t="n"/>
      <c r="AC162" s="184" t="n"/>
      <c r="AD162" s="184" t="n"/>
      <c r="AE162" s="184" t="n"/>
    </row>
    <row r="163">
      <c r="A163" s="14" t="n">
        <v>152</v>
      </c>
      <c r="B163" s="8" t="n">
        <v>45014</v>
      </c>
      <c r="C163" s="4" t="n">
        <v>25576707.37</v>
      </c>
      <c r="D163" s="4">
        <f>C163/E163</f>
        <v/>
      </c>
      <c r="E163" s="4" t="n">
        <v>82.31999999999999</v>
      </c>
      <c r="F163" s="4">
        <f>D163/100000</f>
        <v/>
      </c>
      <c r="G163" s="4">
        <f>($D$1-F163)/F163*100</f>
        <v/>
      </c>
      <c r="H163" s="4">
        <f>($D$2-F163)/F163*100</f>
        <v/>
      </c>
      <c r="I163" s="4">
        <f>($D$3-F163)/F163*100</f>
        <v/>
      </c>
      <c r="J163" s="4">
        <f>F163/$D$10*100</f>
        <v/>
      </c>
      <c r="K163" s="4">
        <f>N163/L163</f>
        <v/>
      </c>
      <c r="L163" s="4">
        <f>(M163/O163)*100</f>
        <v/>
      </c>
      <c r="M163" s="4">
        <f>O163/R163</f>
        <v/>
      </c>
      <c r="N163" s="4" t="n">
        <v>7.29</v>
      </c>
      <c r="O163" s="4" t="n">
        <v>17080.7</v>
      </c>
      <c r="P163" s="4" t="n">
        <v>4</v>
      </c>
      <c r="Q163" s="4">
        <f>N163-L163</f>
        <v/>
      </c>
      <c r="R163" s="4" t="n">
        <v>20.13</v>
      </c>
      <c r="S163" s="4" t="n">
        <v>3.59</v>
      </c>
      <c r="T163" s="7">
        <f>N163-S163</f>
        <v/>
      </c>
      <c r="U163" s="4" t="n">
        <v>102.31</v>
      </c>
      <c r="V163" s="7">
        <f>(R163*W163)</f>
        <v/>
      </c>
      <c r="W163" s="13" t="n">
        <v>0.0698</v>
      </c>
      <c r="X163" s="184" t="n"/>
      <c r="Y163" s="184" t="n"/>
      <c r="Z163" s="184" t="n"/>
      <c r="AA163" s="184" t="n"/>
      <c r="AB163" s="184" t="n"/>
      <c r="AC163" s="184" t="n"/>
      <c r="AD163" s="184" t="n"/>
      <c r="AE163" s="184" t="n"/>
    </row>
    <row r="164">
      <c r="A164" s="14" t="n">
        <v>153</v>
      </c>
      <c r="B164" s="8" t="n">
        <v>45016</v>
      </c>
      <c r="C164" s="4" t="n">
        <v>25828863.53</v>
      </c>
      <c r="D164" s="4">
        <f>C164/E164</f>
        <v/>
      </c>
      <c r="E164" s="4" t="n">
        <v>82.16</v>
      </c>
      <c r="F164" s="4">
        <f>D164/100000</f>
        <v/>
      </c>
      <c r="G164" s="4">
        <f>($D$1-F164)/F164*100</f>
        <v/>
      </c>
      <c r="H164" s="4">
        <f>($D$2-F164)/F164*100</f>
        <v/>
      </c>
      <c r="I164" s="4">
        <f>($D$3-F164)/F164*100</f>
        <v/>
      </c>
      <c r="J164" s="4">
        <f>F164/$D$10*100</f>
        <v/>
      </c>
      <c r="K164" s="4">
        <f>N164/L164</f>
        <v/>
      </c>
      <c r="L164" s="4">
        <f>(M164/O164)*100</f>
        <v/>
      </c>
      <c r="M164" s="4">
        <f>O164/R164</f>
        <v/>
      </c>
      <c r="N164" s="4" t="n">
        <v>7.31</v>
      </c>
      <c r="O164" s="4" t="n">
        <v>17359.75</v>
      </c>
      <c r="P164" s="4" t="n">
        <v>4.05</v>
      </c>
      <c r="Q164" s="4">
        <f>N164-L164</f>
        <v/>
      </c>
      <c r="R164" s="4" t="n">
        <v>20.44</v>
      </c>
      <c r="S164" s="4" t="n">
        <v>3.47</v>
      </c>
      <c r="T164" s="7">
        <f>N164-S164</f>
        <v/>
      </c>
      <c r="U164" s="4" t="n">
        <v>102.18</v>
      </c>
      <c r="V164" s="7">
        <f>(R164*W164)</f>
        <v/>
      </c>
      <c r="W164" s="13" t="n">
        <v>0.0683</v>
      </c>
      <c r="X164" s="184" t="n"/>
      <c r="Y164" s="184" t="n"/>
      <c r="Z164" s="184" t="n"/>
      <c r="AA164" s="184" t="n"/>
      <c r="AB164" s="184" t="n"/>
      <c r="AC164" s="184" t="n"/>
      <c r="AD164" s="184" t="n"/>
      <c r="AE164" s="184" t="n"/>
    </row>
    <row r="165">
      <c r="A165" s="14" t="n">
        <v>154</v>
      </c>
      <c r="B165" s="8" t="n">
        <v>45019</v>
      </c>
      <c r="C165" s="4" t="n">
        <v>25981915.61</v>
      </c>
      <c r="D165" s="4">
        <f>C165/E165</f>
        <v/>
      </c>
      <c r="E165" s="4" t="n">
        <v>82.19</v>
      </c>
      <c r="F165" s="4">
        <f>D165/100000</f>
        <v/>
      </c>
      <c r="G165" s="4">
        <f>($D$1-F165)/F165*100</f>
        <v/>
      </c>
      <c r="H165" s="4">
        <f>($D$2-F165)/F165*100</f>
        <v/>
      </c>
      <c r="I165" s="4">
        <f>($D$3-F165)/F165*100</f>
        <v/>
      </c>
      <c r="J165" s="4">
        <f>F165/$D$10*100</f>
        <v/>
      </c>
      <c r="K165" s="4">
        <f>N165/L165</f>
        <v/>
      </c>
      <c r="L165" s="4">
        <f>(M165/O165)*100</f>
        <v/>
      </c>
      <c r="M165" s="4">
        <f>O165/R165</f>
        <v/>
      </c>
      <c r="N165" s="4" t="n">
        <v>7.31</v>
      </c>
      <c r="O165" s="4" t="n">
        <v>17398.05</v>
      </c>
      <c r="P165" s="4" t="n">
        <v>4.06</v>
      </c>
      <c r="Q165" s="4">
        <f>N165-L165</f>
        <v/>
      </c>
      <c r="R165" s="4" t="n">
        <v>20.48</v>
      </c>
      <c r="S165" s="4" t="n">
        <v>3.41</v>
      </c>
      <c r="T165" s="7">
        <f>N165-S165</f>
        <v/>
      </c>
      <c r="U165" s="4" t="n">
        <v>101.78</v>
      </c>
      <c r="V165" s="7">
        <f>(R165*W165)</f>
        <v/>
      </c>
      <c r="W165" s="13" t="n">
        <v>0.0684</v>
      </c>
      <c r="X165" s="184" t="n"/>
      <c r="Y165" s="184" t="n"/>
      <c r="Z165" s="184" t="n"/>
      <c r="AA165" s="184" t="n"/>
      <c r="AB165" s="184" t="n"/>
      <c r="AC165" s="184" t="n"/>
      <c r="AD165" s="184" t="n"/>
      <c r="AE165" s="184" t="n"/>
    </row>
    <row r="166">
      <c r="A166" s="14" t="n">
        <v>155</v>
      </c>
      <c r="B166" s="8" t="n">
        <v>45021</v>
      </c>
      <c r="C166" s="4" t="n">
        <v>26161744.23</v>
      </c>
      <c r="D166" s="4">
        <f>C166/E166</f>
        <v/>
      </c>
      <c r="E166" s="4" t="n">
        <v>82.09</v>
      </c>
      <c r="F166" s="4">
        <f>D166/100000</f>
        <v/>
      </c>
      <c r="G166" s="4">
        <f>($D$1-F166)/F166*100</f>
        <v/>
      </c>
      <c r="H166" s="4">
        <f>($D$2-F166)/F166*100</f>
        <v/>
      </c>
      <c r="I166" s="4">
        <f>($D$3-F166)/F166*100</f>
        <v/>
      </c>
      <c r="J166" s="4">
        <f>F166/$D$10*100</f>
        <v/>
      </c>
      <c r="K166" s="4">
        <f>N166/L166</f>
        <v/>
      </c>
      <c r="L166" s="4">
        <f>(M166/O166)*100</f>
        <v/>
      </c>
      <c r="M166" s="4">
        <f>O166/R166</f>
        <v/>
      </c>
      <c r="N166" s="4" t="n">
        <v>7.27</v>
      </c>
      <c r="O166" s="4" t="n">
        <v>17557.05</v>
      </c>
      <c r="P166" s="4" t="n">
        <v>4.1</v>
      </c>
      <c r="Q166" s="4">
        <f>N166-L166</f>
        <v/>
      </c>
      <c r="R166" s="4" t="n">
        <v>20.67</v>
      </c>
      <c r="S166" s="4" t="n">
        <v>3.3</v>
      </c>
      <c r="T166" s="7">
        <f>N166-S166</f>
        <v/>
      </c>
      <c r="U166" s="4" t="n">
        <v>101.54</v>
      </c>
      <c r="V166" s="7">
        <f>(R166*W166)</f>
        <v/>
      </c>
      <c r="W166" s="13" t="n">
        <v>0.06859999999999999</v>
      </c>
      <c r="X166" s="184" t="n"/>
      <c r="Y166" s="184" t="n"/>
      <c r="Z166" s="184" t="n"/>
      <c r="AA166" s="184" t="n"/>
      <c r="AB166" s="184" t="n"/>
      <c r="AC166" s="184" t="n"/>
      <c r="AD166" s="184" t="n"/>
      <c r="AE166" s="184" t="n"/>
    </row>
    <row r="167">
      <c r="A167" s="14" t="n">
        <v>156</v>
      </c>
      <c r="B167" s="8" t="n">
        <v>45022</v>
      </c>
      <c r="C167" s="4" t="n">
        <v>26265589.79</v>
      </c>
      <c r="D167" s="4">
        <f>C167/E167</f>
        <v/>
      </c>
      <c r="E167" s="4" t="n">
        <v>81.92</v>
      </c>
      <c r="F167" s="4">
        <f>D167/100000</f>
        <v/>
      </c>
      <c r="G167" s="4">
        <f>($D$1-F167)/F167*100</f>
        <v/>
      </c>
      <c r="H167" s="4">
        <f>($D$2-F167)/F167*100</f>
        <v/>
      </c>
      <c r="I167" s="4">
        <f>($D$3-F167)/F167*100</f>
        <v/>
      </c>
      <c r="J167" s="4">
        <f>F167/$D$10*100</f>
        <v/>
      </c>
      <c r="K167" s="4">
        <f>N167/L167</f>
        <v/>
      </c>
      <c r="L167" s="4">
        <f>(M167/O167)*100</f>
        <v/>
      </c>
      <c r="M167" s="4">
        <f>O167/R167</f>
        <v/>
      </c>
      <c r="N167" s="4" t="n">
        <v>7.21</v>
      </c>
      <c r="O167" s="4" t="n">
        <v>17599.15</v>
      </c>
      <c r="P167" s="4" t="n">
        <v>4.12</v>
      </c>
      <c r="Q167" s="4">
        <f>N167-L167</f>
        <v/>
      </c>
      <c r="R167" s="4" t="n">
        <v>20.72</v>
      </c>
      <c r="S167" s="4" t="n">
        <v>3.3</v>
      </c>
      <c r="T167" s="7">
        <f>N167-S167</f>
        <v/>
      </c>
      <c r="U167" s="4" t="n">
        <v>101.51</v>
      </c>
      <c r="V167" s="7">
        <f>(R167*W167)</f>
        <v/>
      </c>
      <c r="W167" s="13" t="n">
        <v>0.0672</v>
      </c>
      <c r="X167" s="184" t="n"/>
      <c r="Y167" s="184" t="n"/>
      <c r="Z167" s="184" t="n"/>
      <c r="AA167" s="184" t="n"/>
      <c r="AB167" s="184" t="n"/>
      <c r="AC167" s="184" t="n"/>
      <c r="AD167" s="184" t="n"/>
      <c r="AE167" s="184" t="n"/>
    </row>
    <row r="168">
      <c r="A168" s="14" t="n">
        <v>157</v>
      </c>
      <c r="B168" s="8" t="n">
        <v>45026</v>
      </c>
      <c r="C168" s="4" t="n">
        <v>26341480.46</v>
      </c>
      <c r="D168" s="4">
        <f>C168/E168</f>
        <v/>
      </c>
      <c r="E168" s="4" t="n">
        <v>81.98</v>
      </c>
      <c r="F168" s="4">
        <f>D168/100000</f>
        <v/>
      </c>
      <c r="G168" s="4">
        <f>($D$1-F168)/F168*100</f>
        <v/>
      </c>
      <c r="H168" s="4">
        <f>($D$2-F168)/F168*100</f>
        <v/>
      </c>
      <c r="I168" s="4">
        <f>($D$3-F168)/F168*100</f>
        <v/>
      </c>
      <c r="J168" s="4">
        <f>F168/$D$10*100</f>
        <v/>
      </c>
      <c r="K168" s="4">
        <f>N168/L168</f>
        <v/>
      </c>
      <c r="L168" s="4">
        <f>(M168/O168)*100</f>
        <v/>
      </c>
      <c r="M168" s="4">
        <f>O168/R168</f>
        <v/>
      </c>
      <c r="N168" s="4" t="n">
        <v>7.22</v>
      </c>
      <c r="O168" s="4" t="n">
        <v>17624.05</v>
      </c>
      <c r="P168" s="4" t="n">
        <v>4.13</v>
      </c>
      <c r="Q168" s="4">
        <f>N168-L168</f>
        <v/>
      </c>
      <c r="R168" s="4" t="n">
        <v>20.75</v>
      </c>
      <c r="S168" s="4" t="n">
        <v>3.41</v>
      </c>
      <c r="T168" s="7">
        <f>N168-S168</f>
        <v/>
      </c>
      <c r="U168" s="4" t="n">
        <v>102.22</v>
      </c>
      <c r="V168" s="7">
        <f>(R168*W168)</f>
        <v/>
      </c>
      <c r="W168" s="13" t="n">
        <v>0.0673</v>
      </c>
      <c r="X168" s="184" t="n"/>
      <c r="Y168" s="184" t="n"/>
      <c r="Z168" s="184" t="n"/>
      <c r="AA168" s="184" t="n"/>
      <c r="AB168" s="184" t="n"/>
      <c r="AC168" s="184" t="n"/>
      <c r="AD168" s="184" t="n"/>
      <c r="AE168" s="184" t="n"/>
    </row>
    <row r="169">
      <c r="A169" s="14" t="n">
        <v>158</v>
      </c>
      <c r="B169" s="8" t="n">
        <v>45027</v>
      </c>
      <c r="C169" s="4" t="n">
        <v>26478054.34</v>
      </c>
      <c r="D169" s="4">
        <f>C169/E169</f>
        <v/>
      </c>
      <c r="E169" s="4" t="n">
        <v>82.04000000000001</v>
      </c>
      <c r="F169" s="4">
        <f>D169/100000</f>
        <v/>
      </c>
      <c r="G169" s="4">
        <f>($D$1-F169)/F169*100</f>
        <v/>
      </c>
      <c r="H169" s="4">
        <f>($D$2-F169)/F169*100</f>
        <v/>
      </c>
      <c r="I169" s="4">
        <f>($D$3-F169)/F169*100</f>
        <v/>
      </c>
      <c r="J169" s="4">
        <f>F169/$D$10*100</f>
        <v/>
      </c>
      <c r="K169" s="4">
        <f>N169/L169</f>
        <v/>
      </c>
      <c r="L169" s="4">
        <f>(M169/O169)*100</f>
        <v/>
      </c>
      <c r="M169" s="4">
        <f>O169/R169</f>
        <v/>
      </c>
      <c r="N169" s="4" t="n">
        <v>7.22</v>
      </c>
      <c r="O169" s="4" t="n">
        <v>17722.3</v>
      </c>
      <c r="P169" s="4" t="n">
        <v>4.15</v>
      </c>
      <c r="Q169" s="4">
        <f>N169-L169</f>
        <v/>
      </c>
      <c r="R169" s="4" t="n">
        <v>20.86</v>
      </c>
      <c r="S169" s="4" t="n">
        <v>3.43</v>
      </c>
      <c r="T169" s="7">
        <f>N169-S169</f>
        <v/>
      </c>
      <c r="U169" s="4" t="n">
        <v>101.88</v>
      </c>
      <c r="V169" s="7">
        <f>(R169*W169)</f>
        <v/>
      </c>
      <c r="W169" s="13" t="n">
        <v>0.067</v>
      </c>
      <c r="X169" s="184" t="n"/>
      <c r="Y169" s="184" t="n"/>
      <c r="Z169" s="184" t="n"/>
      <c r="AA169" s="184" t="n"/>
      <c r="AB169" s="184" t="n"/>
      <c r="AC169" s="184" t="n"/>
      <c r="AD169" s="184" t="n"/>
      <c r="AE169" s="184" t="n"/>
    </row>
    <row r="170">
      <c r="A170" s="14" t="n">
        <v>159</v>
      </c>
      <c r="B170" s="8" t="n">
        <v>45028</v>
      </c>
      <c r="C170" s="4" t="n">
        <v>26594725.69</v>
      </c>
      <c r="D170" s="4">
        <f>C170/E170</f>
        <v/>
      </c>
      <c r="E170" s="4" t="n">
        <v>81.93000000000001</v>
      </c>
      <c r="F170" s="4">
        <f>D170/100000</f>
        <v/>
      </c>
      <c r="G170" s="4">
        <f>($D$1-F170)/F170*100</f>
        <v/>
      </c>
      <c r="H170" s="4">
        <f>($D$2-F170)/F170*100</f>
        <v/>
      </c>
      <c r="I170" s="4">
        <f>($D$3-F170)/F170*100</f>
        <v/>
      </c>
      <c r="J170" s="4">
        <f>F170/$D$10*100</f>
        <v/>
      </c>
      <c r="K170" s="4">
        <f>N170/L170</f>
        <v/>
      </c>
      <c r="L170" s="4">
        <f>(M170/O170)*100</f>
        <v/>
      </c>
      <c r="M170" s="4">
        <f>O170/R170</f>
        <v/>
      </c>
      <c r="N170" s="4" t="n">
        <v>7.21</v>
      </c>
      <c r="O170" s="4" t="n">
        <v>17812.4</v>
      </c>
      <c r="P170" s="4" t="n">
        <v>4.17</v>
      </c>
      <c r="Q170" s="4">
        <f>N170-L170</f>
        <v/>
      </c>
      <c r="R170" s="4" t="n">
        <v>20.97</v>
      </c>
      <c r="S170" s="4" t="n">
        <v>3.4</v>
      </c>
      <c r="T170" s="7">
        <f>N170-S170</f>
        <v/>
      </c>
      <c r="U170" s="4" t="n">
        <v>101.17</v>
      </c>
      <c r="V170" s="7">
        <f>(R170*W170)</f>
        <v/>
      </c>
      <c r="W170" s="13" t="n">
        <v>0.0669</v>
      </c>
      <c r="X170" s="184" t="n"/>
      <c r="Y170" s="184" t="n"/>
      <c r="Z170" s="184" t="n"/>
      <c r="AA170" s="184" t="n"/>
      <c r="AB170" s="184" t="n"/>
      <c r="AC170" s="184" t="n"/>
      <c r="AD170" s="184" t="n"/>
      <c r="AE170" s="184" t="n"/>
    </row>
    <row r="171">
      <c r="A171" s="14" t="n">
        <v>160</v>
      </c>
      <c r="B171" s="8" t="n">
        <v>45029</v>
      </c>
      <c r="C171" s="4" t="n">
        <v>26632065.83</v>
      </c>
      <c r="D171" s="4">
        <f>C171/E171</f>
        <v/>
      </c>
      <c r="E171" s="4" t="n">
        <v>81.65000000000001</v>
      </c>
      <c r="F171" s="4">
        <f>D171/100000</f>
        <v/>
      </c>
      <c r="G171" s="4">
        <f>($D$1-F171)/F171*100</f>
        <v/>
      </c>
      <c r="H171" s="4">
        <f>($D$2-F171)/F171*100</f>
        <v/>
      </c>
      <c r="I171" s="4">
        <f>($D$3-F171)/F171*100</f>
        <v/>
      </c>
      <c r="J171" s="4">
        <f>F171/$D$10*100</f>
        <v/>
      </c>
      <c r="K171" s="4">
        <f>N171/L171</f>
        <v/>
      </c>
      <c r="L171" s="4">
        <f>(M171/O171)*100</f>
        <v/>
      </c>
      <c r="M171" s="4">
        <f>O171/R171</f>
        <v/>
      </c>
      <c r="N171" s="4" t="n">
        <v>7.22</v>
      </c>
      <c r="O171" s="4" t="n">
        <v>17828</v>
      </c>
      <c r="P171" s="4" t="n">
        <v>4.17</v>
      </c>
      <c r="Q171" s="4">
        <f>N171-L171</f>
        <v/>
      </c>
      <c r="R171" s="4" t="n">
        <v>20.99</v>
      </c>
      <c r="S171" s="4" t="n">
        <v>3.44</v>
      </c>
      <c r="T171" s="7">
        <f>N171-S171</f>
        <v/>
      </c>
      <c r="U171" s="4" t="n">
        <v>100.7</v>
      </c>
      <c r="V171" s="7">
        <f>(R171*W171)</f>
        <v/>
      </c>
      <c r="W171" s="13" t="n">
        <v>0.06710000000000001</v>
      </c>
      <c r="X171" s="184" t="n"/>
      <c r="Y171" s="184" t="n"/>
      <c r="Z171" s="184" t="n"/>
      <c r="AA171" s="184" t="n"/>
      <c r="AB171" s="184" t="n"/>
      <c r="AC171" s="184" t="n"/>
      <c r="AD171" s="184" t="n"/>
      <c r="AE171" s="184" t="n"/>
    </row>
    <row r="172">
      <c r="A172" s="14" t="n">
        <v>161</v>
      </c>
      <c r="B172" s="8" t="n">
        <v>45033</v>
      </c>
      <c r="C172" s="4" t="n">
        <v>26616826.3</v>
      </c>
      <c r="D172" s="4">
        <f>C172/E172</f>
        <v/>
      </c>
      <c r="E172" s="4" t="n">
        <v>82</v>
      </c>
      <c r="F172" s="4">
        <f>D172/100000</f>
        <v/>
      </c>
      <c r="G172" s="4">
        <f>($D$1-F172)/F172*100</f>
        <v/>
      </c>
      <c r="H172" s="4">
        <f>($D$2-F172)/F172*100</f>
        <v/>
      </c>
      <c r="I172" s="4">
        <f>($D$3-F172)/F172*100</f>
        <v/>
      </c>
      <c r="J172" s="4">
        <f>F172/$D$10*100</f>
        <v/>
      </c>
      <c r="K172" s="4">
        <f>N172/L172</f>
        <v/>
      </c>
      <c r="L172" s="4">
        <f>(M172/O172)*100</f>
        <v/>
      </c>
      <c r="M172" s="4">
        <f>O172/R172</f>
        <v/>
      </c>
      <c r="N172" s="4" t="n">
        <v>7.24</v>
      </c>
      <c r="O172" s="4" t="n">
        <v>17706.85</v>
      </c>
      <c r="P172" s="4" t="n">
        <v>4.14</v>
      </c>
      <c r="Q172" s="4">
        <f>N172-L172</f>
        <v/>
      </c>
      <c r="R172" s="4" t="n">
        <v>20.82</v>
      </c>
      <c r="S172" s="4" t="n">
        <v>3.6</v>
      </c>
      <c r="T172" s="7">
        <f>N172-S172</f>
        <v/>
      </c>
      <c r="U172" s="4" t="n">
        <v>101.79</v>
      </c>
      <c r="V172" s="7">
        <f>(R172*W172)</f>
        <v/>
      </c>
      <c r="W172" s="13" t="n">
        <v>0.0672</v>
      </c>
      <c r="X172" s="184" t="n"/>
      <c r="Y172" s="184" t="n"/>
      <c r="Z172" s="184" t="n"/>
      <c r="AA172" s="184" t="n"/>
      <c r="AB172" s="184" t="n"/>
      <c r="AC172" s="184" t="n"/>
      <c r="AD172" s="184" t="n"/>
      <c r="AE172" s="184" t="n"/>
    </row>
    <row r="173">
      <c r="A173" s="14" t="n">
        <v>162</v>
      </c>
      <c r="B173" s="8" t="n">
        <v>45034</v>
      </c>
      <c r="C173" s="4" t="n">
        <v>26625115.99</v>
      </c>
      <c r="D173" s="4">
        <f>C173/E173</f>
        <v/>
      </c>
      <c r="E173" s="4" t="n">
        <v>82.08</v>
      </c>
      <c r="F173" s="4">
        <f>D173/100000</f>
        <v/>
      </c>
      <c r="G173" s="4">
        <f>($D$1-F173)/F173*100</f>
        <v/>
      </c>
      <c r="H173" s="4">
        <f>($D$2-F173)/F173*100</f>
        <v/>
      </c>
      <c r="I173" s="4">
        <f>($D$3-F173)/F173*100</f>
        <v/>
      </c>
      <c r="J173" s="4">
        <f>F173/$D$10*100</f>
        <v/>
      </c>
      <c r="K173" s="4">
        <f>N173/L173</f>
        <v/>
      </c>
      <c r="L173" s="4">
        <f>(M173/O173)*100</f>
        <v/>
      </c>
      <c r="M173" s="4">
        <f>O173/R173</f>
        <v/>
      </c>
      <c r="N173" s="4" t="n">
        <v>7.22</v>
      </c>
      <c r="O173" s="4" t="n">
        <v>17660.15</v>
      </c>
      <c r="P173" s="4" t="n">
        <v>4.13</v>
      </c>
      <c r="Q173" s="4">
        <f>N173-L173</f>
        <v/>
      </c>
      <c r="R173" s="4" t="n">
        <v>20.65</v>
      </c>
      <c r="S173" s="4" t="n">
        <v>3.57</v>
      </c>
      <c r="T173" s="7">
        <f>N173-S173</f>
        <v/>
      </c>
      <c r="U173" s="4" t="n">
        <v>101.44</v>
      </c>
      <c r="V173" s="7">
        <f>(R173*W173)</f>
        <v/>
      </c>
      <c r="W173" s="13" t="n">
        <v>0.0673</v>
      </c>
      <c r="X173" s="184" t="n"/>
      <c r="Y173" s="184" t="n"/>
      <c r="Z173" s="184" t="n"/>
      <c r="AA173" s="184" t="n"/>
      <c r="AB173" s="184" t="n"/>
      <c r="AC173" s="184" t="n"/>
      <c r="AD173" s="184" t="n"/>
      <c r="AE173" s="184" t="n"/>
    </row>
    <row r="174">
      <c r="A174" s="14" t="n">
        <v>163</v>
      </c>
      <c r="B174" s="8" t="n">
        <v>45035</v>
      </c>
      <c r="C174" s="4" t="n">
        <v>26553982.36</v>
      </c>
      <c r="D174" s="4">
        <f>C174/E174</f>
        <v/>
      </c>
      <c r="E174" s="4" t="n">
        <v>82.26000000000001</v>
      </c>
      <c r="F174" s="4">
        <f>D174/100000</f>
        <v/>
      </c>
      <c r="G174" s="4">
        <f>($D$1-F174)/F174*100</f>
        <v/>
      </c>
      <c r="H174" s="4">
        <f>($D$2-F174)/F174*100</f>
        <v/>
      </c>
      <c r="I174" s="4">
        <f>($D$3-F174)/F174*100</f>
        <v/>
      </c>
      <c r="J174" s="4">
        <f>F174/$D$10*100</f>
        <v/>
      </c>
      <c r="K174" s="4">
        <f>N174/L174</f>
        <v/>
      </c>
      <c r="L174" s="4">
        <f>(M174/O174)*100</f>
        <v/>
      </c>
      <c r="M174" s="4">
        <f>O174/R174</f>
        <v/>
      </c>
      <c r="N174" s="4" t="n">
        <v>7.22</v>
      </c>
      <c r="O174" s="4" t="n">
        <v>17618.75</v>
      </c>
      <c r="P174" s="4" t="n">
        <v>4.12</v>
      </c>
      <c r="Q174" s="4">
        <f>N174-L174</f>
        <v/>
      </c>
      <c r="R174" s="4" t="n">
        <v>20.6</v>
      </c>
      <c r="S174" s="4" t="n">
        <v>3.59</v>
      </c>
      <c r="T174" s="7">
        <f>N174-S174</f>
        <v/>
      </c>
      <c r="U174" s="4" t="n">
        <v>101.66</v>
      </c>
      <c r="V174" s="7">
        <f>(R174*W174)</f>
        <v/>
      </c>
      <c r="W174" s="13" t="n">
        <v>0.0675</v>
      </c>
      <c r="X174" s="184" t="n"/>
      <c r="Y174" s="184" t="n"/>
      <c r="Z174" s="184" t="n"/>
      <c r="AA174" s="184" t="n"/>
      <c r="AB174" s="184" t="n"/>
      <c r="AC174" s="184" t="n"/>
      <c r="AD174" s="184" t="n"/>
      <c r="AE174" s="184" t="n"/>
    </row>
    <row r="175">
      <c r="A175" s="14" t="n">
        <v>164</v>
      </c>
      <c r="B175" s="8" t="n">
        <v>45036</v>
      </c>
      <c r="C175" s="4" t="n">
        <v>26565903.83</v>
      </c>
      <c r="D175" s="4">
        <f>C175/E175</f>
        <v/>
      </c>
      <c r="E175" s="4" t="n">
        <v>82.12</v>
      </c>
      <c r="F175" s="4">
        <f>D175/100000</f>
        <v/>
      </c>
      <c r="G175" s="4">
        <f>($D$1-F175)/F175*100</f>
        <v/>
      </c>
      <c r="H175" s="4">
        <f>($D$2-F175)/F175*100</f>
        <v/>
      </c>
      <c r="I175" s="4">
        <f>($D$3-F175)/F175*100</f>
        <v/>
      </c>
      <c r="J175" s="4">
        <f>F175/$D$10*100</f>
        <v/>
      </c>
      <c r="K175" s="4">
        <f>N175/L175</f>
        <v/>
      </c>
      <c r="L175" s="4">
        <f>(M175/O175)*100</f>
        <v/>
      </c>
      <c r="M175" s="4">
        <f>O175/R175</f>
        <v/>
      </c>
      <c r="N175" s="4" t="n">
        <v>7.22</v>
      </c>
      <c r="O175" s="4" t="n">
        <v>17624.45</v>
      </c>
      <c r="P175" s="4" t="n">
        <v>4.13</v>
      </c>
      <c r="Q175" s="4">
        <f>N175-L175</f>
        <v/>
      </c>
      <c r="R175" s="4" t="n">
        <v>20.61</v>
      </c>
      <c r="S175" s="4" t="n">
        <v>3.53</v>
      </c>
      <c r="T175" s="7">
        <f>N175-S175</f>
        <v/>
      </c>
      <c r="U175" s="4" t="n">
        <v>101.56</v>
      </c>
      <c r="V175" s="7">
        <f>(R175*W175)</f>
        <v/>
      </c>
      <c r="W175" s="13" t="n">
        <v>0.0677</v>
      </c>
      <c r="X175" s="184" t="n"/>
      <c r="Y175" s="184" t="n"/>
      <c r="Z175" s="184" t="n"/>
      <c r="AA175" s="184" t="n"/>
      <c r="AB175" s="184" t="n"/>
      <c r="AC175" s="184" t="n"/>
      <c r="AD175" s="184" t="n"/>
      <c r="AE175" s="184" t="n"/>
    </row>
    <row r="176">
      <c r="A176" s="14" t="n">
        <v>165</v>
      </c>
      <c r="B176" s="8" t="n">
        <v>45037</v>
      </c>
      <c r="C176" s="4" t="n">
        <v>26529050.19</v>
      </c>
      <c r="D176" s="4">
        <f>C176/E176</f>
        <v/>
      </c>
      <c r="E176" s="4" t="n">
        <v>82.03</v>
      </c>
      <c r="F176" s="4">
        <f>D176/100000</f>
        <v/>
      </c>
      <c r="G176" s="4">
        <f>($D$1-F176)/F176*100</f>
        <v/>
      </c>
      <c r="H176" s="4">
        <f>($D$2-F176)/F176*100</f>
        <v/>
      </c>
      <c r="I176" s="4">
        <f>($D$3-F176)/F176*100</f>
        <v/>
      </c>
      <c r="J176" s="4">
        <f>F176/$D$10*100</f>
        <v/>
      </c>
      <c r="K176" s="4">
        <f>N176/L176</f>
        <v/>
      </c>
      <c r="L176" s="4">
        <f>(M176/O176)*100</f>
        <v/>
      </c>
      <c r="M176" s="4">
        <f>O176/R176</f>
        <v/>
      </c>
      <c r="N176" s="4" t="n">
        <v>7.18</v>
      </c>
      <c r="O176" s="4" t="n">
        <v>17624.05</v>
      </c>
      <c r="P176" s="4" t="n">
        <v>4.13</v>
      </c>
      <c r="Q176" s="4">
        <f>N176-L176</f>
        <v/>
      </c>
      <c r="R176" s="4" t="n">
        <v>20.61</v>
      </c>
      <c r="S176" s="4" t="n">
        <v>3.56</v>
      </c>
      <c r="T176" s="7">
        <f>N176-S176</f>
        <v/>
      </c>
      <c r="U176" s="4" t="n">
        <v>101.55</v>
      </c>
      <c r="V176" s="7">
        <f>(R176*W176)</f>
        <v/>
      </c>
      <c r="W176" s="13" t="n">
        <v>0.068</v>
      </c>
      <c r="X176" s="184" t="n"/>
      <c r="Y176" s="184" t="n"/>
      <c r="Z176" s="184" t="n"/>
      <c r="AA176" s="184" t="n"/>
      <c r="AB176" s="184" t="n"/>
      <c r="AC176" s="184" t="n"/>
      <c r="AD176" s="184" t="n"/>
      <c r="AE176" s="184" t="n"/>
    </row>
    <row r="177">
      <c r="A177" s="14" t="n">
        <v>166</v>
      </c>
      <c r="B177" s="8" t="n">
        <v>45040</v>
      </c>
      <c r="C177" s="4" t="n">
        <v>26656946.52</v>
      </c>
      <c r="D177" s="4">
        <f>C177/E177</f>
        <v/>
      </c>
      <c r="E177" s="4" t="n">
        <v>81.95</v>
      </c>
      <c r="F177" s="4">
        <f>D177/100000</f>
        <v/>
      </c>
      <c r="G177" s="4">
        <f>($D$1-F177)/F177*100</f>
        <v/>
      </c>
      <c r="H177" s="4">
        <f>($D$2-F177)/F177*100</f>
        <v/>
      </c>
      <c r="I177" s="4">
        <f>($D$3-F177)/F177*100</f>
        <v/>
      </c>
      <c r="J177" s="4">
        <f>F177/$D$10*100</f>
        <v/>
      </c>
      <c r="K177" s="4">
        <f>N177/L177</f>
        <v/>
      </c>
      <c r="L177" s="4">
        <f>(M177/O177)*100</f>
        <v/>
      </c>
      <c r="M177" s="4">
        <f>O177/R177</f>
        <v/>
      </c>
      <c r="N177" s="4" t="n">
        <v>7.11</v>
      </c>
      <c r="O177" s="4" t="n">
        <v>17743.4</v>
      </c>
      <c r="P177" s="4" t="n">
        <v>4.15</v>
      </c>
      <c r="Q177" s="4">
        <f>N177-L177</f>
        <v/>
      </c>
      <c r="R177" s="4" t="n">
        <v>20.74</v>
      </c>
      <c r="S177" s="4" t="n">
        <v>3.49</v>
      </c>
      <c r="T177" s="7">
        <f>N177-S177</f>
        <v/>
      </c>
      <c r="U177" s="4" t="n">
        <v>101.07</v>
      </c>
      <c r="V177" s="7">
        <f>(R177*W177)</f>
        <v/>
      </c>
      <c r="W177" s="13" t="n">
        <v>0.0675</v>
      </c>
      <c r="X177" s="184" t="n"/>
      <c r="Y177" s="184" t="n"/>
      <c r="Z177" s="184" t="n"/>
      <c r="AA177" s="184" t="n"/>
      <c r="AB177" s="184" t="n"/>
      <c r="AC177" s="184" t="n"/>
      <c r="AD177" s="184" t="n"/>
      <c r="AE177" s="184" t="n"/>
    </row>
    <row r="178">
      <c r="A178" s="14" t="n">
        <v>167</v>
      </c>
      <c r="B178" s="8" t="n">
        <v>45041</v>
      </c>
      <c r="C178" s="4" t="n">
        <v>26734894.24</v>
      </c>
      <c r="D178" s="4">
        <f>C178/E178</f>
        <v/>
      </c>
      <c r="E178" s="4" t="n">
        <v>81.95999999999999</v>
      </c>
      <c r="F178" s="4">
        <f>D178/100000</f>
        <v/>
      </c>
      <c r="G178" s="4">
        <f>($D$1-F178)/F178*100</f>
        <v/>
      </c>
      <c r="H178" s="4">
        <f>($D$2-F178)/F178*100</f>
        <v/>
      </c>
      <c r="I178" s="4">
        <f>($D$3-F178)/F178*100</f>
        <v/>
      </c>
      <c r="J178" s="4">
        <f>F178/$D$10*100</f>
        <v/>
      </c>
      <c r="K178" s="4">
        <f>N178/L178</f>
        <v/>
      </c>
      <c r="L178" s="4">
        <f>(M178/O178)*100</f>
        <v/>
      </c>
      <c r="M178" s="4">
        <f>O178/R178</f>
        <v/>
      </c>
      <c r="N178" s="4" t="n">
        <v>7.11</v>
      </c>
      <c r="O178" s="4" t="n">
        <v>17769.25</v>
      </c>
      <c r="P178" s="4" t="n">
        <v>4.16</v>
      </c>
      <c r="Q178" s="4">
        <f>N178-L178</f>
        <v/>
      </c>
      <c r="R178" s="4" t="n">
        <v>20.56</v>
      </c>
      <c r="S178" s="4" t="n">
        <v>3.4</v>
      </c>
      <c r="T178" s="7">
        <f>N178-S178</f>
        <v/>
      </c>
      <c r="U178" s="4" t="n">
        <v>101.59</v>
      </c>
      <c r="V178" s="7">
        <f>(R178*W178)</f>
        <v/>
      </c>
      <c r="W178" s="13" t="n">
        <v>0.0679</v>
      </c>
      <c r="X178" s="184" t="n"/>
      <c r="Y178" s="184" t="n"/>
      <c r="Z178" s="184" t="n"/>
      <c r="AA178" s="184" t="n"/>
      <c r="AB178" s="184" t="n"/>
      <c r="AC178" s="184" t="n"/>
      <c r="AD178" s="184" t="n"/>
      <c r="AE178" s="184" t="n"/>
    </row>
    <row r="179">
      <c r="A179" s="14" t="n">
        <v>168</v>
      </c>
      <c r="B179" s="8" t="n">
        <v>45042</v>
      </c>
      <c r="C179" s="4" t="n">
        <v>26806227.49</v>
      </c>
      <c r="D179" s="4">
        <f>C179/E179</f>
        <v/>
      </c>
      <c r="E179" s="4" t="n">
        <v>81.73999999999999</v>
      </c>
      <c r="F179" s="4">
        <f>D179/100000</f>
        <v/>
      </c>
      <c r="G179" s="4">
        <f>($D$1-F179)/F179*100</f>
        <v/>
      </c>
      <c r="H179" s="4">
        <f>($D$2-F179)/F179*100</f>
        <v/>
      </c>
      <c r="I179" s="4">
        <f>($D$3-F179)/F179*100</f>
        <v/>
      </c>
      <c r="J179" s="4">
        <f>F179/$D$10*100</f>
        <v/>
      </c>
      <c r="K179" s="4">
        <f>N179/L179</f>
        <v/>
      </c>
      <c r="L179" s="4">
        <f>(M179/O179)*100</f>
        <v/>
      </c>
      <c r="M179" s="4">
        <f>O179/R179</f>
        <v/>
      </c>
      <c r="N179" s="4" t="n">
        <v>7.11</v>
      </c>
      <c r="O179" s="4" t="n">
        <v>17813.6</v>
      </c>
      <c r="P179" s="4" t="n">
        <v>4.17</v>
      </c>
      <c r="Q179" s="4">
        <f>N179-L179</f>
        <v/>
      </c>
      <c r="R179" s="4" t="n">
        <v>20.59</v>
      </c>
      <c r="S179" s="4" t="n">
        <v>3.44</v>
      </c>
      <c r="T179" s="7">
        <f>N179-S179</f>
        <v/>
      </c>
      <c r="U179" s="4" t="n">
        <v>101.2</v>
      </c>
      <c r="V179" s="7">
        <f>(R179*W179)</f>
        <v/>
      </c>
      <c r="W179" s="13" t="n">
        <v>0.0682</v>
      </c>
      <c r="X179" s="184" t="n"/>
      <c r="Y179" s="184" t="n"/>
      <c r="Z179" s="184" t="n"/>
      <c r="AA179" s="184" t="n"/>
      <c r="AB179" s="184" t="n"/>
      <c r="AC179" s="184" t="n"/>
      <c r="AD179" s="184" t="n"/>
      <c r="AE179" s="184" t="n"/>
    </row>
    <row r="180">
      <c r="A180" s="14" t="n">
        <v>169</v>
      </c>
      <c r="B180" s="8" t="n">
        <v>45043</v>
      </c>
      <c r="C180" s="4" t="n">
        <v>26937243.4</v>
      </c>
      <c r="D180" s="4">
        <f>C180/E180</f>
        <v/>
      </c>
      <c r="E180" s="4" t="n">
        <v>81.69</v>
      </c>
      <c r="F180" s="4">
        <f>D180/100000</f>
        <v/>
      </c>
      <c r="G180" s="4">
        <f>($D$1-F180)/F180*100</f>
        <v/>
      </c>
      <c r="H180" s="4">
        <f>($D$2-F180)/F180*100</f>
        <v/>
      </c>
      <c r="I180" s="4">
        <f>($D$3-F180)/F180*100</f>
        <v/>
      </c>
      <c r="J180" s="4">
        <f>F180/$D$10*100</f>
        <v/>
      </c>
      <c r="K180" s="4">
        <f>N180/L180</f>
        <v/>
      </c>
      <c r="L180" s="4">
        <f>(M180/O180)*100</f>
        <v/>
      </c>
      <c r="M180" s="4">
        <f>O180/R180</f>
        <v/>
      </c>
      <c r="N180" s="4" t="n">
        <v>7.09</v>
      </c>
      <c r="O180" s="4" t="n">
        <v>17915.05</v>
      </c>
      <c r="P180" s="4" t="n">
        <v>4.19</v>
      </c>
      <c r="Q180" s="4">
        <f>N180-L180</f>
        <v/>
      </c>
      <c r="R180" s="4" t="n">
        <v>20.7</v>
      </c>
      <c r="S180" s="4" t="n">
        <v>3.52</v>
      </c>
      <c r="T180" s="7">
        <f>N180-S180</f>
        <v/>
      </c>
      <c r="U180" s="4" t="n">
        <v>101.25</v>
      </c>
      <c r="V180" s="7">
        <f>(R180*W180)</f>
        <v/>
      </c>
      <c r="W180" s="13" t="n">
        <v>0.0682</v>
      </c>
      <c r="X180" s="184" t="n"/>
      <c r="Y180" s="184" t="n"/>
      <c r="Z180" s="184" t="n"/>
      <c r="AA180" s="184" t="n"/>
      <c r="AB180" s="184" t="n"/>
      <c r="AC180" s="184" t="n"/>
      <c r="AD180" s="184" t="n"/>
      <c r="AE180" s="184" t="n"/>
    </row>
    <row r="181">
      <c r="A181" s="14" t="n">
        <v>170</v>
      </c>
      <c r="B181" s="8" t="n">
        <v>45044</v>
      </c>
      <c r="C181" s="4" t="n">
        <v>27219439.55</v>
      </c>
      <c r="D181" s="4">
        <f>C181/E181</f>
        <v/>
      </c>
      <c r="E181" s="4" t="n">
        <v>81.72</v>
      </c>
      <c r="F181" s="4">
        <f>D181/100000</f>
        <v/>
      </c>
      <c r="G181" s="4">
        <f>($D$1-F181)/F181*100</f>
        <v/>
      </c>
      <c r="H181" s="4">
        <f>($D$2-F181)/F181*100</f>
        <v/>
      </c>
      <c r="I181" s="4">
        <f>($D$3-F181)/F181*100</f>
        <v/>
      </c>
      <c r="J181" s="4">
        <f>F181/$D$10*100</f>
        <v/>
      </c>
      <c r="K181" s="4">
        <f>N181/L181</f>
        <v/>
      </c>
      <c r="L181" s="4">
        <f>(M181/O181)*100</f>
        <v/>
      </c>
      <c r="M181" s="4">
        <f>O181/R181</f>
        <v/>
      </c>
      <c r="N181" s="4" t="n">
        <v>7.11</v>
      </c>
      <c r="O181" s="4" t="n">
        <v>18065</v>
      </c>
      <c r="P181" s="4" t="n">
        <v>4.23</v>
      </c>
      <c r="Q181" s="4">
        <f>N181-L181</f>
        <v/>
      </c>
      <c r="R181" s="4" t="n">
        <v>20.87</v>
      </c>
      <c r="S181" s="4" t="n">
        <v>3.43</v>
      </c>
      <c r="T181" s="7">
        <f>N181-S181</f>
        <v/>
      </c>
      <c r="U181" s="4" t="n">
        <v>101.4</v>
      </c>
      <c r="V181" s="7">
        <f>(R181*W181)</f>
        <v/>
      </c>
      <c r="W181" s="13" t="n">
        <v>0.06809999999999999</v>
      </c>
      <c r="X181" s="184" t="n"/>
      <c r="Y181" s="184" t="n"/>
      <c r="Z181" s="184" t="n"/>
      <c r="AA181" s="184" t="n"/>
      <c r="AB181" s="184" t="n"/>
      <c r="AC181" s="184" t="n"/>
      <c r="AD181" s="184" t="n"/>
      <c r="AE181" s="184" t="n"/>
    </row>
    <row r="182">
      <c r="A182" s="14" t="n">
        <v>171</v>
      </c>
      <c r="B182" s="20" t="n">
        <v>45048</v>
      </c>
      <c r="C182" s="10" t="n">
        <v>27371348.96</v>
      </c>
      <c r="D182" s="10">
        <f>C182/E182</f>
        <v/>
      </c>
      <c r="E182" s="10" t="n">
        <v>81.75</v>
      </c>
      <c r="F182" s="10">
        <f>D182/100000</f>
        <v/>
      </c>
      <c r="G182" s="10">
        <f>($D$1-F182)/F182*100</f>
        <v/>
      </c>
      <c r="H182" s="10">
        <f>($D$2-F182)/F182*100</f>
        <v/>
      </c>
      <c r="I182" s="10">
        <f>($D$3-F182)/F182*100</f>
        <v/>
      </c>
      <c r="J182" s="10">
        <f>F182/$D$10*100</f>
        <v/>
      </c>
      <c r="K182" s="10">
        <f>N182/L182</f>
        <v/>
      </c>
      <c r="L182" s="10">
        <f>(M182/O182)*100</f>
        <v/>
      </c>
      <c r="M182" s="10">
        <f>O182/R182</f>
        <v/>
      </c>
      <c r="N182" s="10" t="n">
        <v>7.1</v>
      </c>
      <c r="O182" s="10" t="n">
        <v>18147.65</v>
      </c>
      <c r="P182" s="10" t="n">
        <v>4.25</v>
      </c>
      <c r="Q182" s="10">
        <f>N182-L182</f>
        <v/>
      </c>
      <c r="R182" s="10" t="n">
        <v>20.92</v>
      </c>
      <c r="S182" s="10" t="n">
        <v>3.43</v>
      </c>
      <c r="T182" s="7">
        <f>N182-S182</f>
        <v/>
      </c>
      <c r="U182" s="10" t="n">
        <v>101.51</v>
      </c>
      <c r="V182" s="7">
        <f>(R182*W182)</f>
        <v/>
      </c>
      <c r="W182" s="13" t="n">
        <v>0.06860000000000001</v>
      </c>
      <c r="X182" s="184" t="n"/>
      <c r="Y182" s="184" t="n"/>
      <c r="Z182" s="184" t="n"/>
      <c r="AA182" s="184" t="n"/>
      <c r="AB182" s="184" t="n"/>
      <c r="AC182" s="184" t="n"/>
      <c r="AD182" s="184" t="n"/>
      <c r="AE182" s="184" t="n"/>
    </row>
    <row r="183">
      <c r="A183" s="14" t="n">
        <v>172</v>
      </c>
      <c r="B183" s="8" t="n">
        <v>45049</v>
      </c>
      <c r="C183" s="4" t="n">
        <v>27324627.29</v>
      </c>
      <c r="D183" s="4">
        <f>C183/E183</f>
        <v/>
      </c>
      <c r="E183" s="4" t="n">
        <v>81.75</v>
      </c>
      <c r="F183" s="4">
        <f>D183/100000</f>
        <v/>
      </c>
      <c r="G183" s="4">
        <f>($D$1-F183)/F183*100</f>
        <v/>
      </c>
      <c r="H183" s="4">
        <f>($D$2-F183)/F183*100</f>
        <v/>
      </c>
      <c r="I183" s="4">
        <f>($D$3-F183)/F183*100</f>
        <v/>
      </c>
      <c r="J183" s="4">
        <f>F183/$D$10*100</f>
        <v/>
      </c>
      <c r="K183" s="4">
        <f>N183/L183</f>
        <v/>
      </c>
      <c r="L183" s="4">
        <f>(M183/O183)*100</f>
        <v/>
      </c>
      <c r="M183" s="4">
        <f>O183/R183</f>
        <v/>
      </c>
      <c r="N183" s="4" t="n">
        <v>7.01</v>
      </c>
      <c r="O183" s="4" t="n">
        <v>18089.85</v>
      </c>
      <c r="P183" s="4" t="n">
        <v>4.23</v>
      </c>
      <c r="Q183" s="4">
        <f>N183-L183</f>
        <v/>
      </c>
      <c r="R183" s="4" t="n">
        <v>21.33</v>
      </c>
      <c r="S183" s="4" t="n">
        <v>3.36</v>
      </c>
      <c r="T183" s="7">
        <f>N183-S183</f>
        <v/>
      </c>
      <c r="U183" s="4" t="n">
        <v>101.11</v>
      </c>
      <c r="V183" s="7">
        <f>(R183*W183)</f>
        <v/>
      </c>
      <c r="W183" s="13" t="n">
        <v>0.0687</v>
      </c>
      <c r="X183" s="184" t="n"/>
      <c r="Y183" s="184" t="n"/>
      <c r="Z183" s="184" t="n"/>
      <c r="AA183" s="184" t="n"/>
      <c r="AB183" s="184" t="n"/>
      <c r="AC183" s="184" t="n"/>
      <c r="AD183" s="184" t="n"/>
      <c r="AE183" s="184" t="n"/>
    </row>
    <row r="184">
      <c r="A184" s="14" t="n">
        <v>173</v>
      </c>
      <c r="B184" s="20" t="n">
        <v>45050</v>
      </c>
      <c r="C184" s="19" t="n">
        <v>27555683.85</v>
      </c>
      <c r="D184" s="19">
        <f>C184/E184</f>
        <v/>
      </c>
      <c r="E184" s="19" t="n">
        <v>81.70999999999999</v>
      </c>
      <c r="F184" s="19">
        <f>D184/100000</f>
        <v/>
      </c>
      <c r="G184" s="19">
        <f>($D$1-F184)/F184*100</f>
        <v/>
      </c>
      <c r="H184" s="19">
        <f>($D$2-F184)/F184*100</f>
        <v/>
      </c>
      <c r="I184" s="19">
        <f>($D$3-F184)/F184*100</f>
        <v/>
      </c>
      <c r="J184" s="19">
        <f>F184/$D$10*100</f>
        <v/>
      </c>
      <c r="K184" s="19">
        <f>N184/L184</f>
        <v/>
      </c>
      <c r="L184" s="19">
        <f>(M184/O184)*100</f>
        <v/>
      </c>
      <c r="M184" s="19">
        <f>O184/R184</f>
        <v/>
      </c>
      <c r="N184" s="19" t="n">
        <v>7.01</v>
      </c>
      <c r="O184" s="19" t="n">
        <v>18255.8</v>
      </c>
      <c r="P184" s="19" t="n">
        <v>4.27</v>
      </c>
      <c r="Q184" s="19">
        <f>N184-L184</f>
        <v/>
      </c>
      <c r="R184" s="19" t="n">
        <v>21.85</v>
      </c>
      <c r="S184" s="19" t="n">
        <v>3.36</v>
      </c>
      <c r="T184" s="7">
        <f>N184-S184</f>
        <v/>
      </c>
      <c r="U184" s="19" t="n">
        <v>101.2</v>
      </c>
      <c r="V184" s="7">
        <f>(R184*W184)</f>
        <v/>
      </c>
      <c r="W184" s="13" t="n">
        <v>0.0688</v>
      </c>
      <c r="X184" s="184" t="n"/>
      <c r="Y184" s="184" t="n"/>
      <c r="Z184" s="184" t="n"/>
      <c r="AA184" s="184" t="n"/>
      <c r="AB184" s="184" t="n"/>
      <c r="AC184" s="184" t="n"/>
      <c r="AD184" s="184" t="n"/>
      <c r="AE184" s="184" t="n"/>
    </row>
    <row r="185">
      <c r="A185" s="14" t="n">
        <v>174</v>
      </c>
      <c r="B185" s="9" t="n">
        <v>45051</v>
      </c>
      <c r="C185" s="7" t="n">
        <v>27412047.57</v>
      </c>
      <c r="D185" s="7">
        <f>C185/E185</f>
        <v/>
      </c>
      <c r="E185" s="7" t="n">
        <v>81.7</v>
      </c>
      <c r="F185" s="7">
        <f>D185/100000</f>
        <v/>
      </c>
      <c r="G185" s="7">
        <f>($D$1-F185)/F185*100</f>
        <v/>
      </c>
      <c r="H185" s="7">
        <f>($D$2-F185)/F185*100</f>
        <v/>
      </c>
      <c r="I185" s="7">
        <f>($D$3-F185)/F185*100</f>
        <v/>
      </c>
      <c r="J185" s="7">
        <f>F185/$D$10*100</f>
        <v/>
      </c>
      <c r="K185" s="7">
        <f>N185/L185</f>
        <v/>
      </c>
      <c r="L185" s="7">
        <f>(M185/O185)*100</f>
        <v/>
      </c>
      <c r="M185" s="7">
        <f>O185/R185</f>
        <v/>
      </c>
      <c r="N185" s="7" t="n">
        <v>7.01</v>
      </c>
      <c r="O185" s="7" t="n">
        <v>18069</v>
      </c>
      <c r="P185" s="7" t="n">
        <v>4.23</v>
      </c>
      <c r="Q185" s="7">
        <f>N185-L185</f>
        <v/>
      </c>
      <c r="R185" s="7" t="n">
        <v>21.62</v>
      </c>
      <c r="S185" s="7" t="n">
        <v>3.43</v>
      </c>
      <c r="T185" s="7">
        <f>N185-S185</f>
        <v/>
      </c>
      <c r="U185" s="7" t="n">
        <v>100.99</v>
      </c>
      <c r="V185" s="7">
        <f>(R185*W185)</f>
        <v/>
      </c>
      <c r="W185" s="13" t="n">
        <v>0.0688</v>
      </c>
      <c r="X185" s="184" t="n"/>
      <c r="Y185" s="184" t="n"/>
      <c r="Z185" s="184" t="n"/>
      <c r="AA185" s="184" t="n"/>
      <c r="AB185" s="184" t="n"/>
      <c r="AC185" s="184" t="n"/>
      <c r="AD185" s="184" t="n"/>
      <c r="AE185" s="184" t="n"/>
    </row>
    <row r="186">
      <c r="A186" s="14" t="n">
        <v>175</v>
      </c>
      <c r="B186" s="9" t="n">
        <v>45054</v>
      </c>
      <c r="C186" s="7" t="n">
        <v>27632336.1</v>
      </c>
      <c r="D186" s="7">
        <f>C186/E186</f>
        <v/>
      </c>
      <c r="E186" s="7" t="n">
        <v>81.77</v>
      </c>
      <c r="F186" s="7">
        <f>D186/100000</f>
        <v/>
      </c>
      <c r="G186" s="7">
        <f>($D$1-F186)/F186*100</f>
        <v/>
      </c>
      <c r="H186" s="7">
        <f>($D$2-F186)/F186*100</f>
        <v/>
      </c>
      <c r="I186" s="7">
        <f>($D$3-F186)/F186*100</f>
        <v/>
      </c>
      <c r="J186" s="7">
        <f>F186/$D$10*100</f>
        <v/>
      </c>
      <c r="K186" s="7">
        <f>N186/L186</f>
        <v/>
      </c>
      <c r="L186" s="7">
        <f>(M186/O186)*100</f>
        <v/>
      </c>
      <c r="M186" s="7">
        <f>O186/R186</f>
        <v/>
      </c>
      <c r="N186" s="7" t="n">
        <v>7.04</v>
      </c>
      <c r="O186" s="7" t="n">
        <v>18264.4</v>
      </c>
      <c r="P186" s="7" t="n">
        <v>4.28</v>
      </c>
      <c r="Q186" s="7">
        <f>N186-L186</f>
        <v/>
      </c>
      <c r="R186" s="7" t="n">
        <v>21.77</v>
      </c>
      <c r="S186" s="7" t="n">
        <v>3.5</v>
      </c>
      <c r="T186" s="7">
        <f>N186-S186</f>
        <v/>
      </c>
      <c r="U186" s="7" t="n">
        <v>101.15</v>
      </c>
      <c r="V186" s="7">
        <f>(R186*W186)</f>
        <v/>
      </c>
      <c r="W186" s="13" t="n">
        <v>0.0687</v>
      </c>
      <c r="X186" s="184" t="n"/>
      <c r="Y186" s="184" t="n"/>
      <c r="Z186" s="184" t="n"/>
      <c r="AA186" s="184" t="n"/>
      <c r="AB186" s="184" t="n"/>
      <c r="AC186" s="184" t="n"/>
      <c r="AD186" s="184" t="n"/>
      <c r="AE186" s="184" t="n"/>
    </row>
    <row r="187">
      <c r="A187" s="14" t="n">
        <v>176</v>
      </c>
      <c r="B187" s="9" t="n">
        <v>45055</v>
      </c>
      <c r="C187" s="4" t="n">
        <v>27661584.67</v>
      </c>
      <c r="D187" s="4">
        <f>C187/E187</f>
        <v/>
      </c>
      <c r="E187" s="4" t="n">
        <v>82.09999999999999</v>
      </c>
      <c r="F187" s="4">
        <f>D187/100000</f>
        <v/>
      </c>
      <c r="G187" s="4">
        <f>($D$1-F187)/F187*100</f>
        <v/>
      </c>
      <c r="H187" s="4">
        <f>($D$2-F187)/F187*100</f>
        <v/>
      </c>
      <c r="I187" s="4">
        <f>($D$3-F187)/F187*100</f>
        <v/>
      </c>
      <c r="J187" s="4">
        <f>F187/$D$10*100</f>
        <v/>
      </c>
      <c r="K187" s="4">
        <f>N187/L187</f>
        <v/>
      </c>
      <c r="L187" s="4">
        <f>(M187/O187)*100</f>
        <v/>
      </c>
      <c r="M187" s="4">
        <f>O187/R187</f>
        <v/>
      </c>
      <c r="N187" s="4" t="n">
        <v>7.04</v>
      </c>
      <c r="O187" s="4" t="n">
        <v>18265.95</v>
      </c>
      <c r="P187" s="4" t="n">
        <v>4.28</v>
      </c>
      <c r="Q187" s="4">
        <f>N187-L187</f>
        <v/>
      </c>
      <c r="R187" s="4" t="n">
        <v>21.77</v>
      </c>
      <c r="S187" s="4" t="n">
        <v>3.52</v>
      </c>
      <c r="T187" s="7">
        <f>N187-S187</f>
        <v/>
      </c>
      <c r="U187" s="4" t="n">
        <v>101.39</v>
      </c>
      <c r="V187" s="7">
        <f>(R187*W187)</f>
        <v/>
      </c>
      <c r="W187" s="13" t="n">
        <v>0.0687</v>
      </c>
      <c r="X187" s="184" t="n"/>
      <c r="Y187" s="184" t="n"/>
      <c r="Z187" s="184" t="n"/>
      <c r="AA187" s="184" t="n"/>
      <c r="AB187" s="184" t="n"/>
      <c r="AC187" s="184" t="n"/>
      <c r="AD187" s="184" t="n"/>
      <c r="AE187" s="184" t="n"/>
    </row>
    <row r="188">
      <c r="A188" s="14" t="n">
        <v>177</v>
      </c>
      <c r="B188" s="9" t="n">
        <v>45056</v>
      </c>
      <c r="C188" s="4" t="n">
        <v>27742831.09</v>
      </c>
      <c r="D188" s="4">
        <f>C188/E188</f>
        <v/>
      </c>
      <c r="E188" s="4" t="n">
        <v>81.90000000000001</v>
      </c>
      <c r="F188" s="4">
        <f>D188/100000</f>
        <v/>
      </c>
      <c r="G188" s="4">
        <f>($D$1-F188)/F188*100</f>
        <v/>
      </c>
      <c r="H188" s="4">
        <f>($D$2-F188)/F188*100</f>
        <v/>
      </c>
      <c r="I188" s="4">
        <f>($D$3-F188)/F188*100</f>
        <v/>
      </c>
      <c r="J188" s="4">
        <f>F188/$D$10*100</f>
        <v/>
      </c>
      <c r="K188" s="4">
        <f>N188/L188</f>
        <v/>
      </c>
      <c r="L188" s="4">
        <f>(M188/O188)*100</f>
        <v/>
      </c>
      <c r="M188" s="4">
        <f>O188/R188</f>
        <v/>
      </c>
      <c r="N188" s="4" t="n">
        <v>7.03</v>
      </c>
      <c r="O188" s="4" t="n">
        <v>18315.1</v>
      </c>
      <c r="P188" s="4" t="n">
        <v>4.29</v>
      </c>
      <c r="Q188" s="4">
        <f>N188-L188</f>
        <v/>
      </c>
      <c r="R188" s="4" t="n">
        <v>21.88</v>
      </c>
      <c r="S188" s="4" t="n">
        <v>3.43</v>
      </c>
      <c r="T188" s="7">
        <f>N188-S188</f>
        <v/>
      </c>
      <c r="U188" s="4" t="n">
        <v>101.26</v>
      </c>
      <c r="V188" s="7">
        <f>(R188*W188)</f>
        <v/>
      </c>
      <c r="W188" s="13" t="n">
        <v>0.06909999999999999</v>
      </c>
      <c r="X188" s="184" t="n"/>
      <c r="Y188" s="184" t="n"/>
      <c r="Z188" s="184" t="n"/>
      <c r="AA188" s="184" t="n"/>
      <c r="AB188" s="184" t="n"/>
      <c r="AC188" s="184" t="n"/>
      <c r="AD188" s="184" t="n"/>
      <c r="AE188" s="184" t="n"/>
    </row>
    <row r="189">
      <c r="A189" s="14" t="n">
        <v>178</v>
      </c>
      <c r="B189" s="9" t="n">
        <v>45057</v>
      </c>
      <c r="C189" s="4" t="n">
        <v>27831824.47</v>
      </c>
      <c r="D189" s="4">
        <f>C189/E189</f>
        <v/>
      </c>
      <c r="E189" s="4" t="n">
        <v>82.09</v>
      </c>
      <c r="F189" s="4">
        <f>D189/100000</f>
        <v/>
      </c>
      <c r="G189" s="4">
        <f>($D$1-F189)/F189*100</f>
        <v/>
      </c>
      <c r="H189" s="4">
        <f>($D$2-F189)/F189*100</f>
        <v/>
      </c>
      <c r="I189" s="4">
        <f>($D$3-F189)/F189*100</f>
        <v/>
      </c>
      <c r="J189" s="4">
        <f>F189/$D$10*100</f>
        <v/>
      </c>
      <c r="K189" s="4">
        <f>N189/L189</f>
        <v/>
      </c>
      <c r="L189" s="4">
        <f>(M189/O189)*100</f>
        <v/>
      </c>
      <c r="M189" s="4">
        <f>O189/R189</f>
        <v/>
      </c>
      <c r="N189" s="4" t="n">
        <v>7.02</v>
      </c>
      <c r="O189" s="4" t="n">
        <v>18297</v>
      </c>
      <c r="P189" s="4" t="n">
        <v>4.28</v>
      </c>
      <c r="Q189" s="4">
        <f>N189-L189</f>
        <v/>
      </c>
      <c r="R189" s="4" t="n">
        <v>21.86</v>
      </c>
      <c r="S189" s="4" t="n">
        <v>3.38</v>
      </c>
      <c r="T189" s="7">
        <f>N189-S189</f>
        <v/>
      </c>
      <c r="U189" s="4" t="n">
        <v>101.87</v>
      </c>
      <c r="V189" s="7">
        <f>(R189*W189)</f>
        <v/>
      </c>
      <c r="W189" s="13" t="n">
        <v>0.06900000000000001</v>
      </c>
      <c r="X189" s="184" t="n"/>
      <c r="Y189" s="184" t="n"/>
      <c r="Z189" s="184" t="n"/>
      <c r="AA189" s="184" t="n"/>
      <c r="AB189" s="184" t="n"/>
      <c r="AC189" s="184" t="n"/>
      <c r="AD189" s="184" t="n"/>
      <c r="AE189" s="184" t="n"/>
    </row>
    <row r="190">
      <c r="A190" s="14" t="n">
        <v>179</v>
      </c>
      <c r="B190" s="9" t="n">
        <v>45058</v>
      </c>
      <c r="C190" s="4" t="n">
        <v>27815282.14</v>
      </c>
      <c r="D190" s="4">
        <f>C190/E190</f>
        <v/>
      </c>
      <c r="E190" s="4" t="n">
        <v>82.17</v>
      </c>
      <c r="F190" s="4">
        <f>D190/100000</f>
        <v/>
      </c>
      <c r="G190" s="4">
        <f>($D$1-F190)/F190*100</f>
        <v/>
      </c>
      <c r="H190" s="4">
        <f>($D$2-F190)/F190*100</f>
        <v/>
      </c>
      <c r="I190" s="4">
        <f>($D$3-F190)/F190*100</f>
        <v/>
      </c>
      <c r="J190" s="4">
        <f>F190/$D$10*100</f>
        <v/>
      </c>
      <c r="K190" s="4">
        <f>N190/L190</f>
        <v/>
      </c>
      <c r="L190" s="4">
        <f>(M190/O190)*100</f>
        <v/>
      </c>
      <c r="M190" s="4">
        <f>O190/R190</f>
        <v/>
      </c>
      <c r="N190" s="4" t="n">
        <v>6.99</v>
      </c>
      <c r="O190" s="4" t="n">
        <v>18314.8</v>
      </c>
      <c r="P190" s="4" t="n">
        <v>4.29</v>
      </c>
      <c r="Q190" s="4">
        <f>N190-L190</f>
        <v/>
      </c>
      <c r="R190" s="4" t="n">
        <v>21.82</v>
      </c>
      <c r="S190" s="4" t="n">
        <v>3.46</v>
      </c>
      <c r="T190" s="7">
        <f>N190-S190</f>
        <v/>
      </c>
      <c r="U190" s="4" t="n">
        <v>102.5</v>
      </c>
      <c r="V190" s="7">
        <f>(R190*W190)</f>
        <v/>
      </c>
      <c r="W190" s="13" t="n">
        <v>0.0688</v>
      </c>
      <c r="X190" s="184" t="n"/>
      <c r="Y190" s="184" t="n"/>
      <c r="Z190" s="184" t="n"/>
      <c r="AA190" s="184" t="n"/>
      <c r="AB190" s="184" t="n"/>
      <c r="AC190" s="184" t="n"/>
      <c r="AD190" s="184" t="n"/>
      <c r="AE190" s="184" t="n"/>
    </row>
    <row r="191">
      <c r="A191" s="14" t="n">
        <v>180</v>
      </c>
      <c r="B191" s="9" t="n">
        <v>45061</v>
      </c>
      <c r="C191" s="4" t="n">
        <v>27898273.75</v>
      </c>
      <c r="D191" s="4">
        <f>C191/E191</f>
        <v/>
      </c>
      <c r="E191" s="4" t="n">
        <v>82.23</v>
      </c>
      <c r="F191" s="4">
        <f>D191/100000</f>
        <v/>
      </c>
      <c r="G191" s="4">
        <f>($D$1-F191)/F191*100</f>
        <v/>
      </c>
      <c r="H191" s="4">
        <f>($D$2-F191)/F191*100</f>
        <v/>
      </c>
      <c r="I191" s="4">
        <f>($D$3-F191)/F191*100</f>
        <v/>
      </c>
      <c r="J191" s="4">
        <f>F191/$D$10*100</f>
        <v/>
      </c>
      <c r="K191" s="4">
        <f>N191/L191</f>
        <v/>
      </c>
      <c r="L191" s="4">
        <f>(M191/O191)*100</f>
        <v/>
      </c>
      <c r="M191" s="4">
        <f>O191/R191</f>
        <v/>
      </c>
      <c r="N191" s="4" t="n">
        <v>7</v>
      </c>
      <c r="O191" s="4" t="n">
        <v>18398.85</v>
      </c>
      <c r="P191" s="4" t="n">
        <v>4.31</v>
      </c>
      <c r="Q191" s="4">
        <f>N191-L191</f>
        <v/>
      </c>
      <c r="R191" s="4" t="n">
        <v>21.92</v>
      </c>
      <c r="S191" s="4" t="n">
        <v>3.5</v>
      </c>
      <c r="T191" s="7">
        <f>N191-S191</f>
        <v/>
      </c>
      <c r="U191" s="4" t="n">
        <v>102.27</v>
      </c>
      <c r="V191" s="7">
        <f>(R191*W191)</f>
        <v/>
      </c>
      <c r="W191" s="13" t="n">
        <v>0.06900000000000001</v>
      </c>
      <c r="X191" s="184" t="n"/>
      <c r="Y191" s="184" t="n"/>
      <c r="Z191" s="184" t="n"/>
      <c r="AA191" s="184" t="n"/>
      <c r="AB191" s="184" t="n"/>
      <c r="AC191" s="184" t="n"/>
      <c r="AD191" s="184" t="n"/>
      <c r="AE191" s="184" t="n"/>
    </row>
    <row r="192">
      <c r="A192" s="14" t="n">
        <v>181</v>
      </c>
      <c r="B192" s="9" t="n">
        <v>45062</v>
      </c>
      <c r="C192" s="4" t="n">
        <v>27847149.09</v>
      </c>
      <c r="D192" s="4">
        <f>C192/E192</f>
        <v/>
      </c>
      <c r="E192" s="4" t="n">
        <v>82.26000000000001</v>
      </c>
      <c r="F192" s="4">
        <f>D192/100000</f>
        <v/>
      </c>
      <c r="G192" s="4">
        <f>($D$1-F192)/F192*100</f>
        <v/>
      </c>
      <c r="H192" s="4">
        <f>($D$2-F192)/F192*100</f>
        <v/>
      </c>
      <c r="I192" s="4">
        <f>($D$3-F192)/F192*100</f>
        <v/>
      </c>
      <c r="J192" s="4">
        <f>F192/$D$10*100</f>
        <v/>
      </c>
      <c r="K192" s="4">
        <f>N192/L192</f>
        <v/>
      </c>
      <c r="L192" s="4">
        <f>(M192/O192)*100</f>
        <v/>
      </c>
      <c r="M192" s="4">
        <f>O192/R192</f>
        <v/>
      </c>
      <c r="N192" s="4" t="n">
        <v>6.96</v>
      </c>
      <c r="O192" s="4" t="n">
        <v>18286.5</v>
      </c>
      <c r="P192" s="4" t="n">
        <v>4.28</v>
      </c>
      <c r="Q192" s="4">
        <f>N192-L192</f>
        <v/>
      </c>
      <c r="R192" s="4" t="n">
        <v>21.59</v>
      </c>
      <c r="S192" s="4" t="n">
        <v>3.54</v>
      </c>
      <c r="T192" s="7">
        <f>N192-S192</f>
        <v/>
      </c>
      <c r="U192" s="4" t="n">
        <v>102.4</v>
      </c>
      <c r="V192" s="7">
        <f>(R192*W192)</f>
        <v/>
      </c>
      <c r="W192" s="13" t="n">
        <v>0.0687</v>
      </c>
      <c r="X192" s="184" t="n"/>
      <c r="Y192" s="184" t="n"/>
      <c r="Z192" s="184" t="n"/>
      <c r="AA192" s="184" t="n"/>
      <c r="AB192" s="184" t="n"/>
      <c r="AC192" s="184" t="n"/>
      <c r="AD192" s="184" t="n"/>
      <c r="AE192" s="184" t="n"/>
    </row>
    <row r="193">
      <c r="A193" s="14" t="n">
        <v>182</v>
      </c>
      <c r="B193" s="9" t="n">
        <v>45063</v>
      </c>
      <c r="C193" s="4" t="n">
        <v>27750546.17</v>
      </c>
      <c r="D193" s="4">
        <f>C193/E193</f>
        <v/>
      </c>
      <c r="E193" s="4" t="n">
        <v>82.40000000000001</v>
      </c>
      <c r="F193" s="4">
        <f>D193/100000</f>
        <v/>
      </c>
      <c r="G193" s="4">
        <f>($D$1-F193)/F193*100</f>
        <v/>
      </c>
      <c r="H193" s="4">
        <f>($D$2-F193)/F193*100</f>
        <v/>
      </c>
      <c r="I193" s="4">
        <f>($D$3-F193)/F193*100</f>
        <v/>
      </c>
      <c r="J193" s="4">
        <f>F193/$D$10*100</f>
        <v/>
      </c>
      <c r="K193" s="4">
        <f>N193/L193</f>
        <v/>
      </c>
      <c r="L193" s="4">
        <f>(M193/O193)*100</f>
        <v/>
      </c>
      <c r="M193" s="4">
        <f>O193/R193</f>
        <v/>
      </c>
      <c r="N193" s="4" t="n">
        <v>6.97</v>
      </c>
      <c r="O193" s="4" t="n">
        <v>18181.75</v>
      </c>
      <c r="P193" s="4" t="n">
        <v>4.26</v>
      </c>
      <c r="Q193" s="4">
        <f>N193-L193</f>
        <v/>
      </c>
      <c r="R193" s="4" t="n">
        <v>21.47</v>
      </c>
      <c r="S193" s="4" t="n">
        <v>3.57</v>
      </c>
      <c r="T193" s="7">
        <f>N193-S193</f>
        <v/>
      </c>
      <c r="U193" s="4" t="n">
        <v>102.72</v>
      </c>
      <c r="V193" s="7">
        <f>(R193*W193)</f>
        <v/>
      </c>
      <c r="W193" s="13" t="n">
        <v>0.06859999999999999</v>
      </c>
      <c r="X193" s="184" t="n"/>
      <c r="Y193" s="184" t="n"/>
      <c r="Z193" s="184" t="n"/>
      <c r="AA193" s="184" t="n"/>
      <c r="AB193" s="184" t="n"/>
      <c r="AC193" s="184" t="n"/>
      <c r="AD193" s="184" t="n"/>
      <c r="AE193" s="184" t="n"/>
    </row>
    <row r="194">
      <c r="A194" s="14" t="n">
        <v>183</v>
      </c>
      <c r="B194" s="9" t="n">
        <v>45064</v>
      </c>
      <c r="C194" s="4" t="n">
        <v>27616396.07</v>
      </c>
      <c r="D194" s="4">
        <f>C194/E194</f>
        <v/>
      </c>
      <c r="E194" s="4" t="n">
        <v>82.72</v>
      </c>
      <c r="F194" s="4">
        <f>D194/100000</f>
        <v/>
      </c>
      <c r="G194" s="4">
        <f>($D$1-F194)/F194*100</f>
        <v/>
      </c>
      <c r="H194" s="4">
        <f>($D$2-F194)/F194*100</f>
        <v/>
      </c>
      <c r="I194" s="4">
        <f>($D$3-F194)/F194*100</f>
        <v/>
      </c>
      <c r="J194" s="4">
        <f>F194/$D$10*100</f>
        <v/>
      </c>
      <c r="K194" s="4">
        <f>N194/L194</f>
        <v/>
      </c>
      <c r="L194" s="4">
        <f>(M194/O194)*100</f>
        <v/>
      </c>
      <c r="M194" s="4">
        <f>O194/R194</f>
        <v/>
      </c>
      <c r="N194" s="4" t="n">
        <v>6.98</v>
      </c>
      <c r="O194" s="4" t="n">
        <v>18129.95</v>
      </c>
      <c r="P194" s="4" t="n">
        <v>4.24</v>
      </c>
      <c r="Q194" s="4">
        <f>N194-L194</f>
        <v/>
      </c>
      <c r="R194" s="4" t="n">
        <v>21.39</v>
      </c>
      <c r="S194" s="4" t="n">
        <v>3.65</v>
      </c>
      <c r="T194" s="7">
        <f>N194-S194</f>
        <v/>
      </c>
      <c r="U194" s="4" t="n">
        <v>103.45</v>
      </c>
      <c r="V194" s="7">
        <f>(R194*W194)</f>
        <v/>
      </c>
      <c r="W194" s="13" t="n">
        <v>0.0682</v>
      </c>
      <c r="X194" s="184" t="n"/>
      <c r="Y194" s="184" t="n"/>
      <c r="Z194" s="184" t="n"/>
      <c r="AA194" s="184" t="n"/>
      <c r="AB194" s="184" t="n"/>
      <c r="AC194" s="184" t="n"/>
      <c r="AD194" s="184" t="n"/>
      <c r="AE194" s="184" t="n"/>
    </row>
    <row r="195">
      <c r="A195" s="14" t="n">
        <v>184</v>
      </c>
      <c r="B195" s="9" t="n">
        <v>45065</v>
      </c>
      <c r="C195" s="4" t="n">
        <v>27679004.31</v>
      </c>
      <c r="D195" s="4">
        <f>C195/E195</f>
        <v/>
      </c>
      <c r="E195" s="4" t="n">
        <v>82.87</v>
      </c>
      <c r="F195" s="4">
        <f>D195/100000</f>
        <v/>
      </c>
      <c r="G195" s="4">
        <f>($D$1-F195)/F195*100</f>
        <v/>
      </c>
      <c r="H195" s="4">
        <f>($D$2-F195)/F195*100</f>
        <v/>
      </c>
      <c r="I195" s="4">
        <f>($D$3-F195)/F195*100</f>
        <v/>
      </c>
      <c r="J195" s="4">
        <f>F195/$D$10*100</f>
        <v/>
      </c>
      <c r="K195" s="4">
        <f>N195/L195</f>
        <v/>
      </c>
      <c r="L195" s="4">
        <f>(M195/O195)*100</f>
        <v/>
      </c>
      <c r="M195" s="4">
        <f>O195/R195</f>
        <v/>
      </c>
      <c r="N195" s="4" t="n">
        <v>7</v>
      </c>
      <c r="O195" s="4" t="n">
        <v>18203.4</v>
      </c>
      <c r="P195" s="4" t="n">
        <v>4.26</v>
      </c>
      <c r="Q195" s="4">
        <f>N195-L195</f>
        <v/>
      </c>
      <c r="R195" s="4" t="n">
        <v>21.48</v>
      </c>
      <c r="S195" s="4" t="n">
        <v>3.68</v>
      </c>
      <c r="T195" s="7">
        <f>N195-S195</f>
        <v/>
      </c>
      <c r="U195" s="4" t="n">
        <v>103.07</v>
      </c>
      <c r="V195" s="7">
        <f>(R195*W195)</f>
        <v/>
      </c>
      <c r="W195" s="13" t="n">
        <v>0.0678</v>
      </c>
      <c r="X195" s="184" t="n"/>
      <c r="Y195" s="184" t="n"/>
      <c r="Z195" s="184" t="n"/>
      <c r="AA195" s="184" t="n"/>
      <c r="AB195" s="184" t="n"/>
      <c r="AC195" s="184" t="n"/>
      <c r="AD195" s="184" t="n"/>
      <c r="AE195" s="184" t="n"/>
    </row>
    <row r="196">
      <c r="A196" s="14" t="n">
        <v>185</v>
      </c>
      <c r="B196" s="9" t="n">
        <v>45068</v>
      </c>
      <c r="C196" s="4" t="n">
        <v>27888845.46</v>
      </c>
      <c r="D196" s="4">
        <f>C196/E196</f>
        <v/>
      </c>
      <c r="E196" s="4" t="n">
        <v>82.84</v>
      </c>
      <c r="F196" s="4">
        <f>D196/100000</f>
        <v/>
      </c>
      <c r="G196" s="4">
        <f>($D$1-F196)/F196*100</f>
        <v/>
      </c>
      <c r="H196" s="4">
        <f>($D$2-F196)/F196*100</f>
        <v/>
      </c>
      <c r="I196" s="4">
        <f>($D$3-F196)/F196*100</f>
        <v/>
      </c>
      <c r="J196" s="4">
        <f>F196/$D$10*100</f>
        <v/>
      </c>
      <c r="K196" s="4">
        <f>N196/L196</f>
        <v/>
      </c>
      <c r="L196" s="4">
        <f>(M196/O196)*100</f>
        <v/>
      </c>
      <c r="M196" s="4">
        <f>O196/R196</f>
        <v/>
      </c>
      <c r="N196" s="4" t="n">
        <v>6.98</v>
      </c>
      <c r="O196" s="4" t="n">
        <v>18314.4</v>
      </c>
      <c r="P196" s="4" t="n">
        <v>4.29</v>
      </c>
      <c r="Q196" s="4">
        <f>N196-L196</f>
        <v/>
      </c>
      <c r="R196" s="4" t="n">
        <v>21.36</v>
      </c>
      <c r="S196" s="4" t="n">
        <v>3.71</v>
      </c>
      <c r="T196" s="7">
        <f>N196-S196</f>
        <v/>
      </c>
      <c r="U196" s="4" t="n">
        <v>103.07</v>
      </c>
      <c r="V196" s="7">
        <f>(R196*W196)</f>
        <v/>
      </c>
      <c r="W196" s="13" t="n">
        <v>0.0667</v>
      </c>
      <c r="X196" s="184" t="n"/>
      <c r="Y196" s="184" t="n"/>
      <c r="Z196" s="184" t="n"/>
      <c r="AA196" s="184" t="n"/>
      <c r="AB196" s="184" t="n"/>
      <c r="AC196" s="184" t="n"/>
      <c r="AD196" s="184" t="n"/>
      <c r="AE196" s="184" t="n"/>
    </row>
    <row r="197">
      <c r="A197" s="14" t="n">
        <v>186</v>
      </c>
      <c r="B197" s="9" t="n">
        <v>45069</v>
      </c>
      <c r="C197" s="4" t="n">
        <v>27996148.26</v>
      </c>
      <c r="D197" s="4">
        <f>C197/E197</f>
        <v/>
      </c>
      <c r="E197" s="4" t="n">
        <v>82.83</v>
      </c>
      <c r="F197" s="4">
        <f>D197/100000</f>
        <v/>
      </c>
      <c r="G197" s="4">
        <f>($D$1-F197)/F197*100</f>
        <v/>
      </c>
      <c r="H197" s="4">
        <f>($D$2-F197)/F197*100</f>
        <v/>
      </c>
      <c r="I197" s="4">
        <f>($D$3-F197)/F197*100</f>
        <v/>
      </c>
      <c r="J197" s="4">
        <f>F197/$D$10*100</f>
        <v/>
      </c>
      <c r="K197" s="4">
        <f>N197/L197</f>
        <v/>
      </c>
      <c r="L197" s="4">
        <f>(M197/O197)*100</f>
        <v/>
      </c>
      <c r="M197" s="4">
        <f>O197/R197</f>
        <v/>
      </c>
      <c r="N197" s="4" t="n">
        <v>7.01</v>
      </c>
      <c r="O197" s="4" t="n">
        <v>18348</v>
      </c>
      <c r="P197" s="4" t="n">
        <v>4.29</v>
      </c>
      <c r="Q197" s="4">
        <f>N197-L197</f>
        <v/>
      </c>
      <c r="R197" s="4" t="n">
        <v>21.41</v>
      </c>
      <c r="S197" s="4" t="n">
        <v>3.69</v>
      </c>
      <c r="T197" s="7">
        <f>N197-S197</f>
        <v/>
      </c>
      <c r="U197" s="4" t="n">
        <v>103.38</v>
      </c>
      <c r="V197" s="7">
        <f>(R197*W197)</f>
        <v/>
      </c>
      <c r="W197" s="13" t="n">
        <v>0.067</v>
      </c>
      <c r="X197" s="184" t="n"/>
      <c r="Y197" s="184" t="n"/>
      <c r="Z197" s="184" t="n"/>
      <c r="AA197" s="184" t="n"/>
      <c r="AB197" s="184" t="n"/>
      <c r="AC197" s="184" t="n"/>
      <c r="AD197" s="184" t="n"/>
      <c r="AE197" s="184" t="n"/>
    </row>
    <row r="198">
      <c r="A198" s="14" t="n">
        <v>187</v>
      </c>
      <c r="B198" s="9" t="n">
        <v>45070</v>
      </c>
      <c r="C198" s="4" t="n">
        <v>27965556.81</v>
      </c>
      <c r="D198" s="4">
        <f>C198/E198</f>
        <v/>
      </c>
      <c r="E198" s="4" t="n">
        <v>82.67</v>
      </c>
      <c r="F198" s="4">
        <f>D198/100000</f>
        <v/>
      </c>
      <c r="G198" s="4">
        <f>($D$1-F198)/F198*100</f>
        <v/>
      </c>
      <c r="H198" s="4">
        <f>($D$2-F198)/F198*100</f>
        <v/>
      </c>
      <c r="I198" s="4">
        <f>($D$3-F198)/F198*100</f>
        <v/>
      </c>
      <c r="J198" s="4">
        <f>F198/$D$10*100</f>
        <v/>
      </c>
      <c r="K198" s="4">
        <f>N198/L198</f>
        <v/>
      </c>
      <c r="L198" s="4">
        <f>(M198/O198)*100</f>
        <v/>
      </c>
      <c r="M198" s="4">
        <f>O198/R198</f>
        <v/>
      </c>
      <c r="N198" s="4" t="n">
        <v>6.99</v>
      </c>
      <c r="O198" s="4" t="n">
        <v>18285.4</v>
      </c>
      <c r="P198" s="4" t="n">
        <v>4.28</v>
      </c>
      <c r="Q198" s="4">
        <f>N198-L198</f>
        <v/>
      </c>
      <c r="R198" s="4" t="n">
        <v>21.24</v>
      </c>
      <c r="S198" s="4" t="n">
        <v>3.74</v>
      </c>
      <c r="T198" s="7">
        <f>N198-S198</f>
        <v/>
      </c>
      <c r="U198" s="4" t="n">
        <v>103.79</v>
      </c>
      <c r="V198" s="7">
        <f>(R198*W198)</f>
        <v/>
      </c>
      <c r="W198" s="13" t="n">
        <v>0.0674</v>
      </c>
      <c r="X198" s="184" t="n"/>
      <c r="Y198" s="184" t="n"/>
      <c r="Z198" s="184" t="n"/>
      <c r="AA198" s="184" t="n"/>
      <c r="AB198" s="184" t="n"/>
      <c r="AC198" s="184" t="n"/>
      <c r="AD198" s="184" t="n"/>
      <c r="AE198" s="184" t="n"/>
    </row>
    <row r="199">
      <c r="A199" s="14" t="n">
        <v>188</v>
      </c>
      <c r="B199" s="9" t="n">
        <v>45071</v>
      </c>
      <c r="C199" s="4" t="n">
        <v>28048937.84</v>
      </c>
      <c r="D199" s="4">
        <f>C199/E199</f>
        <v/>
      </c>
      <c r="E199" s="4" t="n">
        <v>82.73</v>
      </c>
      <c r="F199" s="4">
        <f>D199/100000</f>
        <v/>
      </c>
      <c r="G199" s="4">
        <f>($D$1-F199)/F199*100</f>
        <v/>
      </c>
      <c r="H199" s="4">
        <f>($D$2-F199)/F199*100</f>
        <v/>
      </c>
      <c r="I199" s="4">
        <f>($D$3-F199)/F199*100</f>
        <v/>
      </c>
      <c r="J199" s="4">
        <f>F199/$D$10*100</f>
        <v/>
      </c>
      <c r="K199" s="4">
        <f>N199/L199</f>
        <v/>
      </c>
      <c r="L199" s="4">
        <f>(M199/O199)*100</f>
        <v/>
      </c>
      <c r="M199" s="4">
        <f>O199/R199</f>
        <v/>
      </c>
      <c r="N199" s="4" t="n">
        <v>7</v>
      </c>
      <c r="O199" s="4" t="n">
        <v>18321.15</v>
      </c>
      <c r="P199" s="4" t="n">
        <v>4.29</v>
      </c>
      <c r="Q199" s="4">
        <f>N199-L199</f>
        <v/>
      </c>
      <c r="R199" s="4" t="n">
        <v>21.28</v>
      </c>
      <c r="S199" s="4" t="n">
        <v>3.82</v>
      </c>
      <c r="T199" s="7">
        <f>N199-S199</f>
        <v/>
      </c>
      <c r="U199" s="4" t="n">
        <v>104.17</v>
      </c>
      <c r="V199" s="7">
        <f>(R199*W199)</f>
        <v/>
      </c>
      <c r="W199" s="13" t="n">
        <v>0.0674</v>
      </c>
      <c r="X199" s="184" t="n"/>
      <c r="Y199" s="184" t="n"/>
      <c r="Z199" s="184" t="n"/>
      <c r="AA199" s="184" t="n"/>
      <c r="AB199" s="184" t="n"/>
      <c r="AC199" s="184" t="n"/>
      <c r="AD199" s="184" t="n"/>
      <c r="AE199" s="184" t="n"/>
    </row>
    <row r="200">
      <c r="A200" s="14" t="n">
        <v>189</v>
      </c>
      <c r="B200" s="9" t="n">
        <v>45072</v>
      </c>
      <c r="C200" s="4" t="n">
        <v>28285398.4</v>
      </c>
      <c r="D200" s="4">
        <f>C200/E200</f>
        <v/>
      </c>
      <c r="E200" s="4" t="n">
        <v>82.5</v>
      </c>
      <c r="F200" s="4">
        <f>D200/100000</f>
        <v/>
      </c>
      <c r="G200" s="4">
        <f>($D$1-F200)/F200*100</f>
        <v/>
      </c>
      <c r="H200" s="4">
        <f>($D$2-F200)/F200*100</f>
        <v/>
      </c>
      <c r="I200" s="4">
        <f>($D$3-F200)/F200*100</f>
        <v/>
      </c>
      <c r="J200" s="4">
        <f>F200/$D$10*100</f>
        <v/>
      </c>
      <c r="K200" s="4">
        <f>N200/L200</f>
        <v/>
      </c>
      <c r="L200" s="4">
        <f>(M200/O200)*100</f>
        <v/>
      </c>
      <c r="M200" s="4">
        <f>O200/R200</f>
        <v/>
      </c>
      <c r="N200" s="4" t="n">
        <v>7</v>
      </c>
      <c r="O200" s="4" t="n">
        <v>18499.35</v>
      </c>
      <c r="P200" s="4" t="n">
        <v>4.33</v>
      </c>
      <c r="Q200" s="4">
        <f>N200-L200</f>
        <v/>
      </c>
      <c r="R200" s="4" t="n">
        <v>21.54</v>
      </c>
      <c r="S200" s="4" t="n">
        <v>3.81</v>
      </c>
      <c r="T200" s="7">
        <f>N200-S200</f>
        <v/>
      </c>
      <c r="U200" s="4" t="n">
        <v>104.13</v>
      </c>
      <c r="V200" s="7">
        <f>(R200*W200)</f>
        <v/>
      </c>
      <c r="W200" s="13" t="n">
        <v>0.0674</v>
      </c>
      <c r="X200" s="184" t="n"/>
      <c r="Y200" s="184" t="n"/>
      <c r="Z200" s="184" t="n"/>
      <c r="AA200" s="184" t="n"/>
      <c r="AB200" s="184" t="n"/>
      <c r="AC200" s="184" t="n"/>
      <c r="AD200" s="184" t="n"/>
      <c r="AE200" s="184" t="n"/>
    </row>
    <row r="201">
      <c r="A201" s="14" t="n">
        <v>190</v>
      </c>
      <c r="B201" s="9" t="n">
        <v>45075</v>
      </c>
      <c r="C201" s="4" t="n">
        <v>28392521.03</v>
      </c>
      <c r="D201" s="4">
        <f>C201/E201</f>
        <v/>
      </c>
      <c r="E201" s="4" t="n">
        <v>82.58</v>
      </c>
      <c r="F201" s="4">
        <f>D201/100000</f>
        <v/>
      </c>
      <c r="G201" s="4">
        <f>($D$1-F201)/F201*100</f>
        <v/>
      </c>
      <c r="H201" s="4">
        <f>($D$2-F201)/F201*100</f>
        <v/>
      </c>
      <c r="I201" s="4">
        <f>($D$3-F201)/F201*100</f>
        <v/>
      </c>
      <c r="J201" s="4">
        <f>F201/$D$10*100</f>
        <v/>
      </c>
      <c r="K201" s="4">
        <f>N201/L201</f>
        <v/>
      </c>
      <c r="L201" s="4">
        <f>(M201/O201)*100</f>
        <v/>
      </c>
      <c r="M201" s="4">
        <f>O201/R201</f>
        <v/>
      </c>
      <c r="N201" s="4" t="n">
        <v>7.02</v>
      </c>
      <c r="O201" s="4" t="n">
        <v>18598.65</v>
      </c>
      <c r="P201" s="4" t="n">
        <v>4.35</v>
      </c>
      <c r="Q201" s="4">
        <f>N201-L201</f>
        <v/>
      </c>
      <c r="R201" s="4" t="n">
        <v>21.65</v>
      </c>
      <c r="S201" s="4" t="n">
        <v>3.76</v>
      </c>
      <c r="T201" s="7">
        <f>N201-S201</f>
        <v/>
      </c>
      <c r="U201" s="4" t="n">
        <v>104.13</v>
      </c>
      <c r="V201" s="7">
        <f>(R201*W201)</f>
        <v/>
      </c>
      <c r="W201" s="13" t="n">
        <v>0.06759999999999999</v>
      </c>
      <c r="X201" s="184" t="n"/>
      <c r="Y201" s="184" t="n"/>
      <c r="Z201" s="184" t="n"/>
      <c r="AA201" s="184" t="n"/>
      <c r="AB201" s="184" t="n"/>
      <c r="AC201" s="184" t="n"/>
      <c r="AD201" s="184" t="n"/>
      <c r="AE201" s="184" t="n"/>
    </row>
    <row r="202">
      <c r="A202" s="14" t="n">
        <v>191</v>
      </c>
      <c r="B202" s="9" t="n">
        <v>45076</v>
      </c>
      <c r="C202" s="7" t="n">
        <v>28407044.74</v>
      </c>
      <c r="D202" s="7">
        <f>C202/E202</f>
        <v/>
      </c>
      <c r="E202" s="7" t="n">
        <v>82.66</v>
      </c>
      <c r="F202" s="7">
        <f>D202/100000</f>
        <v/>
      </c>
      <c r="G202" s="7">
        <f>($D$1-F202)/F202*100</f>
        <v/>
      </c>
      <c r="H202" s="7">
        <f>($D$2-F202)/F202*100</f>
        <v/>
      </c>
      <c r="I202" s="7">
        <f>($D$3-F202)/F202*100</f>
        <v/>
      </c>
      <c r="J202" s="7">
        <f>F202/$D$10*100</f>
        <v/>
      </c>
      <c r="K202" s="7">
        <f>N202/L202</f>
        <v/>
      </c>
      <c r="L202" s="7">
        <f>(M202/O202)*100</f>
        <v/>
      </c>
      <c r="M202" s="7">
        <f>O202/R202</f>
        <v/>
      </c>
      <c r="N202" s="7" t="n">
        <v>7.01</v>
      </c>
      <c r="O202" s="7" t="n">
        <v>18633.85</v>
      </c>
      <c r="P202" s="7" t="n">
        <v>4.36</v>
      </c>
      <c r="Q202" s="7">
        <f>N202-L202</f>
        <v/>
      </c>
      <c r="R202" s="7" t="n">
        <v>21.7</v>
      </c>
      <c r="S202" s="7" t="n">
        <v>3.69</v>
      </c>
      <c r="T202" s="7">
        <f>N202-S202</f>
        <v/>
      </c>
      <c r="U202" s="7" t="n">
        <v>104.07</v>
      </c>
      <c r="V202" s="7">
        <f>(R202*W202)</f>
        <v/>
      </c>
      <c r="W202" s="13" t="n">
        <v>0.0674</v>
      </c>
      <c r="X202" s="184" t="n"/>
      <c r="Y202" s="184" t="n"/>
      <c r="Z202" s="184" t="n"/>
      <c r="AA202" s="184" t="n"/>
      <c r="AB202" s="184" t="n"/>
      <c r="AC202" s="184" t="n"/>
      <c r="AD202" s="184" t="n"/>
      <c r="AE202" s="184" t="n"/>
    </row>
    <row r="203">
      <c r="A203" s="14" t="n">
        <v>192</v>
      </c>
      <c r="B203" s="9" t="n">
        <v>45077</v>
      </c>
      <c r="C203" s="7" t="n">
        <v>28390079.81</v>
      </c>
      <c r="D203" s="7">
        <f>C203/E203</f>
        <v/>
      </c>
      <c r="E203" s="7" t="n">
        <v>82.68000000000001</v>
      </c>
      <c r="F203" s="7">
        <f>D203/100000</f>
        <v/>
      </c>
      <c r="G203" s="7">
        <f>($D$1-F203)/F203*100</f>
        <v/>
      </c>
      <c r="H203" s="7">
        <f>($D$2-F203)/F203*100</f>
        <v/>
      </c>
      <c r="I203" s="7">
        <f>($D$3-F203)/F203*100</f>
        <v/>
      </c>
      <c r="J203" s="7">
        <f>F203/$D$10*100</f>
        <v/>
      </c>
      <c r="K203" s="7">
        <f>N203/L203</f>
        <v/>
      </c>
      <c r="L203" s="7">
        <f>(M203/O203)*100</f>
        <v/>
      </c>
      <c r="M203" s="7">
        <f>O203/R203</f>
        <v/>
      </c>
      <c r="N203" s="7" t="n">
        <v>6.98</v>
      </c>
      <c r="O203" s="7" t="n">
        <v>18534.4</v>
      </c>
      <c r="P203" s="7" t="n">
        <v>4.33</v>
      </c>
      <c r="Q203" s="7">
        <f>N203-L203</f>
        <v/>
      </c>
      <c r="R203" s="7" t="n">
        <v>21.59</v>
      </c>
      <c r="S203" s="7" t="n">
        <v>3.64</v>
      </c>
      <c r="T203" s="7">
        <f>N203-S203</f>
        <v/>
      </c>
      <c r="U203" s="7" t="n">
        <v>104.24</v>
      </c>
      <c r="V203" s="7">
        <f>(R203*W203)</f>
        <v/>
      </c>
      <c r="W203" s="13" t="n">
        <v>0.0677</v>
      </c>
      <c r="X203" s="184" t="n"/>
      <c r="Y203" s="184" t="n"/>
      <c r="Z203" s="184" t="n"/>
      <c r="AA203" s="184" t="n"/>
      <c r="AB203" s="184" t="n"/>
      <c r="AC203" s="184" t="n"/>
      <c r="AD203" s="184" t="n"/>
      <c r="AE203" s="184" t="n"/>
    </row>
    <row r="204">
      <c r="A204" s="14" t="n">
        <v>193</v>
      </c>
      <c r="B204" s="9" t="n">
        <v>45078</v>
      </c>
      <c r="C204" s="7" t="n">
        <v>28429686.63</v>
      </c>
      <c r="D204" s="7">
        <f>C204/E204</f>
        <v/>
      </c>
      <c r="E204" s="7" t="n">
        <v>82.26000000000001</v>
      </c>
      <c r="F204" s="7">
        <f>D204/100000</f>
        <v/>
      </c>
      <c r="G204" s="7">
        <f>($D$1-F204)/F204*100</f>
        <v/>
      </c>
      <c r="H204" s="7">
        <f>($D$2-F204)/F204*100</f>
        <v/>
      </c>
      <c r="I204" s="7">
        <f>($D$3-F204)/F204*100</f>
        <v/>
      </c>
      <c r="J204" s="7">
        <f>F204/$D$10*100</f>
        <v/>
      </c>
      <c r="K204" s="7">
        <f>N204/L204</f>
        <v/>
      </c>
      <c r="L204" s="7">
        <f>(M204/O204)*100</f>
        <v/>
      </c>
      <c r="M204" s="7">
        <f>O204/R204</f>
        <v/>
      </c>
      <c r="N204" s="7" t="n">
        <v>6.97</v>
      </c>
      <c r="O204" s="7" t="n">
        <v>18487.75</v>
      </c>
      <c r="P204" s="7" t="n">
        <v>4.32</v>
      </c>
      <c r="Q204" s="7">
        <f>N204-L204</f>
        <v/>
      </c>
      <c r="R204" s="7" t="n">
        <v>21.53</v>
      </c>
      <c r="S204" s="7" t="n">
        <v>3.6</v>
      </c>
      <c r="T204" s="7">
        <f>N204-S204</f>
        <v/>
      </c>
      <c r="U204" s="7" t="n">
        <v>103.5</v>
      </c>
      <c r="V204" s="7">
        <f>(R204*W204)</f>
        <v/>
      </c>
      <c r="W204" s="13" t="n">
        <v>0.0673</v>
      </c>
      <c r="X204" s="184" t="n"/>
      <c r="Y204" s="184" t="n"/>
      <c r="Z204" s="184" t="n"/>
      <c r="AA204" s="184" t="n"/>
      <c r="AB204" s="184" t="n"/>
      <c r="AC204" s="184" t="n"/>
      <c r="AD204" s="184" t="n"/>
      <c r="AE204" s="184" t="n"/>
    </row>
    <row r="205">
      <c r="A205" s="14" t="n">
        <v>194</v>
      </c>
      <c r="B205" s="9" t="n">
        <v>45079</v>
      </c>
      <c r="C205" s="7" t="n">
        <v>28530920.26</v>
      </c>
      <c r="D205" s="7">
        <f>C205/E205</f>
        <v/>
      </c>
      <c r="E205" s="7" t="n">
        <v>82.38</v>
      </c>
      <c r="F205" s="7">
        <f>D205/100000</f>
        <v/>
      </c>
      <c r="G205" s="7">
        <f>($D$1-F205)/F205*100</f>
        <v/>
      </c>
      <c r="H205" s="7">
        <f>($D$2-F205)/F205*100</f>
        <v/>
      </c>
      <c r="I205" s="7">
        <f>($D$3-F205)/F205*100</f>
        <v/>
      </c>
      <c r="J205" s="7">
        <f>F205/$D$10*100</f>
        <v/>
      </c>
      <c r="K205" s="7">
        <f>N205/L205</f>
        <v/>
      </c>
      <c r="L205" s="7">
        <f>(M205/O205)*100</f>
        <v/>
      </c>
      <c r="M205" s="7">
        <f>O205/R205</f>
        <v/>
      </c>
      <c r="N205" s="7" t="n">
        <v>6.98</v>
      </c>
      <c r="O205" s="7" t="n">
        <v>18534.1</v>
      </c>
      <c r="P205" s="7" t="n">
        <v>4.33</v>
      </c>
      <c r="Q205" s="7">
        <f>N205-L205</f>
        <v/>
      </c>
      <c r="R205" s="7" t="n">
        <v>21.58</v>
      </c>
      <c r="S205" s="7" t="n">
        <v>3.69</v>
      </c>
      <c r="T205" s="7">
        <f>N205-S205</f>
        <v/>
      </c>
      <c r="U205" s="7" t="n">
        <v>103.95</v>
      </c>
      <c r="V205" s="7">
        <f>(R205*W205)</f>
        <v/>
      </c>
      <c r="W205" s="18" t="n">
        <v>0.06710000000000001</v>
      </c>
      <c r="X205" s="184" t="n"/>
      <c r="Y205" s="184" t="n"/>
      <c r="Z205" s="184" t="n"/>
      <c r="AA205" s="184" t="n"/>
      <c r="AB205" s="184" t="n"/>
      <c r="AC205" s="184" t="n"/>
      <c r="AD205" s="184" t="n"/>
      <c r="AE205" s="184" t="n"/>
    </row>
    <row r="206">
      <c r="A206" s="14" t="n">
        <v>195</v>
      </c>
      <c r="B206" s="9" t="n">
        <v>45082</v>
      </c>
      <c r="C206" s="7" t="n">
        <v>28611305.61</v>
      </c>
      <c r="D206" s="7">
        <f>C206/E206</f>
        <v/>
      </c>
      <c r="E206" s="7" t="n">
        <v>82.52</v>
      </c>
      <c r="F206" s="7">
        <f>D206/100000</f>
        <v/>
      </c>
      <c r="G206" s="7">
        <f>($D$1-F206)/F206*100</f>
        <v/>
      </c>
      <c r="H206" s="7">
        <f>($D$2-F206)/F206*100</f>
        <v/>
      </c>
      <c r="I206" s="7">
        <f>($D$3-F206)/F206*100</f>
        <v/>
      </c>
      <c r="J206" s="7">
        <f>F206/$D$10*100</f>
        <v/>
      </c>
      <c r="K206" s="7">
        <f>N206/L206</f>
        <v/>
      </c>
      <c r="L206" s="7">
        <f>(M206/O206)*100</f>
        <v/>
      </c>
      <c r="M206" s="7">
        <f>O206/R206</f>
        <v/>
      </c>
      <c r="N206" s="7" t="n">
        <v>6.99</v>
      </c>
      <c r="O206" s="7" t="n">
        <v>18593.85</v>
      </c>
      <c r="P206" s="7" t="n">
        <v>4.35</v>
      </c>
      <c r="Q206" s="7">
        <f>N206-L206</f>
        <v/>
      </c>
      <c r="R206" s="7" t="n">
        <v>21.65</v>
      </c>
      <c r="S206" s="7" t="n">
        <v>3.68</v>
      </c>
      <c r="T206" s="7">
        <f>N206-S206</f>
        <v/>
      </c>
      <c r="U206" s="7" t="n">
        <v>103.93</v>
      </c>
      <c r="V206" s="7">
        <f>(R206*W206)</f>
        <v/>
      </c>
      <c r="W206" s="13" t="n">
        <v>0.0672</v>
      </c>
      <c r="X206" s="184" t="n"/>
      <c r="Y206" s="184" t="n"/>
      <c r="Z206" s="184" t="n"/>
      <c r="AA206" s="184" t="n"/>
      <c r="AB206" s="184" t="n"/>
      <c r="AC206" s="184" t="n"/>
      <c r="AD206" s="184" t="n"/>
      <c r="AE206" s="184" t="n"/>
    </row>
    <row r="207">
      <c r="A207" s="14" t="n">
        <v>196</v>
      </c>
      <c r="B207" s="9" t="n">
        <v>45083</v>
      </c>
      <c r="C207" s="7" t="n">
        <v>28672011.58</v>
      </c>
      <c r="D207" s="7">
        <f>C207/E207</f>
        <v/>
      </c>
      <c r="E207" s="7" t="n">
        <v>82.51000000000001</v>
      </c>
      <c r="F207" s="7">
        <f>D207/100000</f>
        <v/>
      </c>
      <c r="G207" s="7">
        <f>($D$1-F207)/F207*100</f>
        <v/>
      </c>
      <c r="H207" s="7">
        <f>($D$2-F207)/F207*100</f>
        <v/>
      </c>
      <c r="I207" s="7">
        <f>($D$3-F207)/F207*100</f>
        <v/>
      </c>
      <c r="J207" s="7">
        <f>F207/$D$10*100</f>
        <v/>
      </c>
      <c r="K207" s="7">
        <f>N207/L207</f>
        <v/>
      </c>
      <c r="L207" s="7">
        <f>(M207/O207)*100</f>
        <v/>
      </c>
      <c r="M207" s="7">
        <f>O207/R207</f>
        <v/>
      </c>
      <c r="N207" s="7" t="n">
        <v>6.97</v>
      </c>
      <c r="O207" s="7" t="n">
        <v>18599</v>
      </c>
      <c r="P207" s="7" t="n">
        <v>4.35</v>
      </c>
      <c r="Q207" s="7">
        <f>N207-L207</f>
        <v/>
      </c>
      <c r="R207" s="7" t="n">
        <v>21.66</v>
      </c>
      <c r="S207" s="7" t="n">
        <v>3.67</v>
      </c>
      <c r="T207" s="7">
        <f>N207-S207</f>
        <v/>
      </c>
      <c r="U207" s="7" t="n">
        <v>104.07</v>
      </c>
      <c r="V207" s="7">
        <f>(R207*W207)</f>
        <v/>
      </c>
      <c r="W207" s="13" t="n">
        <v>0.067</v>
      </c>
      <c r="X207" s="184" t="n"/>
      <c r="Y207" s="184" t="n"/>
      <c r="Z207" s="184" t="n"/>
      <c r="AA207" s="184" t="n"/>
      <c r="AB207" s="184" t="n"/>
      <c r="AC207" s="184" t="n"/>
      <c r="AD207" s="184" t="n"/>
      <c r="AE207" s="184" t="n"/>
    </row>
    <row r="208">
      <c r="A208" s="14" t="n">
        <v>197</v>
      </c>
      <c r="B208" s="9" t="n">
        <v>45084</v>
      </c>
      <c r="C208" s="4" t="n">
        <v>28922453.61</v>
      </c>
      <c r="D208" s="4">
        <f>C208/E208</f>
        <v/>
      </c>
      <c r="E208" s="4" t="n">
        <v>82.61</v>
      </c>
      <c r="F208" s="4">
        <f>D208/100000</f>
        <v/>
      </c>
      <c r="G208" s="4">
        <f>($D$1-F208)/F208*100</f>
        <v/>
      </c>
      <c r="H208" s="4">
        <f>($D$2-F208)/F208*100</f>
        <v/>
      </c>
      <c r="I208" s="4">
        <f>($D$3-F208)/F208*100</f>
        <v/>
      </c>
      <c r="J208" s="4">
        <f>F208/$D$10*100</f>
        <v/>
      </c>
      <c r="K208" s="7">
        <f>N208/L208</f>
        <v/>
      </c>
      <c r="L208" s="7">
        <f>(M208/O208)*100</f>
        <v/>
      </c>
      <c r="M208" s="7">
        <f>O208/R208</f>
        <v/>
      </c>
      <c r="N208" s="7" t="n">
        <v>6.98</v>
      </c>
      <c r="O208" s="7" t="n">
        <v>18726.4</v>
      </c>
      <c r="P208" s="7" t="n">
        <v>4.38</v>
      </c>
      <c r="Q208" s="7">
        <f>N208-L208</f>
        <v/>
      </c>
      <c r="R208" s="7" t="n">
        <v>21.81</v>
      </c>
      <c r="S208" s="7" t="n">
        <v>3.78</v>
      </c>
      <c r="T208" s="7">
        <f>N208-S208</f>
        <v/>
      </c>
      <c r="U208" s="7" t="n">
        <v>104.05</v>
      </c>
      <c r="V208" s="7">
        <f>(R208*W208)</f>
        <v/>
      </c>
      <c r="W208" s="13" t="n">
        <v>0.0674</v>
      </c>
      <c r="X208" s="184" t="n"/>
      <c r="Y208" s="184" t="n"/>
      <c r="Z208" s="184" t="n"/>
      <c r="AA208" s="184" t="n"/>
      <c r="AB208" s="184" t="n"/>
      <c r="AC208" s="184" t="n"/>
      <c r="AD208" s="184" t="n"/>
      <c r="AE208" s="184" t="n"/>
    </row>
    <row r="209">
      <c r="A209" s="14" t="n">
        <v>198</v>
      </c>
      <c r="B209" s="9" t="n">
        <v>45085</v>
      </c>
      <c r="C209" s="4" t="n">
        <v>28761550.66</v>
      </c>
      <c r="D209" s="4">
        <f>C209/E209</f>
        <v/>
      </c>
      <c r="E209" s="4" t="n">
        <v>82.48</v>
      </c>
      <c r="F209" s="4">
        <f>D209/100000</f>
        <v/>
      </c>
      <c r="G209" s="4">
        <f>($D$1-F209)/F209*100</f>
        <v/>
      </c>
      <c r="H209" s="4">
        <f>($D$2-F209)/F209*100</f>
        <v/>
      </c>
      <c r="I209" s="4">
        <f>($D$3-F209)/F209*100</f>
        <v/>
      </c>
      <c r="J209" s="4">
        <f>F209/$D$10*100</f>
        <v/>
      </c>
      <c r="K209" s="7">
        <f>N209/L209</f>
        <v/>
      </c>
      <c r="L209" s="7">
        <f>(M209/O209)*100</f>
        <v/>
      </c>
      <c r="M209" s="7">
        <f>O209/R209</f>
        <v/>
      </c>
      <c r="N209" s="7" t="n">
        <v>7.02</v>
      </c>
      <c r="O209" s="7" t="n">
        <v>18634.55</v>
      </c>
      <c r="P209" s="7" t="n">
        <v>4.36</v>
      </c>
      <c r="Q209" s="7">
        <f>N209-L209</f>
        <v/>
      </c>
      <c r="R209" s="7" t="n">
        <v>21.7</v>
      </c>
      <c r="S209" s="7" t="n">
        <v>3.71</v>
      </c>
      <c r="T209" s="7">
        <f>N209-S209</f>
        <v/>
      </c>
      <c r="U209" s="7" t="n">
        <v>103.31</v>
      </c>
      <c r="V209" s="7">
        <f>(R209*W209)</f>
        <v/>
      </c>
      <c r="W209" s="13" t="n">
        <v>0.0674</v>
      </c>
      <c r="X209" s="184" t="n"/>
      <c r="Y209" s="184" t="n"/>
      <c r="Z209" s="184" t="n"/>
      <c r="AA209" s="184" t="n"/>
      <c r="AB209" s="184" t="n"/>
      <c r="AC209" s="184" t="n"/>
      <c r="AD209" s="184" t="n"/>
      <c r="AE209" s="184" t="n"/>
    </row>
    <row r="210">
      <c r="A210" s="14" t="n">
        <v>199</v>
      </c>
      <c r="B210" s="9" t="n">
        <v>45086</v>
      </c>
      <c r="C210" s="4" t="n">
        <v>28687975.34</v>
      </c>
      <c r="D210" s="4">
        <f>C210/E210</f>
        <v/>
      </c>
      <c r="E210" s="4" t="n">
        <v>82.44</v>
      </c>
      <c r="F210" s="4">
        <f>D210/100000</f>
        <v/>
      </c>
      <c r="G210" s="4">
        <f>($D$1-F210)/F210*100</f>
        <v/>
      </c>
      <c r="H210" s="4">
        <f>($D$2-F210)/F210*100</f>
        <v/>
      </c>
      <c r="I210" s="4">
        <f>($D$3-F210)/F210*100</f>
        <v/>
      </c>
      <c r="J210" s="4">
        <f>F210/$D$10*100</f>
        <v/>
      </c>
      <c r="K210" s="7">
        <f>N210/L210</f>
        <v/>
      </c>
      <c r="L210" s="7">
        <f>(M210/O210)*100</f>
        <v/>
      </c>
      <c r="M210" s="7">
        <f>O210/R210</f>
        <v/>
      </c>
      <c r="N210" s="7" t="n">
        <v>7.03</v>
      </c>
      <c r="O210" s="7" t="n">
        <v>18563.4</v>
      </c>
      <c r="P210" s="7" t="n">
        <v>4.34</v>
      </c>
      <c r="Q210" s="7">
        <f>N210-L210</f>
        <v/>
      </c>
      <c r="R210" s="7" t="n">
        <v>21.62</v>
      </c>
      <c r="S210" s="7" t="n">
        <v>3.74</v>
      </c>
      <c r="T210" s="7">
        <f>N210-S210</f>
        <v/>
      </c>
      <c r="U210" s="7" t="n">
        <v>103.53</v>
      </c>
      <c r="V210" s="7">
        <f>(R210*W210)</f>
        <v/>
      </c>
      <c r="W210" s="13" t="n">
        <v>0.0678</v>
      </c>
      <c r="X210" s="184" t="n"/>
      <c r="Y210" s="184" t="n"/>
      <c r="Z210" s="184" t="n"/>
      <c r="AA210" s="184" t="n"/>
      <c r="AB210" s="184" t="n"/>
      <c r="AC210" s="184" t="n"/>
      <c r="AD210" s="184" t="n"/>
      <c r="AE210" s="184" t="n"/>
    </row>
    <row r="211">
      <c r="A211" s="14" t="n">
        <v>200</v>
      </c>
      <c r="B211" s="9" t="n">
        <v>45089</v>
      </c>
      <c r="C211" s="4" t="n">
        <v>28803454.51</v>
      </c>
      <c r="D211" s="4">
        <f>C211/E211</f>
        <v/>
      </c>
      <c r="E211" s="4" t="n">
        <v>82.39</v>
      </c>
      <c r="F211" s="4">
        <f>D211/100000</f>
        <v/>
      </c>
      <c r="G211" s="4">
        <f>($D$1-F211)/F211*100</f>
        <v/>
      </c>
      <c r="H211" s="4">
        <f>($D$2-F211)/F211*100</f>
        <v/>
      </c>
      <c r="I211" s="4">
        <f>($D$3-F211)/F211*100</f>
        <v/>
      </c>
      <c r="J211" s="4">
        <f>F211/$D$10*100</f>
        <v/>
      </c>
      <c r="K211" s="7">
        <f>N211/L211</f>
        <v/>
      </c>
      <c r="L211" s="7">
        <f>(M211/O211)*100</f>
        <v/>
      </c>
      <c r="M211" s="7">
        <f>O211/R211</f>
        <v/>
      </c>
      <c r="N211" s="7" t="n">
        <v>7.01</v>
      </c>
      <c r="O211" s="7" t="n">
        <v>18601.5</v>
      </c>
      <c r="P211" s="7" t="n">
        <v>4.35</v>
      </c>
      <c r="Q211" s="7">
        <f>N211-L211</f>
        <v/>
      </c>
      <c r="R211" s="7" t="n">
        <v>21.66</v>
      </c>
      <c r="S211" s="7" t="n">
        <v>3.74</v>
      </c>
      <c r="T211" s="7">
        <f>N211-S211</f>
        <v/>
      </c>
      <c r="U211" s="7" t="n">
        <v>103.22</v>
      </c>
      <c r="V211" s="7">
        <f>(R211*W211)</f>
        <v/>
      </c>
      <c r="W211" s="13" t="n">
        <v>0.0679</v>
      </c>
      <c r="X211" s="184" t="n"/>
      <c r="Y211" s="184" t="n"/>
      <c r="Z211" s="184" t="n"/>
      <c r="AA211" s="184" t="n"/>
      <c r="AB211" s="184" t="n"/>
      <c r="AC211" s="184" t="n"/>
      <c r="AD211" s="184" t="n"/>
      <c r="AE211" s="184" t="n"/>
    </row>
    <row r="212">
      <c r="A212" s="14" t="n">
        <v>201</v>
      </c>
      <c r="B212" s="9" t="n">
        <v>45090</v>
      </c>
      <c r="C212" s="7" t="n">
        <v>29016697.25</v>
      </c>
      <c r="D212" s="7">
        <f>C212/E212</f>
        <v/>
      </c>
      <c r="E212" s="7" t="n">
        <v>82.22</v>
      </c>
      <c r="F212" s="7">
        <f>D212/100000</f>
        <v/>
      </c>
      <c r="G212" s="7">
        <f>($D$1-F212)/F212*100</f>
        <v/>
      </c>
      <c r="H212" s="7">
        <f>($D$2-F212)/F212*100</f>
        <v/>
      </c>
      <c r="I212" s="7">
        <f>($D$3-F212)/F212*100</f>
        <v/>
      </c>
      <c r="J212" s="7">
        <f>F212/$D$10*100</f>
        <v/>
      </c>
      <c r="K212" s="7">
        <f>N212/L212</f>
        <v/>
      </c>
      <c r="L212" s="7">
        <f>(M212/O212)*100</f>
        <v/>
      </c>
      <c r="M212" s="7">
        <f>O212/R212</f>
        <v/>
      </c>
      <c r="N212" s="7" t="n">
        <v>7</v>
      </c>
      <c r="O212" s="7" t="n">
        <v>18716.15</v>
      </c>
      <c r="P212" s="7" t="n">
        <v>4.37</v>
      </c>
      <c r="Q212" s="7">
        <f>N212-L212</f>
        <v/>
      </c>
      <c r="R212" s="7" t="n">
        <v>21.79</v>
      </c>
      <c r="S212" s="7" t="n">
        <v>3.82</v>
      </c>
      <c r="T212" s="7">
        <f>N212-S212</f>
        <v/>
      </c>
      <c r="U212" s="7" t="n">
        <v>102.92</v>
      </c>
      <c r="V212" s="7">
        <f>(R212*W212)</f>
        <v/>
      </c>
      <c r="W212" s="13" t="n">
        <v>0.0678</v>
      </c>
      <c r="X212" s="184" t="n"/>
      <c r="Y212" s="184" t="n"/>
      <c r="Z212" s="184" t="n"/>
      <c r="AA212" s="184" t="n"/>
      <c r="AB212" s="184" t="n"/>
      <c r="AC212" s="184" t="n"/>
      <c r="AD212" s="184" t="n"/>
      <c r="AE212" s="184" t="n"/>
    </row>
    <row r="213">
      <c r="A213" s="14" t="n">
        <v>202</v>
      </c>
      <c r="B213" s="9" t="n">
        <v>45091</v>
      </c>
      <c r="C213" s="4" t="n">
        <v>29102863.37</v>
      </c>
      <c r="D213" s="4">
        <f>C213/E213</f>
        <v/>
      </c>
      <c r="E213" s="4" t="n">
        <v>82.04000000000001</v>
      </c>
      <c r="F213" s="4">
        <f>D213/100000</f>
        <v/>
      </c>
      <c r="G213" s="4">
        <f>($D$1-F213)/F213*100</f>
        <v/>
      </c>
      <c r="H213" s="4">
        <f>($D$2-F213)/F213*100</f>
        <v/>
      </c>
      <c r="I213" s="4">
        <f>($D$3-F213)/F213*100</f>
        <v/>
      </c>
      <c r="J213" s="4">
        <f>F213/$D$10*100</f>
        <v/>
      </c>
      <c r="K213" s="4">
        <f>N213/L213</f>
        <v/>
      </c>
      <c r="L213" s="4">
        <f>(M213/O213)*100</f>
        <v/>
      </c>
      <c r="M213" s="4">
        <f>O213/R213</f>
        <v/>
      </c>
      <c r="N213" s="4" t="n">
        <v>7.01</v>
      </c>
      <c r="O213" s="4" t="n">
        <v>18755.7</v>
      </c>
      <c r="P213" s="4" t="n">
        <v>4.38</v>
      </c>
      <c r="Q213" s="4">
        <f>N213-L213</f>
        <v/>
      </c>
      <c r="R213" s="4" t="n">
        <v>21.84</v>
      </c>
      <c r="S213" s="4" t="n">
        <v>3.79</v>
      </c>
      <c r="T213" s="7">
        <f>N213-S213</f>
        <v/>
      </c>
      <c r="U213" s="4" t="n">
        <v>102.52</v>
      </c>
      <c r="V213" s="7">
        <f>(R213*W213)</f>
        <v/>
      </c>
      <c r="W213" s="13" t="n">
        <v>0.0677</v>
      </c>
      <c r="X213" s="184" t="n"/>
      <c r="Y213" s="184" t="n"/>
      <c r="Z213" s="184" t="n"/>
      <c r="AA213" s="184" t="n"/>
      <c r="AB213" s="184" t="n"/>
      <c r="AC213" s="184" t="n"/>
      <c r="AD213" s="184" t="n"/>
      <c r="AE213" s="184" t="n"/>
    </row>
    <row r="214">
      <c r="A214" s="14" t="n">
        <v>203</v>
      </c>
      <c r="B214" s="9" t="n">
        <v>45092</v>
      </c>
      <c r="C214" s="4" t="n">
        <v>29091911.92</v>
      </c>
      <c r="D214" s="4">
        <f>C214/E214</f>
        <v/>
      </c>
      <c r="E214" s="4" t="n">
        <v>82.26000000000001</v>
      </c>
      <c r="F214" s="4">
        <f>D214/100000</f>
        <v/>
      </c>
      <c r="G214" s="4">
        <f>($D$1-F214)/F214*100</f>
        <v/>
      </c>
      <c r="H214" s="4">
        <f>($D$2-F214)/F214*100</f>
        <v/>
      </c>
      <c r="I214" s="4">
        <f>($D$3-F214)/F214*100</f>
        <v/>
      </c>
      <c r="J214" s="4">
        <f>F214/$D$10*100</f>
        <v/>
      </c>
      <c r="K214" s="4">
        <f>N214/L214</f>
        <v/>
      </c>
      <c r="L214" s="4">
        <f>(M214/O214)*100</f>
        <v/>
      </c>
      <c r="M214" s="4">
        <f>O214/R214</f>
        <v/>
      </c>
      <c r="N214" s="4" t="n">
        <v>7.04</v>
      </c>
      <c r="O214" s="4" t="n">
        <v>18688.1</v>
      </c>
      <c r="P214" s="4" t="n">
        <v>4.37</v>
      </c>
      <c r="Q214" s="4">
        <f>N214-L214</f>
        <v/>
      </c>
      <c r="R214" s="4" t="n">
        <v>21.76</v>
      </c>
      <c r="S214" s="4" t="n">
        <v>3.83</v>
      </c>
      <c r="T214" s="7">
        <f>N214-S214</f>
        <v/>
      </c>
      <c r="U214" s="4" t="n">
        <v>102.82</v>
      </c>
      <c r="V214" s="7">
        <f>(R214*W214)</f>
        <v/>
      </c>
      <c r="W214" s="13" t="n">
        <v>0.06759999999999999</v>
      </c>
      <c r="X214" s="184" t="n"/>
      <c r="Y214" s="184" t="n"/>
      <c r="Z214" s="184" t="n"/>
      <c r="AA214" s="184" t="n"/>
      <c r="AB214" s="184" t="n"/>
      <c r="AC214" s="184" t="n"/>
      <c r="AD214" s="184" t="n"/>
      <c r="AE214" s="184" t="n"/>
    </row>
    <row r="215">
      <c r="A215" s="14" t="n">
        <v>204</v>
      </c>
      <c r="B215" s="9" t="n">
        <v>45093</v>
      </c>
      <c r="C215" s="4" t="n">
        <v>29299548.19</v>
      </c>
      <c r="D215" s="4">
        <f>C215/E215</f>
        <v/>
      </c>
      <c r="E215" s="4" t="n">
        <v>81.91</v>
      </c>
      <c r="F215" s="4">
        <f>D215/100000</f>
        <v/>
      </c>
      <c r="G215" s="4">
        <f>($D$1-F215)/F215*100</f>
        <v/>
      </c>
      <c r="H215" s="4">
        <f>($D$2-F215)/F215*100</f>
        <v/>
      </c>
      <c r="I215" s="4">
        <f>($D$3-F215)/F215*100</f>
        <v/>
      </c>
      <c r="J215" s="4">
        <f>F215/$D$10*100</f>
        <v/>
      </c>
      <c r="K215" s="4">
        <f>N215/L215</f>
        <v/>
      </c>
      <c r="L215" s="4">
        <f>(M215/O215)*100</f>
        <v/>
      </c>
      <c r="M215" s="4">
        <f>O215/R215</f>
        <v/>
      </c>
      <c r="N215" s="4" t="n">
        <v>7.03</v>
      </c>
      <c r="O215" s="4" t="n">
        <v>18826</v>
      </c>
      <c r="P215" s="4" t="n">
        <v>4.4</v>
      </c>
      <c r="Q215" s="4">
        <f>N215-L215</f>
        <v/>
      </c>
      <c r="R215" s="4" t="n">
        <v>21.92</v>
      </c>
      <c r="S215" s="4" t="n">
        <v>3.76</v>
      </c>
      <c r="T215" s="7">
        <f>N215-S215</f>
        <v/>
      </c>
      <c r="U215" s="4" t="n">
        <v>102.25</v>
      </c>
      <c r="V215" s="7">
        <f>(R215*W215)</f>
        <v/>
      </c>
      <c r="W215" s="13" t="n">
        <v>0.0674</v>
      </c>
      <c r="X215" s="184" t="n"/>
      <c r="Y215" s="184" t="n"/>
      <c r="Z215" s="184" t="n"/>
      <c r="AA215" s="184" t="n"/>
      <c r="AB215" s="184" t="n"/>
      <c r="AC215" s="184" t="n"/>
      <c r="AD215" s="184" t="n"/>
      <c r="AE215" s="184" t="n"/>
    </row>
    <row r="216">
      <c r="A216" s="14" t="n">
        <v>205</v>
      </c>
      <c r="B216" s="9" t="n">
        <v>45096</v>
      </c>
      <c r="C216" s="4" t="n">
        <v>29265098.01</v>
      </c>
      <c r="D216" s="4">
        <f>C216/E216</f>
        <v/>
      </c>
      <c r="E216" s="4" t="n">
        <v>81.91</v>
      </c>
      <c r="F216" s="4">
        <f>D216/100000</f>
        <v/>
      </c>
      <c r="G216" s="4">
        <f>($D$1-F216)/F216*100</f>
        <v/>
      </c>
      <c r="H216" s="4">
        <f>($D$2-F216)/F216*100</f>
        <v/>
      </c>
      <c r="I216" s="4">
        <f>($D$3-F216)/F216*100</f>
        <v/>
      </c>
      <c r="J216" s="4">
        <f>F216/$D$10*100</f>
        <v/>
      </c>
      <c r="K216" s="4">
        <f>N216/L216</f>
        <v/>
      </c>
      <c r="L216" s="4">
        <f>(M216/O216)*100</f>
        <v/>
      </c>
      <c r="M216" s="4">
        <f>O216/R216</f>
        <v/>
      </c>
      <c r="N216" s="4" t="n">
        <v>7.05</v>
      </c>
      <c r="O216" s="4" t="n">
        <v>18755.45</v>
      </c>
      <c r="P216" s="4" t="n">
        <v>4.38</v>
      </c>
      <c r="Q216" s="4">
        <f>N216-L216</f>
        <v/>
      </c>
      <c r="R216" s="4" t="n">
        <v>21.84</v>
      </c>
      <c r="S216" s="4" t="n">
        <v>3.82</v>
      </c>
      <c r="T216" s="7">
        <f>N216-S216</f>
        <v/>
      </c>
      <c r="U216" s="4" t="n">
        <v>101.83</v>
      </c>
      <c r="V216" s="7">
        <f>(R216*W216)</f>
        <v/>
      </c>
      <c r="W216" s="13" t="n">
        <v>0.06759999999999999</v>
      </c>
      <c r="X216" s="184" t="n"/>
      <c r="Y216" s="184" t="n"/>
      <c r="Z216" s="184" t="n"/>
      <c r="AA216" s="184" t="n"/>
      <c r="AB216" s="184" t="n"/>
      <c r="AC216" s="184" t="n"/>
      <c r="AD216" s="184" t="n"/>
      <c r="AE216" s="184" t="n"/>
    </row>
    <row r="217">
      <c r="A217" s="14" t="n">
        <v>206</v>
      </c>
      <c r="B217" s="9" t="n">
        <v>45097</v>
      </c>
      <c r="C217" s="4" t="n">
        <v>29380255.32</v>
      </c>
      <c r="D217" s="4">
        <f>C217/E217</f>
        <v/>
      </c>
      <c r="E217" s="4" t="n">
        <v>82</v>
      </c>
      <c r="F217" s="4">
        <f>D217/100000</f>
        <v/>
      </c>
      <c r="G217" s="4">
        <f>($D$1-F217)/F217*100</f>
        <v/>
      </c>
      <c r="H217" s="4">
        <f>($D$2-F217)/F217*100</f>
        <v/>
      </c>
      <c r="I217" s="4">
        <f>($D$3-F217)/F217*100</f>
        <v/>
      </c>
      <c r="J217" s="4">
        <f>F217/$D$10*100</f>
        <v/>
      </c>
      <c r="K217" s="4">
        <f>N217/L217</f>
        <v/>
      </c>
      <c r="L217" s="4">
        <f>(M217/O217)*100</f>
        <v/>
      </c>
      <c r="M217" s="4">
        <f>O217/R217</f>
        <v/>
      </c>
      <c r="N217" s="4" t="n">
        <v>7.05</v>
      </c>
      <c r="O217" s="4" t="n">
        <v>18816.7</v>
      </c>
      <c r="P217" s="4" t="n">
        <v>4.4</v>
      </c>
      <c r="Q217" s="4">
        <f>N217-L217</f>
        <v/>
      </c>
      <c r="R217" s="4" t="n">
        <v>21.91</v>
      </c>
      <c r="S217" s="4" t="n">
        <v>3.71</v>
      </c>
      <c r="T217" s="7">
        <f>N217-S217</f>
        <v/>
      </c>
      <c r="U217" s="4" t="n">
        <v>102.12</v>
      </c>
      <c r="V217" s="7">
        <f>(R217*W217)</f>
        <v/>
      </c>
      <c r="W217" s="13" t="n">
        <v>0.06759999999999999</v>
      </c>
      <c r="X217" s="184" t="n"/>
      <c r="Y217" s="184" t="n"/>
      <c r="Z217" s="184" t="n"/>
      <c r="AA217" s="184" t="n"/>
      <c r="AB217" s="184" t="n"/>
      <c r="AC217" s="184" t="n"/>
      <c r="AD217" s="184" t="n"/>
      <c r="AE217" s="184" t="n"/>
    </row>
    <row r="218">
      <c r="A218" s="14" t="n">
        <v>207</v>
      </c>
      <c r="B218" s="9" t="n">
        <v>45098</v>
      </c>
      <c r="C218" s="4" t="n">
        <v>29453939.24</v>
      </c>
      <c r="D218" s="4">
        <f>C218/E218</f>
        <v/>
      </c>
      <c r="E218" s="4" t="n">
        <v>81.93000000000001</v>
      </c>
      <c r="F218" s="4">
        <f>D218/100000</f>
        <v/>
      </c>
      <c r="G218" s="4">
        <f>($D$1-F218)/F218*100</f>
        <v/>
      </c>
      <c r="H218" s="4">
        <f>($D$2-F218)/F218*100</f>
        <v/>
      </c>
      <c r="I218" s="4">
        <f>($D$3-F218)/F218*100</f>
        <v/>
      </c>
      <c r="J218" s="4">
        <f>F218/$D$10*100</f>
        <v/>
      </c>
      <c r="K218" s="4">
        <f>N218/L218</f>
        <v/>
      </c>
      <c r="L218" s="4">
        <f>(M218/O218)*100</f>
        <v/>
      </c>
      <c r="M218" s="4">
        <f>O218/R218</f>
        <v/>
      </c>
      <c r="N218" s="4" t="n">
        <v>7.06</v>
      </c>
      <c r="O218" s="4" t="n">
        <v>18856.85</v>
      </c>
      <c r="P218" s="4" t="n">
        <v>4.41</v>
      </c>
      <c r="Q218" s="4">
        <f>N218-L218</f>
        <v/>
      </c>
      <c r="R218" s="4" t="n">
        <v>21.96</v>
      </c>
      <c r="S218" s="4" t="n">
        <v>3.72</v>
      </c>
      <c r="T218" s="7">
        <f>N218-S218</f>
        <v/>
      </c>
      <c r="U218" s="4" t="n">
        <v>101.67</v>
      </c>
      <c r="V218" s="7">
        <f>(R218*W218)</f>
        <v/>
      </c>
      <c r="W218" s="13" t="n">
        <v>0.0672</v>
      </c>
      <c r="X218" s="184" t="n"/>
      <c r="Y218" s="184" t="n"/>
      <c r="Z218" s="184" t="n"/>
      <c r="AA218" s="184" t="n"/>
      <c r="AB218" s="184" t="n"/>
      <c r="AC218" s="184" t="n"/>
      <c r="AD218" s="184" t="n"/>
      <c r="AE218" s="184" t="n"/>
    </row>
    <row r="219">
      <c r="A219" s="14" t="n">
        <v>208</v>
      </c>
      <c r="B219" s="9" t="n">
        <v>45099</v>
      </c>
      <c r="C219" s="4" t="n">
        <v>29244379.53</v>
      </c>
      <c r="D219" s="4">
        <f>C219/E219</f>
        <v/>
      </c>
      <c r="E219" s="4" t="n">
        <v>81.95</v>
      </c>
      <c r="F219" s="4">
        <f>D219/100000</f>
        <v/>
      </c>
      <c r="G219" s="4">
        <f>($D$1-F219)/F219*100</f>
        <v/>
      </c>
      <c r="H219" s="4">
        <f>($D$2-F219)/F219*100</f>
        <v/>
      </c>
      <c r="I219" s="4">
        <f>($D$3-F219)/F219*100</f>
        <v/>
      </c>
      <c r="J219" s="4">
        <f>F219/$D$10*100</f>
        <v/>
      </c>
      <c r="K219" s="4">
        <f>N219/L219</f>
        <v/>
      </c>
      <c r="L219" s="4">
        <f>(M219/O219)*100</f>
        <v/>
      </c>
      <c r="M219" s="4">
        <f>O219/R219</f>
        <v/>
      </c>
      <c r="N219" s="4" t="n">
        <v>7.08</v>
      </c>
      <c r="O219" s="4" t="n">
        <v>18771.25</v>
      </c>
      <c r="P219" s="4" t="n">
        <v>4.39</v>
      </c>
      <c r="Q219" s="4">
        <f>N219-L219</f>
        <v/>
      </c>
      <c r="R219" s="4" t="n">
        <v>21.85</v>
      </c>
      <c r="S219" s="4" t="n">
        <v>3.79</v>
      </c>
      <c r="T219" s="7">
        <f>N219-S219</f>
        <v/>
      </c>
      <c r="U219" s="4" t="n">
        <v>101.99</v>
      </c>
      <c r="V219" s="7">
        <f>(R219*W219)</f>
        <v/>
      </c>
      <c r="W219" s="13" t="n">
        <v>0.0673</v>
      </c>
      <c r="X219" s="184" t="n"/>
      <c r="Y219" s="184" t="n"/>
      <c r="Z219" s="184" t="n"/>
      <c r="AA219" s="184" t="n"/>
      <c r="AB219" s="184" t="n"/>
      <c r="AC219" s="184" t="n"/>
      <c r="AD219" s="184" t="n"/>
      <c r="AE219" s="184" t="n"/>
    </row>
    <row r="220">
      <c r="A220" s="14" t="n">
        <v>209</v>
      </c>
      <c r="B220" s="9" t="n">
        <v>45100</v>
      </c>
      <c r="C220" s="4" t="n">
        <v>28966546.76</v>
      </c>
      <c r="D220" s="4">
        <f>C220/E220</f>
        <v/>
      </c>
      <c r="E220" s="4" t="n">
        <v>81.98</v>
      </c>
      <c r="F220" s="4">
        <f>D220/100000</f>
        <v/>
      </c>
      <c r="G220" s="4">
        <f>($D$1-F220)/F220*100</f>
        <v/>
      </c>
      <c r="H220" s="4">
        <f>($D$2-F220)/F220*100</f>
        <v/>
      </c>
      <c r="I220" s="4">
        <f>($D$3-F220)/F220*100</f>
        <v/>
      </c>
      <c r="J220" s="4">
        <f>F220/$D$10*100</f>
        <v/>
      </c>
      <c r="K220" s="4">
        <f>N220/L220</f>
        <v/>
      </c>
      <c r="L220" s="4">
        <f>(M220/O220)*100</f>
        <v/>
      </c>
      <c r="M220" s="4">
        <f>O220/R220</f>
        <v/>
      </c>
      <c r="N220" s="4" t="n">
        <v>7.07</v>
      </c>
      <c r="O220" s="4" t="n">
        <v>18665.5</v>
      </c>
      <c r="P220" s="4" t="n">
        <v>4.36</v>
      </c>
      <c r="Q220" s="4">
        <f>N220-L220</f>
        <v/>
      </c>
      <c r="R220" s="4" t="n">
        <v>21.73</v>
      </c>
      <c r="S220" s="4" t="n">
        <v>3.73</v>
      </c>
      <c r="T220" s="7">
        <f>N220-S220</f>
        <v/>
      </c>
      <c r="U220" s="4" t="n">
        <v>102.52</v>
      </c>
      <c r="V220" s="7">
        <f>(R220*W220)</f>
        <v/>
      </c>
      <c r="W220" s="13" t="n">
        <v>0.0673</v>
      </c>
      <c r="X220" s="184" t="n"/>
      <c r="Y220" s="184" t="n"/>
      <c r="Z220" s="184" t="n"/>
      <c r="AA220" s="184" t="n"/>
      <c r="AB220" s="184" t="n"/>
      <c r="AC220" s="184" t="n"/>
      <c r="AD220" s="184" t="n"/>
      <c r="AE220" s="184" t="n"/>
    </row>
    <row r="221">
      <c r="A221" s="14" t="n">
        <v>210</v>
      </c>
      <c r="B221" s="9" t="n">
        <v>45103</v>
      </c>
      <c r="C221" s="4" t="n">
        <v>29074458.81</v>
      </c>
      <c r="D221" s="4">
        <f>C221/E221</f>
        <v/>
      </c>
      <c r="E221" s="4" t="n">
        <v>81.97</v>
      </c>
      <c r="F221" s="4">
        <f>D221/100000</f>
        <v/>
      </c>
      <c r="G221" s="4">
        <f>($D$1-F221)/F221*100</f>
        <v/>
      </c>
      <c r="H221" s="4">
        <f>($D$2-F221)/F221*100</f>
        <v/>
      </c>
      <c r="I221" s="4">
        <f>($D$3-F221)/F221*100</f>
        <v/>
      </c>
      <c r="J221" s="4">
        <f>F221/$D$10*100</f>
        <v/>
      </c>
      <c r="K221" s="4">
        <f>N221/L221</f>
        <v/>
      </c>
      <c r="L221" s="4">
        <f>(M221/O221)*100</f>
        <v/>
      </c>
      <c r="M221" s="4">
        <f>O221/R221</f>
        <v/>
      </c>
      <c r="N221" s="4" t="n">
        <v>7.06</v>
      </c>
      <c r="O221" s="4" t="n">
        <v>18691.2</v>
      </c>
      <c r="P221" s="4" t="n">
        <v>4.37</v>
      </c>
      <c r="Q221" s="4">
        <f>N221-L221</f>
        <v/>
      </c>
      <c r="R221" s="4" t="n">
        <v>21.76</v>
      </c>
      <c r="S221" s="4" t="n">
        <v>3.72</v>
      </c>
      <c r="T221" s="7">
        <f>N221-S221</f>
        <v/>
      </c>
      <c r="U221" s="4" t="n">
        <v>102.33</v>
      </c>
      <c r="V221" s="7">
        <f>(R221*W221)</f>
        <v/>
      </c>
      <c r="W221" s="13" t="n">
        <v>0.06759999999999999</v>
      </c>
      <c r="X221" s="184" t="n"/>
      <c r="Y221" s="184" t="n"/>
      <c r="Z221" s="184" t="n"/>
      <c r="AA221" s="184" t="n"/>
      <c r="AB221" s="184" t="n"/>
      <c r="AC221" s="184" t="n"/>
      <c r="AD221" s="184" t="n"/>
      <c r="AE221" s="184" t="n"/>
    </row>
    <row r="222">
      <c r="A222" s="14" t="n">
        <v>211</v>
      </c>
      <c r="B222" s="9" t="n">
        <v>45104</v>
      </c>
      <c r="C222" s="4" t="n">
        <v>29232910.18</v>
      </c>
      <c r="D222" s="4">
        <f>C222/E222</f>
        <v/>
      </c>
      <c r="E222" s="4" t="n">
        <v>81.98</v>
      </c>
      <c r="F222" s="4">
        <f>D222/100000</f>
        <v/>
      </c>
      <c r="G222" s="4">
        <f>($D$1-F222)/F222*100</f>
        <v/>
      </c>
      <c r="H222" s="4">
        <f>($D$2-F222)/F222*100</f>
        <v/>
      </c>
      <c r="I222" s="4">
        <f>($D$3-F222)/F222*100</f>
        <v/>
      </c>
      <c r="J222" s="4">
        <f>F222/$D$10*100</f>
        <v/>
      </c>
      <c r="K222" s="4">
        <f>N222/L222</f>
        <v/>
      </c>
      <c r="L222" s="4">
        <f>(M222/O222)*100</f>
        <v/>
      </c>
      <c r="M222" s="4">
        <f>O222/R222</f>
        <v/>
      </c>
      <c r="N222" s="4" t="n">
        <v>7.06</v>
      </c>
      <c r="O222" s="4" t="n">
        <v>18817.4</v>
      </c>
      <c r="P222" s="4" t="n">
        <v>4.4</v>
      </c>
      <c r="Q222" s="4">
        <f>N222-L222</f>
        <v/>
      </c>
      <c r="R222" s="4" t="n">
        <v>21.9</v>
      </c>
      <c r="S222" s="4" t="n">
        <v>3.77</v>
      </c>
      <c r="T222" s="7">
        <f>N222-S222</f>
        <v/>
      </c>
      <c r="U222" s="4" t="n">
        <v>102.12</v>
      </c>
      <c r="V222" s="7">
        <f>(R222*W222)</f>
        <v/>
      </c>
      <c r="W222" s="13" t="n">
        <v>0.0678</v>
      </c>
      <c r="X222" s="184" t="n"/>
      <c r="Y222" s="184" t="n"/>
      <c r="Z222" s="184" t="n"/>
      <c r="AA222" s="184" t="n"/>
      <c r="AB222" s="184" t="n"/>
      <c r="AC222" s="184" t="n"/>
      <c r="AD222" s="184" t="n"/>
      <c r="AE222" s="184" t="n"/>
    </row>
    <row r="223">
      <c r="A223" s="14" t="n">
        <v>212</v>
      </c>
      <c r="B223" s="9" t="n">
        <v>45105</v>
      </c>
      <c r="C223" s="4" t="n">
        <v>29430128.19</v>
      </c>
      <c r="D223" s="4">
        <f>C223/E223</f>
        <v/>
      </c>
      <c r="E223" s="4" t="n">
        <v>82.02</v>
      </c>
      <c r="F223" s="4">
        <f>D223/100000</f>
        <v/>
      </c>
      <c r="G223" s="4">
        <f>($D$1-F223)/F223*100</f>
        <v/>
      </c>
      <c r="H223" s="4">
        <f>($D$2-F223)/F223*100</f>
        <v/>
      </c>
      <c r="I223" s="4">
        <f>($D$3-F223)/F223*100</f>
        <v/>
      </c>
      <c r="J223" s="4">
        <f>F223/$D$10*100</f>
        <v/>
      </c>
      <c r="K223" s="4">
        <f>N223/L223</f>
        <v/>
      </c>
      <c r="L223" s="4">
        <f>(M223/O223)*100</f>
        <v/>
      </c>
      <c r="M223" s="4">
        <f>O223/R223</f>
        <v/>
      </c>
      <c r="N223" s="4" t="n">
        <v>7.05</v>
      </c>
      <c r="O223" s="4" t="n">
        <v>18972.1</v>
      </c>
      <c r="P223" s="4" t="n">
        <v>4.43</v>
      </c>
      <c r="Q223" s="4">
        <f>N223-L223</f>
        <v/>
      </c>
      <c r="R223" s="4" t="n">
        <v>22.08</v>
      </c>
      <c r="S223" s="4" t="n">
        <v>3.84</v>
      </c>
      <c r="T223" s="7">
        <f>N223-S223</f>
        <v/>
      </c>
      <c r="U223" s="4" t="n">
        <v>102.54</v>
      </c>
      <c r="V223" s="7">
        <f>(R223*W223)</f>
        <v/>
      </c>
      <c r="W223" s="13" t="n">
        <v>0.0674</v>
      </c>
      <c r="X223" s="184" t="n"/>
      <c r="Y223" s="184" t="n"/>
      <c r="Z223" s="184" t="n"/>
      <c r="AA223" s="184" t="n"/>
      <c r="AB223" s="184" t="n"/>
      <c r="AC223" s="184" t="n"/>
      <c r="AD223" s="184" t="n"/>
      <c r="AE223" s="184" t="n"/>
    </row>
    <row r="224">
      <c r="A224" s="14" t="n">
        <v>213</v>
      </c>
      <c r="B224" s="9" t="n">
        <v>45107</v>
      </c>
      <c r="C224" s="4" t="n">
        <v>29699917.48</v>
      </c>
      <c r="D224" s="4">
        <f>C224/E224</f>
        <v/>
      </c>
      <c r="E224" s="4" t="n">
        <v>82.09</v>
      </c>
      <c r="F224" s="4">
        <f>D224/100000</f>
        <v/>
      </c>
      <c r="G224" s="4">
        <f>($D$1-F224)/F224*100</f>
        <v/>
      </c>
      <c r="H224" s="4">
        <f>($D$2-F224)/F224*100</f>
        <v/>
      </c>
      <c r="I224" s="4">
        <f>($D$3-F224)/F224*100</f>
        <v/>
      </c>
      <c r="J224" s="4">
        <f>F224/$D$10*100</f>
        <v/>
      </c>
      <c r="K224" s="4">
        <f>N224/L224</f>
        <v/>
      </c>
      <c r="L224" s="4">
        <f>(M224/O224)*100</f>
        <v/>
      </c>
      <c r="M224" s="4">
        <f>O224/R224</f>
        <v/>
      </c>
      <c r="N224" s="4" t="n">
        <v>7.11</v>
      </c>
      <c r="O224" s="4" t="n">
        <v>19189.05</v>
      </c>
      <c r="P224" s="4" t="n">
        <v>4.5</v>
      </c>
      <c r="Q224" s="4">
        <f>N224-L224</f>
        <v/>
      </c>
      <c r="R224" s="4" t="n">
        <v>22.36</v>
      </c>
      <c r="S224" s="4" t="n">
        <v>3.84</v>
      </c>
      <c r="T224" s="7">
        <f>N224-S224</f>
        <v/>
      </c>
      <c r="U224" s="4" t="n">
        <v>102.58</v>
      </c>
      <c r="V224" s="7">
        <f>(R224*W224)</f>
        <v/>
      </c>
      <c r="W224" s="13" t="n">
        <v>0.0672</v>
      </c>
      <c r="X224" s="184" t="n"/>
      <c r="Y224" s="184" t="n"/>
      <c r="Z224" s="184" t="n"/>
      <c r="AA224" s="184" t="n"/>
      <c r="AB224" s="184" t="n"/>
      <c r="AC224" s="184" t="n"/>
      <c r="AD224" s="184" t="n"/>
      <c r="AE224" s="184" t="n"/>
    </row>
    <row r="225">
      <c r="A225" s="14" t="n">
        <v>214</v>
      </c>
      <c r="B225" s="9" t="n">
        <v>45110</v>
      </c>
      <c r="C225" s="4" t="n">
        <v>29833258.83</v>
      </c>
      <c r="D225" s="4">
        <f>C225/E225</f>
        <v/>
      </c>
      <c r="E225" s="4" t="n">
        <v>81.94</v>
      </c>
      <c r="F225" s="4">
        <f>D225/100000</f>
        <v/>
      </c>
      <c r="G225" s="4">
        <f>($D$1-F225)/F225*100</f>
        <v/>
      </c>
      <c r="H225" s="4">
        <f>($D$2-F225)/F225*100</f>
        <v/>
      </c>
      <c r="I225" s="4">
        <f>($D$3-F225)/F225*100</f>
        <v/>
      </c>
      <c r="J225" s="4">
        <f>F225/$D$10*100</f>
        <v/>
      </c>
      <c r="K225" s="4">
        <f>N225/L225</f>
        <v/>
      </c>
      <c r="L225" s="4">
        <f>(M225/O225)*100</f>
        <v/>
      </c>
      <c r="M225" s="4">
        <f>O225/R225</f>
        <v/>
      </c>
      <c r="N225" s="4" t="n">
        <v>7.11</v>
      </c>
      <c r="O225" s="4" t="n">
        <v>19322.55</v>
      </c>
      <c r="P225" s="4" t="n">
        <v>4.53</v>
      </c>
      <c r="Q225" s="4">
        <f>N225-L225</f>
        <v/>
      </c>
      <c r="R225" s="4" t="n">
        <v>22.51</v>
      </c>
      <c r="S225" s="4" t="n">
        <v>3.85</v>
      </c>
      <c r="T225" s="7">
        <f>N225-S225</f>
        <v/>
      </c>
      <c r="U225" s="4" t="n">
        <v>102.65</v>
      </c>
      <c r="V225" s="7">
        <f>(R225*W225)</f>
        <v/>
      </c>
      <c r="W225" s="13" t="n">
        <v>0.067</v>
      </c>
      <c r="X225" s="184" t="n"/>
      <c r="Y225" s="184" t="n"/>
      <c r="Z225" s="184" t="n"/>
      <c r="AA225" s="184" t="n"/>
      <c r="AB225" s="184" t="n"/>
      <c r="AC225" s="184" t="n"/>
      <c r="AD225" s="184" t="n"/>
      <c r="AE225" s="184" t="n"/>
    </row>
    <row r="226">
      <c r="A226" s="14" t="n">
        <v>215</v>
      </c>
      <c r="B226" s="9" t="n">
        <v>45111</v>
      </c>
      <c r="C226" s="4" t="n">
        <v>29882211.12</v>
      </c>
      <c r="D226" s="4">
        <f>C226/E226</f>
        <v/>
      </c>
      <c r="E226" s="4" t="n">
        <v>81.94</v>
      </c>
      <c r="F226" s="4">
        <f>D226/100000</f>
        <v/>
      </c>
      <c r="G226" s="4">
        <f>($D$1-F226)/F226*100</f>
        <v/>
      </c>
      <c r="H226" s="4">
        <f>($D$2-F226)/F226*100</f>
        <v/>
      </c>
      <c r="I226" s="4">
        <f>($D$3-F226)/F226*100</f>
        <v/>
      </c>
      <c r="J226" s="4">
        <f>F226/$D$10*100</f>
        <v/>
      </c>
      <c r="K226" s="4">
        <f>N226/L226</f>
        <v/>
      </c>
      <c r="L226" s="4">
        <f>(M226/O226)*100</f>
        <v/>
      </c>
      <c r="M226" s="4">
        <f>O226/R226</f>
        <v/>
      </c>
      <c r="N226" s="4" t="n">
        <v>7.11</v>
      </c>
      <c r="O226" s="4" t="n">
        <v>19389</v>
      </c>
      <c r="P226" s="4" t="n">
        <v>4.54</v>
      </c>
      <c r="Q226" s="4">
        <f>N226-L226</f>
        <v/>
      </c>
      <c r="R226" s="4" t="n">
        <v>22.59</v>
      </c>
      <c r="S226" s="4" t="n">
        <v>3.83</v>
      </c>
      <c r="T226" s="7">
        <f>N226-S226</f>
        <v/>
      </c>
      <c r="U226" s="4" t="n">
        <v>102.65</v>
      </c>
      <c r="V226" s="7">
        <f>(R226*W226)</f>
        <v/>
      </c>
      <c r="W226" s="13" t="n">
        <v>0.0668</v>
      </c>
      <c r="X226" s="184" t="n"/>
      <c r="Y226" s="184" t="n"/>
      <c r="Z226" s="184" t="n"/>
      <c r="AA226" s="184" t="n"/>
      <c r="AB226" s="184" t="n"/>
      <c r="AC226" s="184" t="n"/>
      <c r="AD226" s="184" t="n"/>
      <c r="AE226" s="184" t="n"/>
    </row>
    <row r="227">
      <c r="A227" s="14" t="n">
        <v>216</v>
      </c>
      <c r="B227" s="9" t="n">
        <v>45112</v>
      </c>
      <c r="C227" s="4" t="n">
        <v>30012769.24</v>
      </c>
      <c r="D227" s="4">
        <f>C227/E227</f>
        <v/>
      </c>
      <c r="E227" s="4" t="n">
        <v>82.39</v>
      </c>
      <c r="F227" s="4">
        <f>D227/100000</f>
        <v/>
      </c>
      <c r="G227" s="4">
        <f>($D$1-F227)/F227*100</f>
        <v/>
      </c>
      <c r="H227" s="4">
        <f>($D$2-F227)/F227*100</f>
        <v/>
      </c>
      <c r="I227" s="4">
        <f>($D$3-F227)/F227*100</f>
        <v/>
      </c>
      <c r="J227" s="4">
        <f>F227/$D$10*100</f>
        <v/>
      </c>
      <c r="K227" s="4">
        <f>N227/L227</f>
        <v/>
      </c>
      <c r="L227" s="4">
        <f>(M227/O227)*100</f>
        <v/>
      </c>
      <c r="M227" s="4">
        <f>O227/R227</f>
        <v/>
      </c>
      <c r="N227" s="4" t="n">
        <v>7.1</v>
      </c>
      <c r="O227" s="4" t="n">
        <v>19398.5</v>
      </c>
      <c r="P227" s="4" t="n">
        <v>4.55</v>
      </c>
      <c r="Q227" s="4">
        <f>N227-L227</f>
        <v/>
      </c>
      <c r="R227" s="4" t="n">
        <v>22.6</v>
      </c>
      <c r="S227" s="4" t="n">
        <v>3.93</v>
      </c>
      <c r="T227" s="7">
        <f>N227-S227</f>
        <v/>
      </c>
      <c r="U227" s="4" t="n">
        <v>103.03</v>
      </c>
      <c r="V227" s="7">
        <f>(R227*W227)</f>
        <v/>
      </c>
      <c r="W227" s="13" t="n">
        <v>0.0674</v>
      </c>
      <c r="X227" s="184" t="n"/>
      <c r="Y227" s="184" t="n"/>
      <c r="Z227" s="184" t="n"/>
      <c r="AA227" s="184" t="n"/>
      <c r="AB227" s="184" t="n"/>
      <c r="AC227" s="184" t="n"/>
      <c r="AD227" s="184" t="n"/>
      <c r="AE227" s="184" t="n"/>
    </row>
    <row r="228">
      <c r="A228" s="14" t="n">
        <v>217</v>
      </c>
      <c r="B228" s="9" t="n">
        <v>45113</v>
      </c>
      <c r="C228" s="4" t="n">
        <v>30197064.27</v>
      </c>
      <c r="D228" s="4">
        <f>C228/E228</f>
        <v/>
      </c>
      <c r="E228" s="4" t="n">
        <v>82.75</v>
      </c>
      <c r="F228" s="4">
        <f>D228/100000</f>
        <v/>
      </c>
      <c r="G228" s="4">
        <f>($D$1-F228)/F228*100</f>
        <v/>
      </c>
      <c r="H228" s="4">
        <f>($D$2-F228)/F228*100</f>
        <v/>
      </c>
      <c r="I228" s="4">
        <f>($D$3-F228)/F228*100</f>
        <v/>
      </c>
      <c r="J228" s="4">
        <f>F228/$D$10*100</f>
        <v/>
      </c>
      <c r="K228" s="4">
        <f>N228/L228</f>
        <v/>
      </c>
      <c r="L228" s="4">
        <f>(M228/O228)*100</f>
        <v/>
      </c>
      <c r="M228" s="4">
        <f>O228/R228</f>
        <v/>
      </c>
      <c r="N228" s="4" t="n">
        <v>7.14</v>
      </c>
      <c r="O228" s="4" t="n">
        <v>19497.3</v>
      </c>
      <c r="P228" s="4" t="n">
        <v>4.57</v>
      </c>
      <c r="Q228" s="4">
        <f>N228-L228</f>
        <v/>
      </c>
      <c r="R228" s="4" t="n">
        <v>22.72</v>
      </c>
      <c r="S228" s="4" t="n">
        <v>4.03</v>
      </c>
      <c r="T228" s="7">
        <f>N228-S228</f>
        <v/>
      </c>
      <c r="U228" s="4" t="n">
        <v>102.86</v>
      </c>
      <c r="V228" s="7">
        <f>(R228*W228)</f>
        <v/>
      </c>
      <c r="W228" s="13" t="n">
        <v>0.06710000000000001</v>
      </c>
      <c r="X228" s="184" t="n"/>
      <c r="Y228" s="184" t="n"/>
      <c r="Z228" s="184" t="n"/>
      <c r="AA228" s="184" t="n"/>
      <c r="AB228" s="184" t="n"/>
      <c r="AC228" s="184" t="n"/>
      <c r="AD228" s="184" t="n"/>
      <c r="AE228" s="184" t="n"/>
    </row>
    <row r="229">
      <c r="A229" s="14" t="n">
        <v>218</v>
      </c>
      <c r="B229" s="9" t="n">
        <v>45114</v>
      </c>
      <c r="C229" s="4" t="n">
        <v>30002263.39</v>
      </c>
      <c r="D229" s="4">
        <f>C229/E229</f>
        <v/>
      </c>
      <c r="E229" s="4" t="n">
        <v>82.61</v>
      </c>
      <c r="F229" s="4">
        <f>D229/100000</f>
        <v/>
      </c>
      <c r="G229" s="4">
        <f>($D$1-F229)/F229*100</f>
        <v/>
      </c>
      <c r="H229" s="4">
        <f>($D$2-F229)/F229*100</f>
        <v/>
      </c>
      <c r="I229" s="4">
        <f>($D$3-F229)/F229*100</f>
        <v/>
      </c>
      <c r="J229" s="4">
        <f>F229/$D$10*100</f>
        <v/>
      </c>
      <c r="K229" s="4">
        <f>N229/L229</f>
        <v/>
      </c>
      <c r="L229" s="4">
        <f>(M229/O229)*100</f>
        <v/>
      </c>
      <c r="M229" s="4">
        <f>O229/R229</f>
        <v/>
      </c>
      <c r="N229" s="4" t="n">
        <v>7.15</v>
      </c>
      <c r="O229" s="4" t="n">
        <v>19331.8</v>
      </c>
      <c r="P229" s="4" t="n">
        <v>4.53</v>
      </c>
      <c r="Q229" s="4">
        <f>N229-L229</f>
        <v/>
      </c>
      <c r="R229" s="4" t="n">
        <v>22.52</v>
      </c>
      <c r="S229" s="4" t="n">
        <v>4.06</v>
      </c>
      <c r="T229" s="7">
        <f>N229-S229</f>
        <v/>
      </c>
      <c r="U229" s="4" t="n">
        <v>101.95</v>
      </c>
      <c r="V229" s="7">
        <f>(R229*W229)</f>
        <v/>
      </c>
      <c r="W229" s="13" t="n">
        <v>0.06710000000000001</v>
      </c>
      <c r="X229" s="184" t="n"/>
      <c r="Y229" s="184" t="n"/>
      <c r="Z229" s="184" t="n"/>
      <c r="AA229" s="184" t="n"/>
      <c r="AB229" s="184" t="n"/>
      <c r="AC229" s="184" t="n"/>
      <c r="AD229" s="184" t="n"/>
      <c r="AE229" s="184" t="n"/>
    </row>
    <row r="230">
      <c r="A230" s="14" t="n">
        <v>219</v>
      </c>
      <c r="B230" s="9" t="n">
        <v>45117</v>
      </c>
      <c r="C230" s="4" t="n">
        <v>29966960.03</v>
      </c>
      <c r="D230" s="4">
        <f>C230/E230</f>
        <v/>
      </c>
      <c r="E230" s="4" t="n">
        <v>82.52</v>
      </c>
      <c r="F230" s="4">
        <f>D230/100000</f>
        <v/>
      </c>
      <c r="G230" s="4">
        <f>($D$1-F230)/F230*100</f>
        <v/>
      </c>
      <c r="H230" s="4">
        <f>($D$2-F230)/F230*100</f>
        <v/>
      </c>
      <c r="I230" s="4">
        <f>($D$3-F230)/F230*100</f>
        <v/>
      </c>
      <c r="J230" s="4">
        <f>F230/$D$10*100</f>
        <v/>
      </c>
      <c r="K230" s="4">
        <f>N230/L230</f>
        <v/>
      </c>
      <c r="L230" s="4">
        <f>(M230/O230)*100</f>
        <v/>
      </c>
      <c r="M230" s="4">
        <f>O230/R230</f>
        <v/>
      </c>
      <c r="N230" s="4" t="n">
        <v>7.14</v>
      </c>
      <c r="O230" s="4" t="n">
        <v>19355.9</v>
      </c>
      <c r="P230" s="4" t="n">
        <v>4.54</v>
      </c>
      <c r="Q230" s="4">
        <f>N230-L230</f>
        <v/>
      </c>
      <c r="R230" s="4" t="n">
        <v>22.55</v>
      </c>
      <c r="S230" s="4" t="n">
        <v>4</v>
      </c>
      <c r="T230" s="7">
        <f>N230-S230</f>
        <v/>
      </c>
      <c r="U230" s="4" t="n">
        <v>101.64</v>
      </c>
      <c r="V230" s="7">
        <f>(R230*W230)</f>
        <v/>
      </c>
      <c r="W230" s="13" t="n">
        <v>0.067</v>
      </c>
      <c r="X230" s="184" t="n"/>
      <c r="Y230" s="184" t="n"/>
      <c r="Z230" s="184" t="n"/>
      <c r="AA230" s="184" t="n"/>
      <c r="AB230" s="184" t="n"/>
      <c r="AC230" s="184" t="n"/>
      <c r="AD230" s="184" t="n"/>
      <c r="AE230" s="184" t="n"/>
    </row>
    <row r="231">
      <c r="A231" s="14" t="n">
        <v>220</v>
      </c>
      <c r="B231" s="9" t="n">
        <v>45118</v>
      </c>
      <c r="C231" s="4" t="n">
        <v>30156320.02</v>
      </c>
      <c r="D231" s="4">
        <f>C231/E231</f>
        <v/>
      </c>
      <c r="E231" s="4" t="n">
        <v>82.39</v>
      </c>
      <c r="F231" s="4">
        <f>D231/100000</f>
        <v/>
      </c>
      <c r="G231" s="4">
        <f>($D$1-F231)/F231*100</f>
        <v/>
      </c>
      <c r="H231" s="4">
        <f>($D$2-F231)/F231*100</f>
        <v/>
      </c>
      <c r="I231" s="4">
        <f>($D$3-F231)/F231*100</f>
        <v/>
      </c>
      <c r="J231" s="4">
        <f>F231/$D$10*100</f>
        <v/>
      </c>
      <c r="K231" s="4">
        <f>N231/L231</f>
        <v/>
      </c>
      <c r="L231" s="4">
        <f>(M231/O231)*100</f>
        <v/>
      </c>
      <c r="M231" s="4">
        <f>O231/R231</f>
        <v/>
      </c>
      <c r="N231" s="4" t="n">
        <v>7.09</v>
      </c>
      <c r="O231" s="4" t="n">
        <v>19439.4</v>
      </c>
      <c r="P231" s="4" t="n">
        <v>4.56</v>
      </c>
      <c r="Q231" s="4">
        <f>N231-L231</f>
        <v/>
      </c>
      <c r="R231" s="4" t="n">
        <v>22.65</v>
      </c>
      <c r="S231" s="4" t="n">
        <v>3.97</v>
      </c>
      <c r="T231" s="7">
        <f>N231-S231</f>
        <v/>
      </c>
      <c r="U231" s="4" t="n">
        <v>101.4</v>
      </c>
      <c r="V231" s="7">
        <f>(R231*W231)</f>
        <v/>
      </c>
      <c r="W231" s="13" t="n">
        <v>0.0669</v>
      </c>
      <c r="X231" s="184" t="n"/>
      <c r="Y231" s="184" t="n"/>
      <c r="Z231" s="184" t="n"/>
      <c r="AA231" s="184" t="n"/>
      <c r="AB231" s="184" t="n"/>
      <c r="AC231" s="184" t="n"/>
      <c r="AD231" s="184" t="n"/>
      <c r="AE231" s="184" t="n"/>
    </row>
    <row r="232">
      <c r="A232" s="14" t="n">
        <v>221</v>
      </c>
      <c r="B232" s="9" t="n">
        <v>45119</v>
      </c>
      <c r="C232" s="4" t="n">
        <v>30194806.7</v>
      </c>
      <c r="D232" s="4">
        <f>C232/E232</f>
        <v/>
      </c>
      <c r="E232" s="4" t="n">
        <v>81.98</v>
      </c>
      <c r="F232" s="4">
        <f>D232/100000</f>
        <v/>
      </c>
      <c r="G232" s="4">
        <f>($D$1-F232)/F232*100</f>
        <v/>
      </c>
      <c r="H232" s="4">
        <f>($D$2-F232)/F232*100</f>
        <v/>
      </c>
      <c r="I232" s="4">
        <f>($D$3-F232)/F232*100</f>
        <v/>
      </c>
      <c r="J232" s="4">
        <f>F232/$D$10*100</f>
        <v/>
      </c>
      <c r="K232" s="4">
        <f>N232/L232</f>
        <v/>
      </c>
      <c r="L232" s="4">
        <f>(M232/O232)*100</f>
        <v/>
      </c>
      <c r="M232" s="4">
        <f>O232/R232</f>
        <v/>
      </c>
      <c r="N232" s="4" t="n">
        <v>7.11</v>
      </c>
      <c r="O232" s="4" t="n">
        <v>19384.3</v>
      </c>
      <c r="P232" s="4" t="n">
        <v>4.54</v>
      </c>
      <c r="Q232" s="4">
        <f>N232-L232</f>
        <v/>
      </c>
      <c r="R232" s="4" t="n">
        <v>22.58</v>
      </c>
      <c r="S232" s="4" t="n">
        <v>3.86</v>
      </c>
      <c r="T232" s="7">
        <f>N232-S232</f>
        <v/>
      </c>
      <c r="U232" s="4" t="n">
        <v>100.19</v>
      </c>
      <c r="V232" s="7">
        <f>(R232*W232)</f>
        <v/>
      </c>
      <c r="W232" s="13" t="n">
        <v>0.06710000000000001</v>
      </c>
      <c r="X232" s="184" t="n"/>
      <c r="Y232" s="184" t="n"/>
      <c r="Z232" s="184" t="n"/>
      <c r="AA232" s="184" t="n"/>
      <c r="AB232" s="184" t="n"/>
      <c r="AC232" s="184" t="n"/>
      <c r="AD232" s="184" t="n"/>
      <c r="AE232" s="184" t="n"/>
    </row>
    <row r="233">
      <c r="A233" s="14" t="n">
        <v>222</v>
      </c>
      <c r="B233" s="9" t="n">
        <v>45120</v>
      </c>
      <c r="C233" s="4" t="n">
        <v>30108996.53</v>
      </c>
      <c r="D233" s="4">
        <f>C233/E233</f>
        <v/>
      </c>
      <c r="E233" s="4" t="n">
        <v>82.04000000000001</v>
      </c>
      <c r="F233" s="4">
        <f>D233/100000</f>
        <v/>
      </c>
      <c r="G233" s="4">
        <f>($D$1-F233)/F233*100</f>
        <v/>
      </c>
      <c r="H233" s="4">
        <f>($D$2-F233)/F233*100</f>
        <v/>
      </c>
      <c r="I233" s="4">
        <f>($D$3-F233)/F233*100</f>
        <v/>
      </c>
      <c r="J233" s="4">
        <f>F233/$D$10*100</f>
        <v/>
      </c>
      <c r="K233" s="4">
        <f>N233/L233</f>
        <v/>
      </c>
      <c r="L233" s="4">
        <f>(M233/O233)*100</f>
        <v/>
      </c>
      <c r="M233" s="4">
        <f>O233/R233</f>
        <v/>
      </c>
      <c r="N233" s="4" t="n">
        <v>7.07</v>
      </c>
      <c r="O233" s="4" t="n">
        <v>19413.75</v>
      </c>
      <c r="P233" s="4" t="n">
        <v>4.74</v>
      </c>
      <c r="Q233" s="4">
        <f>N233-L233</f>
        <v/>
      </c>
      <c r="R233" s="4" t="n">
        <v>23.81</v>
      </c>
      <c r="S233" s="4" t="n">
        <v>3.76</v>
      </c>
      <c r="T233" s="7">
        <f>N233-S233</f>
        <v/>
      </c>
      <c r="U233" s="4" t="n">
        <v>99.45</v>
      </c>
      <c r="V233" s="7">
        <f>(R233*W233)</f>
        <v/>
      </c>
      <c r="W233" s="13" t="n">
        <v>0.067</v>
      </c>
      <c r="X233" s="184" t="n"/>
      <c r="Y233" s="184" t="n"/>
      <c r="Z233" s="184" t="n"/>
      <c r="AA233" s="184" t="n"/>
      <c r="AB233" s="184" t="n"/>
      <c r="AC233" s="184" t="n"/>
      <c r="AD233" s="184" t="n"/>
      <c r="AE233" s="184" t="n"/>
    </row>
    <row r="234">
      <c r="A234" s="14" t="n">
        <v>223</v>
      </c>
      <c r="B234" s="9" t="n">
        <v>45121</v>
      </c>
      <c r="C234" s="5" t="n">
        <v>30388030.96</v>
      </c>
      <c r="D234" s="4">
        <f>C234/E234</f>
        <v/>
      </c>
      <c r="E234" s="4" t="n">
        <v>82.04000000000001</v>
      </c>
      <c r="F234" s="4">
        <f>D234/100000</f>
        <v/>
      </c>
      <c r="G234" s="4">
        <f>($D$1-F234)/F234*100</f>
        <v/>
      </c>
      <c r="H234" s="4">
        <f>($D$2-F234)/F234*100</f>
        <v/>
      </c>
      <c r="I234" s="4">
        <f>($D$3-F234)/F234*100</f>
        <v/>
      </c>
      <c r="J234" s="4">
        <f>F234/$D$10*100</f>
        <v/>
      </c>
      <c r="K234" s="4">
        <f>N234/L234</f>
        <v/>
      </c>
      <c r="L234" s="4">
        <f>(M234/O234)*100</f>
        <v/>
      </c>
      <c r="M234" s="4">
        <f>O234/R234</f>
        <v/>
      </c>
      <c r="N234" s="4" t="n">
        <v>7.08</v>
      </c>
      <c r="O234" s="4" t="n">
        <v>19564.5</v>
      </c>
      <c r="P234" s="4" t="n">
        <v>4.78</v>
      </c>
      <c r="Q234" s="4">
        <f>N234-L234</f>
        <v/>
      </c>
      <c r="R234" s="4" t="n">
        <v>23.96</v>
      </c>
      <c r="S234" s="4" t="n">
        <v>3.83</v>
      </c>
      <c r="T234" s="7">
        <f>N234-S234</f>
        <v/>
      </c>
      <c r="U234" s="4" t="n">
        <v>99.59999999999999</v>
      </c>
      <c r="V234" s="7">
        <f>(R234*W234)</f>
        <v/>
      </c>
      <c r="W234" s="13" t="n">
        <v>0.0669</v>
      </c>
      <c r="X234" s="184" t="n"/>
      <c r="Y234" s="184" t="n"/>
      <c r="Z234" s="184" t="n"/>
      <c r="AA234" s="184" t="n"/>
      <c r="AB234" s="184" t="n"/>
      <c r="AC234" s="184" t="n"/>
      <c r="AD234" s="184" t="n"/>
      <c r="AE234" s="184" t="n"/>
    </row>
    <row r="235">
      <c r="A235" s="14" t="n">
        <v>224</v>
      </c>
      <c r="B235" s="9" t="n">
        <v>45124</v>
      </c>
      <c r="C235" s="4" t="n">
        <v>30876495.19</v>
      </c>
      <c r="D235" s="4">
        <f>C235/E235</f>
        <v/>
      </c>
      <c r="E235" s="4" t="n">
        <v>82.06</v>
      </c>
      <c r="F235" s="4">
        <f>D235/100000</f>
        <v/>
      </c>
      <c r="G235" s="4">
        <f>($D$1-F235)/F235*100</f>
        <v/>
      </c>
      <c r="H235" s="4">
        <f>($D$2-F235)/F235*100</f>
        <v/>
      </c>
      <c r="I235" s="4">
        <f>($D$3-F235)/F235*100</f>
        <v/>
      </c>
      <c r="J235" s="17">
        <f>F235/$F$10*100</f>
        <v/>
      </c>
      <c r="K235" s="4">
        <f>N235/L235</f>
        <v/>
      </c>
      <c r="L235" s="4">
        <f>(M235/O235)*100</f>
        <v/>
      </c>
      <c r="M235" s="4">
        <f>O235/R235</f>
        <v/>
      </c>
      <c r="N235" s="4" t="n">
        <v>7.07</v>
      </c>
      <c r="O235" s="4" t="n">
        <v>19711.45</v>
      </c>
      <c r="P235" s="4" t="n">
        <v>4.82</v>
      </c>
      <c r="Q235" s="4">
        <f>N235-L235</f>
        <v/>
      </c>
      <c r="R235" s="4" t="n">
        <v>24.14</v>
      </c>
      <c r="S235" s="4" t="n">
        <v>3.79</v>
      </c>
      <c r="T235" s="7">
        <f>N235-S235</f>
        <v/>
      </c>
      <c r="U235" s="4" t="n">
        <v>99.52</v>
      </c>
      <c r="V235" s="7">
        <f>(R235*W235)</f>
        <v/>
      </c>
      <c r="W235" s="13" t="n">
        <v>0.06710000000000001</v>
      </c>
      <c r="X235" s="184" t="n"/>
      <c r="Y235" s="184" t="n"/>
      <c r="Z235" s="184" t="n"/>
      <c r="AA235" s="184" t="n"/>
      <c r="AB235" s="184" t="n"/>
      <c r="AC235" s="184" t="n"/>
      <c r="AD235" s="184" t="n"/>
      <c r="AE235" s="184" t="n"/>
    </row>
    <row r="236">
      <c r="A236" s="14" t="n">
        <v>225</v>
      </c>
      <c r="B236" s="9" t="n">
        <v>45125</v>
      </c>
      <c r="C236" s="4" t="n">
        <v>30843536.12</v>
      </c>
      <c r="D236" s="4">
        <f>C236/E236</f>
        <v/>
      </c>
      <c r="E236" s="4" t="n">
        <v>82.06</v>
      </c>
      <c r="F236" s="4">
        <f>D236/100000</f>
        <v/>
      </c>
      <c r="G236" s="4">
        <f>($D$1-F236)/F236*100</f>
        <v/>
      </c>
      <c r="H236" s="4">
        <f>($D$2-F236)/F236*100</f>
        <v/>
      </c>
      <c r="I236" s="4">
        <f>($D$3-F236)/F236*100</f>
        <v/>
      </c>
      <c r="J236" s="17">
        <f>F236/$F$10*100</f>
        <v/>
      </c>
      <c r="K236" s="4">
        <f>N236/L236</f>
        <v/>
      </c>
      <c r="L236" s="4">
        <f>(M236/O236)*100</f>
        <v/>
      </c>
      <c r="M236" s="4">
        <f>O236/R236</f>
        <v/>
      </c>
      <c r="N236" s="4" t="n">
        <v>7.05</v>
      </c>
      <c r="O236" s="4" t="n">
        <v>19749.25</v>
      </c>
      <c r="P236" s="4" t="n">
        <v>4.83</v>
      </c>
      <c r="Q236" s="4">
        <f>N236-L236</f>
        <v/>
      </c>
      <c r="R236" s="4" t="n">
        <v>24.18</v>
      </c>
      <c r="S236" s="4" t="n">
        <v>3.78</v>
      </c>
      <c r="T236" s="7">
        <f>N236-S236</f>
        <v/>
      </c>
      <c r="U236" s="4" t="n">
        <v>99.62</v>
      </c>
      <c r="V236" s="7">
        <f>(R236*W236)</f>
        <v/>
      </c>
      <c r="W236" s="13" t="n">
        <v>0.0672</v>
      </c>
      <c r="X236" s="184" t="n"/>
      <c r="Y236" s="184" t="n"/>
      <c r="Z236" s="184" t="n"/>
      <c r="AA236" s="184" t="n"/>
      <c r="AB236" s="184" t="n"/>
      <c r="AC236" s="184" t="n"/>
      <c r="AD236" s="184" t="n"/>
      <c r="AE236" s="184" t="n"/>
    </row>
    <row r="237">
      <c r="A237" s="14" t="n">
        <v>226</v>
      </c>
      <c r="B237" s="9" t="n">
        <v>45126</v>
      </c>
      <c r="C237" s="4" t="n">
        <v>30991402.49</v>
      </c>
      <c r="D237" s="4">
        <f>C237/E237</f>
        <v/>
      </c>
      <c r="E237" s="4" t="n">
        <v>82.05</v>
      </c>
      <c r="F237" s="4">
        <f>D237/100000</f>
        <v/>
      </c>
      <c r="G237" s="4">
        <f>($D$1-F237)/F237*100</f>
        <v/>
      </c>
      <c r="H237" s="4">
        <f>($D$2-F237)/F237*100</f>
        <v/>
      </c>
      <c r="I237" s="4">
        <f>($D$3-F237)/F237*100</f>
        <v/>
      </c>
      <c r="J237" s="17">
        <f>F237/$F$10*100</f>
        <v/>
      </c>
      <c r="K237" s="4">
        <f>N237/L237</f>
        <v/>
      </c>
      <c r="L237" s="4">
        <f>(M237/O237)*100</f>
        <v/>
      </c>
      <c r="M237" s="4">
        <f>O237/R237</f>
        <v/>
      </c>
      <c r="N237" s="4" t="n">
        <v>7.07</v>
      </c>
      <c r="O237" s="4" t="n">
        <v>19833.15</v>
      </c>
      <c r="P237" s="4" t="n">
        <v>4.85</v>
      </c>
      <c r="Q237" s="4">
        <f>N237-L237</f>
        <v/>
      </c>
      <c r="R237" s="4" t="n">
        <v>24.09</v>
      </c>
      <c r="S237" s="4" t="n">
        <v>3.74</v>
      </c>
      <c r="T237" s="7">
        <f>N237-S237</f>
        <v/>
      </c>
      <c r="U237" s="4" t="n">
        <v>99.98</v>
      </c>
      <c r="V237" s="7">
        <f>(R237*W237)</f>
        <v/>
      </c>
      <c r="W237" s="13" t="n">
        <v>0.0669</v>
      </c>
      <c r="X237" s="184" t="n"/>
      <c r="Y237" s="184" t="n"/>
      <c r="Z237" s="184" t="n"/>
      <c r="AA237" s="184" t="n"/>
      <c r="AB237" s="184" t="n"/>
      <c r="AC237" s="184" t="n"/>
      <c r="AD237" s="184" t="n"/>
      <c r="AE237" s="184" t="n"/>
    </row>
    <row r="238">
      <c r="A238" s="14" t="n">
        <v>227</v>
      </c>
      <c r="B238" s="9" t="n">
        <v>45127</v>
      </c>
      <c r="C238" s="4" t="n">
        <v>30943571.13</v>
      </c>
      <c r="D238" s="4">
        <f>C238/E238</f>
        <v/>
      </c>
      <c r="E238" s="4" t="n">
        <v>82.06999999999999</v>
      </c>
      <c r="F238" s="4">
        <f>D238/100000</f>
        <v/>
      </c>
      <c r="G238" s="4">
        <f>($D$1-F238)/F238*100</f>
        <v/>
      </c>
      <c r="H238" s="4">
        <f>($D$2-F238)/F238*100</f>
        <v/>
      </c>
      <c r="I238" s="4">
        <f>($D$3-F238)/F238*100</f>
        <v/>
      </c>
      <c r="J238" s="17">
        <f>F238/$F$10*100</f>
        <v/>
      </c>
      <c r="K238" s="4">
        <f>N238/L238</f>
        <v/>
      </c>
      <c r="L238" s="4">
        <f>(M238/O238)*100</f>
        <v/>
      </c>
      <c r="M238" s="4">
        <f>O238/R238</f>
        <v/>
      </c>
      <c r="N238" s="4" t="n">
        <v>7.08</v>
      </c>
      <c r="O238" s="4" t="n">
        <v>19979.15</v>
      </c>
      <c r="P238" s="4" t="n">
        <v>4.88</v>
      </c>
      <c r="Q238" s="4">
        <f>N238-L238</f>
        <v/>
      </c>
      <c r="R238" s="4" t="n">
        <v>24.24</v>
      </c>
      <c r="S238" s="4" t="n">
        <v>3.85</v>
      </c>
      <c r="T238" s="7">
        <f>N238-S238</f>
        <v/>
      </c>
      <c r="U238" s="4" t="n">
        <v>100.59</v>
      </c>
      <c r="V238" s="7">
        <f>(R238*W238)</f>
        <v/>
      </c>
      <c r="W238" s="13" t="n">
        <v>0.067</v>
      </c>
      <c r="X238" s="184" t="n"/>
      <c r="Y238" s="184" t="n"/>
      <c r="Z238" s="184" t="n"/>
      <c r="AA238" s="184" t="n"/>
      <c r="AB238" s="184" t="n"/>
      <c r="AC238" s="184" t="n"/>
      <c r="AD238" s="184" t="n"/>
      <c r="AE238" s="184" t="n"/>
    </row>
    <row r="239">
      <c r="A239" s="14" t="n">
        <v>228</v>
      </c>
      <c r="B239" s="9" t="n">
        <v>45128</v>
      </c>
      <c r="C239" s="4" t="n">
        <v>30749353.11</v>
      </c>
      <c r="D239" s="4">
        <f>C239/E239</f>
        <v/>
      </c>
      <c r="E239" s="4" t="n">
        <v>81.98</v>
      </c>
      <c r="F239" s="4">
        <f>D239/100000</f>
        <v/>
      </c>
      <c r="G239" s="4">
        <f>($D$1-F239)/F239*100</f>
        <v/>
      </c>
      <c r="H239" s="4">
        <f>($D$2-F239)/F239*100</f>
        <v/>
      </c>
      <c r="I239" s="4">
        <f>($D$3-F239)/F239*100</f>
        <v/>
      </c>
      <c r="J239" s="17">
        <f>F239/$F$10*100</f>
        <v/>
      </c>
      <c r="K239" s="4">
        <f>N239/L239</f>
        <v/>
      </c>
      <c r="L239" s="4">
        <f>(M239/O239)*100</f>
        <v/>
      </c>
      <c r="M239" s="4">
        <f>O239/R239</f>
        <v/>
      </c>
      <c r="N239" s="4" t="n">
        <v>7.08</v>
      </c>
      <c r="O239" s="4" t="n">
        <v>19745</v>
      </c>
      <c r="P239" s="4" t="n">
        <v>4.82</v>
      </c>
      <c r="Q239" s="4">
        <f>N239-L239</f>
        <v/>
      </c>
      <c r="R239" s="4" t="n">
        <v>23.95</v>
      </c>
      <c r="S239" s="4" t="n">
        <v>3.83</v>
      </c>
      <c r="T239" s="7">
        <f>N239-S239</f>
        <v/>
      </c>
      <c r="U239" s="4" t="n">
        <v>100.79</v>
      </c>
      <c r="V239" s="7">
        <f>(R239*W239)</f>
        <v/>
      </c>
      <c r="W239" s="13" t="n">
        <v>0.0672</v>
      </c>
      <c r="X239" s="184" t="n"/>
      <c r="Y239" s="184" t="n"/>
      <c r="Z239" s="184" t="n"/>
      <c r="AA239" s="184" t="n"/>
      <c r="AB239" s="184" t="n"/>
      <c r="AC239" s="184" t="n"/>
      <c r="AD239" s="184" t="n"/>
      <c r="AE239" s="184" t="n"/>
    </row>
    <row r="240">
      <c r="A240" s="14" t="n">
        <v>229</v>
      </c>
      <c r="B240" s="9" t="n">
        <v>45131</v>
      </c>
      <c r="C240" s="4" t="n">
        <v>30712582.16</v>
      </c>
      <c r="D240" s="4">
        <f>C240/E240</f>
        <v/>
      </c>
      <c r="E240" s="4" t="n">
        <v>81.79000000000001</v>
      </c>
      <c r="F240" s="4">
        <f>D240/100000</f>
        <v/>
      </c>
      <c r="G240" s="4">
        <f>($D$1-F240)/F240*100</f>
        <v/>
      </c>
      <c r="H240" s="4">
        <f>($D$2-F240)/F240*100</f>
        <v/>
      </c>
      <c r="I240" s="4">
        <f>($D$3-F240)/F240*100</f>
        <v/>
      </c>
      <c r="J240" s="17">
        <f>F240/$F$10*100</f>
        <v/>
      </c>
      <c r="K240" s="4">
        <f>N240/L240</f>
        <v/>
      </c>
      <c r="L240" s="4">
        <f>(M240/O240)*100</f>
        <v/>
      </c>
      <c r="M240" s="4">
        <f>O240/R240</f>
        <v/>
      </c>
      <c r="N240" s="4" t="n">
        <v>7.07</v>
      </c>
      <c r="O240" s="4" t="n">
        <v>19672.35</v>
      </c>
      <c r="P240" s="4" t="n">
        <v>4.81</v>
      </c>
      <c r="Q240" s="4">
        <f>N240-L240</f>
        <v/>
      </c>
      <c r="R240" s="4" t="n">
        <v>23.83</v>
      </c>
      <c r="S240" s="4" t="n">
        <v>3.87</v>
      </c>
      <c r="T240" s="7">
        <f>N240-S240</f>
        <v/>
      </c>
      <c r="U240" s="4" t="n">
        <v>101.08</v>
      </c>
      <c r="V240" s="7">
        <f>(R240*W240)</f>
        <v/>
      </c>
      <c r="W240" s="13" t="n">
        <v>0.06710000000000001</v>
      </c>
      <c r="X240" s="184" t="n"/>
      <c r="Y240" s="184" t="n"/>
      <c r="Z240" s="184" t="n"/>
      <c r="AA240" s="184" t="n"/>
      <c r="AB240" s="184" t="n"/>
      <c r="AC240" s="184" t="n"/>
      <c r="AD240" s="184" t="n"/>
      <c r="AE240" s="184" t="n"/>
    </row>
    <row r="241">
      <c r="A241" s="14" t="n">
        <v>230</v>
      </c>
      <c r="B241" s="9" t="n">
        <v>45132</v>
      </c>
      <c r="C241" s="4" t="n">
        <v>30783475.78</v>
      </c>
      <c r="D241" s="4">
        <f>C241/E241</f>
        <v/>
      </c>
      <c r="E241" s="4" t="n">
        <v>81.84999999999999</v>
      </c>
      <c r="F241" s="4">
        <f>D241/100000</f>
        <v/>
      </c>
      <c r="G241" s="4">
        <f>($D$1-F241)/F241*100</f>
        <v/>
      </c>
      <c r="H241" s="4">
        <f>($D$2-F241)/F241*100</f>
        <v/>
      </c>
      <c r="I241" s="4">
        <f>($D$3-F241)/F241*100</f>
        <v/>
      </c>
      <c r="J241" s="17">
        <f>F241/$F$10*100</f>
        <v/>
      </c>
      <c r="K241" s="4">
        <f>N241/L241</f>
        <v/>
      </c>
      <c r="L241" s="4">
        <f>(M241/O241)*100</f>
        <v/>
      </c>
      <c r="M241" s="4">
        <f>O241/R241</f>
        <v/>
      </c>
      <c r="N241" s="4" t="n">
        <v>7.1</v>
      </c>
      <c r="O241" s="4" t="n">
        <v>19680.6</v>
      </c>
      <c r="P241" s="4" t="n">
        <v>4.81</v>
      </c>
      <c r="Q241" s="4">
        <f>N241-L241</f>
        <v/>
      </c>
      <c r="R241" s="4" t="n">
        <v>23.55</v>
      </c>
      <c r="S241" s="4" t="n">
        <v>3.89</v>
      </c>
      <c r="T241" s="7">
        <f>N241-S241</f>
        <v/>
      </c>
      <c r="U241" s="4" t="n">
        <v>101.09</v>
      </c>
      <c r="V241" s="7">
        <f>(R241*W241)</f>
        <v/>
      </c>
      <c r="W241" s="13" t="n">
        <v>0.06710000000000001</v>
      </c>
      <c r="X241" s="184" t="n"/>
      <c r="Y241" s="184" t="n"/>
      <c r="Z241" s="184" t="n"/>
      <c r="AA241" s="184" t="n"/>
      <c r="AB241" s="184" t="n"/>
      <c r="AC241" s="184" t="n"/>
      <c r="AD241" s="184" t="n"/>
      <c r="AE241" s="184" t="n"/>
    </row>
    <row r="242">
      <c r="A242" s="14" t="n">
        <v>231</v>
      </c>
      <c r="B242" s="9" t="n">
        <v>45133</v>
      </c>
      <c r="C242" s="4" t="n">
        <v>30912839.94</v>
      </c>
      <c r="D242" s="4">
        <f>C242/E242</f>
        <v/>
      </c>
      <c r="E242" s="4" t="n">
        <v>81.95</v>
      </c>
      <c r="F242" s="4">
        <f>D242/100000</f>
        <v/>
      </c>
      <c r="G242" s="4">
        <f>($D$1-F242)/F242*100</f>
        <v/>
      </c>
      <c r="H242" s="4">
        <f>($D$2-F242)/F242*100</f>
        <v/>
      </c>
      <c r="I242" s="4">
        <f>($D$3-F242)/F242*100</f>
        <v/>
      </c>
      <c r="J242" s="17">
        <f>F242/$F$10*100</f>
        <v/>
      </c>
      <c r="K242" s="4">
        <f>N242/L242</f>
        <v/>
      </c>
      <c r="L242" s="4">
        <f>(M242/O242)*100</f>
        <v/>
      </c>
      <c r="M242" s="4">
        <f>O242/R242</f>
        <v/>
      </c>
      <c r="N242" s="4" t="n">
        <v>7.09</v>
      </c>
      <c r="O242" s="4" t="n">
        <v>19778.3</v>
      </c>
      <c r="P242" s="4" t="n">
        <v>4.83</v>
      </c>
      <c r="Q242" s="4">
        <f>N242-L242</f>
        <v/>
      </c>
      <c r="R242" s="4" t="n">
        <v>23.97</v>
      </c>
      <c r="S242" s="4" t="n">
        <v>3.87</v>
      </c>
      <c r="T242" s="7">
        <f>N242-S242</f>
        <v/>
      </c>
      <c r="U242" s="4" t="n">
        <v>100.63</v>
      </c>
      <c r="V242" s="7">
        <f>(R242*W242)</f>
        <v/>
      </c>
      <c r="W242" s="13" t="n">
        <v>0.0672</v>
      </c>
      <c r="X242" s="184" t="n"/>
      <c r="Y242" s="184" t="n"/>
      <c r="Z242" s="184" t="n"/>
      <c r="AA242" s="184" t="n"/>
      <c r="AB242" s="184" t="n"/>
      <c r="AC242" s="184" t="n"/>
      <c r="AD242" s="184" t="n"/>
      <c r="AE242" s="184" t="n"/>
    </row>
    <row r="243">
      <c r="A243" s="14" t="n">
        <v>232</v>
      </c>
      <c r="B243" s="9" t="n">
        <v>45134</v>
      </c>
      <c r="C243" s="4" t="n">
        <v>30864776.78</v>
      </c>
      <c r="D243" s="4">
        <f>C243/E243</f>
        <v/>
      </c>
      <c r="E243" s="4" t="n">
        <v>82.15000000000001</v>
      </c>
      <c r="F243" s="4">
        <f>D243/100000</f>
        <v/>
      </c>
      <c r="G243" s="4">
        <f>($D$1-F243)/F243*100</f>
        <v/>
      </c>
      <c r="H243" s="4">
        <f>($D$2-F243)/F243*100</f>
        <v/>
      </c>
      <c r="I243" s="4">
        <f>($D$3-F243)/F243*100</f>
        <v/>
      </c>
      <c r="J243" s="17">
        <f>F243/$F$10*100</f>
        <v/>
      </c>
      <c r="K243" s="4">
        <f>N243/L243</f>
        <v/>
      </c>
      <c r="L243" s="4">
        <f>(M243/O243)*100</f>
        <v/>
      </c>
      <c r="M243" s="4">
        <f>O243/R243</f>
        <v/>
      </c>
      <c r="N243" s="4" t="n">
        <v>7.12</v>
      </c>
      <c r="O243" s="4" t="n">
        <v>19659.9</v>
      </c>
      <c r="P243" s="4" t="n">
        <v>4.8</v>
      </c>
      <c r="Q243" s="4">
        <f>N243-L243</f>
        <v/>
      </c>
      <c r="R243" s="4" t="n">
        <v>23.83</v>
      </c>
      <c r="S243" s="4" t="n">
        <v>4</v>
      </c>
      <c r="T243" s="7">
        <f>N243-S243</f>
        <v/>
      </c>
      <c r="U243" s="4" t="n">
        <v>101.54</v>
      </c>
      <c r="V243" s="7">
        <f>(R243*W243)</f>
        <v/>
      </c>
      <c r="W243" s="13" t="n">
        <v>0.067</v>
      </c>
      <c r="X243" s="184" t="n"/>
      <c r="Y243" s="184" t="n"/>
      <c r="Z243" s="184" t="n"/>
      <c r="AA243" s="184" t="n"/>
      <c r="AB243" s="184" t="n"/>
      <c r="AC243" s="184" t="n"/>
      <c r="AD243" s="184" t="n"/>
      <c r="AE243" s="184" t="n"/>
    </row>
    <row r="244">
      <c r="A244" s="14" t="n">
        <v>233</v>
      </c>
      <c r="B244" s="9" t="n">
        <v>45135</v>
      </c>
      <c r="C244" s="4" t="n">
        <v>30938759.55</v>
      </c>
      <c r="D244" s="4">
        <f>C244/E244</f>
        <v/>
      </c>
      <c r="E244" s="4" t="n">
        <v>82.22</v>
      </c>
      <c r="F244" s="4">
        <f>D244/100000</f>
        <v/>
      </c>
      <c r="G244" s="4">
        <f>($D$1-F244)/F244*100</f>
        <v/>
      </c>
      <c r="H244" s="4">
        <f>($D$2-F244)/F244*100</f>
        <v/>
      </c>
      <c r="I244" s="4">
        <f>($D$3-F244)/F244*100</f>
        <v/>
      </c>
      <c r="J244" s="17">
        <f>F244/$F$10*100</f>
        <v/>
      </c>
      <c r="K244" s="4">
        <f>N244/L244</f>
        <v/>
      </c>
      <c r="L244" s="4">
        <f>(M244/O244)*100</f>
        <v/>
      </c>
      <c r="M244" s="4">
        <f>O244/R244</f>
        <v/>
      </c>
      <c r="N244" s="4" t="n">
        <v>7.16</v>
      </c>
      <c r="O244" s="4" t="n">
        <v>19646.05</v>
      </c>
      <c r="P244" s="4" t="n">
        <v>4.8</v>
      </c>
      <c r="Q244" s="4">
        <f>N244-L244</f>
        <v/>
      </c>
      <c r="R244" s="4" t="n">
        <v>22.91</v>
      </c>
      <c r="S244" s="4" t="n">
        <v>3.95</v>
      </c>
      <c r="T244" s="7">
        <f>N244-S244</f>
        <v/>
      </c>
      <c r="U244" s="4" t="n">
        <v>101.39</v>
      </c>
      <c r="V244" s="7">
        <f>(R244*W244)</f>
        <v/>
      </c>
      <c r="W244" s="13" t="n">
        <v>0.0672</v>
      </c>
      <c r="X244" s="184" t="n"/>
      <c r="Y244" s="184" t="n"/>
      <c r="Z244" s="184" t="n"/>
      <c r="AA244" s="184" t="n"/>
      <c r="AB244" s="184" t="n"/>
      <c r="AC244" s="184" t="n"/>
      <c r="AD244" s="184" t="n"/>
      <c r="AE244" s="184" t="n"/>
    </row>
    <row r="245">
      <c r="A245" s="14" t="n">
        <v>234</v>
      </c>
      <c r="B245" s="9" t="n">
        <v>45138</v>
      </c>
      <c r="C245" s="4" t="n">
        <v>31183703.99</v>
      </c>
      <c r="D245" s="4">
        <f>C245/E245</f>
        <v/>
      </c>
      <c r="E245" s="4" t="n">
        <v>82.23999999999999</v>
      </c>
      <c r="F245" s="4">
        <f>D245/100000</f>
        <v/>
      </c>
      <c r="G245" s="4">
        <f>($D$1-F245)/F245*100</f>
        <v/>
      </c>
      <c r="H245" s="4">
        <f>($D$2-F245)/F245*100</f>
        <v/>
      </c>
      <c r="I245" s="4">
        <f>($D$3-F245)/F245*100</f>
        <v/>
      </c>
      <c r="J245" s="17">
        <f>F245/$F$10*100</f>
        <v/>
      </c>
      <c r="K245" s="4">
        <f>N245/L245</f>
        <v/>
      </c>
      <c r="L245" s="4">
        <f>(M245/O245)*100</f>
        <v/>
      </c>
      <c r="M245" s="4">
        <f>O245/R245</f>
        <v/>
      </c>
      <c r="N245" s="4" t="n">
        <v>7.17</v>
      </c>
      <c r="O245" s="4" t="n">
        <v>19753.8</v>
      </c>
      <c r="P245" s="4" t="n">
        <v>4.83</v>
      </c>
      <c r="Q245" s="4">
        <f>N245-L245</f>
        <v/>
      </c>
      <c r="R245" s="4" t="n">
        <v>23.01</v>
      </c>
      <c r="S245" s="4" t="n">
        <v>3.96</v>
      </c>
      <c r="T245" s="7">
        <f>N245-S245</f>
        <v/>
      </c>
      <c r="U245" s="4" t="n">
        <v>101.62</v>
      </c>
      <c r="V245" s="7">
        <f>(R245*W245)</f>
        <v/>
      </c>
      <c r="W245" s="13" t="n">
        <v>0.0672</v>
      </c>
      <c r="X245" s="184" t="n"/>
      <c r="Y245" s="184" t="n"/>
      <c r="Z245" s="184" t="n"/>
      <c r="AA245" s="184" t="n"/>
      <c r="AB245" s="184" t="n"/>
      <c r="AC245" s="184" t="n"/>
      <c r="AD245" s="184" t="n"/>
      <c r="AE245" s="184" t="n"/>
    </row>
    <row r="246">
      <c r="A246" s="14" t="n">
        <v>235</v>
      </c>
      <c r="B246" s="9" t="n">
        <v>45139</v>
      </c>
      <c r="C246" s="4" t="n">
        <v>31205317.38</v>
      </c>
      <c r="D246" s="4">
        <f>C246/E246</f>
        <v/>
      </c>
      <c r="E246" s="4" t="n">
        <v>82.34</v>
      </c>
      <c r="F246" s="4">
        <f>D246/100000</f>
        <v/>
      </c>
      <c r="G246" s="4">
        <f>($D$1-F246)/F246*100</f>
        <v/>
      </c>
      <c r="H246" s="4">
        <f>($D$2-F246)/F246*100</f>
        <v/>
      </c>
      <c r="I246" s="4">
        <f>($D$3-F246)/F246*100</f>
        <v/>
      </c>
      <c r="J246" s="17">
        <f>F246/$F$10*100</f>
        <v/>
      </c>
      <c r="K246" s="4">
        <f>N246/L246</f>
        <v/>
      </c>
      <c r="L246" s="4">
        <f>(M246/O246)*100</f>
        <v/>
      </c>
      <c r="M246" s="4">
        <f>O246/R246</f>
        <v/>
      </c>
      <c r="N246" s="4" t="n">
        <v>7.15</v>
      </c>
      <c r="O246" s="4" t="n">
        <v>19733.55</v>
      </c>
      <c r="P246" s="4" t="n">
        <v>4.82</v>
      </c>
      <c r="Q246" s="4">
        <f>N246-L246</f>
        <v/>
      </c>
      <c r="R246" s="4" t="n">
        <v>22.96</v>
      </c>
      <c r="S246" s="4" t="n">
        <v>4.03</v>
      </c>
      <c r="T246" s="7">
        <f>N246-S246</f>
        <v/>
      </c>
      <c r="U246" s="4" t="n">
        <v>102.08</v>
      </c>
      <c r="V246" s="7">
        <f>(R246*W246)</f>
        <v/>
      </c>
      <c r="W246" s="13" t="n">
        <v>0.06710000000000001</v>
      </c>
      <c r="X246" s="184" t="n"/>
      <c r="Y246" s="184" t="n"/>
      <c r="Z246" s="184" t="n"/>
      <c r="AA246" s="184" t="n"/>
      <c r="AB246" s="184" t="n"/>
      <c r="AC246" s="184" t="n"/>
      <c r="AD246" s="184" t="n"/>
      <c r="AE246" s="184" t="n"/>
    </row>
    <row r="247">
      <c r="A247" s="14" t="n">
        <v>236</v>
      </c>
      <c r="B247" s="9" t="n">
        <v>45140</v>
      </c>
      <c r="C247" s="4" t="n">
        <v>30857244.28</v>
      </c>
      <c r="D247" s="4">
        <f>C247/E247</f>
        <v/>
      </c>
      <c r="E247" s="4" t="n">
        <v>82.73</v>
      </c>
      <c r="F247" s="4">
        <f>D247/100000</f>
        <v/>
      </c>
      <c r="G247" s="4">
        <f>($D$1-F247)/F247*100</f>
        <v/>
      </c>
      <c r="H247" s="4">
        <f>($D$2-F247)/F247*100</f>
        <v/>
      </c>
      <c r="I247" s="4">
        <f>($D$3-F247)/F247*100</f>
        <v/>
      </c>
      <c r="J247" s="4">
        <f>F247/$F$10*100</f>
        <v/>
      </c>
      <c r="K247" s="4">
        <f>N247/L247</f>
        <v/>
      </c>
      <c r="L247" s="4">
        <f>(M247/O247)*100</f>
        <v/>
      </c>
      <c r="M247" s="4">
        <f>O247/R247</f>
        <v/>
      </c>
      <c r="N247" s="4" t="n">
        <v>7.15</v>
      </c>
      <c r="O247" s="4" t="n">
        <v>19526.55</v>
      </c>
      <c r="P247" s="4" t="n">
        <v>4.73</v>
      </c>
      <c r="Q247" s="4">
        <f>N247-L247</f>
        <v/>
      </c>
      <c r="R247" s="4" t="n">
        <v>22.72</v>
      </c>
      <c r="S247" s="4" t="n">
        <v>4.09</v>
      </c>
      <c r="T247" s="7">
        <f>N247-S247</f>
        <v/>
      </c>
      <c r="U247" s="4" t="n">
        <v>102.39</v>
      </c>
      <c r="V247" s="7">
        <f>(R247*W247)</f>
        <v/>
      </c>
      <c r="W247" s="13" t="n">
        <v>0.067</v>
      </c>
      <c r="X247" s="184" t="n"/>
      <c r="Y247" s="184" t="n"/>
      <c r="Z247" s="184" t="n"/>
      <c r="AA247" s="184" t="n"/>
      <c r="AB247" s="184" t="n"/>
      <c r="AC247" s="184" t="n"/>
      <c r="AD247" s="184" t="n"/>
      <c r="AE247" s="184" t="n"/>
    </row>
    <row r="248">
      <c r="A248" s="14" t="n">
        <v>237</v>
      </c>
      <c r="B248" s="9" t="n">
        <v>45141</v>
      </c>
      <c r="C248" s="10" t="n">
        <v>30752964.87</v>
      </c>
      <c r="D248" s="4">
        <f>C248/E248</f>
        <v/>
      </c>
      <c r="E248" s="4" t="n">
        <v>82.75</v>
      </c>
      <c r="F248" s="4">
        <f>D248/100000</f>
        <v/>
      </c>
      <c r="G248" s="4">
        <f>($D$1-F248)/F248*100</f>
        <v/>
      </c>
      <c r="H248" s="4">
        <f>($D$2-F248)/F248*100</f>
        <v/>
      </c>
      <c r="I248" s="4">
        <f>($D$3-F248)/F248*100</f>
        <v/>
      </c>
      <c r="J248" s="4">
        <f>F248/$F$10*100</f>
        <v/>
      </c>
      <c r="K248" s="4">
        <f>N248/L248</f>
        <v/>
      </c>
      <c r="L248" s="4">
        <f>(M248/O248)*100</f>
        <v/>
      </c>
      <c r="M248" s="4">
        <f>O248/R248</f>
        <v/>
      </c>
      <c r="N248" s="4" t="n">
        <v>7.19</v>
      </c>
      <c r="O248" s="4" t="n">
        <v>19381.65</v>
      </c>
      <c r="P248" s="4" t="n">
        <v>4.69</v>
      </c>
      <c r="Q248" s="4">
        <f>N248-L248</f>
        <v/>
      </c>
      <c r="R248" s="4" t="n">
        <v>22.55</v>
      </c>
      <c r="S248" s="4" t="n">
        <v>4.17</v>
      </c>
      <c r="T248" s="7">
        <f>N248-S248</f>
        <v/>
      </c>
      <c r="U248" s="4" t="n">
        <v>102.35</v>
      </c>
      <c r="V248" s="7">
        <f>(R248*W248)</f>
        <v/>
      </c>
      <c r="W248" s="13" t="n">
        <v>0.06710000000000001</v>
      </c>
      <c r="X248" s="184" t="n"/>
      <c r="Y248" s="184" t="n"/>
      <c r="Z248" s="184" t="n"/>
      <c r="AA248" s="184" t="n"/>
      <c r="AB248" s="184" t="n"/>
      <c r="AC248" s="184" t="n"/>
      <c r="AD248" s="184" t="n"/>
      <c r="AE248" s="184" t="n"/>
    </row>
    <row r="249">
      <c r="A249" s="14" t="n">
        <v>238</v>
      </c>
      <c r="B249" s="9" t="n">
        <v>45142</v>
      </c>
      <c r="C249" s="4" t="n">
        <v>30941325.6</v>
      </c>
      <c r="D249" s="4">
        <f>C249/E249</f>
        <v/>
      </c>
      <c r="E249" s="4" t="n">
        <v>82.69</v>
      </c>
      <c r="F249" s="4">
        <f>D249/100000</f>
        <v/>
      </c>
      <c r="G249" s="4">
        <f>($D$1-F249)/F249*100</f>
        <v/>
      </c>
      <c r="H249" s="4">
        <f>($D$2-F249)/F249*100</f>
        <v/>
      </c>
      <c r="I249" s="4">
        <f>($D$3-F249)/F249*100</f>
        <v/>
      </c>
      <c r="J249" s="4">
        <f>F249/$F$10*100</f>
        <v/>
      </c>
      <c r="K249" s="4">
        <f>N249/L249</f>
        <v/>
      </c>
      <c r="L249" s="4">
        <f>(M249/O249)*100</f>
        <v/>
      </c>
      <c r="M249" s="4">
        <f>O249/R249</f>
        <v/>
      </c>
      <c r="N249" s="4" t="n">
        <v>7.19</v>
      </c>
      <c r="O249" s="4" t="n">
        <v>19517</v>
      </c>
      <c r="P249" s="4" t="n">
        <v>4.72</v>
      </c>
      <c r="Q249" s="4">
        <f>N249-L249</f>
        <v/>
      </c>
      <c r="R249" s="4" t="n">
        <v>22.71</v>
      </c>
      <c r="S249" s="4" t="n">
        <v>4.04</v>
      </c>
      <c r="T249" s="7">
        <f>N249-S249</f>
        <v/>
      </c>
      <c r="U249" s="4" t="n">
        <v>101.83</v>
      </c>
      <c r="V249" s="7">
        <f>(R249*W249)</f>
        <v/>
      </c>
      <c r="W249" s="13" t="n">
        <v>0.0672</v>
      </c>
      <c r="X249" s="184" t="n"/>
      <c r="Y249" s="184" t="n"/>
      <c r="Z249" s="184" t="n"/>
      <c r="AA249" s="184" t="n"/>
      <c r="AB249" s="184" t="n"/>
      <c r="AC249" s="184" t="n"/>
      <c r="AD249" s="184" t="n"/>
      <c r="AE249" s="184" t="n"/>
    </row>
    <row r="250">
      <c r="A250" s="14" t="n">
        <v>239</v>
      </c>
      <c r="B250" s="9" t="n">
        <v>45145</v>
      </c>
      <c r="C250" s="4" t="n">
        <v>31060886.75</v>
      </c>
      <c r="D250" s="4">
        <f>C250/E250</f>
        <v/>
      </c>
      <c r="E250" s="4" t="n">
        <v>82.77</v>
      </c>
      <c r="F250" s="4">
        <f>D250/100000</f>
        <v/>
      </c>
      <c r="G250" s="4">
        <f>($D$1-F250)/F250*100</f>
        <v/>
      </c>
      <c r="H250" s="4">
        <f>($D$2-F250)/F250*100</f>
        <v/>
      </c>
      <c r="I250" s="4">
        <f>($D$3-F250)/F250*100</f>
        <v/>
      </c>
      <c r="J250" s="4">
        <f>F250/$F$10*100</f>
        <v/>
      </c>
      <c r="K250" s="4">
        <f>N250/L250</f>
        <v/>
      </c>
      <c r="L250" s="4">
        <f>(M250/O250)*100</f>
        <v/>
      </c>
      <c r="M250" s="4">
        <f>O250/R250</f>
        <v/>
      </c>
      <c r="N250" s="4" t="n">
        <v>7.19</v>
      </c>
      <c r="O250" s="4" t="n">
        <v>19597.3</v>
      </c>
      <c r="P250" s="4" t="n">
        <v>4.74</v>
      </c>
      <c r="Q250" s="4">
        <f>N250-L250</f>
        <v/>
      </c>
      <c r="R250" s="4" t="n">
        <v>22.83</v>
      </c>
      <c r="S250" s="4" t="n">
        <v>4.09</v>
      </c>
      <c r="T250" s="7">
        <f>N250-S250</f>
        <v/>
      </c>
      <c r="U250" s="4" t="n">
        <v>101.86</v>
      </c>
      <c r="V250" s="7">
        <f>(R250*W250)</f>
        <v/>
      </c>
      <c r="W250" s="13" t="n">
        <v>0.0674</v>
      </c>
      <c r="X250" s="184" t="n"/>
      <c r="Y250" s="184" t="n"/>
      <c r="Z250" s="184" t="n"/>
      <c r="AA250" s="184" t="n"/>
      <c r="AB250" s="184" t="n"/>
      <c r="AC250" s="184" t="n"/>
      <c r="AD250" s="184" t="n"/>
      <c r="AE250" s="184" t="n"/>
    </row>
    <row r="251">
      <c r="A251" s="14" t="n">
        <v>240</v>
      </c>
      <c r="B251" s="9" t="n">
        <v>45146</v>
      </c>
      <c r="C251" s="4" t="n">
        <v>31062004.88</v>
      </c>
      <c r="D251" s="4">
        <f>C251/E251</f>
        <v/>
      </c>
      <c r="E251" s="4" t="n">
        <v>82.88</v>
      </c>
      <c r="F251" s="4">
        <f>D251/100000</f>
        <v/>
      </c>
      <c r="G251" s="4">
        <f>($D$1-F251)/F251*100</f>
        <v/>
      </c>
      <c r="H251" s="4">
        <f>($D$2-F251)/F251*100</f>
        <v/>
      </c>
      <c r="I251" s="4">
        <f>($D$3-F251)/F251*100</f>
        <v/>
      </c>
      <c r="J251" s="4">
        <f>F251/$F$10*100</f>
        <v/>
      </c>
      <c r="K251" s="4">
        <f>N251/L251</f>
        <v/>
      </c>
      <c r="L251" s="4">
        <f>(M251/O251)*100</f>
        <v/>
      </c>
      <c r="M251" s="4">
        <f>O251/R251</f>
        <v/>
      </c>
      <c r="N251" s="4" t="n">
        <v>7.16</v>
      </c>
      <c r="O251" s="4" t="n">
        <v>19570.85</v>
      </c>
      <c r="P251" s="4" t="n">
        <v>4.73</v>
      </c>
      <c r="Q251" s="4">
        <f>N251-L251</f>
        <v/>
      </c>
      <c r="R251" s="4" t="n">
        <v>22.73</v>
      </c>
      <c r="S251" s="4" t="n">
        <v>4.02</v>
      </c>
      <c r="T251" s="7">
        <f>N251-S251</f>
        <v/>
      </c>
      <c r="U251" s="4" t="n">
        <v>102.34</v>
      </c>
      <c r="V251" s="7">
        <f>(R251*W251)</f>
        <v/>
      </c>
      <c r="W251" s="13" t="n">
        <v>0.0675</v>
      </c>
      <c r="X251" s="184" t="n"/>
      <c r="Y251" s="184" t="n"/>
      <c r="Z251" s="184" t="n"/>
      <c r="AA251" s="184" t="n"/>
      <c r="AB251" s="184" t="n"/>
      <c r="AC251" s="184" t="n"/>
      <c r="AD251" s="184" t="n"/>
      <c r="AE251" s="184" t="n"/>
    </row>
    <row r="252">
      <c r="A252" s="14" t="n">
        <v>241</v>
      </c>
      <c r="B252" s="9" t="n">
        <v>45147</v>
      </c>
      <c r="C252" s="4" t="n">
        <v>31158172.25</v>
      </c>
      <c r="D252" s="4">
        <f>C252/E252</f>
        <v/>
      </c>
      <c r="E252" s="4" t="n">
        <v>82.87</v>
      </c>
      <c r="F252" s="4">
        <f>D252/100000</f>
        <v/>
      </c>
      <c r="G252" s="4">
        <f>($D$1-F252)/F252*100</f>
        <v/>
      </c>
      <c r="H252" s="4">
        <f>($D$2-F252)/F252*100</f>
        <v/>
      </c>
      <c r="I252" s="4">
        <f>($D$3-F252)/F252*100</f>
        <v/>
      </c>
      <c r="J252" s="4">
        <f>F252/$F$10*100</f>
        <v/>
      </c>
      <c r="K252" s="4">
        <f>N252/L252</f>
        <v/>
      </c>
      <c r="L252" s="4">
        <f>(M252/O252)*100</f>
        <v/>
      </c>
      <c r="M252" s="4">
        <f>O252/R252</f>
        <v/>
      </c>
      <c r="N252" s="4" t="n">
        <v>7.17</v>
      </c>
      <c r="O252" s="4" t="n">
        <v>19632.55</v>
      </c>
      <c r="P252" s="4" t="n">
        <v>4.75</v>
      </c>
      <c r="Q252" s="4">
        <f>N252-L252</f>
        <v/>
      </c>
      <c r="R252" s="4" t="n">
        <v>22.81</v>
      </c>
      <c r="S252" s="4" t="n">
        <v>4.01</v>
      </c>
      <c r="T252" s="7">
        <f>N252-S252</f>
        <v/>
      </c>
      <c r="U252" s="4" t="n">
        <v>102.31</v>
      </c>
      <c r="V252" s="7">
        <f>(R252*W252)</f>
        <v/>
      </c>
      <c r="W252" s="13" t="n">
        <v>0.0675</v>
      </c>
      <c r="X252" s="184" t="n"/>
      <c r="Y252" s="184" t="n"/>
      <c r="Z252" s="184" t="n"/>
      <c r="AA252" s="184" t="n"/>
      <c r="AB252" s="184" t="n"/>
      <c r="AC252" s="184" t="n"/>
      <c r="AD252" s="184" t="n"/>
      <c r="AE252" s="184" t="n"/>
    </row>
    <row r="253">
      <c r="A253" s="14" t="n">
        <v>242</v>
      </c>
      <c r="B253" s="9" t="n">
        <v>45148</v>
      </c>
      <c r="C253" s="4" t="n">
        <v>31076449.95</v>
      </c>
      <c r="D253" s="4">
        <f>C253/E253</f>
        <v/>
      </c>
      <c r="E253" s="4" t="n">
        <v>82.64</v>
      </c>
      <c r="F253" s="4">
        <f>D253/100000</f>
        <v/>
      </c>
      <c r="G253" s="4">
        <f>($D$1-F253)/F253*100</f>
        <v/>
      </c>
      <c r="H253" s="4">
        <f>($D$2-F253)/F253*100</f>
        <v/>
      </c>
      <c r="I253" s="4">
        <f>($D$3-F253)/F253*100</f>
        <v/>
      </c>
      <c r="J253" s="4">
        <f>F253/$F$10*100</f>
        <v/>
      </c>
      <c r="K253" s="4">
        <f>N253/L253</f>
        <v/>
      </c>
      <c r="L253" s="4">
        <f>(M253/O253)*100</f>
        <v/>
      </c>
      <c r="M253" s="4">
        <f>O253/R253</f>
        <v/>
      </c>
      <c r="N253" s="4" t="n">
        <v>7.15</v>
      </c>
      <c r="O253" s="4" t="n">
        <v>19543.1</v>
      </c>
      <c r="P253" s="4" t="n">
        <v>4.73</v>
      </c>
      <c r="Q253" s="4">
        <f>N253-L253</f>
        <v/>
      </c>
      <c r="R253" s="4" t="n">
        <v>22.77</v>
      </c>
      <c r="S253" s="4" t="n">
        <v>4.1</v>
      </c>
      <c r="T253" s="7">
        <f>N253-S253</f>
        <v/>
      </c>
      <c r="U253" s="4" t="n">
        <v>102.36</v>
      </c>
      <c r="V253" s="7">
        <f>(R253*W253)</f>
        <v/>
      </c>
      <c r="W253" s="13" t="n">
        <v>0.06759999999999999</v>
      </c>
      <c r="X253" s="184" t="n"/>
      <c r="Y253" s="184" t="n"/>
      <c r="Z253" s="184" t="n"/>
      <c r="AA253" s="184" t="n"/>
      <c r="AB253" s="184" t="n"/>
      <c r="AC253" s="184" t="n"/>
      <c r="AD253" s="184" t="n"/>
      <c r="AE253" s="184" t="n"/>
    </row>
    <row r="254">
      <c r="A254" s="14" t="n">
        <v>243</v>
      </c>
      <c r="B254" s="9" t="n">
        <v>45149</v>
      </c>
      <c r="C254" s="4" t="n">
        <v>31007372.8</v>
      </c>
      <c r="D254" s="4">
        <f>C254/E254</f>
        <v/>
      </c>
      <c r="E254" s="4" t="n">
        <v>82.89</v>
      </c>
      <c r="F254" s="4">
        <f>D254/100000</f>
        <v/>
      </c>
      <c r="G254" s="4">
        <f>($D$1-F254)/F254*100</f>
        <v/>
      </c>
      <c r="H254" s="4">
        <f>($D$2-F254)/F254*100</f>
        <v/>
      </c>
      <c r="I254" s="4">
        <f>($D$3-F254)/F254*100</f>
        <v/>
      </c>
      <c r="J254" s="4">
        <f>F254/$F$10*100</f>
        <v/>
      </c>
      <c r="K254" s="4">
        <f>N254/L254</f>
        <v/>
      </c>
      <c r="L254" s="4">
        <f>(M254/O254)*100</f>
        <v/>
      </c>
      <c r="M254" s="4">
        <f>O254/R254</f>
        <v/>
      </c>
      <c r="N254" s="4" t="n">
        <v>7.19</v>
      </c>
      <c r="O254" s="4" t="n">
        <v>19428.3</v>
      </c>
      <c r="P254" s="4" t="n">
        <v>4.7</v>
      </c>
      <c r="Q254" s="4">
        <f>N254-L254</f>
        <v/>
      </c>
      <c r="R254" s="4" t="n">
        <v>22.63</v>
      </c>
      <c r="S254" s="4" t="n">
        <v>4.15</v>
      </c>
      <c r="T254" s="7">
        <f>N254-S254</f>
        <v/>
      </c>
      <c r="U254" s="4" t="n">
        <v>102.69</v>
      </c>
      <c r="V254" s="7">
        <f>(R254*W254)</f>
        <v/>
      </c>
      <c r="W254" s="13" t="n">
        <v>0.0677</v>
      </c>
      <c r="X254" s="184" t="n"/>
      <c r="Y254" s="184" t="n"/>
      <c r="Z254" s="184" t="n"/>
      <c r="AA254" s="184" t="n"/>
      <c r="AB254" s="184" t="n"/>
      <c r="AC254" s="184" t="n"/>
      <c r="AD254" s="184" t="n"/>
      <c r="AE254" s="184" t="n"/>
    </row>
    <row r="255">
      <c r="A255" s="14" t="n">
        <v>244</v>
      </c>
      <c r="B255" s="9" t="n">
        <v>45152</v>
      </c>
      <c r="C255" s="4" t="n">
        <v>30909073.53</v>
      </c>
      <c r="D255" s="4">
        <f>C255/E255</f>
        <v/>
      </c>
      <c r="E255" s="4" t="n">
        <v>83.18000000000001</v>
      </c>
      <c r="F255" s="4">
        <f>D255/100000</f>
        <v/>
      </c>
      <c r="G255" s="4">
        <f>($D$1-F255)/F255*100</f>
        <v/>
      </c>
      <c r="H255" s="4">
        <f>($D$2-F255)/F255*100</f>
        <v/>
      </c>
      <c r="I255" s="4">
        <f>($D$3-F255)/F255*100</f>
        <v/>
      </c>
      <c r="J255" s="4">
        <f>F255/$F$10*100</f>
        <v/>
      </c>
      <c r="K255" s="4">
        <f>N255/L255</f>
        <v/>
      </c>
      <c r="L255" s="4">
        <f>(M255/O255)*100</f>
        <v/>
      </c>
      <c r="M255" s="4">
        <f>O255/R255</f>
        <v/>
      </c>
      <c r="N255" s="4" t="n">
        <v>7.2</v>
      </c>
      <c r="O255" s="4" t="n">
        <v>19434.55</v>
      </c>
      <c r="P255" s="4" t="n">
        <v>4.7</v>
      </c>
      <c r="Q255" s="4">
        <f>N255-L255</f>
        <v/>
      </c>
      <c r="R255" s="4" t="n">
        <v>22.64</v>
      </c>
      <c r="S255" s="4" t="n">
        <v>4.2</v>
      </c>
      <c r="T255" s="7">
        <f>N255-S255</f>
        <v/>
      </c>
      <c r="U255" s="4" t="n">
        <v>103.05</v>
      </c>
      <c r="V255" s="7">
        <f>(R255*W255)</f>
        <v/>
      </c>
      <c r="W255" s="13" t="n">
        <v>0.0677</v>
      </c>
      <c r="X255" s="184" t="n"/>
      <c r="Y255" s="184" t="n"/>
      <c r="Z255" s="184" t="n"/>
      <c r="AA255" s="184" t="n"/>
      <c r="AB255" s="184" t="n"/>
      <c r="AC255" s="184" t="n"/>
      <c r="AD255" s="184" t="n"/>
      <c r="AE255" s="184" t="n"/>
    </row>
    <row r="256">
      <c r="A256" s="14" t="n">
        <v>245</v>
      </c>
      <c r="B256" s="9" t="n">
        <v>45154</v>
      </c>
      <c r="C256" s="4" t="n">
        <v>30987735.27</v>
      </c>
      <c r="D256" s="4">
        <f>C256/E256</f>
        <v/>
      </c>
      <c r="E256" s="4" t="n">
        <v>83.29000000000001</v>
      </c>
      <c r="F256" s="4">
        <f>D256/100000</f>
        <v/>
      </c>
      <c r="G256" s="4">
        <f>($D$1-F256)/F256*100</f>
        <v/>
      </c>
      <c r="H256" s="4">
        <f>($D$2-F256)/F256*100</f>
        <v/>
      </c>
      <c r="I256" s="4">
        <f>($D$3-F256)/F256*100</f>
        <v/>
      </c>
      <c r="J256" s="4">
        <f>F256/$F$10*100</f>
        <v/>
      </c>
      <c r="K256" s="4">
        <f>N256/L256</f>
        <v/>
      </c>
      <c r="L256" s="4">
        <f>(M256/O256)*100</f>
        <v/>
      </c>
      <c r="M256" s="4">
        <f>O256/R256</f>
        <v/>
      </c>
      <c r="N256" s="4" t="n">
        <v>7.25</v>
      </c>
      <c r="O256" s="4" t="n">
        <v>19465</v>
      </c>
      <c r="P256" s="4" t="n">
        <v>4.68</v>
      </c>
      <c r="Q256" s="4">
        <f>N256-L256</f>
        <v/>
      </c>
      <c r="R256" s="4" t="n">
        <v>22.52</v>
      </c>
      <c r="S256" s="4" t="n">
        <v>4.25</v>
      </c>
      <c r="T256" s="7">
        <f>N256-S256</f>
        <v/>
      </c>
      <c r="U256" s="4" t="n">
        <v>103.31</v>
      </c>
      <c r="V256" s="7">
        <f>(R256*W256)</f>
        <v/>
      </c>
      <c r="W256" s="13" t="n">
        <v>0.0677</v>
      </c>
      <c r="X256" s="184" t="n"/>
      <c r="Y256" s="184" t="n"/>
      <c r="Z256" s="184" t="n"/>
      <c r="AA256" s="184" t="n"/>
      <c r="AB256" s="184" t="n"/>
      <c r="AC256" s="184" t="n"/>
      <c r="AD256" s="184" t="n"/>
      <c r="AE256" s="184" t="n"/>
    </row>
    <row r="257">
      <c r="A257" s="14" t="n">
        <v>246</v>
      </c>
      <c r="B257" s="9" t="n">
        <v>45155</v>
      </c>
      <c r="C257" s="4" t="n">
        <v>30936042.72</v>
      </c>
      <c r="D257" s="4">
        <f>C257/E257</f>
        <v/>
      </c>
      <c r="E257" s="4" t="n">
        <v>83.14</v>
      </c>
      <c r="F257" s="4">
        <f>D257/100000</f>
        <v/>
      </c>
      <c r="G257" s="4">
        <f>($D$1-F257)/F257*100</f>
        <v/>
      </c>
      <c r="H257" s="4">
        <f>($D$2-F257)/F257*100</f>
        <v/>
      </c>
      <c r="I257" s="4">
        <f>($D$3-F257)/F257*100</f>
        <v/>
      </c>
      <c r="J257" s="4">
        <f>F257/$F$10*100</f>
        <v/>
      </c>
      <c r="K257" s="4">
        <f>N257/L257</f>
        <v/>
      </c>
      <c r="L257" s="4">
        <f>(M257/O257)*100</f>
        <v/>
      </c>
      <c r="M257" s="4">
        <f>O257/R257</f>
        <v/>
      </c>
      <c r="N257" s="4" t="n">
        <v>7.21</v>
      </c>
      <c r="O257" s="4" t="n">
        <v>19365.25</v>
      </c>
      <c r="P257" s="4" t="n">
        <v>4.66</v>
      </c>
      <c r="Q257" s="4">
        <f>N257-L257</f>
        <v/>
      </c>
      <c r="R257" s="4" t="n">
        <v>22.39</v>
      </c>
      <c r="S257" s="4" t="n">
        <v>4.28</v>
      </c>
      <c r="T257" s="7">
        <f>N257-S257</f>
        <v/>
      </c>
      <c r="U257" s="4" t="n">
        <v>103.47</v>
      </c>
      <c r="V257" s="7">
        <f>(R257*W257)</f>
        <v/>
      </c>
      <c r="W257" s="13" t="n">
        <v>0.06859999999999999</v>
      </c>
      <c r="X257" s="184" t="n"/>
      <c r="Y257" s="184" t="n"/>
      <c r="Z257" s="184" t="n"/>
      <c r="AA257" s="184" t="n"/>
      <c r="AB257" s="184" t="n"/>
      <c r="AC257" s="184" t="n"/>
      <c r="AD257" s="184" t="n"/>
      <c r="AE257" s="184" t="n"/>
    </row>
    <row r="258">
      <c r="A258" s="14" t="n">
        <v>247</v>
      </c>
      <c r="B258" s="9" t="n">
        <v>45156</v>
      </c>
      <c r="C258" s="4" t="n">
        <v>30881351.5</v>
      </c>
      <c r="D258" s="4">
        <f>C258/E258</f>
        <v/>
      </c>
      <c r="E258" s="4" t="n">
        <v>83.14</v>
      </c>
      <c r="F258" s="4">
        <f>D258/100000</f>
        <v/>
      </c>
      <c r="G258" s="4">
        <f>($D$1-F258)/F258*100</f>
        <v/>
      </c>
      <c r="H258" s="4">
        <f>($D$2-F258)/F258*100</f>
        <v/>
      </c>
      <c r="I258" s="4">
        <f>($D$3-F258)/F258*100</f>
        <v/>
      </c>
      <c r="J258" s="4">
        <f>F258/$F$10*100</f>
        <v/>
      </c>
      <c r="K258" s="4">
        <f>N258/L258</f>
        <v/>
      </c>
      <c r="L258" s="4">
        <f>(M258/O258)*100</f>
        <v/>
      </c>
      <c r="M258" s="4">
        <f>O258/R258</f>
        <v/>
      </c>
      <c r="N258" s="4" t="n">
        <v>7.22</v>
      </c>
      <c r="O258" s="4" t="n">
        <v>19310.15</v>
      </c>
      <c r="P258" s="4" t="n">
        <v>4.64</v>
      </c>
      <c r="Q258" s="4">
        <f>N258-L258</f>
        <v/>
      </c>
      <c r="R258" s="4" t="n">
        <v>22.32</v>
      </c>
      <c r="S258" s="4" t="n">
        <v>4.25</v>
      </c>
      <c r="T258" s="7">
        <f>N258-S258</f>
        <v/>
      </c>
      <c r="U258" s="4" t="n">
        <v>103.27</v>
      </c>
      <c r="V258" s="7">
        <f>(R258*W258)</f>
        <v/>
      </c>
      <c r="W258" s="13" t="n">
        <v>0.0684</v>
      </c>
      <c r="X258" s="184" t="n"/>
      <c r="Y258" s="184" t="n"/>
      <c r="Z258" s="184" t="n"/>
      <c r="AA258" s="184" t="n"/>
      <c r="AB258" s="184" t="n"/>
      <c r="AC258" s="184" t="n"/>
      <c r="AD258" s="184" t="n"/>
      <c r="AE258" s="184" t="n"/>
    </row>
    <row r="259">
      <c r="A259" s="14" t="n">
        <v>248</v>
      </c>
      <c r="B259" s="9" t="n">
        <v>45159</v>
      </c>
      <c r="C259" s="4" t="n">
        <v>31228274.69</v>
      </c>
      <c r="D259" s="4">
        <f>C259/E259</f>
        <v/>
      </c>
      <c r="E259" s="4" t="n">
        <v>83.09</v>
      </c>
      <c r="F259" s="4">
        <f>D259/100000</f>
        <v/>
      </c>
      <c r="G259" s="4">
        <f>($D$1-F259)/F259*100</f>
        <v/>
      </c>
      <c r="H259" s="4">
        <f>($D$2-F259)/F259*100</f>
        <v/>
      </c>
      <c r="I259" s="4">
        <f>($D$3-F259)/F259*100</f>
        <v/>
      </c>
      <c r="J259" s="4">
        <f>F259/$F$10*100</f>
        <v/>
      </c>
      <c r="K259" s="4">
        <f>N259/L259</f>
        <v/>
      </c>
      <c r="L259" s="4">
        <f>(M259/O259)*100</f>
        <v/>
      </c>
      <c r="M259" s="4">
        <f>O259/R259</f>
        <v/>
      </c>
      <c r="N259" s="4" t="n">
        <v>7.21</v>
      </c>
      <c r="O259" s="4" t="n">
        <v>19393.6</v>
      </c>
      <c r="P259" s="4" t="n">
        <v>4.66</v>
      </c>
      <c r="Q259" s="4">
        <f>N259-L259</f>
        <v/>
      </c>
      <c r="R259" s="4" t="n">
        <v>22.42</v>
      </c>
      <c r="S259" s="4" t="n">
        <v>4.34</v>
      </c>
      <c r="T259" s="7">
        <f>N259-S259</f>
        <v/>
      </c>
      <c r="U259" s="4" t="n">
        <v>103.2</v>
      </c>
      <c r="V259" s="7">
        <f>(R259*W259)</f>
        <v/>
      </c>
      <c r="W259" s="13" t="n">
        <v>0.0683</v>
      </c>
      <c r="X259" s="184" t="n"/>
      <c r="Y259" s="184" t="n"/>
      <c r="Z259" s="184" t="n"/>
      <c r="AA259" s="184" t="n"/>
      <c r="AB259" s="184" t="n"/>
      <c r="AC259" s="184" t="n"/>
      <c r="AD259" s="184" t="n"/>
      <c r="AE259" s="184" t="n"/>
    </row>
    <row r="260">
      <c r="A260" s="14" t="n">
        <v>249</v>
      </c>
      <c r="B260" s="9" t="n">
        <v>45160</v>
      </c>
      <c r="C260" s="4" t="n">
        <v>31374740.17</v>
      </c>
      <c r="D260" s="4">
        <f>C260/E260</f>
        <v/>
      </c>
      <c r="E260" s="4" t="n">
        <v>83.04000000000001</v>
      </c>
      <c r="F260" s="4">
        <f>D260/100000</f>
        <v/>
      </c>
      <c r="G260" s="4">
        <f>($D$1-F260)/F260*100</f>
        <v/>
      </c>
      <c r="H260" s="4">
        <f>($D$2-F260)/F260*100</f>
        <v/>
      </c>
      <c r="I260" s="4">
        <f>($D$3-F260)/F260*100</f>
        <v/>
      </c>
      <c r="J260" s="4">
        <f>F260/$F$10*100</f>
        <v/>
      </c>
      <c r="K260" s="4">
        <f>N260/L260</f>
        <v/>
      </c>
      <c r="L260" s="4">
        <f>(M260/O260)*100</f>
        <v/>
      </c>
      <c r="M260" s="4">
        <f>O260/R260</f>
        <v/>
      </c>
      <c r="N260" s="4" t="n">
        <v>7.19</v>
      </c>
      <c r="O260" s="4" t="n">
        <v>19396.45</v>
      </c>
      <c r="P260" s="4" t="n">
        <v>4.55</v>
      </c>
      <c r="Q260" s="4">
        <f>N260-L260</f>
        <v/>
      </c>
      <c r="R260" s="4" t="n">
        <v>22.13</v>
      </c>
      <c r="S260" s="4" t="n">
        <v>4.33</v>
      </c>
      <c r="T260" s="7">
        <f>N260-S260</f>
        <v/>
      </c>
      <c r="U260" s="4" t="n">
        <v>103.47</v>
      </c>
      <c r="V260" s="7">
        <f>(R260*W260)</f>
        <v/>
      </c>
      <c r="W260" s="13" t="n">
        <v>0.0683</v>
      </c>
      <c r="X260" s="184" t="n"/>
      <c r="Y260" s="184" t="n"/>
      <c r="Z260" s="184" t="n"/>
      <c r="AA260" s="184" t="n"/>
      <c r="AB260" s="184" t="n"/>
      <c r="AC260" s="184" t="n"/>
      <c r="AD260" s="184" t="n"/>
      <c r="AE260" s="184" t="n"/>
    </row>
    <row r="261">
      <c r="A261" s="14" t="n">
        <v>250</v>
      </c>
      <c r="B261" s="9" t="n">
        <v>45161</v>
      </c>
      <c r="C261" s="4" t="n">
        <v>31440453.24</v>
      </c>
      <c r="D261" s="4">
        <f>C261/E261</f>
        <v/>
      </c>
      <c r="E261" s="4" t="n">
        <v>82.5</v>
      </c>
      <c r="F261" s="4">
        <f>D261/100000</f>
        <v/>
      </c>
      <c r="G261" s="4">
        <f>($D$1-F261)/F261*100</f>
        <v/>
      </c>
      <c r="H261" s="4">
        <f>($D$2-F261)/F261*100</f>
        <v/>
      </c>
      <c r="I261" s="4">
        <f>($D$3-F261)/F261*100</f>
        <v/>
      </c>
      <c r="J261" s="4">
        <f>F261/$F$10*100</f>
        <v/>
      </c>
      <c r="K261" s="4">
        <f>N261/L261</f>
        <v/>
      </c>
      <c r="L261" s="4">
        <f>(M261/O261)*100</f>
        <v/>
      </c>
      <c r="M261" s="4">
        <f>O261/R261</f>
        <v/>
      </c>
      <c r="N261" s="4" t="n">
        <v>7.19</v>
      </c>
      <c r="O261" s="4" t="n">
        <v>19444</v>
      </c>
      <c r="P261" s="4" t="n">
        <v>4.56</v>
      </c>
      <c r="Q261" s="4">
        <f>N261-L261</f>
        <v/>
      </c>
      <c r="R261" s="4" t="n">
        <v>22.19</v>
      </c>
      <c r="S261" s="4" t="n">
        <v>4.19</v>
      </c>
      <c r="T261" s="7">
        <f>N261-S261</f>
        <v/>
      </c>
      <c r="U261" s="4" t="n">
        <v>103.33</v>
      </c>
      <c r="V261" s="7">
        <f>(R261*W261)</f>
        <v/>
      </c>
      <c r="W261" s="13" t="n">
        <v>0.06850000000000001</v>
      </c>
      <c r="X261" s="184" t="n"/>
      <c r="Y261" s="184" t="n"/>
      <c r="Z261" s="184" t="n"/>
      <c r="AA261" s="184" t="n"/>
      <c r="AB261" s="184" t="n"/>
      <c r="AC261" s="184" t="n"/>
      <c r="AD261" s="184" t="n"/>
      <c r="AE261" s="184" t="n"/>
    </row>
    <row r="262">
      <c r="A262" s="14" t="n">
        <v>251</v>
      </c>
      <c r="B262" s="9" t="n">
        <v>45162</v>
      </c>
      <c r="C262" s="4" t="n">
        <v>31407607.72</v>
      </c>
      <c r="D262" s="4">
        <f>C262/E262</f>
        <v/>
      </c>
      <c r="E262" s="4" t="n">
        <v>82.58</v>
      </c>
      <c r="F262" s="4">
        <f>D262/100000</f>
        <v/>
      </c>
      <c r="G262" s="4">
        <f>($D$1-F262)/F262*100</f>
        <v/>
      </c>
      <c r="H262" s="4">
        <f>($D$2-F262)/F262*100</f>
        <v/>
      </c>
      <c r="I262" s="4">
        <f>($D$3-F262)/F262*100</f>
        <v/>
      </c>
      <c r="J262" s="4">
        <f>F262/$F$10*100</f>
        <v/>
      </c>
      <c r="K262" s="4">
        <f>N262/L262</f>
        <v/>
      </c>
      <c r="L262" s="4">
        <f>(M262/O262)*100</f>
        <v/>
      </c>
      <c r="M262" s="4">
        <f>O262/R262</f>
        <v/>
      </c>
      <c r="N262" s="4" t="n">
        <v>7.2</v>
      </c>
      <c r="O262" s="4" t="n">
        <v>19386.7</v>
      </c>
      <c r="P262" s="4" t="n">
        <v>4.47</v>
      </c>
      <c r="Q262" s="4">
        <f>N262-L262</f>
        <v/>
      </c>
      <c r="R262" s="4" t="n">
        <v>22.12</v>
      </c>
      <c r="S262" s="4" t="n">
        <v>4.24</v>
      </c>
      <c r="T262" s="7">
        <f>N262-S262</f>
        <v/>
      </c>
      <c r="U262" s="4" t="n">
        <v>103.91</v>
      </c>
      <c r="V262" s="7">
        <f>(R262*W262)</f>
        <v/>
      </c>
      <c r="W262" s="13" t="n">
        <v>0.06809999999999999</v>
      </c>
      <c r="X262" s="184" t="n"/>
      <c r="Y262" s="184" t="n"/>
      <c r="Z262" s="184" t="n"/>
      <c r="AA262" s="184" t="n"/>
      <c r="AB262" s="184" t="n"/>
      <c r="AC262" s="184" t="n"/>
      <c r="AD262" s="184" t="n"/>
      <c r="AE262" s="184" t="n"/>
    </row>
    <row r="263">
      <c r="A263" s="14" t="n">
        <v>252</v>
      </c>
      <c r="B263" s="9" t="n">
        <v>45163</v>
      </c>
      <c r="C263" s="4" t="n">
        <v>31222719.14</v>
      </c>
      <c r="D263" s="4">
        <f>C263/E263</f>
        <v/>
      </c>
      <c r="E263" s="4" t="n">
        <v>82.63</v>
      </c>
      <c r="F263" s="4">
        <f>D263/100000</f>
        <v/>
      </c>
      <c r="G263" s="4">
        <f>($D$1-F263)/F263*100</f>
        <v/>
      </c>
      <c r="H263" s="4">
        <f>($D$2-F263)/F263*100</f>
        <v/>
      </c>
      <c r="I263" s="4">
        <f>($D$3-F263)/F263*100</f>
        <v/>
      </c>
      <c r="J263" s="4">
        <f>F263/$F$10*100</f>
        <v/>
      </c>
      <c r="K263" s="4">
        <f>N263/L263</f>
        <v/>
      </c>
      <c r="L263" s="4">
        <f>(M263/O263)*100</f>
        <v/>
      </c>
      <c r="M263" s="4">
        <f>O263/R263</f>
        <v/>
      </c>
      <c r="N263" s="4" t="n">
        <v>7.17</v>
      </c>
      <c r="O263" s="4" t="n">
        <v>19265.8</v>
      </c>
      <c r="P263" s="4" t="n">
        <v>4.44</v>
      </c>
      <c r="Q263" s="4">
        <f>N263-L263</f>
        <v/>
      </c>
      <c r="R263" s="4" t="n">
        <v>21.98</v>
      </c>
      <c r="S263" s="4" t="n">
        <v>4.23</v>
      </c>
      <c r="T263" s="7">
        <f>N263-S263</f>
        <v/>
      </c>
      <c r="U263" s="4" t="n">
        <v>104.01</v>
      </c>
      <c r="V263" s="7">
        <f>(R263*W263)</f>
        <v/>
      </c>
      <c r="W263" s="13" t="n">
        <v>0.0682</v>
      </c>
      <c r="X263" s="184" t="n"/>
      <c r="Y263" s="184" t="n"/>
      <c r="Z263" s="184" t="n"/>
      <c r="AA263" s="184" t="n"/>
      <c r="AB263" s="184" t="n"/>
      <c r="AC263" s="184" t="n"/>
      <c r="AD263" s="184" t="n"/>
      <c r="AE263" s="184" t="n"/>
    </row>
    <row r="264">
      <c r="A264" s="14" t="n">
        <v>253</v>
      </c>
      <c r="B264" s="9" t="n">
        <v>45166</v>
      </c>
      <c r="C264" s="4" t="n">
        <v>31328188.19</v>
      </c>
      <c r="D264" s="4">
        <f>C264/E264</f>
        <v/>
      </c>
      <c r="E264" s="4" t="n">
        <v>82.59999999999999</v>
      </c>
      <c r="F264" s="4">
        <f>D264/100000</f>
        <v/>
      </c>
      <c r="G264" s="4">
        <f>($D$1-F264)/F264*100</f>
        <v/>
      </c>
      <c r="H264" s="4">
        <f>($D$2-F264)/F264*100</f>
        <v/>
      </c>
      <c r="I264" s="4">
        <f>($D$3-F264)/F264*100</f>
        <v/>
      </c>
      <c r="J264" s="4">
        <f>F264/$F$10*100</f>
        <v/>
      </c>
      <c r="K264" s="4">
        <f>N264/L264</f>
        <v/>
      </c>
      <c r="L264" s="4">
        <f>(M264/O264)*100</f>
        <v/>
      </c>
      <c r="M264" s="4">
        <f>O264/R264</f>
        <v/>
      </c>
      <c r="N264" s="4" t="n">
        <v>7.18</v>
      </c>
      <c r="O264" s="4" t="n">
        <v>19306.05</v>
      </c>
      <c r="P264" s="4" t="n">
        <v>4.43</v>
      </c>
      <c r="Q264" s="4">
        <f>N264-L264</f>
        <v/>
      </c>
      <c r="R264" s="4" t="n">
        <v>22.03</v>
      </c>
      <c r="S264" s="4" t="n">
        <v>4.2</v>
      </c>
      <c r="T264" s="7">
        <f>N264-S264</f>
        <v/>
      </c>
      <c r="U264" s="4" t="n">
        <v>103.99</v>
      </c>
      <c r="V264" s="7">
        <f>(R264*W264)</f>
        <v/>
      </c>
      <c r="W264" s="13" t="n">
        <v>0.06809999999999999</v>
      </c>
      <c r="X264" s="184" t="n"/>
      <c r="Y264" s="184" t="n"/>
      <c r="Z264" s="184" t="n"/>
      <c r="AA264" s="184" t="n"/>
      <c r="AB264" s="184" t="n"/>
      <c r="AC264" s="184" t="n"/>
      <c r="AD264" s="184" t="n"/>
      <c r="AE264" s="184" t="n"/>
    </row>
    <row r="265">
      <c r="A265" s="14" t="n">
        <v>254</v>
      </c>
      <c r="B265" s="9" t="n">
        <v>45167</v>
      </c>
      <c r="C265" s="4" t="n">
        <v>31437737.88</v>
      </c>
      <c r="D265" s="4">
        <f>C265/E265</f>
        <v/>
      </c>
      <c r="E265" s="4" t="n">
        <v>82.56999999999999</v>
      </c>
      <c r="F265" s="4">
        <f>D265/100000</f>
        <v/>
      </c>
      <c r="G265" s="4">
        <f>($D$1-F265)/F265*100</f>
        <v/>
      </c>
      <c r="H265" s="4">
        <f>($D$2-F265)/F265*100</f>
        <v/>
      </c>
      <c r="I265" s="4">
        <f>($D$3-F265)/F265*100</f>
        <v/>
      </c>
      <c r="J265" s="4">
        <f>F265/$F$10*100</f>
        <v/>
      </c>
      <c r="K265" s="4">
        <f>N265/L265</f>
        <v/>
      </c>
      <c r="L265" s="4">
        <f>(M265/O265)*100</f>
        <v/>
      </c>
      <c r="M265" s="4">
        <f>O265/R265</f>
        <v/>
      </c>
      <c r="N265" s="4" t="n">
        <v>7.18</v>
      </c>
      <c r="O265" s="4" t="n">
        <v>19342.65</v>
      </c>
      <c r="P265" s="4" t="n">
        <v>4.42</v>
      </c>
      <c r="Q265" s="4">
        <f>N265-L265</f>
        <v/>
      </c>
      <c r="R265" s="4" t="n">
        <v>22.07</v>
      </c>
      <c r="S265" s="4" t="n">
        <v>4.12</v>
      </c>
      <c r="T265" s="7">
        <f>N265-S265</f>
        <v/>
      </c>
      <c r="U265" s="4" t="n">
        <v>103.47</v>
      </c>
      <c r="V265" s="7">
        <f>(R265*W265)</f>
        <v/>
      </c>
      <c r="W265" s="13" t="n">
        <v>0.06809999999999999</v>
      </c>
      <c r="X265" s="184" t="n"/>
      <c r="Y265" s="184" t="n"/>
      <c r="Z265" s="184" t="n"/>
      <c r="AA265" s="184" t="n"/>
      <c r="AB265" s="184" t="n"/>
      <c r="AC265" s="184" t="n"/>
      <c r="AD265" s="184" t="n"/>
      <c r="AE265" s="184" t="n"/>
    </row>
    <row r="266">
      <c r="A266" s="14" t="n">
        <v>255</v>
      </c>
      <c r="B266" s="9" t="n">
        <v>45168</v>
      </c>
      <c r="C266" s="4" t="n">
        <v>31541752.85</v>
      </c>
      <c r="D266" s="4">
        <f>C266/E266</f>
        <v/>
      </c>
      <c r="E266" s="4" t="n">
        <v>82.59999999999999</v>
      </c>
      <c r="F266" s="4">
        <f>D266/100000</f>
        <v/>
      </c>
      <c r="G266" s="4">
        <f>($D$1-F266)/F266*100</f>
        <v/>
      </c>
      <c r="H266" s="4">
        <f>($D$2-F266)/F266*100</f>
        <v/>
      </c>
      <c r="I266" s="4">
        <f>($D$3-F266)/F266*100</f>
        <v/>
      </c>
      <c r="J266" s="4">
        <f>F266/$F$10*100</f>
        <v/>
      </c>
      <c r="K266" s="4">
        <f>N266/L266</f>
        <v/>
      </c>
      <c r="L266" s="4">
        <f>(M266/O266)*100</f>
        <v/>
      </c>
      <c r="M266" s="4">
        <f>O266/R266</f>
        <v/>
      </c>
      <c r="N266" s="4" t="n">
        <v>7.18</v>
      </c>
      <c r="O266" s="4" t="n">
        <v>19347.45</v>
      </c>
      <c r="P266" s="4" t="n">
        <v>4.42</v>
      </c>
      <c r="Q266" s="4">
        <f>N266-L266</f>
        <v/>
      </c>
      <c r="R266" s="4" t="n">
        <v>22.07</v>
      </c>
      <c r="S266" s="4" t="n">
        <v>4.11</v>
      </c>
      <c r="T266" s="7">
        <f>N266-S266</f>
        <v/>
      </c>
      <c r="U266" s="4" t="n">
        <v>103.09</v>
      </c>
      <c r="V266" s="7">
        <f>(R266*W266)</f>
        <v/>
      </c>
      <c r="W266" s="13" t="n">
        <v>0.0679</v>
      </c>
      <c r="X266" s="184" t="n"/>
      <c r="Y266" s="184" t="n"/>
      <c r="Z266" s="184" t="n"/>
      <c r="AA266" s="184" t="n"/>
      <c r="AB266" s="184" t="n"/>
      <c r="AC266" s="184" t="n"/>
      <c r="AD266" s="184" t="n"/>
      <c r="AE266" s="184" t="n"/>
    </row>
    <row r="267">
      <c r="A267" s="14" t="n">
        <v>256</v>
      </c>
      <c r="B267" s="9" t="n">
        <v>45169</v>
      </c>
      <c r="C267" s="4" t="n">
        <v>31463720.27</v>
      </c>
      <c r="D267" s="4">
        <f>C267/E267</f>
        <v/>
      </c>
      <c r="E267" s="4" t="n">
        <v>82.69</v>
      </c>
      <c r="F267" s="4">
        <f>D267/100000</f>
        <v/>
      </c>
      <c r="G267" s="4">
        <f>($D$1-F267)/F267*100</f>
        <v/>
      </c>
      <c r="H267" s="4">
        <f>($D$2-F267)/F267*100</f>
        <v/>
      </c>
      <c r="I267" s="4">
        <f>($D$3-F267)/F267*100</f>
        <v/>
      </c>
      <c r="J267" s="4">
        <f>F267/$F$10*100</f>
        <v/>
      </c>
      <c r="K267" s="4">
        <f>N267/L267</f>
        <v/>
      </c>
      <c r="L267" s="4">
        <f>(M267/O267)*100</f>
        <v/>
      </c>
      <c r="M267" s="4">
        <f>O267/R267</f>
        <v/>
      </c>
      <c r="N267" s="4" t="n">
        <v>7.16</v>
      </c>
      <c r="O267" s="4" t="n">
        <v>19253.8</v>
      </c>
      <c r="P267" s="4" t="n">
        <v>4.4</v>
      </c>
      <c r="Q267" s="4">
        <f>N267-L267</f>
        <v/>
      </c>
      <c r="R267" s="4" t="n">
        <v>21.97</v>
      </c>
      <c r="S267" s="4" t="n">
        <v>4.1</v>
      </c>
      <c r="T267" s="7">
        <f>N267-S267</f>
        <v/>
      </c>
      <c r="U267" s="4" t="n">
        <v>103.58</v>
      </c>
      <c r="V267" s="7">
        <f>(R267*W267)</f>
        <v/>
      </c>
      <c r="W267" s="13" t="n">
        <v>0.0678</v>
      </c>
      <c r="X267" s="184" t="n"/>
      <c r="Y267" s="184" t="n"/>
      <c r="Z267" s="184" t="n"/>
      <c r="AA267" s="184" t="n"/>
      <c r="AB267" s="184" t="n"/>
      <c r="AC267" s="184" t="n"/>
      <c r="AD267" s="184" t="n"/>
      <c r="AE267" s="184" t="n"/>
    </row>
    <row r="268">
      <c r="A268" s="14" t="n">
        <v>257</v>
      </c>
      <c r="B268" s="9" t="n">
        <v>45170</v>
      </c>
      <c r="C268" s="4" t="n">
        <v>31744091.28</v>
      </c>
      <c r="D268" s="4">
        <f>C268/E268</f>
        <v/>
      </c>
      <c r="E268" s="4" t="n">
        <v>82.68000000000001</v>
      </c>
      <c r="F268" s="4">
        <f>D268/100000</f>
        <v/>
      </c>
      <c r="G268" s="4">
        <f>($D$1-F268)/F268*100</f>
        <v/>
      </c>
      <c r="H268" s="4">
        <f>($D$2-F268)/F268*100</f>
        <v/>
      </c>
      <c r="I268" s="4">
        <f>($D$3-F268)/F268*100</f>
        <v/>
      </c>
      <c r="J268" s="4">
        <f>F268/$F$10*100</f>
        <v/>
      </c>
      <c r="K268" s="4">
        <f>N268/L268</f>
        <v/>
      </c>
      <c r="L268" s="4">
        <f>(M268/O268)*100</f>
        <v/>
      </c>
      <c r="M268" s="4">
        <f>O268/R268</f>
        <v/>
      </c>
      <c r="N268" s="4" t="n">
        <v>7.17</v>
      </c>
      <c r="O268" s="4" t="n">
        <v>19435.3</v>
      </c>
      <c r="P268" s="4" t="n">
        <v>4.44</v>
      </c>
      <c r="Q268" s="4">
        <f>N268-L268</f>
        <v/>
      </c>
      <c r="R268" s="4" t="n">
        <v>22.17</v>
      </c>
      <c r="S268" s="4" t="n">
        <v>4.18</v>
      </c>
      <c r="T268" s="7">
        <f>N268-S268</f>
        <v/>
      </c>
      <c r="U268" s="4" t="n">
        <v>104.19</v>
      </c>
      <c r="V268" s="7">
        <f>(R268*W268)</f>
        <v/>
      </c>
      <c r="W268" s="13" t="n">
        <v>0.0677</v>
      </c>
      <c r="X268" s="184" t="n"/>
      <c r="Y268" s="184" t="n"/>
      <c r="Z268" s="184" t="n"/>
      <c r="AA268" s="184" t="n"/>
      <c r="AB268" s="184" t="n"/>
      <c r="AC268" s="184" t="n"/>
      <c r="AD268" s="184" t="n"/>
      <c r="AE268" s="184" t="n"/>
    </row>
    <row r="269">
      <c r="A269" s="14" t="n">
        <v>258</v>
      </c>
      <c r="B269" s="9" t="n">
        <v>45173</v>
      </c>
      <c r="C269" s="4" t="n">
        <v>32010287.64</v>
      </c>
      <c r="D269" s="4">
        <f>C269/E269</f>
        <v/>
      </c>
      <c r="E269" s="4" t="n">
        <v>82.70999999999999</v>
      </c>
      <c r="F269" s="4">
        <f>D269/100000</f>
        <v/>
      </c>
      <c r="G269" s="4">
        <f>($D$1-F269)/F269*100</f>
        <v/>
      </c>
      <c r="H269" s="4">
        <f>($D$2-F269)/F269*100</f>
        <v/>
      </c>
      <c r="I269" s="4">
        <f>($D$3-F269)/F269*100</f>
        <v/>
      </c>
      <c r="J269" s="4">
        <f>F269/$F$10*100</f>
        <v/>
      </c>
      <c r="K269" s="4">
        <f>N269/L269</f>
        <v/>
      </c>
      <c r="L269" s="4">
        <f>(M269/O269)*100</f>
        <v/>
      </c>
      <c r="M269" s="4">
        <f>O269/R269</f>
        <v/>
      </c>
      <c r="N269" s="4" t="n">
        <v>7.2</v>
      </c>
      <c r="O269" s="4" t="n">
        <v>19528.8</v>
      </c>
      <c r="P269" s="4" t="n">
        <v>4.46</v>
      </c>
      <c r="Q269" s="4">
        <f>N269-L269</f>
        <v/>
      </c>
      <c r="R269" s="4" t="n">
        <v>22.28</v>
      </c>
      <c r="S269" s="4" t="n">
        <v>4.2</v>
      </c>
      <c r="T269" s="7">
        <f>N269-S269</f>
        <v/>
      </c>
      <c r="U269" s="4" t="n">
        <v>104.19</v>
      </c>
      <c r="V269" s="7">
        <f>(R269*W269)</f>
        <v/>
      </c>
      <c r="W269" s="13" t="n">
        <v>0.06809999999999999</v>
      </c>
      <c r="X269" s="184" t="n"/>
      <c r="Y269" s="184" t="n"/>
      <c r="Z269" s="184" t="n"/>
      <c r="AA269" s="184" t="n"/>
      <c r="AB269" s="184" t="n"/>
      <c r="AC269" s="184" t="n"/>
      <c r="AD269" s="184" t="n"/>
      <c r="AE269" s="184" t="n"/>
    </row>
    <row r="270">
      <c r="A270" s="14" t="n">
        <v>259</v>
      </c>
      <c r="B270" s="9" t="n">
        <v>45174</v>
      </c>
      <c r="C270" s="4" t="n">
        <v>32175271.55</v>
      </c>
      <c r="D270" s="4">
        <f>C270/E270</f>
        <v/>
      </c>
      <c r="E270" s="4" t="n">
        <v>83.03</v>
      </c>
      <c r="F270" s="4">
        <f>D270/100000</f>
        <v/>
      </c>
      <c r="G270" s="4">
        <f>($D$1-F270)/F270*100</f>
        <v/>
      </c>
      <c r="H270" s="4">
        <f>($D$2-F270)/F270*100</f>
        <v/>
      </c>
      <c r="I270" s="4">
        <f>($D$3-F270)/F270*100</f>
        <v/>
      </c>
      <c r="J270" s="4">
        <f>F270/$F$10*100</f>
        <v/>
      </c>
      <c r="K270" s="4">
        <f>N270/L270</f>
        <v/>
      </c>
      <c r="L270" s="4">
        <f>(M270/O270)*100</f>
        <v/>
      </c>
      <c r="M270" s="4">
        <f>O270/R270</f>
        <v/>
      </c>
      <c r="N270" s="4" t="n">
        <v>7.2</v>
      </c>
      <c r="O270" s="4" t="n">
        <v>19574.9</v>
      </c>
      <c r="P270" s="4" t="n">
        <v>4.46</v>
      </c>
      <c r="Q270" s="4">
        <f>N270-L270</f>
        <v/>
      </c>
      <c r="R270" s="4" t="n">
        <v>22.33</v>
      </c>
      <c r="S270" s="4" t="n">
        <v>4.26</v>
      </c>
      <c r="T270" s="7">
        <f>N270-S270</f>
        <v/>
      </c>
      <c r="U270" s="4" t="n">
        <v>104.76</v>
      </c>
      <c r="V270" s="7">
        <f>(R270*W270)</f>
        <v/>
      </c>
      <c r="W270" s="13" t="n">
        <v>0.068</v>
      </c>
      <c r="X270" s="184" t="n"/>
      <c r="Y270" s="184" t="n"/>
      <c r="Z270" s="184" t="n"/>
      <c r="AA270" s="184" t="n"/>
      <c r="AB270" s="184" t="n"/>
      <c r="AC270" s="184" t="n"/>
      <c r="AD270" s="184" t="n"/>
      <c r="AE270" s="184" t="n"/>
    </row>
    <row r="271">
      <c r="A271" s="14" t="n">
        <v>260</v>
      </c>
      <c r="B271" s="9" t="n">
        <v>45175</v>
      </c>
      <c r="C271" s="4" t="n">
        <v>32245292.06</v>
      </c>
      <c r="D271" s="4">
        <f>C271/E271</f>
        <v/>
      </c>
      <c r="E271" s="4" t="n">
        <v>83.19</v>
      </c>
      <c r="F271" s="4">
        <f>D271/100000</f>
        <v/>
      </c>
      <c r="G271" s="4">
        <f>($D$1-F271)/F271*100</f>
        <v/>
      </c>
      <c r="H271" s="4">
        <f>($D$2-F271)/F271*100</f>
        <v/>
      </c>
      <c r="I271" s="4">
        <f>($D$3-F271)/F271*100</f>
        <v/>
      </c>
      <c r="J271" s="4">
        <f>F271/$F$10*100</f>
        <v/>
      </c>
      <c r="K271" s="4">
        <f>N271/L271</f>
        <v/>
      </c>
      <c r="L271" s="4">
        <f>(M271/O271)*100</f>
        <v/>
      </c>
      <c r="M271" s="4">
        <f>O271/R271</f>
        <v/>
      </c>
      <c r="N271" s="4" t="n">
        <v>7.21</v>
      </c>
      <c r="O271" s="4" t="n">
        <v>19611.05</v>
      </c>
      <c r="P271" s="4" t="n">
        <v>4.43</v>
      </c>
      <c r="Q271" s="4">
        <f>N271-L271</f>
        <v/>
      </c>
      <c r="R271" s="4" t="n">
        <v>22.37</v>
      </c>
      <c r="S271" s="4" t="n">
        <v>4.29</v>
      </c>
      <c r="T271" s="7">
        <f>N271-S271</f>
        <v/>
      </c>
      <c r="U271" s="4" t="n">
        <v>104.82</v>
      </c>
      <c r="V271" s="7">
        <f>(R271*W271)</f>
        <v/>
      </c>
      <c r="W271" s="13" t="n">
        <v>0.06809999999999999</v>
      </c>
      <c r="X271" s="184" t="n"/>
      <c r="Y271" s="184" t="n"/>
      <c r="Z271" s="184" t="n"/>
      <c r="AA271" s="184" t="n"/>
      <c r="AB271" s="184" t="n"/>
      <c r="AC271" s="184" t="n"/>
      <c r="AD271" s="184" t="n"/>
      <c r="AE271" s="184" t="n"/>
    </row>
    <row r="272">
      <c r="A272" s="14" t="n">
        <v>261</v>
      </c>
      <c r="B272" s="9" t="n">
        <v>45176</v>
      </c>
      <c r="C272" s="4" t="n">
        <v>32417265.16</v>
      </c>
      <c r="D272" s="4">
        <f>C272/E272</f>
        <v/>
      </c>
      <c r="E272" s="4" t="n">
        <v>83.15000000000001</v>
      </c>
      <c r="F272" s="4">
        <f>D272/100000</f>
        <v/>
      </c>
      <c r="G272" s="4">
        <f>($D$1-F272)/F272*100</f>
        <v/>
      </c>
      <c r="H272" s="4">
        <f>($D$2-F272)/F272*100</f>
        <v/>
      </c>
      <c r="I272" s="4">
        <f>($D$3-F272)/F272*100</f>
        <v/>
      </c>
      <c r="J272" s="4">
        <f>F272/$F$10*100</f>
        <v/>
      </c>
      <c r="K272" s="4">
        <f>N272/L272</f>
        <v/>
      </c>
      <c r="L272" s="4">
        <f>(M272/O272)*100</f>
        <v/>
      </c>
      <c r="M272" s="4">
        <f>O272/R272</f>
        <v/>
      </c>
      <c r="N272" s="4" t="n">
        <v>7.17</v>
      </c>
      <c r="O272" s="4" t="n">
        <v>19727.05</v>
      </c>
      <c r="P272" s="4" t="n">
        <v>4.41</v>
      </c>
      <c r="Q272" s="4">
        <f>N272-L272</f>
        <v/>
      </c>
      <c r="R272" s="4" t="n">
        <v>22.28</v>
      </c>
      <c r="S272" s="4" t="n">
        <v>4.25</v>
      </c>
      <c r="T272" s="7">
        <f>N272-S272</f>
        <v/>
      </c>
      <c r="U272" s="4" t="n">
        <v>105.02</v>
      </c>
      <c r="V272" s="7">
        <f>(R272*W272)</f>
        <v/>
      </c>
      <c r="W272" s="13" t="n">
        <v>0.0683</v>
      </c>
      <c r="X272" s="184" t="n"/>
      <c r="Y272" s="184" t="n"/>
      <c r="Z272" s="184" t="n"/>
      <c r="AA272" s="184" t="n"/>
      <c r="AB272" s="184" t="n"/>
      <c r="AC272" s="184" t="n"/>
      <c r="AD272" s="184" t="n"/>
      <c r="AE272" s="184" t="n"/>
    </row>
    <row r="273">
      <c r="A273" s="14" t="n">
        <v>262</v>
      </c>
      <c r="B273" s="9" t="n">
        <v>45177</v>
      </c>
      <c r="C273" s="4" t="n">
        <v>32597657.14</v>
      </c>
      <c r="D273" s="4">
        <f>C273/E273</f>
        <v/>
      </c>
      <c r="E273" s="4" t="n">
        <v>83</v>
      </c>
      <c r="F273" s="4">
        <f>D273/100000</f>
        <v/>
      </c>
      <c r="G273" s="4">
        <f>($D$1-F273)/F273*100</f>
        <v/>
      </c>
      <c r="H273" s="4">
        <f>($D$2-F273)/F273*100</f>
        <v/>
      </c>
      <c r="I273" s="4">
        <f>($D$3-F273)/F273*100</f>
        <v/>
      </c>
      <c r="J273" s="4">
        <f>F273/$F$10*100</f>
        <v/>
      </c>
      <c r="K273" s="4">
        <f>N273/L273</f>
        <v/>
      </c>
      <c r="L273" s="4">
        <f>(M273/O273)*100</f>
        <v/>
      </c>
      <c r="M273" s="4">
        <f>O273/R273</f>
        <v/>
      </c>
      <c r="N273" s="4" t="n">
        <v>7.19</v>
      </c>
      <c r="O273" s="4" t="n">
        <v>19819.95</v>
      </c>
      <c r="P273" s="4" t="n">
        <v>4.43</v>
      </c>
      <c r="Q273" s="4">
        <f>N273-L273</f>
        <v/>
      </c>
      <c r="R273" s="4" t="n">
        <v>22.39</v>
      </c>
      <c r="S273" s="4" t="n">
        <v>4.26</v>
      </c>
      <c r="T273" s="7">
        <f>N273-S273</f>
        <v/>
      </c>
      <c r="U273" s="4" t="n">
        <v>105.06</v>
      </c>
      <c r="V273" s="7">
        <f>(R273*W273)</f>
        <v/>
      </c>
      <c r="W273" s="13" t="n">
        <v>0.0683</v>
      </c>
      <c r="X273" s="184" t="n"/>
      <c r="Y273" s="184" t="n"/>
      <c r="Z273" s="184" t="n"/>
      <c r="AA273" s="184" t="n"/>
      <c r="AB273" s="184" t="n"/>
      <c r="AC273" s="184" t="n"/>
      <c r="AD273" s="184" t="n"/>
      <c r="AE273" s="184" t="n"/>
    </row>
    <row r="274">
      <c r="A274" s="14" t="n">
        <v>263</v>
      </c>
      <c r="B274" s="9" t="n">
        <v>45180</v>
      </c>
      <c r="C274" s="4" t="n">
        <v>32932383.64</v>
      </c>
      <c r="D274" s="4">
        <f>C274/E274</f>
        <v/>
      </c>
      <c r="E274" s="4" t="n">
        <v>82.90000000000001</v>
      </c>
      <c r="F274" s="4">
        <f>D274/100000</f>
        <v/>
      </c>
      <c r="G274" s="4">
        <f>($D$1-F274)/F274*100</f>
        <v/>
      </c>
      <c r="H274" s="4">
        <f>($D$2-F274)/F274*100</f>
        <v/>
      </c>
      <c r="I274" s="4">
        <f>($D$3-F274)/F274*100</f>
        <v/>
      </c>
      <c r="J274" s="4">
        <f>F274/$F$10*100</f>
        <v/>
      </c>
      <c r="K274" s="4">
        <f>N274/L274</f>
        <v/>
      </c>
      <c r="L274" s="4">
        <f>(M274/O274)*100</f>
        <v/>
      </c>
      <c r="M274" s="4">
        <f>O274/R274</f>
        <v/>
      </c>
      <c r="N274" s="4" t="n">
        <v>7.2</v>
      </c>
      <c r="O274" s="4" t="n">
        <v>19996.35</v>
      </c>
      <c r="P274" s="4" t="n">
        <v>4.46</v>
      </c>
      <c r="Q274" s="4">
        <f>N274-L274</f>
        <v/>
      </c>
      <c r="R274" s="4" t="n">
        <v>22.59</v>
      </c>
      <c r="S274" s="4" t="n">
        <v>4.29</v>
      </c>
      <c r="T274" s="7">
        <f>N274-S274</f>
        <v/>
      </c>
      <c r="U274" s="4" t="n">
        <v>104.53</v>
      </c>
      <c r="V274" s="7">
        <f>(R274*W274)</f>
        <v/>
      </c>
      <c r="W274" s="13" t="n">
        <v>0.0683</v>
      </c>
      <c r="X274" s="184" t="n"/>
      <c r="Y274" s="184" t="n"/>
      <c r="Z274" s="184" t="n"/>
      <c r="AA274" s="184" t="n"/>
      <c r="AB274" s="184" t="n"/>
      <c r="AC274" s="184" t="n"/>
      <c r="AD274" s="184" t="n"/>
      <c r="AE274" s="184" t="n"/>
    </row>
    <row r="275">
      <c r="A275" s="14" t="n">
        <v>264</v>
      </c>
      <c r="B275" s="9" t="n">
        <v>45181</v>
      </c>
      <c r="C275" s="4" t="n">
        <v>32370056.08</v>
      </c>
      <c r="D275" s="4">
        <f>C275/E275</f>
        <v/>
      </c>
      <c r="E275" s="4" t="n">
        <v>82.84999999999999</v>
      </c>
      <c r="F275" s="4">
        <f>D275/100000</f>
        <v/>
      </c>
      <c r="G275" s="4">
        <f>($D$1-F275)/F275*100</f>
        <v/>
      </c>
      <c r="H275" s="4">
        <f>($D$2-F275)/F275*100</f>
        <v/>
      </c>
      <c r="I275" s="4">
        <f>($D$3-F275)/F275*100</f>
        <v/>
      </c>
      <c r="J275" s="4">
        <f>F275/$F$10*100</f>
        <v/>
      </c>
      <c r="K275" s="4">
        <f>N275/L275</f>
        <v/>
      </c>
      <c r="L275" s="4">
        <f>(M275/O275)*100</f>
        <v/>
      </c>
      <c r="M275" s="4">
        <f>O275/R275</f>
        <v/>
      </c>
      <c r="N275" s="4" t="n">
        <v>7.2</v>
      </c>
      <c r="O275" s="4" t="n">
        <v>19993.2</v>
      </c>
      <c r="P275" s="4" t="n">
        <v>4.44</v>
      </c>
      <c r="Q275" s="4">
        <f>N275-L275</f>
        <v/>
      </c>
      <c r="R275" s="4" t="n">
        <v>22.58</v>
      </c>
      <c r="S275" s="4" t="n">
        <v>4.28</v>
      </c>
      <c r="T275" s="7">
        <f>N275-S275</f>
        <v/>
      </c>
      <c r="U275" s="4" t="n">
        <v>104.69</v>
      </c>
      <c r="V275" s="7">
        <f>(R275*W275)</f>
        <v/>
      </c>
      <c r="W275" s="13" t="n">
        <v>0.06850000000000001</v>
      </c>
      <c r="X275" s="184" t="n"/>
      <c r="Y275" s="184" t="n"/>
      <c r="Z275" s="184" t="n"/>
      <c r="AA275" s="184" t="n"/>
      <c r="AB275" s="184" t="n"/>
      <c r="AC275" s="184" t="n"/>
      <c r="AD275" s="184" t="n"/>
      <c r="AE275" s="184" t="n"/>
    </row>
    <row r="276">
      <c r="A276" s="14" t="n">
        <v>265</v>
      </c>
      <c r="B276" s="9" t="n">
        <v>45182</v>
      </c>
      <c r="C276" s="4" t="n">
        <v>32529004.6</v>
      </c>
      <c r="D276" s="4">
        <f>C276/E276</f>
        <v/>
      </c>
      <c r="E276" s="4" t="n">
        <v>82.93000000000001</v>
      </c>
      <c r="F276" s="4">
        <f>D276/100000</f>
        <v/>
      </c>
      <c r="G276" s="4">
        <f>($D$1-F276)/F276*100</f>
        <v/>
      </c>
      <c r="H276" s="4">
        <f>($D$2-F276)/F276*100</f>
        <v/>
      </c>
      <c r="I276" s="4">
        <f>($D$3-F276)/F276*100</f>
        <v/>
      </c>
      <c r="J276" s="4">
        <f>F276/$F$10*100</f>
        <v/>
      </c>
      <c r="K276" s="4">
        <f>N276/L276</f>
        <v/>
      </c>
      <c r="L276" s="4">
        <f>(M276/O276)*100</f>
        <v/>
      </c>
      <c r="M276" s="4">
        <f>O276/R276</f>
        <v/>
      </c>
      <c r="N276" s="4" t="n">
        <v>7.17</v>
      </c>
      <c r="O276" s="4" t="n">
        <v>20070</v>
      </c>
      <c r="P276" s="4" t="n">
        <v>4.46</v>
      </c>
      <c r="Q276" s="4">
        <f>N276-L276</f>
        <v/>
      </c>
      <c r="R276" s="4" t="n">
        <v>22.67</v>
      </c>
      <c r="S276" s="4" t="n">
        <v>4.25</v>
      </c>
      <c r="T276" s="7">
        <f>N276-S276</f>
        <v/>
      </c>
      <c r="U276" s="4" t="n">
        <v>104.74</v>
      </c>
      <c r="V276" s="7">
        <f>(R276*W276)</f>
        <v/>
      </c>
      <c r="W276" s="13" t="n">
        <v>0.0684</v>
      </c>
      <c r="X276" s="184" t="n"/>
      <c r="Y276" s="184" t="n"/>
      <c r="Z276" s="184" t="n"/>
      <c r="AA276" s="184" t="n"/>
      <c r="AB276" s="184" t="n"/>
      <c r="AC276" s="184" t="n"/>
      <c r="AD276" s="184" t="n"/>
      <c r="AE276" s="184" t="n"/>
    </row>
    <row r="277">
      <c r="A277" s="14" t="n">
        <v>266</v>
      </c>
      <c r="B277" s="9" t="n">
        <v>45183</v>
      </c>
      <c r="C277" s="4" t="n">
        <v>32721160.09</v>
      </c>
      <c r="D277" s="4">
        <f>C277/E277</f>
        <v/>
      </c>
      <c r="E277" s="4" t="n">
        <v>83.01000000000001</v>
      </c>
      <c r="F277" s="4">
        <f>D277/100000</f>
        <v/>
      </c>
      <c r="G277" s="4">
        <f>($D$1-F277)/F277*100</f>
        <v/>
      </c>
      <c r="H277" s="4">
        <f>($D$2-F277)/F277*100</f>
        <v/>
      </c>
      <c r="I277" s="4">
        <f>($D$3-F277)/F277*100</f>
        <v/>
      </c>
      <c r="J277" s="4">
        <f>F277/$F$10*100</f>
        <v/>
      </c>
      <c r="K277" s="4">
        <f>N277/L277</f>
        <v/>
      </c>
      <c r="L277" s="4">
        <f>(M277/O277)*100</f>
        <v/>
      </c>
      <c r="M277" s="4">
        <f>O277/R277</f>
        <v/>
      </c>
      <c r="N277" s="4" t="n">
        <v>7.1</v>
      </c>
      <c r="O277" s="4" t="n">
        <v>20103.1</v>
      </c>
      <c r="P277" s="4" t="n">
        <v>4.47</v>
      </c>
      <c r="Q277" s="4">
        <f>N277-L277</f>
        <v/>
      </c>
      <c r="R277" s="4" t="n">
        <v>22.71</v>
      </c>
      <c r="S277" s="4" t="n">
        <v>4.28</v>
      </c>
      <c r="T277" s="7">
        <f>N277-S277</f>
        <v/>
      </c>
      <c r="U277" s="4" t="n">
        <v>105.39</v>
      </c>
      <c r="V277" s="7">
        <f>(R277*W277)</f>
        <v/>
      </c>
      <c r="W277" s="13" t="n">
        <v>0.0682</v>
      </c>
      <c r="X277" s="184" t="n"/>
      <c r="Y277" s="184" t="n"/>
      <c r="Z277" s="184" t="n"/>
      <c r="AA277" s="184" t="n"/>
      <c r="AB277" s="184" t="n"/>
      <c r="AC277" s="184" t="n"/>
      <c r="AD277" s="184" t="n"/>
      <c r="AE277" s="184" t="n"/>
    </row>
    <row r="278">
      <c r="A278" s="14" t="n">
        <v>267</v>
      </c>
      <c r="B278" s="9" t="n">
        <v>45184</v>
      </c>
      <c r="C278" s="4" t="n">
        <v>32843688.69</v>
      </c>
      <c r="D278" s="4">
        <f>C278/E278</f>
        <v/>
      </c>
      <c r="E278" s="4" t="n">
        <v>83.06</v>
      </c>
      <c r="F278" s="4">
        <f>D278/100000</f>
        <v/>
      </c>
      <c r="G278" s="4">
        <f>($D$1-F278)/F278*100</f>
        <v/>
      </c>
      <c r="H278" s="4">
        <f>($D$2-F278)/F278*100</f>
        <v/>
      </c>
      <c r="I278" s="4">
        <f>($D$3-F278)/F278*100</f>
        <v/>
      </c>
      <c r="J278" s="4">
        <f>F278/$F$10*100</f>
        <v/>
      </c>
      <c r="K278" s="4">
        <f>N278/L278</f>
        <v/>
      </c>
      <c r="L278" s="4">
        <f>(M278/O278)*100</f>
        <v/>
      </c>
      <c r="M278" s="4">
        <f>O278/R278</f>
        <v/>
      </c>
      <c r="N278" s="4" t="n">
        <v>7.15</v>
      </c>
      <c r="O278" s="4" t="n">
        <v>20192.35</v>
      </c>
      <c r="P278" s="4" t="n">
        <v>4.47</v>
      </c>
      <c r="Q278" s="4">
        <f>N278-L278</f>
        <v/>
      </c>
      <c r="R278" s="4" t="n">
        <v>22.81</v>
      </c>
      <c r="S278" s="4" t="n">
        <v>4.33</v>
      </c>
      <c r="T278" s="7">
        <f>N278-S278</f>
        <v/>
      </c>
      <c r="U278" s="4" t="n">
        <v>105.32</v>
      </c>
      <c r="V278" s="7">
        <f>(R278*W278)</f>
        <v/>
      </c>
      <c r="W278" s="13" t="n">
        <v>0.0682</v>
      </c>
      <c r="X278" s="184" t="n"/>
      <c r="Y278" s="184" t="n"/>
      <c r="Z278" s="184" t="n"/>
      <c r="AA278" s="184" t="n"/>
      <c r="AB278" s="184" t="n"/>
      <c r="AC278" s="184" t="n"/>
      <c r="AD278" s="184" t="n"/>
      <c r="AE278" s="184" t="n"/>
    </row>
    <row r="279">
      <c r="A279" s="14" t="n">
        <v>268</v>
      </c>
      <c r="B279" s="9" t="n">
        <v>45187</v>
      </c>
      <c r="C279" s="4" t="n">
        <v>32799762.71</v>
      </c>
      <c r="D279" s="4">
        <f>C279/E279</f>
        <v/>
      </c>
      <c r="E279" s="4" t="n">
        <v>83.27</v>
      </c>
      <c r="F279" s="4">
        <f>D279/100000</f>
        <v/>
      </c>
      <c r="G279" s="4">
        <f>($D$1-F279)/F279*100</f>
        <v/>
      </c>
      <c r="H279" s="4">
        <f>($D$2-F279)/F279*100</f>
        <v/>
      </c>
      <c r="I279" s="4">
        <f>($D$3-F279)/F279*100</f>
        <v/>
      </c>
      <c r="J279" s="4">
        <f>F279/$F$10*100</f>
        <v/>
      </c>
      <c r="K279" s="4">
        <f>N279/L279</f>
        <v/>
      </c>
      <c r="L279" s="4">
        <f>(M279/O279)*100</f>
        <v/>
      </c>
      <c r="M279" s="4">
        <f>O279/R279</f>
        <v/>
      </c>
      <c r="N279" s="4" t="n">
        <v>7.14</v>
      </c>
      <c r="O279" s="4" t="n">
        <v>20133.3</v>
      </c>
      <c r="P279" s="4" t="n">
        <v>4.46</v>
      </c>
      <c r="Q279" s="4">
        <f>N279-L279</f>
        <v/>
      </c>
      <c r="R279" s="4" t="n">
        <v>22.74</v>
      </c>
      <c r="S279" s="4" t="n">
        <v>4.3</v>
      </c>
      <c r="T279" s="7">
        <f>N279-S279</f>
        <v/>
      </c>
      <c r="U279" s="4" t="n">
        <v>105.29</v>
      </c>
      <c r="V279" s="7">
        <f>(R279*W279)</f>
        <v/>
      </c>
      <c r="W279" s="13" t="n">
        <v>0.0683</v>
      </c>
      <c r="X279" s="184" t="n"/>
      <c r="Y279" s="184" t="n"/>
      <c r="Z279" s="184" t="n"/>
      <c r="AA279" s="184" t="n"/>
      <c r="AB279" s="184" t="n"/>
      <c r="AC279" s="184" t="n"/>
      <c r="AD279" s="184" t="n"/>
      <c r="AE279" s="184" t="n"/>
    </row>
    <row r="280">
      <c r="A280" s="14" t="n">
        <v>269</v>
      </c>
      <c r="B280" s="9" t="n">
        <v>45189</v>
      </c>
      <c r="C280" s="4" t="n">
        <v>32554363.69</v>
      </c>
      <c r="D280" s="4">
        <f>C280/E280</f>
        <v/>
      </c>
      <c r="E280" s="4" t="n">
        <v>82.92</v>
      </c>
      <c r="F280" s="4">
        <f>D280/100000</f>
        <v/>
      </c>
      <c r="G280" s="4">
        <f>($D$1-F280)/F280*100</f>
        <v/>
      </c>
      <c r="H280" s="4">
        <f>($D$2-F280)/F280*100</f>
        <v/>
      </c>
      <c r="I280" s="4">
        <f>($D$3-F280)/F280*100</f>
        <v/>
      </c>
      <c r="J280" s="4">
        <f>F280/$F$10*100</f>
        <v/>
      </c>
      <c r="K280" s="4">
        <f>N280/L280</f>
        <v/>
      </c>
      <c r="L280" s="4">
        <f>(M280/O280)*100</f>
        <v/>
      </c>
      <c r="M280" s="4">
        <f>O280/R280</f>
        <v/>
      </c>
      <c r="N280" s="4" t="n">
        <v>7.15</v>
      </c>
      <c r="O280" s="4" t="n">
        <v>19901.4</v>
      </c>
      <c r="P280" s="4" t="n">
        <v>4.41</v>
      </c>
      <c r="Q280" s="4">
        <f>N280-L280</f>
        <v/>
      </c>
      <c r="R280" s="4" t="n">
        <v>22.48</v>
      </c>
      <c r="S280" s="4" t="n">
        <v>4.39</v>
      </c>
      <c r="T280" s="7">
        <f>N280-S280</f>
        <v/>
      </c>
      <c r="U280" s="4" t="n">
        <v>104.78</v>
      </c>
      <c r="V280" s="7">
        <f>(R280*W280)</f>
        <v/>
      </c>
      <c r="W280" s="13" t="n">
        <v>0.06859999999999999</v>
      </c>
      <c r="X280" s="184" t="n"/>
      <c r="Y280" s="184" t="n"/>
      <c r="Z280" s="184" t="n"/>
      <c r="AA280" s="184" t="n"/>
      <c r="AB280" s="184" t="n"/>
      <c r="AC280" s="184" t="n"/>
      <c r="AD280" s="184" t="n"/>
      <c r="AE280" s="184" t="n"/>
    </row>
    <row r="281">
      <c r="A281" s="14" t="n">
        <v>270</v>
      </c>
      <c r="B281" s="9" t="n">
        <v>45190</v>
      </c>
      <c r="C281" s="4" t="n">
        <v>32292649.44</v>
      </c>
      <c r="D281" s="4">
        <f>C281/E281</f>
        <v/>
      </c>
      <c r="E281" s="4" t="n">
        <v>83.09999999999999</v>
      </c>
      <c r="F281" s="4">
        <f>D281/100000</f>
        <v/>
      </c>
      <c r="G281" s="4">
        <f>($D$1-F281)/F281*100</f>
        <v/>
      </c>
      <c r="H281" s="4">
        <f>($D$2-F281)/F281*100</f>
        <v/>
      </c>
      <c r="I281" s="4">
        <f>($D$3-F281)/F281*100</f>
        <v/>
      </c>
      <c r="J281" s="4">
        <f>F281/$F$10*100</f>
        <v/>
      </c>
      <c r="K281" s="4">
        <f>N281/L281</f>
        <v/>
      </c>
      <c r="L281" s="4">
        <f>(M281/O281)*100</f>
        <v/>
      </c>
      <c r="M281" s="4">
        <f>O281/R281</f>
        <v/>
      </c>
      <c r="N281" s="4" t="n">
        <v>7.13</v>
      </c>
      <c r="O281" s="4" t="n">
        <v>19742.35</v>
      </c>
      <c r="P281" s="4" t="n">
        <v>4.37</v>
      </c>
      <c r="Q281" s="4">
        <f>N281-L281</f>
        <v/>
      </c>
      <c r="R281" s="4" t="n">
        <v>22.3</v>
      </c>
      <c r="S281" s="4" t="n">
        <v>4.49</v>
      </c>
      <c r="T281" s="7">
        <f>N281-S281</f>
        <v/>
      </c>
      <c r="U281" s="4" t="n">
        <v>105.04</v>
      </c>
      <c r="V281" s="7">
        <f>(R281*W281)</f>
        <v/>
      </c>
      <c r="W281" s="13" t="n">
        <v>0.0682</v>
      </c>
      <c r="X281" s="184" t="n"/>
      <c r="Y281" s="184" t="n"/>
      <c r="Z281" s="184" t="n"/>
      <c r="AA281" s="184" t="n"/>
      <c r="AB281" s="184" t="n"/>
      <c r="AC281" s="184" t="n"/>
      <c r="AD281" s="184" t="n"/>
      <c r="AE281" s="184" t="n"/>
    </row>
    <row r="282">
      <c r="A282" s="14" t="n">
        <v>271</v>
      </c>
      <c r="B282" s="9" t="n">
        <v>45191</v>
      </c>
      <c r="C282" s="4" t="n">
        <v>32281453.24</v>
      </c>
      <c r="D282" s="4">
        <f>C282/E282</f>
        <v/>
      </c>
      <c r="E282" s="4" t="n">
        <v>82.97</v>
      </c>
      <c r="F282" s="4">
        <f>D282/100000</f>
        <v/>
      </c>
      <c r="G282" s="4">
        <f>($D$1-F282)/F282*100</f>
        <v/>
      </c>
      <c r="H282" s="4">
        <f>($D$2-F282)/F282*100</f>
        <v/>
      </c>
      <c r="I282" s="4">
        <f>($D$3-F282)/F282*100</f>
        <v/>
      </c>
      <c r="J282" s="4">
        <f>F282/$F$10*100</f>
        <v/>
      </c>
      <c r="K282" s="4">
        <f>N282/L282</f>
        <v/>
      </c>
      <c r="L282" s="4">
        <f>(M282/O282)*100</f>
        <v/>
      </c>
      <c r="M282" s="4">
        <f>O282/R282</f>
        <v/>
      </c>
      <c r="N282" s="4" t="n">
        <v>7.15</v>
      </c>
      <c r="O282" s="4" t="n">
        <v>19674.25</v>
      </c>
      <c r="P282" s="4" t="n">
        <v>4.36</v>
      </c>
      <c r="Q282" s="4">
        <f>N282-L282</f>
        <v/>
      </c>
      <c r="R282" s="4" t="n">
        <v>22.22</v>
      </c>
      <c r="S282" s="4" t="n">
        <v>4.43</v>
      </c>
      <c r="T282" s="7">
        <f>N282-S282</f>
        <v/>
      </c>
      <c r="U282" s="4" t="n">
        <v>105.26</v>
      </c>
      <c r="V282" s="7">
        <f>(R282*W282)</f>
        <v/>
      </c>
      <c r="W282" s="13" t="n">
        <v>0.06809999999999999</v>
      </c>
      <c r="X282" s="184" t="n"/>
      <c r="Y282" s="184" t="n"/>
      <c r="Z282" s="184" t="n"/>
      <c r="AA282" s="184" t="n"/>
      <c r="AB282" s="184" t="n"/>
      <c r="AC282" s="184" t="n"/>
      <c r="AD282" s="184" t="n"/>
      <c r="AE282" s="184" t="n"/>
    </row>
    <row r="283">
      <c r="A283" s="14" t="n">
        <v>272</v>
      </c>
      <c r="B283" s="9" t="n">
        <v>45194</v>
      </c>
      <c r="C283" s="4" t="n">
        <v>32296747.87</v>
      </c>
      <c r="D283" s="4">
        <f>C283/E283</f>
        <v/>
      </c>
      <c r="E283" s="4" t="n">
        <v>83.13</v>
      </c>
      <c r="F283" s="4">
        <f>D283/100000</f>
        <v/>
      </c>
      <c r="G283" s="4">
        <f>($D$1-F283)/F283*100</f>
        <v/>
      </c>
      <c r="H283" s="4">
        <f>($D$2-F283)/F283*100</f>
        <v/>
      </c>
      <c r="I283" s="4">
        <f>($D$3-F283)/F283*100</f>
        <v/>
      </c>
      <c r="J283" s="4">
        <f>F283/$F$10*100</f>
        <v/>
      </c>
      <c r="K283" s="4">
        <f>N283/L283</f>
        <v/>
      </c>
      <c r="L283" s="4">
        <f>(M283/O283)*100</f>
        <v/>
      </c>
      <c r="M283" s="4">
        <f>O283/R283</f>
        <v/>
      </c>
      <c r="N283" s="4" t="n">
        <v>7.15</v>
      </c>
      <c r="O283" s="4" t="n">
        <v>19674.55</v>
      </c>
      <c r="P283" s="4" t="n">
        <v>4.36</v>
      </c>
      <c r="Q283" s="4">
        <f>N283-L283</f>
        <v/>
      </c>
      <c r="R283" s="4" t="n">
        <v>22.22</v>
      </c>
      <c r="S283" s="4" t="n">
        <v>4.53</v>
      </c>
      <c r="T283" s="7">
        <f>N283-S283</f>
        <v/>
      </c>
      <c r="U283" s="4" t="n">
        <v>105.69</v>
      </c>
      <c r="V283" s="7">
        <f>(R283*W283)</f>
        <v/>
      </c>
      <c r="W283" s="13" t="n">
        <v>0.0683</v>
      </c>
      <c r="X283" s="184" t="n"/>
      <c r="Y283" s="184" t="n"/>
      <c r="Z283" s="184" t="n"/>
      <c r="AA283" s="184" t="n"/>
      <c r="AB283" s="184" t="n"/>
      <c r="AC283" s="184" t="n"/>
      <c r="AD283" s="184" t="n"/>
      <c r="AE283" s="184" t="n"/>
    </row>
    <row r="284">
      <c r="A284" s="14" t="n">
        <v>273</v>
      </c>
      <c r="B284" s="9" t="n">
        <v>45195</v>
      </c>
      <c r="C284" s="4" t="n">
        <v>32323103.75</v>
      </c>
      <c r="D284" s="4">
        <f>C284/E284</f>
        <v/>
      </c>
      <c r="E284" s="4" t="n">
        <v>83.23</v>
      </c>
      <c r="F284" s="4">
        <f>D284/100000</f>
        <v/>
      </c>
      <c r="G284" s="4">
        <f>($D$1-F284)/F284*100</f>
        <v/>
      </c>
      <c r="H284" s="4">
        <f>($D$2-F284)/F284*100</f>
        <v/>
      </c>
      <c r="I284" s="4">
        <f>($D$3-F284)/F284*100</f>
        <v/>
      </c>
      <c r="J284" s="4">
        <f>F284/$F$10*100</f>
        <v/>
      </c>
      <c r="K284" s="4">
        <f>N284/L284</f>
        <v/>
      </c>
      <c r="L284" s="4">
        <f>(M284/O284)*100</f>
        <v/>
      </c>
      <c r="M284" s="4">
        <f>O284/R284</f>
        <v/>
      </c>
      <c r="N284" s="4" t="n">
        <v>7.14</v>
      </c>
      <c r="O284" s="4" t="n">
        <v>19664.7</v>
      </c>
      <c r="P284" s="4" t="n">
        <v>4.35</v>
      </c>
      <c r="Q284" s="4">
        <f>N284-L284</f>
        <v/>
      </c>
      <c r="R284" s="4" t="n">
        <v>22.21</v>
      </c>
      <c r="S284" s="4" t="n">
        <v>4.55</v>
      </c>
      <c r="T284" s="7">
        <f>N284-S284</f>
        <v/>
      </c>
      <c r="U284" s="4" t="n">
        <v>105.93</v>
      </c>
      <c r="V284" s="7">
        <f>(R284*W284)</f>
        <v/>
      </c>
      <c r="W284" s="13" t="n">
        <v>0.0687</v>
      </c>
      <c r="X284" s="184" t="n"/>
      <c r="Y284" s="184" t="n"/>
      <c r="Z284" s="184" t="n"/>
      <c r="AA284" s="184" t="n"/>
      <c r="AB284" s="184" t="n"/>
      <c r="AC284" s="184" t="n"/>
      <c r="AD284" s="184" t="n"/>
      <c r="AE284" s="184" t="n"/>
    </row>
    <row r="285">
      <c r="A285" s="14" t="n">
        <v>274</v>
      </c>
      <c r="B285" s="9" t="n">
        <v>45196</v>
      </c>
      <c r="C285" s="4" t="n">
        <v>32466063.75</v>
      </c>
      <c r="D285" s="4">
        <f>C285/E285</f>
        <v/>
      </c>
      <c r="E285" s="4" t="n">
        <v>83.18000000000001</v>
      </c>
      <c r="F285" s="4">
        <f>D285/100000</f>
        <v/>
      </c>
      <c r="G285" s="4">
        <f>($D$1-F285)/F285*100</f>
        <v/>
      </c>
      <c r="H285" s="4">
        <f>($D$2-F285)/F285*100</f>
        <v/>
      </c>
      <c r="I285" s="4">
        <f>($D$3-F285)/F285*100</f>
        <v/>
      </c>
      <c r="J285" s="4">
        <f>F285/$F$10*100</f>
        <v/>
      </c>
      <c r="K285" s="4">
        <f>N285/L285</f>
        <v/>
      </c>
      <c r="L285" s="4">
        <f>(M285/O285)*100</f>
        <v/>
      </c>
      <c r="M285" s="4">
        <f>O285/R285</f>
        <v/>
      </c>
      <c r="N285" s="4" t="n">
        <v>7.17</v>
      </c>
      <c r="O285" s="4" t="n">
        <v>19716.45</v>
      </c>
      <c r="P285" s="4" t="n">
        <v>4.36</v>
      </c>
      <c r="Q285" s="4">
        <f>N285-L285</f>
        <v/>
      </c>
      <c r="R285" s="4" t="n">
        <v>22.27</v>
      </c>
      <c r="S285" s="4" t="n">
        <v>4.6</v>
      </c>
      <c r="T285" s="7">
        <f>N285-S285</f>
        <v/>
      </c>
      <c r="U285" s="4" t="n">
        <v>106.36</v>
      </c>
      <c r="V285" s="7">
        <f>(R285*W285)</f>
        <v/>
      </c>
      <c r="W285" s="13" t="n">
        <v>0.0688</v>
      </c>
      <c r="X285" s="184" t="n"/>
      <c r="Y285" s="184" t="n"/>
      <c r="Z285" s="184" t="n"/>
      <c r="AA285" s="184" t="n"/>
      <c r="AB285" s="184" t="n"/>
      <c r="AC285" s="184" t="n"/>
      <c r="AD285" s="184" t="n"/>
      <c r="AE285" s="184" t="n"/>
    </row>
    <row r="286">
      <c r="A286" s="14" t="n">
        <v>275</v>
      </c>
      <c r="B286" s="9" t="n">
        <v>45197</v>
      </c>
      <c r="C286" s="4" t="n">
        <v>32167882.46</v>
      </c>
      <c r="D286" s="4">
        <f>C286/E286</f>
        <v/>
      </c>
      <c r="E286" s="4" t="n">
        <v>83.15000000000001</v>
      </c>
      <c r="F286" s="4">
        <f>D286/100000</f>
        <v/>
      </c>
      <c r="G286" s="4">
        <f>($D$1-F286)/F286*100</f>
        <v/>
      </c>
      <c r="H286" s="4">
        <f>($D$2-F286)/F286*100</f>
        <v/>
      </c>
      <c r="I286" s="4">
        <f>($D$3-F286)/F286*100</f>
        <v/>
      </c>
      <c r="J286" s="4">
        <f>F286/$F$10*100</f>
        <v/>
      </c>
      <c r="K286" s="4">
        <f>N286/L286</f>
        <v/>
      </c>
      <c r="L286" s="4">
        <f>(M286/O286)*100</f>
        <v/>
      </c>
      <c r="M286" s="4">
        <f>O286/R286</f>
        <v/>
      </c>
      <c r="N286" s="4" t="n">
        <v>7.23</v>
      </c>
      <c r="O286" s="4" t="n">
        <v>19523.55</v>
      </c>
      <c r="P286" s="4" t="n">
        <v>4.31</v>
      </c>
      <c r="Q286" s="4">
        <f>N286-L286</f>
        <v/>
      </c>
      <c r="R286" s="4" t="n">
        <v>22.05</v>
      </c>
      <c r="S286" s="4" t="n">
        <v>4.57</v>
      </c>
      <c r="T286" s="7">
        <f>N286-S286</f>
        <v/>
      </c>
      <c r="U286" s="4" t="n">
        <v>105.93</v>
      </c>
      <c r="V286" s="7">
        <f>(R286*W286)</f>
        <v/>
      </c>
      <c r="W286" s="13" t="n">
        <v>0.0689</v>
      </c>
      <c r="X286" s="184" t="n"/>
      <c r="Y286" s="184" t="n"/>
      <c r="Z286" s="184" t="n"/>
      <c r="AA286" s="184" t="n"/>
      <c r="AB286" s="184" t="n"/>
      <c r="AC286" s="184" t="n"/>
      <c r="AD286" s="184" t="n"/>
      <c r="AE286" s="184" t="n"/>
    </row>
    <row r="287">
      <c r="A287" s="14" t="n">
        <v>276</v>
      </c>
      <c r="B287" s="9" t="n">
        <v>45198</v>
      </c>
      <c r="C287" s="4" t="n">
        <v>32411846.26</v>
      </c>
      <c r="D287" s="4">
        <f>C287/E287</f>
        <v/>
      </c>
      <c r="E287" s="4" t="n">
        <v>83.03</v>
      </c>
      <c r="F287" s="4">
        <f>D287/100000</f>
        <v/>
      </c>
      <c r="G287" s="4">
        <f>($D$1-F287)/F287*100</f>
        <v/>
      </c>
      <c r="H287" s="4">
        <f>($D$2-F287)/F287*100</f>
        <v/>
      </c>
      <c r="I287" s="4">
        <f>($D$3-F287)/F287*100</f>
        <v/>
      </c>
      <c r="J287" s="4">
        <f>F287/$F$10*100</f>
        <v/>
      </c>
      <c r="K287" s="4">
        <f>N287/L287</f>
        <v/>
      </c>
      <c r="L287" s="4">
        <f>(M287/O287)*100</f>
        <v/>
      </c>
      <c r="M287" s="4">
        <f>O287/R287</f>
        <v/>
      </c>
      <c r="N287" s="4" t="n">
        <v>7.21</v>
      </c>
      <c r="O287" s="4" t="n">
        <v>19638.3</v>
      </c>
      <c r="P287" s="4" t="n">
        <v>3.45</v>
      </c>
      <c r="Q287" s="4">
        <f>N287-L287</f>
        <v/>
      </c>
      <c r="R287" s="4" t="n">
        <v>22.21</v>
      </c>
      <c r="S287" s="4" t="n">
        <v>4.57</v>
      </c>
      <c r="T287" s="7">
        <f>N287-S287</f>
        <v/>
      </c>
      <c r="U287" s="4" t="n">
        <v>105.81</v>
      </c>
      <c r="V287" s="7">
        <f>(R287*W287)</f>
        <v/>
      </c>
      <c r="W287" s="13" t="n">
        <v>0.068</v>
      </c>
      <c r="X287" s="184" t="n"/>
      <c r="Y287" s="184" t="n"/>
      <c r="Z287" s="184" t="n"/>
      <c r="AA287" s="184" t="n"/>
      <c r="AB287" s="184" t="n"/>
      <c r="AC287" s="184" t="n"/>
      <c r="AD287" s="184" t="n"/>
      <c r="AE287" s="184" t="n"/>
    </row>
    <row r="288">
      <c r="A288" s="14" t="n">
        <v>277</v>
      </c>
      <c r="B288" s="9" t="n">
        <v>45202</v>
      </c>
      <c r="C288" s="4" t="n">
        <v>32424277.56</v>
      </c>
      <c r="D288" s="4">
        <f>C288/E288</f>
        <v/>
      </c>
      <c r="E288" s="4" t="n">
        <v>83.20999999999999</v>
      </c>
      <c r="F288" s="4">
        <f>D288/100000</f>
        <v/>
      </c>
      <c r="G288" s="4">
        <f>($D$1-F288)/F288*100</f>
        <v/>
      </c>
      <c r="H288" s="4">
        <f>($D$2-F288)/F288*100</f>
        <v/>
      </c>
      <c r="I288" s="4">
        <f>($D$3-F288)/F288*100</f>
        <v/>
      </c>
      <c r="J288" s="4">
        <f>F288/$F$10*100</f>
        <v/>
      </c>
      <c r="K288" s="4">
        <f>N288/L288</f>
        <v/>
      </c>
      <c r="L288" s="4">
        <f>(M288/O288)*100</f>
        <v/>
      </c>
      <c r="M288" s="4">
        <f>O288/R288</f>
        <v/>
      </c>
      <c r="N288" s="4" t="n">
        <v>7.23</v>
      </c>
      <c r="O288" s="4" t="n">
        <v>19528.75</v>
      </c>
      <c r="P288" s="4" t="n">
        <v>3.43</v>
      </c>
      <c r="Q288" s="4">
        <f>N288-L288</f>
        <v/>
      </c>
      <c r="R288" s="4" t="n">
        <v>22.09</v>
      </c>
      <c r="S288" s="4" t="n">
        <v>4.79</v>
      </c>
      <c r="T288" s="7">
        <f>N288-S288</f>
        <v/>
      </c>
      <c r="U288" s="4" t="n">
        <v>106.71</v>
      </c>
      <c r="V288" s="7">
        <f>(R288*W288)</f>
        <v/>
      </c>
      <c r="W288" s="13" t="n">
        <v>0.0682</v>
      </c>
      <c r="X288" s="184" t="n"/>
      <c r="Y288" s="184" t="n"/>
      <c r="Z288" s="184" t="n"/>
      <c r="AA288" s="184" t="n"/>
      <c r="AB288" s="184" t="n"/>
      <c r="AC288" s="184" t="n"/>
      <c r="AD288" s="184" t="n"/>
      <c r="AE288" s="184" t="n"/>
    </row>
    <row r="289">
      <c r="A289" s="14" t="n">
        <v>278</v>
      </c>
      <c r="B289" s="9" t="n">
        <v>45203</v>
      </c>
      <c r="C289" s="4" t="n">
        <v>32172597.62</v>
      </c>
      <c r="D289" s="4">
        <f>C289/E289</f>
        <v/>
      </c>
      <c r="E289" s="4" t="n">
        <v>83.25</v>
      </c>
      <c r="F289" s="4">
        <f>D289/100000</f>
        <v/>
      </c>
      <c r="G289" s="4">
        <f>($D$1-F289)/F289*100</f>
        <v/>
      </c>
      <c r="H289" s="4">
        <f>($D$2-F289)/F289*100</f>
        <v/>
      </c>
      <c r="I289" s="4">
        <f>($D$3-F289)/F289*100</f>
        <v/>
      </c>
      <c r="J289" s="4">
        <f>F289/$F$10*100</f>
        <v/>
      </c>
      <c r="K289" s="4">
        <f>N289/L289</f>
        <v/>
      </c>
      <c r="L289" s="4">
        <f>(M289/O289)*100</f>
        <v/>
      </c>
      <c r="M289" s="4">
        <f>O289/R289</f>
        <v/>
      </c>
      <c r="N289" s="4" t="n">
        <v>7.23</v>
      </c>
      <c r="O289" s="4" t="n">
        <v>19436.1</v>
      </c>
      <c r="P289" s="4" t="n">
        <v>3.41</v>
      </c>
      <c r="Q289" s="4">
        <f>N289-L289</f>
        <v/>
      </c>
      <c r="R289" s="4" t="n">
        <v>21.98</v>
      </c>
      <c r="S289" s="4" t="n">
        <v>4.73</v>
      </c>
      <c r="T289" s="7">
        <f>N289-S289</f>
        <v/>
      </c>
      <c r="U289" s="4" t="n">
        <v>106.53</v>
      </c>
      <c r="V289" s="7">
        <f>(R289*W289)</f>
        <v/>
      </c>
      <c r="W289" s="13" t="n">
        <v>0.0684</v>
      </c>
      <c r="X289" s="184" t="n"/>
      <c r="Y289" s="184" t="n"/>
      <c r="Z289" s="184" t="n"/>
      <c r="AA289" s="184" t="n"/>
      <c r="AB289" s="184" t="n"/>
      <c r="AC289" s="184" t="n"/>
      <c r="AD289" s="184" t="n"/>
      <c r="AE289" s="184" t="n"/>
    </row>
    <row r="290">
      <c r="A290" s="14" t="n">
        <v>279</v>
      </c>
      <c r="B290" s="9" t="n">
        <v>45204</v>
      </c>
      <c r="C290" s="4" t="n">
        <v>32290874.09</v>
      </c>
      <c r="D290" s="4">
        <f>C290/E290</f>
        <v/>
      </c>
      <c r="E290" s="4" t="n">
        <v>83.23999999999999</v>
      </c>
      <c r="F290" s="4">
        <f>D290/100000</f>
        <v/>
      </c>
      <c r="G290" s="4">
        <f>($D$1-F290)/F290*100</f>
        <v/>
      </c>
      <c r="H290" s="4">
        <f>($D$2-F290)/F290*100</f>
        <v/>
      </c>
      <c r="I290" s="4">
        <f>($D$3-F290)/F290*100</f>
        <v/>
      </c>
      <c r="J290" s="4">
        <f>F290/$F$10*100</f>
        <v/>
      </c>
      <c r="K290" s="4">
        <f>N290/L290</f>
        <v/>
      </c>
      <c r="L290" s="4">
        <f>(M290/O290)*100</f>
        <v/>
      </c>
      <c r="M290" s="4">
        <f>O290/R290</f>
        <v/>
      </c>
      <c r="N290" s="4" t="n">
        <v>7.21</v>
      </c>
      <c r="O290" s="4" t="n">
        <v>19545.75</v>
      </c>
      <c r="P290" s="4" t="n">
        <v>3.43</v>
      </c>
      <c r="Q290" s="4">
        <f>N290-L290</f>
        <v/>
      </c>
      <c r="R290" s="4" t="n">
        <v>22.11</v>
      </c>
      <c r="S290" s="4" t="n">
        <v>4.72</v>
      </c>
      <c r="T290" s="7">
        <f>N290-S290</f>
        <v/>
      </c>
      <c r="U290" s="4" t="n">
        <v>106.32</v>
      </c>
      <c r="V290" s="7">
        <f>(R290*W290)</f>
        <v/>
      </c>
      <c r="W290" s="13" t="n">
        <v>0.06850000000000001</v>
      </c>
      <c r="X290" s="184" t="n"/>
      <c r="Y290" s="184" t="n"/>
      <c r="Z290" s="184" t="n"/>
      <c r="AA290" s="184" t="n"/>
      <c r="AB290" s="184" t="n"/>
      <c r="AC290" s="184" t="n"/>
      <c r="AD290" s="184" t="n"/>
      <c r="AE290" s="184" t="n"/>
    </row>
    <row r="291">
      <c r="A291" s="14" t="n">
        <v>280</v>
      </c>
      <c r="B291" s="9" t="n">
        <v>45205</v>
      </c>
      <c r="C291" s="4" t="n">
        <v>32498642.09</v>
      </c>
      <c r="D291" s="4">
        <f>C291/E291</f>
        <v/>
      </c>
      <c r="E291" s="4" t="n">
        <v>83.11</v>
      </c>
      <c r="F291" s="4">
        <f>D291/100000</f>
        <v/>
      </c>
      <c r="G291" s="4">
        <f>($D$1-F291)/F291*100</f>
        <v/>
      </c>
      <c r="H291" s="4">
        <f>($D$2-F291)/F291*100</f>
        <v/>
      </c>
      <c r="I291" s="4">
        <f>($D$3-F291)/F291*100</f>
        <v/>
      </c>
      <c r="J291" s="4">
        <f>F291/$F$10*100</f>
        <v/>
      </c>
      <c r="K291" s="4">
        <f>N291/L291</f>
        <v/>
      </c>
      <c r="L291" s="4">
        <f>(M291/O291)*100</f>
        <v/>
      </c>
      <c r="M291" s="4">
        <f>O291/R291</f>
        <v/>
      </c>
      <c r="N291" s="4" t="n">
        <v>7.33</v>
      </c>
      <c r="O291" s="4" t="n">
        <v>19621.2</v>
      </c>
      <c r="P291" s="4" t="n">
        <v>3.45</v>
      </c>
      <c r="Q291" s="4">
        <f>N291-L291</f>
        <v/>
      </c>
      <c r="R291" s="4" t="n">
        <v>22.23</v>
      </c>
      <c r="S291" s="4" t="n">
        <v>4.79</v>
      </c>
      <c r="T291" s="7">
        <f>N291-S291</f>
        <v/>
      </c>
      <c r="U291" s="4" t="n">
        <v>105.78</v>
      </c>
      <c r="V291" s="7">
        <f>(R291*W291)</f>
        <v/>
      </c>
      <c r="W291" s="13" t="n">
        <v>0.0684</v>
      </c>
      <c r="X291" s="184" t="n"/>
      <c r="Y291" s="184" t="n"/>
      <c r="Z291" s="184" t="n"/>
      <c r="AA291" s="184" t="n"/>
      <c r="AB291" s="184" t="n"/>
      <c r="AC291" s="184" t="n"/>
      <c r="AD291" s="184" t="n"/>
      <c r="AE291" s="184" t="n"/>
    </row>
    <row r="292">
      <c r="A292" s="14" t="n">
        <v>281</v>
      </c>
      <c r="B292" s="9" t="n">
        <v>45208</v>
      </c>
      <c r="C292" s="4" t="n">
        <v>32126509.28</v>
      </c>
      <c r="D292" s="4">
        <f>C292/E292</f>
        <v/>
      </c>
      <c r="E292" s="4" t="n">
        <v>83.25</v>
      </c>
      <c r="F292" s="4">
        <f>D292/100000</f>
        <v/>
      </c>
      <c r="G292" s="4">
        <f>($D$1-F292)/F292*100</f>
        <v/>
      </c>
      <c r="H292" s="4">
        <f>($D$2-F292)/F292*100</f>
        <v/>
      </c>
      <c r="I292" s="4">
        <f>($D$3-F292)/F292*100</f>
        <v/>
      </c>
      <c r="J292" s="4">
        <f>F292/$F$10*100</f>
        <v/>
      </c>
      <c r="K292" s="4">
        <f>N292/L292</f>
        <v/>
      </c>
      <c r="L292" s="4">
        <f>(M292/O292)*100</f>
        <v/>
      </c>
      <c r="M292" s="4">
        <f>O292/R292</f>
        <v/>
      </c>
      <c r="N292" s="4" t="n">
        <v>7.38</v>
      </c>
      <c r="O292" s="4" t="n">
        <v>19539.45</v>
      </c>
      <c r="P292" s="4" t="n">
        <v>3.42</v>
      </c>
      <c r="Q292" s="4">
        <f>N292-L292</f>
        <v/>
      </c>
      <c r="R292" s="4" t="n">
        <v>22.07</v>
      </c>
      <c r="S292" s="4" t="n">
        <v>4.62</v>
      </c>
      <c r="T292" s="7">
        <f>N292-S292</f>
        <v/>
      </c>
      <c r="U292" s="4" t="n">
        <v>105.81</v>
      </c>
      <c r="V292" s="7">
        <f>(R292*W292)</f>
        <v/>
      </c>
      <c r="W292" s="13" t="n">
        <v>0.06859999999999999</v>
      </c>
      <c r="X292" s="184" t="n"/>
      <c r="Y292" s="184" t="n"/>
      <c r="Z292" s="184" t="n"/>
      <c r="AA292" s="184" t="n"/>
      <c r="AB292" s="184" t="n"/>
      <c r="AC292" s="184" t="n"/>
      <c r="AD292" s="184" t="n"/>
      <c r="AE292" s="184" t="n"/>
    </row>
    <row r="293">
      <c r="A293" s="14" t="n">
        <v>282</v>
      </c>
      <c r="B293" s="9" t="n">
        <v>45209</v>
      </c>
      <c r="C293" s="4" t="n">
        <v>32483676.46</v>
      </c>
      <c r="D293" s="4">
        <f>C293/E293</f>
        <v/>
      </c>
      <c r="E293" s="4" t="n">
        <v>83.16</v>
      </c>
      <c r="F293" s="4">
        <f>D293/100000</f>
        <v/>
      </c>
      <c r="G293" s="4">
        <f>($D$1-F293)/F293*100</f>
        <v/>
      </c>
      <c r="H293" s="4">
        <f>($D$2-F293)/F293*100</f>
        <v/>
      </c>
      <c r="I293" s="4">
        <f>($D$3-F293)/F293*100</f>
        <v/>
      </c>
      <c r="J293" s="4">
        <f>F293/$F$10*100</f>
        <v/>
      </c>
      <c r="K293" s="4">
        <f>N293/L293</f>
        <v/>
      </c>
      <c r="L293" s="4">
        <f>(M293/O293)*100</f>
        <v/>
      </c>
      <c r="M293" s="4">
        <f>O293/R293</f>
        <v/>
      </c>
      <c r="N293" s="4" t="n">
        <v>7.35</v>
      </c>
      <c r="O293" s="4" t="n">
        <v>19565.6</v>
      </c>
      <c r="P293" s="4" t="n">
        <v>3.46</v>
      </c>
      <c r="Q293" s="4">
        <f>N293-L293</f>
        <v/>
      </c>
      <c r="R293" s="4" t="n">
        <v>22.27</v>
      </c>
      <c r="S293" s="4" t="n">
        <v>4.65</v>
      </c>
      <c r="T293" s="7">
        <f>N293-S293</f>
        <v/>
      </c>
      <c r="U293" s="4" t="n">
        <v>105.55</v>
      </c>
      <c r="V293" s="7">
        <f>(R293*W293)</f>
        <v/>
      </c>
      <c r="W293" s="13" t="n">
        <v>0.0684</v>
      </c>
      <c r="X293" s="184" t="n"/>
      <c r="Y293" s="184" t="n"/>
      <c r="Z293" s="184" t="n"/>
      <c r="AA293" s="184" t="n"/>
      <c r="AB293" s="184" t="n"/>
      <c r="AC293" s="184" t="n"/>
      <c r="AD293" s="184" t="n"/>
      <c r="AE293" s="184" t="n"/>
    </row>
    <row r="294">
      <c r="A294" s="14" t="n">
        <v>283</v>
      </c>
      <c r="B294" s="9" t="n">
        <v>45210</v>
      </c>
      <c r="C294" s="4" t="n">
        <v>32678192.45</v>
      </c>
      <c r="D294" s="4">
        <f>C294/E294</f>
        <v/>
      </c>
      <c r="E294" s="4" t="n">
        <v>83.16</v>
      </c>
      <c r="F294" s="4">
        <f>D294/100000</f>
        <v/>
      </c>
      <c r="G294" s="4">
        <f>($D$1-F294)/F294*100</f>
        <v/>
      </c>
      <c r="H294" s="4">
        <f>($D$2-F294)/F294*100</f>
        <v/>
      </c>
      <c r="I294" s="4">
        <f>($D$3-F294)/F294*100</f>
        <v/>
      </c>
      <c r="J294" s="4">
        <f>F294/$F$10*100</f>
        <v/>
      </c>
      <c r="K294" s="4">
        <f>N294/L294</f>
        <v/>
      </c>
      <c r="L294" s="4">
        <f>(M294/O294)*100</f>
        <v/>
      </c>
      <c r="M294" s="4">
        <f>O294/R294</f>
        <v/>
      </c>
      <c r="N294" s="4" t="n">
        <v>7.3</v>
      </c>
      <c r="O294" s="4" t="n">
        <v>19767</v>
      </c>
      <c r="P294" s="4" t="n">
        <v>3.48</v>
      </c>
      <c r="Q294" s="4">
        <f>N294-L294</f>
        <v/>
      </c>
      <c r="R294" s="4" t="n">
        <v>22.41</v>
      </c>
      <c r="S294" s="4" t="n">
        <v>4.55</v>
      </c>
      <c r="T294" s="7">
        <f>N294-S294</f>
        <v/>
      </c>
      <c r="U294" s="4" t="n">
        <v>105.56</v>
      </c>
      <c r="V294" s="7">
        <f>(R294*W294)</f>
        <v/>
      </c>
      <c r="W294" s="13" t="n">
        <v>0.06859999999999999</v>
      </c>
      <c r="X294" s="184" t="n"/>
      <c r="Y294" s="184" t="n"/>
      <c r="Z294" s="184" t="n"/>
      <c r="AA294" s="184" t="n"/>
      <c r="AB294" s="184" t="n"/>
      <c r="AC294" s="184" t="n"/>
      <c r="AD294" s="184" t="n"/>
      <c r="AE294" s="184" t="n"/>
    </row>
    <row r="295">
      <c r="A295" s="14" t="n">
        <v>284</v>
      </c>
      <c r="B295" s="9" t="n">
        <v>45211</v>
      </c>
      <c r="C295" s="4" t="n">
        <v>32722637.24</v>
      </c>
      <c r="D295" s="4">
        <f>C295/E295</f>
        <v/>
      </c>
      <c r="E295" s="4" t="n">
        <v>83.29000000000001</v>
      </c>
      <c r="F295" s="4">
        <f>D295/100000</f>
        <v/>
      </c>
      <c r="G295" s="4">
        <f>($D$1-F295)/F295*100</f>
        <v/>
      </c>
      <c r="H295" s="4">
        <f>($D$2-F295)/F295*100</f>
        <v/>
      </c>
      <c r="I295" s="4">
        <f>($D$3-F295)/F295*100</f>
        <v/>
      </c>
      <c r="J295" s="4">
        <f>F295/$F$10*100</f>
        <v/>
      </c>
      <c r="K295" s="4">
        <f>N295/L295</f>
        <v/>
      </c>
      <c r="L295" s="4">
        <f>(M295/O295)*100</f>
        <v/>
      </c>
      <c r="M295" s="4">
        <f>O295/R295</f>
        <v/>
      </c>
      <c r="N295" s="4" t="n">
        <v>7.3</v>
      </c>
      <c r="O295" s="4" t="n">
        <v>19822.7</v>
      </c>
      <c r="P295" s="4" t="n">
        <v>3.47</v>
      </c>
      <c r="Q295" s="4">
        <f>N295-L295</f>
        <v/>
      </c>
      <c r="R295" s="4" t="n">
        <v>22.39</v>
      </c>
      <c r="S295" s="4" t="n">
        <v>4.69</v>
      </c>
      <c r="T295" s="7">
        <f>N295-S295</f>
        <v/>
      </c>
      <c r="U295" s="4" t="n">
        <v>106.36</v>
      </c>
      <c r="V295" s="7">
        <f>(R295*W295)</f>
        <v/>
      </c>
      <c r="W295" s="13" t="n">
        <v>0.06859999999999999</v>
      </c>
      <c r="X295" s="184" t="n"/>
      <c r="Y295" s="184" t="n"/>
      <c r="Z295" s="184" t="n"/>
      <c r="AA295" s="184" t="n"/>
      <c r="AB295" s="184" t="n"/>
      <c r="AC295" s="184" t="n"/>
      <c r="AD295" s="184" t="n"/>
      <c r="AE295" s="184" t="n"/>
    </row>
    <row r="296">
      <c r="A296" s="14" t="n">
        <v>285</v>
      </c>
      <c r="B296" s="9" t="n">
        <v>45212</v>
      </c>
      <c r="C296" s="4" t="n">
        <v>32713519.94</v>
      </c>
      <c r="D296" s="4">
        <f>C296/E296</f>
        <v/>
      </c>
      <c r="E296" s="4" t="n">
        <v>83.25</v>
      </c>
      <c r="F296" s="4">
        <f>D296/100000</f>
        <v/>
      </c>
      <c r="G296" s="4">
        <f>($D$1-F296)/F296*100</f>
        <v/>
      </c>
      <c r="H296" s="4">
        <f>($D$2-F296)/F296*100</f>
        <v/>
      </c>
      <c r="I296" s="4">
        <f>($D$3-F296)/F296*100</f>
        <v/>
      </c>
      <c r="J296" s="4">
        <f>F296/$F$10*100</f>
        <v/>
      </c>
      <c r="K296" s="4">
        <f>N296/L296</f>
        <v/>
      </c>
      <c r="L296" s="4">
        <f>(M296/O296)*100</f>
        <v/>
      </c>
      <c r="M296" s="4">
        <f>O296/R296</f>
        <v/>
      </c>
      <c r="N296" s="4" t="n">
        <v>7.32</v>
      </c>
      <c r="O296" s="4" t="n">
        <v>19654.55</v>
      </c>
      <c r="P296" s="4" t="n">
        <v>3.47</v>
      </c>
      <c r="Q296" s="4">
        <f>N296-L296</f>
        <v/>
      </c>
      <c r="R296" s="4" t="n">
        <v>22.33</v>
      </c>
      <c r="S296" s="4" t="n">
        <v>4.61</v>
      </c>
      <c r="T296" s="7">
        <f>N296-S296</f>
        <v/>
      </c>
      <c r="U296" s="4" t="n">
        <v>106.43</v>
      </c>
      <c r="V296" s="7">
        <f>(R296*W296)</f>
        <v/>
      </c>
      <c r="W296" s="13" t="n">
        <v>0.0687</v>
      </c>
      <c r="X296" s="184" t="n"/>
      <c r="Y296" s="184" t="n"/>
      <c r="Z296" s="184" t="n"/>
      <c r="AA296" s="184" t="n"/>
      <c r="AB296" s="184" t="n"/>
      <c r="AC296" s="184" t="n"/>
      <c r="AD296" s="184" t="n"/>
      <c r="AE296" s="184" t="n"/>
    </row>
    <row r="297">
      <c r="A297" s="14" t="n">
        <v>286</v>
      </c>
      <c r="B297" s="9" t="n">
        <v>45215</v>
      </c>
      <c r="C297" s="4" t="n">
        <v>32737764.93</v>
      </c>
      <c r="D297" s="4">
        <f>C297/E297</f>
        <v/>
      </c>
      <c r="E297" s="4" t="n">
        <v>83.19</v>
      </c>
      <c r="F297" s="4">
        <f>D297/100000</f>
        <v/>
      </c>
      <c r="G297" s="4">
        <f>($D$1-F297)/F297*100</f>
        <v/>
      </c>
      <c r="H297" s="4">
        <f>($D$2-F297)/F297*100</f>
        <v/>
      </c>
      <c r="I297" s="4">
        <f>($D$3-F297)/F297*100</f>
        <v/>
      </c>
      <c r="J297" s="4">
        <f>F297/$F$10*100</f>
        <v/>
      </c>
      <c r="K297" s="4">
        <f>N297/L297</f>
        <v/>
      </c>
      <c r="L297" s="4">
        <f>(M297/O297)*100</f>
        <v/>
      </c>
      <c r="M297" s="4">
        <f>O297/R297</f>
        <v/>
      </c>
      <c r="N297" s="4" t="n">
        <v>7.33</v>
      </c>
      <c r="O297" s="4" t="n">
        <v>19737.25</v>
      </c>
      <c r="P297" s="4" t="n">
        <v>3.46</v>
      </c>
      <c r="Q297" s="4">
        <f>N297-L297</f>
        <v/>
      </c>
      <c r="R297" s="4" t="n">
        <v>22.29</v>
      </c>
      <c r="S297" s="4" t="n">
        <v>4.7</v>
      </c>
      <c r="T297" s="7">
        <f>N297-S297</f>
        <v/>
      </c>
      <c r="U297" s="4" t="n">
        <v>106.03</v>
      </c>
      <c r="V297" s="7">
        <f>(R297*W297)</f>
        <v/>
      </c>
      <c r="W297" s="13" t="n">
        <v>0.06859999999999999</v>
      </c>
      <c r="X297" s="184" t="n"/>
      <c r="Y297" s="184" t="n"/>
      <c r="Z297" s="184" t="n"/>
      <c r="AA297" s="184" t="n"/>
      <c r="AB297" s="184" t="n"/>
      <c r="AC297" s="184" t="n"/>
      <c r="AD297" s="184" t="n"/>
      <c r="AE297" s="184" t="n"/>
    </row>
    <row r="298">
      <c r="A298" s="14" t="n">
        <v>287</v>
      </c>
      <c r="B298" s="9" t="n">
        <v>45216</v>
      </c>
      <c r="C298" s="4" t="n">
        <v>32898741.34</v>
      </c>
      <c r="D298" s="4">
        <f>C298/E298</f>
        <v/>
      </c>
      <c r="E298" s="4" t="n">
        <v>83.23999999999999</v>
      </c>
      <c r="F298" s="4">
        <f>D298/100000</f>
        <v/>
      </c>
      <c r="G298" s="4">
        <f>($D$1-F298)/F298*100</f>
        <v/>
      </c>
      <c r="H298" s="4">
        <f>($D$2-F298)/F298*100</f>
        <v/>
      </c>
      <c r="I298" s="4">
        <f>($D$3-F298)/F298*100</f>
        <v/>
      </c>
      <c r="J298" s="4">
        <f>F298/$F$10*100</f>
        <v/>
      </c>
      <c r="K298" s="4">
        <f>N298/L298</f>
        <v/>
      </c>
      <c r="L298" s="4">
        <f>(M298/O298)*100</f>
        <v/>
      </c>
      <c r="M298" s="4">
        <f>O298/R298</f>
        <v/>
      </c>
      <c r="N298" s="4" t="n">
        <v>7.32</v>
      </c>
      <c r="O298" s="4" t="n">
        <v>19843.2</v>
      </c>
      <c r="P298" s="4" t="n">
        <v>3.48</v>
      </c>
      <c r="Q298" s="4">
        <f>N298-L298</f>
        <v/>
      </c>
      <c r="R298" s="4" t="n">
        <v>22.38</v>
      </c>
      <c r="S298" s="4" t="n">
        <v>4.83</v>
      </c>
      <c r="T298" s="7">
        <f>N298-S298</f>
        <v/>
      </c>
      <c r="U298" s="4" t="n">
        <v>106.04</v>
      </c>
      <c r="V298" s="7">
        <f>(R298*W298)</f>
        <v/>
      </c>
      <c r="W298" s="13" t="n">
        <v>0.0688</v>
      </c>
      <c r="X298" s="184" t="n"/>
      <c r="Y298" s="184" t="n"/>
      <c r="Z298" s="184" t="n"/>
      <c r="AA298" s="184" t="n"/>
      <c r="AB298" s="184" t="n"/>
      <c r="AC298" s="184" t="n"/>
      <c r="AD298" s="184" t="n"/>
      <c r="AE298" s="184" t="n"/>
    </row>
    <row r="299">
      <c r="A299" s="14" t="n">
        <v>288</v>
      </c>
      <c r="B299" s="9" t="n">
        <v>45217</v>
      </c>
      <c r="C299" s="4" t="n">
        <v>32656293.76</v>
      </c>
      <c r="D299" s="4">
        <f>C299/E299</f>
        <v/>
      </c>
      <c r="E299" s="4" t="n">
        <v>83.29000000000001</v>
      </c>
      <c r="F299" s="4">
        <f>D299/100000</f>
        <v/>
      </c>
      <c r="G299" s="4">
        <f>($D$1-F299)/F299*100</f>
        <v/>
      </c>
      <c r="H299" s="4">
        <f>($D$2-F299)/F299*100</f>
        <v/>
      </c>
      <c r="I299" s="4">
        <f>($D$3-F299)/F299*100</f>
        <v/>
      </c>
      <c r="J299" s="4">
        <f>F299/$F$10*100</f>
        <v/>
      </c>
      <c r="K299" s="4">
        <f>N299/L299</f>
        <v/>
      </c>
      <c r="L299" s="4">
        <f>(M299/O299)*100</f>
        <v/>
      </c>
      <c r="M299" s="4">
        <f>O299/R299</f>
        <v/>
      </c>
      <c r="N299" s="4" t="n">
        <v>7.35</v>
      </c>
      <c r="O299" s="4" t="n">
        <v>19820.45</v>
      </c>
      <c r="P299" s="4" t="n">
        <v>3.45</v>
      </c>
      <c r="Q299" s="4">
        <f>N299-L299</f>
        <v/>
      </c>
      <c r="R299" s="4" t="n">
        <v>21.87</v>
      </c>
      <c r="S299" s="4" t="n">
        <v>4.91</v>
      </c>
      <c r="T299" s="7">
        <f>N299-S299</f>
        <v/>
      </c>
      <c r="U299" s="4" t="n">
        <v>106.35</v>
      </c>
      <c r="V299" s="7">
        <f>(R299*W299)</f>
        <v/>
      </c>
      <c r="W299" s="13" t="n">
        <v>0.06900000000000001</v>
      </c>
      <c r="X299" s="184" t="n"/>
      <c r="Y299" s="184" t="n"/>
      <c r="Z299" s="184" t="n"/>
      <c r="AA299" s="184" t="n"/>
      <c r="AB299" s="184" t="n"/>
      <c r="AC299" s="184" t="n"/>
      <c r="AD299" s="184" t="n"/>
      <c r="AE299" s="184" t="n"/>
    </row>
    <row r="300">
      <c r="A300" s="14" t="n">
        <v>289</v>
      </c>
      <c r="B300" s="9" t="n">
        <v>45218</v>
      </c>
      <c r="C300" s="4" t="n">
        <v>32617075.99</v>
      </c>
      <c r="D300" s="4">
        <f>C300/E300</f>
        <v/>
      </c>
      <c r="E300" s="4" t="n">
        <v>83.09</v>
      </c>
      <c r="F300" s="4">
        <f>D300/100000</f>
        <v/>
      </c>
      <c r="G300" s="4">
        <f>($D$1-F300)/F300*100</f>
        <v/>
      </c>
      <c r="H300" s="4">
        <f>($D$2-F300)/F300*100</f>
        <v/>
      </c>
      <c r="I300" s="4">
        <f>($D$3-F300)/F300*100</f>
        <v/>
      </c>
      <c r="J300" s="4">
        <f>F300/$F$10*100</f>
        <v/>
      </c>
      <c r="K300" s="4">
        <f>N300/L300</f>
        <v/>
      </c>
      <c r="L300" s="4">
        <f>(M300/O300)*100</f>
        <v/>
      </c>
      <c r="M300" s="4">
        <f>O300/R300</f>
        <v/>
      </c>
      <c r="N300" s="4" t="n">
        <v>7.36</v>
      </c>
      <c r="O300" s="4" t="n">
        <v>19545.2</v>
      </c>
      <c r="P300" s="4" t="n">
        <v>3.44</v>
      </c>
      <c r="Q300" s="4">
        <f>N300-L300</f>
        <v/>
      </c>
      <c r="R300" s="4" t="n">
        <v>21.77</v>
      </c>
      <c r="S300" s="4" t="n">
        <v>4.99</v>
      </c>
      <c r="T300" s="7">
        <f>N300-S300</f>
        <v/>
      </c>
      <c r="U300" s="4" t="n">
        <v>106.04</v>
      </c>
      <c r="V300" s="7">
        <f>(R300*W300)</f>
        <v/>
      </c>
      <c r="W300" s="13" t="n">
        <v>0.0693</v>
      </c>
      <c r="X300" s="184" t="n"/>
      <c r="Y300" s="184" t="n"/>
      <c r="Z300" s="184" t="n"/>
      <c r="AA300" s="184" t="n"/>
      <c r="AB300" s="184" t="n"/>
      <c r="AC300" s="184" t="n"/>
      <c r="AD300" s="184" t="n"/>
      <c r="AE300" s="184" t="n"/>
    </row>
    <row r="301">
      <c r="A301" s="14" t="n">
        <v>290</v>
      </c>
      <c r="B301" s="9" t="n">
        <v>45219</v>
      </c>
      <c r="C301" s="4" t="n">
        <v>32411799.25</v>
      </c>
      <c r="D301" s="4">
        <f>C301/E301</f>
        <v/>
      </c>
      <c r="E301" s="4" t="n">
        <v>83.15000000000001</v>
      </c>
      <c r="F301" s="4">
        <f>D301/100000</f>
        <v/>
      </c>
      <c r="G301" s="4">
        <f>($D$1-F301)/F301*100</f>
        <v/>
      </c>
      <c r="H301" s="4">
        <f>($D$2-F301)/F301*100</f>
        <v/>
      </c>
      <c r="I301" s="4">
        <f>($D$3-F301)/F301*100</f>
        <v/>
      </c>
      <c r="J301" s="4">
        <f>F301/$F$10*100</f>
        <v/>
      </c>
      <c r="K301" s="4">
        <f>N301/L301</f>
        <v/>
      </c>
      <c r="L301" s="4">
        <f>(M301/O301)*100</f>
        <v/>
      </c>
      <c r="M301" s="4">
        <f>O301/R301</f>
        <v/>
      </c>
      <c r="N301" s="4" t="n">
        <v>7.36</v>
      </c>
      <c r="O301" s="4" t="n">
        <v>19542.65</v>
      </c>
      <c r="P301" s="4" t="n">
        <v>3.43</v>
      </c>
      <c r="Q301" s="4">
        <f>N301-L301</f>
        <v/>
      </c>
      <c r="R301" s="4" t="n">
        <v>21.68</v>
      </c>
      <c r="S301" s="4" t="n">
        <v>4.91</v>
      </c>
      <c r="T301" s="7">
        <f>N301-S301</f>
        <v/>
      </c>
      <c r="U301" s="4" t="n">
        <v>105.98</v>
      </c>
      <c r="V301" s="7">
        <f>(R301*W301)</f>
        <v/>
      </c>
      <c r="W301" s="13" t="n">
        <v>0.0693</v>
      </c>
      <c r="X301" s="184" t="n"/>
      <c r="Y301" s="184" t="n"/>
      <c r="Z301" s="184" t="n"/>
      <c r="AA301" s="184" t="n"/>
      <c r="AB301" s="184" t="n"/>
      <c r="AC301" s="184" t="n"/>
      <c r="AD301" s="184" t="n"/>
      <c r="AE301" s="184" t="n"/>
    </row>
    <row r="302">
      <c r="A302" s="14" t="n">
        <v>291</v>
      </c>
      <c r="B302" s="9" t="n">
        <v>45222</v>
      </c>
      <c r="C302" s="4" t="n">
        <v>31652964.62</v>
      </c>
      <c r="D302" s="4">
        <f>C302/E302</f>
        <v/>
      </c>
      <c r="E302" s="4" t="n">
        <v>83.06999999999999</v>
      </c>
      <c r="F302" s="4">
        <f>D302/100000</f>
        <v/>
      </c>
      <c r="G302" s="4">
        <f>($D$1-F302)/F302*100</f>
        <v/>
      </c>
      <c r="H302" s="4">
        <f>($D$2-F302)/F302*100</f>
        <v/>
      </c>
      <c r="I302" s="4">
        <f>($D$3-F302)/F302*100</f>
        <v/>
      </c>
      <c r="J302" s="4">
        <f>F302/$F$10*100</f>
        <v/>
      </c>
      <c r="K302" s="4">
        <f>N302/L302</f>
        <v/>
      </c>
      <c r="L302" s="4">
        <f>(M302/O302)*100</f>
        <v/>
      </c>
      <c r="M302" s="4">
        <f>O302/R302</f>
        <v/>
      </c>
      <c r="N302" s="4" t="n">
        <v>7.38</v>
      </c>
      <c r="O302" s="4" t="n">
        <v>19281.75</v>
      </c>
      <c r="P302" s="4" t="n">
        <v>3.38</v>
      </c>
      <c r="Q302" s="4">
        <f>N302-L302</f>
        <v/>
      </c>
      <c r="R302" s="4" t="n">
        <v>21.36</v>
      </c>
      <c r="S302" s="4" t="n">
        <v>4.84</v>
      </c>
      <c r="T302" s="7">
        <f>N302-S302</f>
        <v/>
      </c>
      <c r="U302" s="4" t="n">
        <v>105.33</v>
      </c>
      <c r="V302" s="7">
        <f>(R302*W302)</f>
        <v/>
      </c>
      <c r="W302" s="13" t="n">
        <v>0.0696</v>
      </c>
      <c r="X302" s="184" t="n"/>
      <c r="Y302" s="184" t="n"/>
      <c r="Z302" s="184" t="n"/>
      <c r="AA302" s="184" t="n"/>
      <c r="AB302" s="184" t="n"/>
      <c r="AC302" s="184" t="n"/>
      <c r="AD302" s="184" t="n"/>
      <c r="AE302" s="184" t="n"/>
    </row>
    <row r="303">
      <c r="A303" s="14" t="n">
        <v>292</v>
      </c>
      <c r="B303" s="9" t="n">
        <v>45224</v>
      </c>
      <c r="C303" s="4" t="n">
        <v>31445741.36</v>
      </c>
      <c r="D303" s="4">
        <f>C303/E303</f>
        <v/>
      </c>
      <c r="E303" s="4" t="n">
        <v>83.17</v>
      </c>
      <c r="F303" s="4">
        <f>D303/100000</f>
        <v/>
      </c>
      <c r="G303" s="4">
        <f>($D$1-F303)/F303*100</f>
        <v/>
      </c>
      <c r="H303" s="4">
        <f>($D$2-F303)/F303*100</f>
        <v/>
      </c>
      <c r="I303" s="4">
        <f>($D$3-F303)/F303*100</f>
        <v/>
      </c>
      <c r="J303" s="4">
        <f>F303/$F$10*100</f>
        <v/>
      </c>
      <c r="K303" s="4">
        <f>N303/L303</f>
        <v/>
      </c>
      <c r="L303" s="4">
        <f>(M303/O303)*100</f>
        <v/>
      </c>
      <c r="M303" s="4">
        <f>O303/R303</f>
        <v/>
      </c>
      <c r="N303" s="4" t="n">
        <v>7.34</v>
      </c>
      <c r="O303" s="4" t="n">
        <v>19122.15</v>
      </c>
      <c r="P303" s="4" t="n">
        <v>3.36</v>
      </c>
      <c r="Q303" s="4">
        <f>N303-L303</f>
        <v/>
      </c>
      <c r="R303" s="4" t="n">
        <v>20.92</v>
      </c>
      <c r="S303" s="4" t="n">
        <v>4.94</v>
      </c>
      <c r="T303" s="7">
        <f>N303-S303</f>
        <v/>
      </c>
      <c r="U303" s="4" t="n">
        <v>106.35</v>
      </c>
      <c r="V303" s="7">
        <f>(R303*W303)</f>
        <v/>
      </c>
      <c r="W303" s="13" t="n">
        <v>0.0694</v>
      </c>
      <c r="X303" s="184" t="n"/>
      <c r="Y303" s="184" t="n"/>
      <c r="Z303" s="184" t="n"/>
      <c r="AA303" s="184" t="n"/>
      <c r="AB303" s="184" t="n"/>
      <c r="AC303" s="184" t="n"/>
      <c r="AD303" s="184" t="n"/>
      <c r="AE303" s="184" t="n"/>
    </row>
    <row r="304">
      <c r="A304" s="14" t="n">
        <v>293</v>
      </c>
      <c r="B304" s="16" t="n">
        <v>45225</v>
      </c>
      <c r="C304" s="4" t="n">
        <v>31123990.88</v>
      </c>
      <c r="D304" s="4">
        <f>C304/E304</f>
        <v/>
      </c>
      <c r="E304" s="4" t="n">
        <v>83.23999999999999</v>
      </c>
      <c r="F304" s="4">
        <f>D304/100000</f>
        <v/>
      </c>
      <c r="G304" s="4">
        <f>($D$1-F304)/F304*100</f>
        <v/>
      </c>
      <c r="H304" s="4">
        <f>($D$2-F304)/F304*100</f>
        <v/>
      </c>
      <c r="I304" s="4">
        <f>($D$3-F304)/F304*100</f>
        <v/>
      </c>
      <c r="J304" s="4">
        <f>F304/$F$10*100</f>
        <v/>
      </c>
      <c r="K304" s="4">
        <f>N304/L304</f>
        <v/>
      </c>
      <c r="L304" s="4">
        <f>(M304/O304)*100</f>
        <v/>
      </c>
      <c r="M304" s="4">
        <f>O304/R304</f>
        <v/>
      </c>
      <c r="N304" s="4" t="n">
        <v>7.36</v>
      </c>
      <c r="O304" s="4" t="n">
        <v>18857.25</v>
      </c>
      <c r="P304" s="4" t="n">
        <v>3.31</v>
      </c>
      <c r="Q304" s="4">
        <f>N304-L304</f>
        <v/>
      </c>
      <c r="R304" s="4" t="n">
        <v>20.63</v>
      </c>
      <c r="S304" s="4" t="n">
        <v>4.84</v>
      </c>
      <c r="T304" s="7">
        <f>N304-S304</f>
        <v/>
      </c>
      <c r="U304" s="4" t="n">
        <v>106.42</v>
      </c>
      <c r="V304" s="7">
        <f>(R304*W304)</f>
        <v/>
      </c>
      <c r="W304" s="13" t="n">
        <v>0.06909999999999999</v>
      </c>
      <c r="X304" s="184" t="n"/>
      <c r="Y304" s="184" t="n"/>
      <c r="Z304" s="184" t="n"/>
      <c r="AA304" s="184" t="n"/>
      <c r="AB304" s="184" t="n"/>
      <c r="AC304" s="184" t="n"/>
      <c r="AD304" s="184" t="n"/>
      <c r="AE304" s="184" t="n"/>
    </row>
    <row r="305">
      <c r="A305" s="14" t="n">
        <v>294</v>
      </c>
      <c r="B305" s="9" t="n">
        <v>45226</v>
      </c>
      <c r="C305" s="4" t="n">
        <v>31570263.3</v>
      </c>
      <c r="D305" s="4">
        <f>C305/E305</f>
        <v/>
      </c>
      <c r="E305" s="4" t="n">
        <v>83.26000000000001</v>
      </c>
      <c r="F305" s="4">
        <f>D305/100000</f>
        <v/>
      </c>
      <c r="G305" s="4">
        <f>($D$1-F305)/F305*100</f>
        <v/>
      </c>
      <c r="H305" s="4">
        <f>($D$2-F305)/F305*100</f>
        <v/>
      </c>
      <c r="I305" s="4">
        <f>($D$3-F305)/F305*100</f>
        <v/>
      </c>
      <c r="J305" s="4">
        <f>F305/$F$10*100</f>
        <v/>
      </c>
      <c r="K305" s="4">
        <f>N305/L305</f>
        <v/>
      </c>
      <c r="L305" s="4">
        <f>(M305/O305)*100</f>
        <v/>
      </c>
      <c r="M305" s="4">
        <f>O305/R305</f>
        <v/>
      </c>
      <c r="N305" s="4" t="n">
        <v>7.35</v>
      </c>
      <c r="O305" s="4" t="n">
        <v>19047.25</v>
      </c>
      <c r="P305" s="4" t="n">
        <v>3.34</v>
      </c>
      <c r="Q305" s="4">
        <f>N305-L305</f>
        <v/>
      </c>
      <c r="R305" s="4" t="n">
        <v>20.84</v>
      </c>
      <c r="S305" s="4" t="n">
        <v>4.84</v>
      </c>
      <c r="T305" s="7">
        <f>N305-S305</f>
        <v/>
      </c>
      <c r="U305" s="4" t="n">
        <v>106.38</v>
      </c>
      <c r="V305" s="7">
        <f>(R305*W305)</f>
        <v/>
      </c>
      <c r="W305" s="13" t="n">
        <v>0.0692</v>
      </c>
      <c r="X305" s="184" t="n"/>
      <c r="Y305" s="184" t="n"/>
      <c r="Z305" s="184" t="n"/>
      <c r="AA305" s="184" t="n"/>
      <c r="AB305" s="184" t="n"/>
      <c r="AC305" s="184" t="n"/>
      <c r="AD305" s="184" t="n"/>
      <c r="AE305" s="184" t="n"/>
    </row>
    <row r="306">
      <c r="A306" s="14" t="n">
        <v>295</v>
      </c>
      <c r="B306" s="9" t="n">
        <v>45229</v>
      </c>
      <c r="C306" s="4" t="n">
        <v>31671281.29</v>
      </c>
      <c r="D306" s="4">
        <f>C306/E306</f>
        <v/>
      </c>
      <c r="E306" s="4" t="n">
        <v>83.25</v>
      </c>
      <c r="F306" s="4">
        <f>D306/100000</f>
        <v/>
      </c>
      <c r="G306" s="4">
        <f>($D$1-F306)/F306*100</f>
        <v/>
      </c>
      <c r="H306" s="4">
        <f>($D$2-F306)/F306*100</f>
        <v/>
      </c>
      <c r="I306" s="4">
        <f>($D$3-F306)/F306*100</f>
        <v/>
      </c>
      <c r="J306" s="4">
        <f>F306/$F$10*100</f>
        <v/>
      </c>
      <c r="K306" s="4">
        <f>N306/L306</f>
        <v/>
      </c>
      <c r="L306" s="4">
        <f>(M306/O306)*100</f>
        <v/>
      </c>
      <c r="M306" s="4">
        <f>O306/R306</f>
        <v/>
      </c>
      <c r="N306" s="4" t="n">
        <v>7.36</v>
      </c>
      <c r="O306" s="4" t="n">
        <v>19140.9</v>
      </c>
      <c r="P306" s="4" t="n">
        <v>3.36</v>
      </c>
      <c r="Q306" s="4">
        <f>N306-L306</f>
        <v/>
      </c>
      <c r="R306" s="4" t="n">
        <v>20.9</v>
      </c>
      <c r="S306" s="4" t="n">
        <v>4.88</v>
      </c>
      <c r="T306" s="7">
        <f>N306-S306</f>
        <v/>
      </c>
      <c r="U306" s="4" t="n">
        <v>105.93</v>
      </c>
      <c r="V306" s="7">
        <f>(R306*W306)</f>
        <v/>
      </c>
      <c r="W306" s="13" t="n">
        <v>0.0693</v>
      </c>
      <c r="X306" s="184" t="n"/>
      <c r="Y306" s="184" t="n"/>
      <c r="Z306" s="184" t="n"/>
      <c r="AA306" s="184" t="n"/>
      <c r="AB306" s="184" t="n"/>
      <c r="AC306" s="184" t="n"/>
      <c r="AD306" s="184" t="n"/>
      <c r="AE306" s="184" t="n"/>
    </row>
    <row r="307">
      <c r="A307" s="14" t="n">
        <v>296</v>
      </c>
      <c r="B307" s="9" t="n">
        <v>45230</v>
      </c>
      <c r="C307" s="4" t="n">
        <v>31667115.1</v>
      </c>
      <c r="D307" s="4">
        <f>C307/E307</f>
        <v/>
      </c>
      <c r="E307" s="4" t="n">
        <v>83.25</v>
      </c>
      <c r="F307" s="4">
        <f>D307/100000</f>
        <v/>
      </c>
      <c r="G307" s="4">
        <f>($D$1-F307)/F307*100</f>
        <v/>
      </c>
      <c r="H307" s="4">
        <f>($D$2-F307)/F307*100</f>
        <v/>
      </c>
      <c r="I307" s="4">
        <f>($D$3-F307)/F307*100</f>
        <v/>
      </c>
      <c r="J307" s="4">
        <f>F307/$F$10*100</f>
        <v/>
      </c>
      <c r="K307" s="4">
        <f>N307/L307</f>
        <v/>
      </c>
      <c r="L307" s="4">
        <f>(M307/O307)*100</f>
        <v/>
      </c>
      <c r="M307" s="4">
        <f>O307/R307</f>
        <v/>
      </c>
      <c r="N307" s="4" t="n">
        <v>7.35</v>
      </c>
      <c r="O307" s="4" t="n">
        <v>19079.6</v>
      </c>
      <c r="P307" s="4" t="n">
        <v>3.35</v>
      </c>
      <c r="Q307" s="4">
        <f>N307-L307</f>
        <v/>
      </c>
      <c r="R307" s="4" t="n">
        <v>20.45</v>
      </c>
      <c r="S307" s="4" t="n">
        <v>4.92</v>
      </c>
      <c r="T307" s="7">
        <f>N307-S307</f>
        <v/>
      </c>
      <c r="U307" s="4" t="n">
        <v>106.49</v>
      </c>
      <c r="V307" s="7">
        <f>(R307*W307)</f>
        <v/>
      </c>
      <c r="W307" s="13" t="n">
        <v>0.0694</v>
      </c>
      <c r="X307" s="184" t="n"/>
      <c r="Y307" s="184" t="n"/>
      <c r="Z307" s="184" t="n"/>
      <c r="AA307" s="184" t="n"/>
      <c r="AB307" s="184" t="n"/>
      <c r="AC307" s="184" t="n"/>
      <c r="AD307" s="184" t="n"/>
      <c r="AE307" s="184" t="n"/>
    </row>
    <row r="308">
      <c r="A308" s="14" t="n">
        <v>297</v>
      </c>
      <c r="B308" s="9" t="n">
        <v>45231</v>
      </c>
      <c r="C308" s="4" t="n">
        <v>31544789.55</v>
      </c>
      <c r="D308" s="4">
        <f>C308/E308</f>
        <v/>
      </c>
      <c r="E308" s="4" t="n">
        <v>83.23</v>
      </c>
      <c r="F308" s="4">
        <f>D308/100000</f>
        <v/>
      </c>
      <c r="G308" s="4">
        <f>($D$1-F308)/F308*100</f>
        <v/>
      </c>
      <c r="H308" s="4">
        <f>($D$2-F308)/F308*100</f>
        <v/>
      </c>
      <c r="I308" s="4">
        <f>($D$3-F308)/F308*100</f>
        <v/>
      </c>
      <c r="J308" s="4">
        <f>F308/$F$10*100</f>
        <v/>
      </c>
      <c r="K308" s="4">
        <f>N308/L308</f>
        <v/>
      </c>
      <c r="L308" s="4">
        <f>(M308/O308)*100</f>
        <v/>
      </c>
      <c r="M308" s="4">
        <f>O308/R308</f>
        <v/>
      </c>
      <c r="N308" s="4" t="n">
        <v>7.35</v>
      </c>
      <c r="O308" s="4" t="n">
        <v>18989.15</v>
      </c>
      <c r="P308" s="4" t="n">
        <v>3.33</v>
      </c>
      <c r="Q308" s="4">
        <f>N308-L308</f>
        <v/>
      </c>
      <c r="R308" s="4" t="n">
        <v>20.4</v>
      </c>
      <c r="S308" s="4" t="n">
        <v>4.73</v>
      </c>
      <c r="T308" s="7">
        <f>N308-S308</f>
        <v/>
      </c>
      <c r="U308" s="4" t="n">
        <v>106.71</v>
      </c>
      <c r="V308" s="7">
        <f>(R308*W308)</f>
        <v/>
      </c>
      <c r="W308" s="13" t="n">
        <v>0.0692</v>
      </c>
      <c r="X308" s="184" t="n"/>
      <c r="Y308" s="184" t="n"/>
      <c r="Z308" s="184" t="n"/>
      <c r="AA308" s="184" t="n"/>
      <c r="AB308" s="184" t="n"/>
      <c r="AC308" s="184" t="n"/>
      <c r="AD308" s="184" t="n"/>
      <c r="AE308" s="184" t="n"/>
    </row>
    <row r="309">
      <c r="A309" s="14" t="n">
        <v>298</v>
      </c>
      <c r="B309" s="9" t="n">
        <v>45232</v>
      </c>
      <c r="C309" s="4" t="n">
        <v>31778049.3</v>
      </c>
      <c r="D309" s="4">
        <f>C309/E309</f>
        <v/>
      </c>
      <c r="E309" s="4" t="n">
        <v>83.23</v>
      </c>
      <c r="F309" s="4">
        <f>D309/100000</f>
        <v/>
      </c>
      <c r="G309" s="4">
        <f>($D$1-F309)/F309*100</f>
        <v/>
      </c>
      <c r="H309" s="4">
        <f>($D$2-F309)/F309*100</f>
        <v/>
      </c>
      <c r="I309" s="4">
        <f>($D$3-F309)/F309*100</f>
        <v/>
      </c>
      <c r="J309" s="4">
        <f>F309/$F$10*100</f>
        <v/>
      </c>
      <c r="K309" s="4">
        <f>N309/L309</f>
        <v/>
      </c>
      <c r="L309" s="4">
        <f>(M309/O309)*100</f>
        <v/>
      </c>
      <c r="M309" s="4">
        <f>O309/R309</f>
        <v/>
      </c>
      <c r="N309" s="4" t="n">
        <v>7.32</v>
      </c>
      <c r="O309" s="4" t="n">
        <v>19133.25</v>
      </c>
      <c r="P309" s="4" t="n">
        <v>3.36</v>
      </c>
      <c r="Q309" s="4">
        <f>N309-L309</f>
        <v/>
      </c>
      <c r="R309" s="4" t="n">
        <v>20.77</v>
      </c>
      <c r="S309" s="4" t="n">
        <v>4.66</v>
      </c>
      <c r="T309" s="7">
        <f>N309-S309</f>
        <v/>
      </c>
      <c r="U309" s="4" t="n">
        <v>105.97</v>
      </c>
      <c r="V309" s="7">
        <f>(R309*W309)</f>
        <v/>
      </c>
      <c r="W309" s="13" t="n">
        <v>0.0692</v>
      </c>
      <c r="X309" s="184" t="n"/>
      <c r="Y309" s="184" t="n"/>
      <c r="Z309" s="184" t="n"/>
      <c r="AA309" s="184" t="n"/>
      <c r="AB309" s="184" t="n"/>
      <c r="AC309" s="184" t="n"/>
      <c r="AD309" s="184" t="n"/>
      <c r="AE309" s="184" t="n"/>
    </row>
    <row r="310">
      <c r="A310" s="14" t="n">
        <v>299</v>
      </c>
      <c r="B310" s="9" t="n">
        <v>45233</v>
      </c>
      <c r="C310" s="4" t="n">
        <v>32047271.53</v>
      </c>
      <c r="D310" s="4">
        <f>C310/E310</f>
        <v/>
      </c>
      <c r="E310" s="4" t="n">
        <v>83.14</v>
      </c>
      <c r="F310" s="4">
        <f>D310/100000</f>
        <v/>
      </c>
      <c r="G310" s="4">
        <f>($D$1-F310)/F310*100</f>
        <v/>
      </c>
      <c r="H310" s="4">
        <f>($D$2-F310)/F310*100</f>
        <v/>
      </c>
      <c r="I310" s="4">
        <f>($D$3-F310)/F310*100</f>
        <v/>
      </c>
      <c r="J310" s="4">
        <f>F310/$F$10*100</f>
        <v/>
      </c>
      <c r="K310" s="4">
        <f>N310/L310</f>
        <v/>
      </c>
      <c r="L310" s="4">
        <f>(M310/O310)*100</f>
        <v/>
      </c>
      <c r="M310" s="4">
        <f>O310/R310</f>
        <v/>
      </c>
      <c r="N310" s="4" t="n">
        <v>7.31</v>
      </c>
      <c r="O310" s="4" t="n">
        <v>19230.6</v>
      </c>
      <c r="P310" s="4" t="n">
        <v>3.37</v>
      </c>
      <c r="Q310" s="4">
        <f>N310-L310</f>
        <v/>
      </c>
      <c r="R310" s="4" t="n">
        <v>20.88</v>
      </c>
      <c r="S310" s="4" t="n">
        <v>4.57</v>
      </c>
      <c r="T310" s="7">
        <f>N310-S310</f>
        <v/>
      </c>
      <c r="U310" s="4" t="n">
        <v>104.85</v>
      </c>
      <c r="V310" s="7">
        <f>(R310*W310)</f>
        <v/>
      </c>
      <c r="W310" s="13" t="n">
        <v>0.06909999999999999</v>
      </c>
      <c r="X310" s="184" t="n"/>
      <c r="Y310" s="184" t="n"/>
      <c r="Z310" s="184" t="n"/>
      <c r="AA310" s="184" t="n"/>
      <c r="AB310" s="184" t="n"/>
      <c r="AC310" s="184" t="n"/>
      <c r="AD310" s="184" t="n"/>
      <c r="AE310" s="184" t="n"/>
    </row>
    <row r="311">
      <c r="A311" s="14" t="n">
        <v>300</v>
      </c>
      <c r="B311" s="9" t="n">
        <v>45236</v>
      </c>
      <c r="C311" s="4" t="n">
        <v>32337406.35</v>
      </c>
      <c r="D311" s="4">
        <f>C311/E311</f>
        <v/>
      </c>
      <c r="E311" s="4" t="n">
        <v>83.20999999999999</v>
      </c>
      <c r="F311" s="4">
        <f>D311/100000</f>
        <v/>
      </c>
      <c r="G311" s="4">
        <f>($D$1-F311)/F311*100</f>
        <v/>
      </c>
      <c r="H311" s="4">
        <f>($D$2-F311)/F311*100</f>
        <v/>
      </c>
      <c r="I311" s="4">
        <f>($D$3-F311)/F311*100</f>
        <v/>
      </c>
      <c r="J311" s="4">
        <f>F311/$F$10*100</f>
        <v/>
      </c>
      <c r="K311" s="4">
        <f>N311/L311</f>
        <v/>
      </c>
      <c r="L311" s="4">
        <f>(M311/O311)*100</f>
        <v/>
      </c>
      <c r="M311" s="4">
        <f>O311/R311</f>
        <v/>
      </c>
      <c r="N311" s="4" t="n">
        <v>7.3</v>
      </c>
      <c r="O311" s="4" t="n">
        <v>19411.75</v>
      </c>
      <c r="P311" s="4" t="n">
        <v>3.41</v>
      </c>
      <c r="Q311" s="4">
        <f>N311-L311</f>
        <v/>
      </c>
      <c r="R311" s="4" t="n">
        <v>20.96</v>
      </c>
      <c r="S311" s="4" t="n">
        <v>4.64</v>
      </c>
      <c r="T311" s="7">
        <f>N311-S311</f>
        <v/>
      </c>
      <c r="U311" s="4" t="n">
        <v>105.04</v>
      </c>
      <c r="V311" s="7">
        <f>(R311*W311)</f>
        <v/>
      </c>
      <c r="W311" s="13" t="n">
        <v>0.06909999999999999</v>
      </c>
      <c r="X311" s="184" t="n"/>
      <c r="Y311" s="184" t="n"/>
      <c r="Z311" s="184" t="n"/>
      <c r="AA311" s="184" t="n"/>
      <c r="AB311" s="184" t="n"/>
      <c r="AC311" s="184" t="n"/>
      <c r="AD311" s="184" t="n"/>
      <c r="AE311" s="184" t="n"/>
    </row>
    <row r="312">
      <c r="A312" s="14" t="n">
        <v>301</v>
      </c>
      <c r="B312" s="9" t="n">
        <v>45237</v>
      </c>
      <c r="C312" s="4" t="n">
        <v>32424777.49</v>
      </c>
      <c r="D312" s="4">
        <f>C312/E312</f>
        <v/>
      </c>
      <c r="E312" s="4" t="n">
        <v>83.23</v>
      </c>
      <c r="F312" s="4">
        <f>D312/100000</f>
        <v/>
      </c>
      <c r="G312" s="4">
        <f>($D$1-F312)/F312*100</f>
        <v/>
      </c>
      <c r="H312" s="4">
        <f>($D$2-F312)/F312*100</f>
        <v/>
      </c>
      <c r="I312" s="4">
        <f>($D$3-F312)/F312*100</f>
        <v/>
      </c>
      <c r="J312" s="4">
        <f>F312/$F$10*100</f>
        <v/>
      </c>
      <c r="K312" s="4">
        <f>N312/L312</f>
        <v/>
      </c>
      <c r="L312" s="4">
        <f>(M312/O312)*100</f>
        <v/>
      </c>
      <c r="M312" s="4">
        <f>O312/R312</f>
        <v/>
      </c>
      <c r="N312" s="4" t="n">
        <v>7.28</v>
      </c>
      <c r="O312" s="4" t="n">
        <v>19406.7</v>
      </c>
      <c r="P312" s="4" t="n">
        <v>3.41</v>
      </c>
      <c r="Q312" s="4">
        <f>N312-L312</f>
        <v/>
      </c>
      <c r="R312" s="4" t="n">
        <v>20.92</v>
      </c>
      <c r="S312" s="4" t="n">
        <v>4.56</v>
      </c>
      <c r="T312" s="7">
        <f>N312-S312</f>
        <v/>
      </c>
      <c r="U312" s="4" t="n">
        <v>105.37</v>
      </c>
      <c r="V312" s="7">
        <f>(R312*W312)</f>
        <v/>
      </c>
      <c r="W312" s="13" t="n">
        <v>0.0692</v>
      </c>
      <c r="X312" s="184" t="n"/>
      <c r="Y312" s="184" t="n"/>
      <c r="Z312" s="184" t="n"/>
      <c r="AA312" s="184" t="n"/>
      <c r="AB312" s="184" t="n"/>
      <c r="AC312" s="184" t="n"/>
      <c r="AD312" s="184" t="n"/>
      <c r="AE312" s="184" t="n"/>
    </row>
    <row r="313">
      <c r="A313" s="14" t="n">
        <v>302</v>
      </c>
      <c r="B313" s="9" t="n">
        <v>45238</v>
      </c>
      <c r="C313" s="4" t="n">
        <v>32581055.53</v>
      </c>
      <c r="D313" s="4">
        <f>C313/E313</f>
        <v/>
      </c>
      <c r="E313" s="4" t="n">
        <v>83.20999999999999</v>
      </c>
      <c r="F313" s="4">
        <f>D313/100000</f>
        <v/>
      </c>
      <c r="G313" s="4">
        <f>($D$1-F313)/F313*100</f>
        <v/>
      </c>
      <c r="H313" s="4">
        <f>($D$2-F313)/F313*100</f>
        <v/>
      </c>
      <c r="I313" s="4">
        <f>($D$3-F313)/F313*100</f>
        <v/>
      </c>
      <c r="J313" s="4">
        <f>F313/$F$10*100</f>
        <v/>
      </c>
      <c r="K313" s="4">
        <f>N313/L313</f>
        <v/>
      </c>
      <c r="L313" s="4">
        <f>(M313/O313)*100</f>
        <v/>
      </c>
      <c r="M313" s="4">
        <f>O313/R313</f>
        <v/>
      </c>
      <c r="N313" s="4" t="n">
        <v>7.26</v>
      </c>
      <c r="O313" s="4" t="n">
        <v>19443.5</v>
      </c>
      <c r="P313" s="4" t="n">
        <v>3.41</v>
      </c>
      <c r="Q313" s="4">
        <f>N313-L313</f>
        <v/>
      </c>
      <c r="R313" s="4" t="n">
        <v>20.97</v>
      </c>
      <c r="S313" s="4" t="n">
        <v>4.49</v>
      </c>
      <c r="T313" s="7">
        <f>N313-S313</f>
        <v/>
      </c>
      <c r="U313" s="4" t="n">
        <v>105.44</v>
      </c>
      <c r="V313" s="7">
        <f>(R313*W313)</f>
        <v/>
      </c>
      <c r="W313" s="13" t="n">
        <v>0.06909999999999999</v>
      </c>
      <c r="X313" s="184" t="n"/>
      <c r="Y313" s="184" t="n"/>
      <c r="Z313" s="184" t="n"/>
      <c r="AA313" s="184" t="n"/>
      <c r="AB313" s="184" t="n"/>
      <c r="AC313" s="184" t="n"/>
      <c r="AD313" s="184" t="n"/>
      <c r="AE313" s="184" t="n"/>
    </row>
    <row r="314">
      <c r="A314" s="14" t="n">
        <v>303</v>
      </c>
      <c r="B314" s="9" t="n">
        <v>45239</v>
      </c>
      <c r="C314" s="4" t="n">
        <v>32496397.03</v>
      </c>
      <c r="D314" s="4">
        <f>C314/E314</f>
        <v/>
      </c>
      <c r="E314" s="4" t="n">
        <v>83.31</v>
      </c>
      <c r="F314" s="4">
        <f>D314/100000</f>
        <v/>
      </c>
      <c r="G314" s="4">
        <f>($D$1-F314)/F314*100</f>
        <v/>
      </c>
      <c r="H314" s="4">
        <f>($D$2-F314)/F314*100</f>
        <v/>
      </c>
      <c r="I314" s="4">
        <f>($D$3-F314)/F314*100</f>
        <v/>
      </c>
      <c r="J314" s="4">
        <f>F314/$F$10*100</f>
        <v/>
      </c>
      <c r="K314" s="4">
        <f>N314/L314</f>
        <v/>
      </c>
      <c r="L314" s="4">
        <f>(M314/O314)*100</f>
        <v/>
      </c>
      <c r="M314" s="4">
        <f>O314/R314</f>
        <v/>
      </c>
      <c r="N314" s="4" t="n">
        <v>7.26</v>
      </c>
      <c r="O314" s="4" t="n">
        <v>19395.3</v>
      </c>
      <c r="P314" s="4" t="n">
        <v>3.4</v>
      </c>
      <c r="Q314" s="4">
        <f>N314-L314</f>
        <v/>
      </c>
      <c r="R314" s="4" t="n">
        <v>20.91</v>
      </c>
      <c r="S314" s="4" t="n">
        <v>4.63</v>
      </c>
      <c r="T314" s="7">
        <f>N314-S314</f>
        <v/>
      </c>
      <c r="U314" s="4" t="n">
        <v>105.78</v>
      </c>
      <c r="V314" s="7">
        <f>(R314*W314)</f>
        <v/>
      </c>
      <c r="W314" s="13" t="n">
        <v>0.0692</v>
      </c>
      <c r="X314" s="184" t="n"/>
      <c r="Y314" s="184" t="n"/>
      <c r="Z314" s="184" t="n"/>
      <c r="AA314" s="184" t="n"/>
      <c r="AB314" s="184" t="n"/>
      <c r="AC314" s="184" t="n"/>
      <c r="AD314" s="184" t="n"/>
      <c r="AE314" s="184" t="n"/>
    </row>
    <row r="315">
      <c r="A315" s="14" t="n">
        <v>304</v>
      </c>
      <c r="B315" s="9" t="n">
        <v>45240</v>
      </c>
      <c r="C315" s="5" t="n">
        <v>32560054.65</v>
      </c>
      <c r="D315" s="4">
        <f>C315/E315</f>
        <v/>
      </c>
      <c r="E315" s="4" t="n">
        <v>83.3</v>
      </c>
      <c r="F315" s="4">
        <f>D315/100000</f>
        <v/>
      </c>
      <c r="G315" s="4">
        <f>($D$1-F315)/F315*100</f>
        <v/>
      </c>
      <c r="H315" s="4">
        <f>($D$2-F315)/F315*100</f>
        <v/>
      </c>
      <c r="I315" s="4">
        <f>($D$3-F315)/F315*100</f>
        <v/>
      </c>
      <c r="J315" s="4">
        <f>F315/$F$10*100</f>
        <v/>
      </c>
      <c r="K315" s="4">
        <f>N315/L315</f>
        <v/>
      </c>
      <c r="L315" s="4">
        <f>(M315/O315)*100</f>
        <v/>
      </c>
      <c r="M315" s="4">
        <f>O315/R315</f>
        <v/>
      </c>
      <c r="N315" s="4" t="n">
        <v>7.3</v>
      </c>
      <c r="O315" s="4" t="n">
        <v>19425.35</v>
      </c>
      <c r="P315" s="4" t="n">
        <v>3.41</v>
      </c>
      <c r="Q315" s="4">
        <f>N315-L315</f>
        <v/>
      </c>
      <c r="R315" s="4" t="n">
        <v>20.95</v>
      </c>
      <c r="S315" s="4" t="n">
        <v>4.64</v>
      </c>
      <c r="T315" s="7">
        <f>N315-S315</f>
        <v/>
      </c>
      <c r="U315" s="4" t="n">
        <v>105.72</v>
      </c>
      <c r="V315" s="7">
        <f>(R315*W315)</f>
        <v/>
      </c>
      <c r="W315" s="13" t="n">
        <v>0.0692</v>
      </c>
      <c r="X315" s="184" t="n"/>
      <c r="Y315" s="184" t="n"/>
      <c r="Z315" s="184" t="n"/>
      <c r="AA315" s="184" t="n"/>
      <c r="AB315" s="184" t="n"/>
      <c r="AC315" s="184" t="n"/>
      <c r="AD315" s="184" t="n"/>
      <c r="AE315" s="184" t="n"/>
    </row>
    <row r="316">
      <c r="A316" s="14" t="n">
        <v>305</v>
      </c>
      <c r="B316" s="9" t="n">
        <v>45242</v>
      </c>
      <c r="C316" s="5" t="n">
        <v>32712347.03</v>
      </c>
      <c r="D316" s="4">
        <f>C316/E316</f>
        <v/>
      </c>
      <c r="E316" s="4" t="n">
        <v>83.29000000000001</v>
      </c>
      <c r="F316" s="4">
        <f>D316/100000</f>
        <v/>
      </c>
      <c r="G316" s="4">
        <f>($D$1-F316)/F316*100</f>
        <v/>
      </c>
      <c r="H316" s="4">
        <f>($D$2-F316)/F316*100</f>
        <v/>
      </c>
      <c r="I316" s="4">
        <f>($D$3-F316)/F316*100</f>
        <v/>
      </c>
      <c r="J316" s="4">
        <f>F316/$F$10*100</f>
        <v/>
      </c>
      <c r="K316" s="4">
        <f>N316/L316</f>
        <v/>
      </c>
      <c r="L316" s="4">
        <f>(M316/O316)*100</f>
        <v/>
      </c>
      <c r="M316" s="4">
        <f>O316/R316</f>
        <v/>
      </c>
      <c r="N316" s="4" t="n">
        <v>7.3</v>
      </c>
      <c r="O316" s="4" t="n">
        <v>19525.55</v>
      </c>
      <c r="P316" s="4" t="n">
        <v>3.43</v>
      </c>
      <c r="Q316" s="4">
        <f>N316-L316</f>
        <v/>
      </c>
      <c r="R316" s="4" t="n">
        <v>21.05</v>
      </c>
      <c r="S316" s="4" t="n">
        <v>4.65</v>
      </c>
      <c r="T316" s="7">
        <f>N316-S316</f>
        <v/>
      </c>
      <c r="U316" s="4" t="n">
        <v>105.64</v>
      </c>
      <c r="V316" s="7">
        <f>(R316*W316)</f>
        <v/>
      </c>
      <c r="W316" s="13" t="n">
        <v>0.0692</v>
      </c>
      <c r="X316" s="184" t="n"/>
      <c r="Y316" s="184" t="n"/>
      <c r="Z316" s="184" t="n"/>
      <c r="AA316" s="184" t="n"/>
      <c r="AB316" s="184" t="n"/>
      <c r="AC316" s="184" t="n"/>
      <c r="AD316" s="184" t="n"/>
      <c r="AE316" s="184" t="n"/>
    </row>
    <row r="317">
      <c r="A317" s="14" t="n">
        <v>306</v>
      </c>
      <c r="B317" s="9" t="n">
        <v>45243</v>
      </c>
      <c r="C317" s="4" t="n">
        <v>32740562.9</v>
      </c>
      <c r="D317" s="4">
        <f>C317/E317</f>
        <v/>
      </c>
      <c r="E317" s="4" t="n">
        <v>83.18000000000001</v>
      </c>
      <c r="F317" s="4">
        <f>D317/100000</f>
        <v/>
      </c>
      <c r="G317" s="4">
        <f>($D$1-F317)/F317*100</f>
        <v/>
      </c>
      <c r="H317" s="4">
        <f>($D$2-F317)/F317*100</f>
        <v/>
      </c>
      <c r="I317" s="4">
        <f>($D$3-F317)/F317*100</f>
        <v/>
      </c>
      <c r="J317" s="4">
        <f>F317/$F$10*100</f>
        <v/>
      </c>
      <c r="K317" s="4">
        <f>N317/L317</f>
        <v/>
      </c>
      <c r="L317" s="4">
        <f>(M317/O317)*100</f>
        <v/>
      </c>
      <c r="M317" s="4">
        <f>O317/R317</f>
        <v/>
      </c>
      <c r="N317" s="4" t="n">
        <v>7.28</v>
      </c>
      <c r="O317" s="4" t="n">
        <v>19443.55</v>
      </c>
      <c r="P317" s="4" t="n">
        <v>3.41</v>
      </c>
      <c r="Q317" s="4">
        <f>N317-L317</f>
        <v/>
      </c>
      <c r="R317" s="4" t="n">
        <v>20.96</v>
      </c>
      <c r="S317" s="4" t="n">
        <v>4.63</v>
      </c>
      <c r="T317" s="7">
        <f>N317-S317</f>
        <v/>
      </c>
      <c r="U317" s="4" t="n">
        <v>105.5</v>
      </c>
      <c r="V317" s="7">
        <f>(R317*W317)</f>
        <v/>
      </c>
      <c r="W317" s="13" t="n">
        <v>0.0692</v>
      </c>
      <c r="X317" s="184" t="n"/>
      <c r="Y317" s="184" t="n"/>
      <c r="Z317" s="184" t="n"/>
      <c r="AA317" s="184" t="n"/>
      <c r="AB317" s="184" t="n"/>
      <c r="AC317" s="184" t="n"/>
      <c r="AD317" s="184" t="n"/>
      <c r="AE317" s="184" t="n"/>
    </row>
    <row r="318">
      <c r="A318" s="14" t="n">
        <v>308</v>
      </c>
      <c r="B318" s="9" t="n">
        <v>45245</v>
      </c>
      <c r="C318" s="4" t="n">
        <v>33075584.7</v>
      </c>
      <c r="D318" s="4">
        <f>C318/E318</f>
        <v/>
      </c>
      <c r="E318" s="4" t="n">
        <v>83.18000000000001</v>
      </c>
      <c r="F318" s="4">
        <f>D318/100000</f>
        <v/>
      </c>
      <c r="G318" s="4">
        <f>($D$1-F318)/F318*100</f>
        <v/>
      </c>
      <c r="H318" s="4">
        <f>($D$2-F318)/F318*100</f>
        <v/>
      </c>
      <c r="I318" s="4">
        <f>($D$3-F318)/F318*100</f>
        <v/>
      </c>
      <c r="J318" s="4">
        <f>F318/$F$10*100</f>
        <v/>
      </c>
      <c r="K318" s="4">
        <f>N318/L318</f>
        <v/>
      </c>
      <c r="L318" s="4">
        <f>(M318/O318)*100</f>
        <v/>
      </c>
      <c r="M318" s="4">
        <f>O318/R318</f>
        <v/>
      </c>
      <c r="N318" s="4" t="n">
        <v>7.22</v>
      </c>
      <c r="O318" s="4" t="n">
        <v>19675.45</v>
      </c>
      <c r="P318" s="4" t="n">
        <v>3.45</v>
      </c>
      <c r="Q318" s="4">
        <f>N318-L318</f>
        <v/>
      </c>
      <c r="R318" s="4" t="n">
        <v>21.05</v>
      </c>
      <c r="S318" s="4" t="n">
        <v>4.53</v>
      </c>
      <c r="T318" s="7">
        <f>N318-S318</f>
        <v/>
      </c>
      <c r="U318" s="4" t="n">
        <v>104.26</v>
      </c>
      <c r="V318" s="7">
        <f>(R318*W318)</f>
        <v/>
      </c>
      <c r="W318" s="13" t="n">
        <v>0.0693</v>
      </c>
      <c r="X318" s="184" t="n"/>
      <c r="Y318" s="184" t="n"/>
      <c r="Z318" s="184" t="n"/>
      <c r="AA318" s="184" t="n"/>
      <c r="AB318" s="184" t="n"/>
      <c r="AC318" s="184" t="n"/>
      <c r="AD318" s="184" t="n"/>
      <c r="AE318" s="184" t="n"/>
    </row>
    <row r="319">
      <c r="A319" s="14" t="n">
        <v>309</v>
      </c>
      <c r="B319" s="9" t="n">
        <v>45246</v>
      </c>
      <c r="C319" s="4" t="n">
        <v>33240904.43</v>
      </c>
      <c r="D319" s="4">
        <f>C319/E319</f>
        <v/>
      </c>
      <c r="E319" s="4" t="n">
        <v>83.15000000000001</v>
      </c>
      <c r="F319" s="4">
        <f>D319/100000</f>
        <v/>
      </c>
      <c r="G319" s="4">
        <f>($D$1-F319)/F319*100</f>
        <v/>
      </c>
      <c r="H319" s="4">
        <f>($D$2-F319)/F319*100</f>
        <v/>
      </c>
      <c r="I319" s="4">
        <f>($D$3-F319)/F319*100</f>
        <v/>
      </c>
      <c r="J319" s="4">
        <f>F319/$F$10*100</f>
        <v/>
      </c>
      <c r="K319" s="4">
        <f>N319/L319</f>
        <v/>
      </c>
      <c r="L319" s="4">
        <f>(M319/O319)*100</f>
        <v/>
      </c>
      <c r="M319" s="4">
        <f>O319/R319</f>
        <v/>
      </c>
      <c r="N319" s="4" t="n">
        <v>7.23</v>
      </c>
      <c r="O319" s="4" t="n">
        <v>19765.2</v>
      </c>
      <c r="P319" s="4" t="n">
        <v>3.47</v>
      </c>
      <c r="Q319" s="4">
        <f>N319-L319</f>
        <v/>
      </c>
      <c r="R319" s="4" t="n">
        <v>21.13</v>
      </c>
      <c r="S319" s="4" t="n">
        <v>4.44</v>
      </c>
      <c r="T319" s="7">
        <f>N319-S319</f>
        <v/>
      </c>
      <c r="U319" s="4" t="n">
        <v>104.23</v>
      </c>
      <c r="V319" s="7">
        <f>(R319*W319)</f>
        <v/>
      </c>
      <c r="W319" s="13" t="n">
        <v>0.0697</v>
      </c>
      <c r="X319" s="184" t="n"/>
      <c r="Y319" s="184" t="n"/>
      <c r="Z319" s="184" t="n"/>
      <c r="AA319" s="184" t="n"/>
      <c r="AB319" s="184" t="n"/>
      <c r="AC319" s="184" t="n"/>
      <c r="AD319" s="184" t="n"/>
      <c r="AE319" s="184" t="n"/>
    </row>
    <row r="320">
      <c r="A320" s="14" t="n">
        <v>310</v>
      </c>
      <c r="B320" s="9" t="n">
        <v>45247</v>
      </c>
      <c r="C320" s="4" t="n">
        <v>33291901.36</v>
      </c>
      <c r="D320" s="4">
        <f>C320/E320</f>
        <v/>
      </c>
      <c r="E320" s="4" t="n">
        <v>83.23999999999999</v>
      </c>
      <c r="F320" s="4">
        <f>D320/100000</f>
        <v/>
      </c>
      <c r="G320" s="4">
        <f>($D$1-F320)/F320*100</f>
        <v/>
      </c>
      <c r="H320" s="4">
        <f>($D$2-F320)/F320*100</f>
        <v/>
      </c>
      <c r="I320" s="4">
        <f>($D$3-F320)/F320*100</f>
        <v/>
      </c>
      <c r="J320" s="4">
        <f>F320/$F$10*100</f>
        <v/>
      </c>
      <c r="K320" s="4">
        <f>N320/L320</f>
        <v/>
      </c>
      <c r="L320" s="4">
        <f>(M320/O320)*100</f>
        <v/>
      </c>
      <c r="M320" s="4">
        <f>O320/R320</f>
        <v/>
      </c>
      <c r="N320" s="4" t="n">
        <v>7.21</v>
      </c>
      <c r="O320" s="4" t="n">
        <v>19731.8</v>
      </c>
      <c r="P320" s="4" t="n">
        <v>3.46</v>
      </c>
      <c r="Q320" s="4">
        <f>N320-L320</f>
        <v/>
      </c>
      <c r="R320" s="4" t="n">
        <v>21.1</v>
      </c>
      <c r="S320" s="4" t="n">
        <v>4.43</v>
      </c>
      <c r="T320" s="7">
        <f>N320-S320</f>
        <v/>
      </c>
      <c r="U320" s="4" t="n">
        <v>103.79</v>
      </c>
      <c r="V320" s="7">
        <f>(R320*W320)</f>
        <v/>
      </c>
      <c r="W320" s="13" t="n">
        <v>0.0692</v>
      </c>
      <c r="X320" s="184" t="n"/>
      <c r="Y320" s="184" t="n"/>
      <c r="Z320" s="184" t="n"/>
      <c r="AA320" s="184" t="n"/>
      <c r="AB320" s="184" t="n"/>
      <c r="AC320" s="184" t="n"/>
      <c r="AD320" s="184" t="n"/>
      <c r="AE320" s="184" t="n"/>
    </row>
    <row r="321">
      <c r="A321" s="14" t="n">
        <v>313</v>
      </c>
      <c r="B321" s="9" t="n">
        <v>45250</v>
      </c>
      <c r="C321" s="4" t="n">
        <v>33266426.87</v>
      </c>
      <c r="D321" s="4">
        <f>C321/E321</f>
        <v/>
      </c>
      <c r="E321" s="4" t="n">
        <v>83.31</v>
      </c>
      <c r="F321" s="4">
        <f>D321/100000</f>
        <v/>
      </c>
      <c r="G321" s="4">
        <f>($D$1-F321)/F321*100</f>
        <v/>
      </c>
      <c r="H321" s="4">
        <f>($D$2-F321)/F321*100</f>
        <v/>
      </c>
      <c r="I321" s="4">
        <f>($D$3-F321)/F321*100</f>
        <v/>
      </c>
      <c r="J321" s="4">
        <f>F321/$F$10*100</f>
        <v/>
      </c>
      <c r="K321" s="4">
        <f>N321/L321</f>
        <v/>
      </c>
      <c r="L321" s="4">
        <f>(M321/O321)*100</f>
        <v/>
      </c>
      <c r="M321" s="4">
        <f>O321/R321</f>
        <v/>
      </c>
      <c r="N321" s="4" t="n">
        <v>7.25</v>
      </c>
      <c r="O321" s="4" t="n">
        <v>19694</v>
      </c>
      <c r="P321" s="4" t="n">
        <v>3.46</v>
      </c>
      <c r="Q321" s="4">
        <f>N321-L321</f>
        <v/>
      </c>
      <c r="R321" s="4" t="n">
        <v>21.06</v>
      </c>
      <c r="S321" s="4" t="n">
        <v>4.42</v>
      </c>
      <c r="T321" s="7">
        <f>N321-S321</f>
        <v/>
      </c>
      <c r="U321" s="4" t="n">
        <v>103.31</v>
      </c>
      <c r="V321" s="7">
        <f>(R321*W321)</f>
        <v/>
      </c>
      <c r="W321" s="13" t="n">
        <v>0.06900000000000001</v>
      </c>
      <c r="X321" s="184" t="n"/>
      <c r="Y321" s="184" t="n"/>
      <c r="Z321" s="184" t="n"/>
      <c r="AA321" s="184" t="n"/>
      <c r="AB321" s="184" t="n"/>
      <c r="AC321" s="184" t="n"/>
      <c r="AD321" s="184" t="n"/>
      <c r="AE321" s="184" t="n"/>
    </row>
    <row r="322">
      <c r="A322" s="14" t="n">
        <v>314</v>
      </c>
      <c r="B322" s="9" t="n">
        <v>45251</v>
      </c>
      <c r="C322" s="4" t="n">
        <v>33349955.75</v>
      </c>
      <c r="D322" s="4">
        <f>C322/E322</f>
        <v/>
      </c>
      <c r="E322" s="4" t="n">
        <v>83.3</v>
      </c>
      <c r="F322" s="4">
        <f>D322/100000</f>
        <v/>
      </c>
      <c r="G322" s="4">
        <f>($D$1-F322)/F322*100</f>
        <v/>
      </c>
      <c r="H322" s="4">
        <f>($D$2-F322)/F322*100</f>
        <v/>
      </c>
      <c r="I322" s="4">
        <f>($D$3-F322)/F322*100</f>
        <v/>
      </c>
      <c r="J322" s="4">
        <f>F322/$F$10*100</f>
        <v/>
      </c>
      <c r="K322" s="4">
        <f>N322/L322</f>
        <v/>
      </c>
      <c r="L322" s="4">
        <f>(M322/O322)*100</f>
        <v/>
      </c>
      <c r="M322" s="4">
        <f>O322/R322</f>
        <v/>
      </c>
      <c r="N322" s="4" t="n">
        <v>7.26</v>
      </c>
      <c r="O322" s="4" t="n">
        <v>19783.4</v>
      </c>
      <c r="P322" s="4" t="n">
        <v>3.47</v>
      </c>
      <c r="Q322" s="4">
        <f>N322-L322</f>
        <v/>
      </c>
      <c r="R322" s="4" t="n">
        <v>21.14</v>
      </c>
      <c r="S322" s="4" t="n">
        <v>4.39</v>
      </c>
      <c r="T322" s="7">
        <f>N322-S322</f>
        <v/>
      </c>
      <c r="U322" s="4" t="n">
        <v>103.44</v>
      </c>
      <c r="V322" s="7">
        <f>(R322*W322)</f>
        <v/>
      </c>
      <c r="W322" s="13" t="n">
        <v>0.0693</v>
      </c>
      <c r="X322" s="184" t="n"/>
      <c r="Y322" s="184" t="n"/>
      <c r="Z322" s="184" t="n"/>
      <c r="AA322" s="184" t="n"/>
      <c r="AB322" s="184" t="n"/>
      <c r="AC322" s="184" t="n"/>
      <c r="AD322" s="184" t="n"/>
      <c r="AE322" s="184" t="n"/>
    </row>
    <row r="323">
      <c r="A323" s="14" t="n">
        <v>315</v>
      </c>
      <c r="B323" s="9" t="n">
        <v>45252</v>
      </c>
      <c r="C323" s="4" t="n">
        <v>33326537.61</v>
      </c>
      <c r="D323" s="4">
        <f>C323/E323</f>
        <v/>
      </c>
      <c r="E323" s="4" t="n">
        <v>83.28</v>
      </c>
      <c r="F323" s="4">
        <f>D323/100000</f>
        <v/>
      </c>
      <c r="G323" s="4">
        <f>($D$1-F323)/F323*100</f>
        <v/>
      </c>
      <c r="H323" s="4">
        <f>($D$2-F323)/F323*100</f>
        <v/>
      </c>
      <c r="I323" s="4">
        <f>($D$3-F323)/F323*100</f>
        <v/>
      </c>
      <c r="J323" s="4">
        <f>F323/$F$10*100</f>
        <v/>
      </c>
      <c r="K323" s="4">
        <f>N323/L323</f>
        <v/>
      </c>
      <c r="L323" s="4">
        <f>(M323/O323)*100</f>
        <v/>
      </c>
      <c r="M323" s="4">
        <f>O323/R323</f>
        <v/>
      </c>
      <c r="N323" s="4" t="n">
        <v>7.24</v>
      </c>
      <c r="O323" s="4" t="n">
        <v>19811.85</v>
      </c>
      <c r="P323" s="4" t="n">
        <v>3.47</v>
      </c>
      <c r="Q323" s="4">
        <f>N323-L323</f>
        <v/>
      </c>
      <c r="R323" s="4" t="n">
        <v>21.17</v>
      </c>
      <c r="S323" s="4" t="n">
        <v>4.4</v>
      </c>
      <c r="T323" s="7">
        <f>N323-S323</f>
        <v/>
      </c>
      <c r="U323" s="4" t="n">
        <v>103.82</v>
      </c>
      <c r="V323" s="7">
        <f>(R323*W323)</f>
        <v/>
      </c>
      <c r="W323" s="13" t="n">
        <v>0.0692</v>
      </c>
      <c r="X323" s="184" t="n"/>
      <c r="Y323" s="184" t="n"/>
      <c r="Z323" s="184" t="n"/>
      <c r="AA323" s="184" t="n"/>
      <c r="AB323" s="184" t="n"/>
      <c r="AC323" s="184" t="n"/>
      <c r="AD323" s="184" t="n"/>
      <c r="AE323" s="184" t="n"/>
    </row>
    <row r="324">
      <c r="A324" s="14" t="n">
        <v>316</v>
      </c>
      <c r="B324" s="9" t="n">
        <v>45253</v>
      </c>
      <c r="C324" s="4" t="n">
        <v>33363383.76</v>
      </c>
      <c r="D324" s="4">
        <f>C324/E324</f>
        <v/>
      </c>
      <c r="E324" s="4" t="n">
        <v>83.3</v>
      </c>
      <c r="F324" s="4">
        <f>D324/100000</f>
        <v/>
      </c>
      <c r="G324" s="4">
        <f>($D$1-F324)/F324*100</f>
        <v/>
      </c>
      <c r="H324" s="4">
        <f>($D$2-F324)/F324*100</f>
        <v/>
      </c>
      <c r="I324" s="4">
        <f>($D$3-F324)/F324*100</f>
        <v/>
      </c>
      <c r="J324" s="4">
        <f>F324/$F$10*100</f>
        <v/>
      </c>
      <c r="K324" s="4">
        <f>N324/L324</f>
        <v/>
      </c>
      <c r="L324" s="4">
        <f>(M324/O324)*100</f>
        <v/>
      </c>
      <c r="M324" s="4">
        <f>O324/R324</f>
        <v/>
      </c>
      <c r="N324" s="4" t="n">
        <v>7.25</v>
      </c>
      <c r="O324" s="4" t="n">
        <v>19802</v>
      </c>
      <c r="P324" s="4" t="n">
        <v>3.47</v>
      </c>
      <c r="Q324" s="4">
        <f>N324-L324</f>
        <v/>
      </c>
      <c r="R324" s="4" t="n">
        <v>21.16</v>
      </c>
      <c r="S324" s="4" t="n">
        <v>4.45</v>
      </c>
      <c r="T324" s="7">
        <f>N324-S324</f>
        <v/>
      </c>
      <c r="U324" s="4" t="n">
        <v>103.82</v>
      </c>
      <c r="V324" s="7">
        <f>(R324*W324)</f>
        <v/>
      </c>
      <c r="W324" s="13" t="n">
        <v>0.0694</v>
      </c>
      <c r="X324" s="184" t="n"/>
      <c r="Y324" s="184" t="n"/>
      <c r="Z324" s="184" t="n"/>
      <c r="AA324" s="184" t="n"/>
      <c r="AB324" s="184" t="n"/>
      <c r="AC324" s="184" t="n"/>
      <c r="AD324" s="184" t="n"/>
      <c r="AE324" s="184" t="n"/>
    </row>
    <row r="325">
      <c r="A325" s="14" t="n">
        <v>317</v>
      </c>
      <c r="B325" s="9" t="n">
        <v>45254</v>
      </c>
      <c r="C325" s="4" t="n">
        <v>33403473.02</v>
      </c>
      <c r="D325" s="4">
        <f>C325/E325</f>
        <v/>
      </c>
      <c r="E325" s="4" t="n">
        <v>83.34</v>
      </c>
      <c r="F325" s="4">
        <f>D325/100000</f>
        <v/>
      </c>
      <c r="G325" s="4">
        <f>($D$1-F325)/F325*100</f>
        <v/>
      </c>
      <c r="H325" s="4">
        <f>($D$2-F325)/F325*100</f>
        <v/>
      </c>
      <c r="I325" s="4">
        <f>($D$3-F325)/F325*100</f>
        <v/>
      </c>
      <c r="J325" s="4">
        <f>F325/$F$10*100</f>
        <v/>
      </c>
      <c r="K325" s="4">
        <f>N325/L325</f>
        <v/>
      </c>
      <c r="L325" s="4">
        <f>(M325/O325)*100</f>
        <v/>
      </c>
      <c r="M325" s="4">
        <f>O325/R325</f>
        <v/>
      </c>
      <c r="N325" s="4" t="n">
        <v>7.27</v>
      </c>
      <c r="O325" s="4" t="n">
        <v>19794.7</v>
      </c>
      <c r="P325" s="4" t="n">
        <v>3.47</v>
      </c>
      <c r="Q325" s="4">
        <f>N325-L325</f>
        <v/>
      </c>
      <c r="R325" s="4" t="n">
        <v>21.15</v>
      </c>
      <c r="S325" s="4" t="n">
        <v>4.47</v>
      </c>
      <c r="T325" s="7">
        <f>N325-S325</f>
        <v/>
      </c>
      <c r="U325" s="4" t="n">
        <v>103.3</v>
      </c>
      <c r="V325" s="7">
        <f>(R325*W325)</f>
        <v/>
      </c>
      <c r="W325" s="13" t="n">
        <v>0.06950000000000001</v>
      </c>
      <c r="X325" s="184" t="n"/>
      <c r="Y325" s="184" t="n"/>
      <c r="Z325" s="184" t="n"/>
      <c r="AA325" s="184" t="n"/>
      <c r="AB325" s="184" t="n"/>
      <c r="AC325" s="184" t="n"/>
      <c r="AD325" s="184" t="n"/>
      <c r="AE325" s="184" t="n"/>
    </row>
    <row r="326">
      <c r="A326" s="14" t="n">
        <v>321</v>
      </c>
      <c r="B326" s="9" t="n">
        <v>45258</v>
      </c>
      <c r="C326" s="4" t="n">
        <v>33632282.71</v>
      </c>
      <c r="D326" s="4">
        <f>C326/E326</f>
        <v/>
      </c>
      <c r="E326" s="4" t="n">
        <v>83.34</v>
      </c>
      <c r="F326" s="4">
        <f>D326/100000</f>
        <v/>
      </c>
      <c r="G326" s="4">
        <f>($D$1-F326)/F326*100</f>
        <v/>
      </c>
      <c r="H326" s="4">
        <f>($D$2-F326)/F326*100</f>
        <v/>
      </c>
      <c r="I326" s="4">
        <f>($D$3-F326)/F326*100</f>
        <v/>
      </c>
      <c r="J326" s="4">
        <f>F326/$F$10*100</f>
        <v/>
      </c>
      <c r="K326" s="4">
        <f>N326/L326</f>
        <v/>
      </c>
      <c r="L326" s="4">
        <f>(M326/O326)*100</f>
        <v/>
      </c>
      <c r="M326" s="4">
        <f>O326/R326</f>
        <v/>
      </c>
      <c r="N326" s="4" t="n">
        <v>7.27</v>
      </c>
      <c r="O326" s="4" t="n">
        <v>19889.7</v>
      </c>
      <c r="P326" s="4" t="n">
        <v>3.49</v>
      </c>
      <c r="Q326" s="4">
        <f>N326-L326</f>
        <v/>
      </c>
      <c r="R326" s="4" t="n">
        <v>21.26</v>
      </c>
      <c r="S326" s="4" t="n">
        <v>4.32</v>
      </c>
      <c r="T326" s="7">
        <f>N326-S326</f>
        <v/>
      </c>
      <c r="U326" s="4" t="n">
        <v>102.64</v>
      </c>
      <c r="V326" s="7">
        <f>(R326*W326)</f>
        <v/>
      </c>
      <c r="W326" s="13" t="n">
        <v>0.07000000000000001</v>
      </c>
      <c r="X326" s="184" t="n"/>
      <c r="Y326" s="184" t="n"/>
      <c r="Z326" s="184" t="n"/>
      <c r="AA326" s="184" t="n"/>
      <c r="AB326" s="184" t="n"/>
      <c r="AC326" s="184" t="n"/>
      <c r="AD326" s="184" t="n"/>
      <c r="AE326" s="184" t="n"/>
    </row>
    <row r="327">
      <c r="A327" s="14" t="n">
        <v>322</v>
      </c>
      <c r="B327" s="9" t="n">
        <v>45259</v>
      </c>
      <c r="C327" s="4" t="n">
        <v>33867590.56</v>
      </c>
      <c r="D327" s="4">
        <f>C327/E327</f>
        <v/>
      </c>
      <c r="E327" s="4" t="n">
        <v>83.34999999999999</v>
      </c>
      <c r="F327" s="4">
        <f>D327/100000</f>
        <v/>
      </c>
      <c r="G327" s="4">
        <f>($D$1-F327)/F327*100</f>
        <v/>
      </c>
      <c r="H327" s="4">
        <f>($D$2-F327)/F327*100</f>
        <v/>
      </c>
      <c r="I327" s="4">
        <f>($D$3-F327)/F327*100</f>
        <v/>
      </c>
      <c r="J327" s="4">
        <f>F327/$F$10*100</f>
        <v/>
      </c>
      <c r="K327" s="4">
        <f>N327/L327</f>
        <v/>
      </c>
      <c r="L327" s="4">
        <f>(M327/O327)*100</f>
        <v/>
      </c>
      <c r="M327" s="4">
        <f>O327/R327</f>
        <v/>
      </c>
      <c r="N327" s="4" t="n">
        <v>7.25</v>
      </c>
      <c r="O327" s="4" t="n">
        <v>20096.6</v>
      </c>
      <c r="P327" s="4" t="n">
        <v>3.52</v>
      </c>
      <c r="Q327" s="4">
        <f>N327-L327</f>
        <v/>
      </c>
      <c r="R327" s="4" t="n">
        <v>21.48</v>
      </c>
      <c r="S327" s="4" t="n">
        <v>4.25</v>
      </c>
      <c r="T327" s="7">
        <f>N327-S327</f>
        <v/>
      </c>
      <c r="U327" s="4" t="n">
        <v>102.67</v>
      </c>
      <c r="V327" s="7">
        <f>(R327*W327)</f>
        <v/>
      </c>
      <c r="W327" s="13" t="n">
        <v>0.0699</v>
      </c>
      <c r="X327" s="184" t="n"/>
      <c r="Y327" s="184" t="n"/>
      <c r="Z327" s="184" t="n"/>
      <c r="AA327" s="184" t="n"/>
      <c r="AB327" s="184" t="n"/>
      <c r="AC327" s="184" t="n"/>
      <c r="AD327" s="184" t="n"/>
      <c r="AE327" s="184" t="n"/>
    </row>
    <row r="328">
      <c r="A328" s="14" t="n">
        <v>323</v>
      </c>
      <c r="B328" s="9" t="n">
        <v>45260</v>
      </c>
      <c r="C328" s="4" t="n">
        <v>34093304.47</v>
      </c>
      <c r="D328" s="4">
        <f>C328/E328</f>
        <v/>
      </c>
      <c r="E328" s="4" t="n">
        <v>83.34999999999999</v>
      </c>
      <c r="F328" s="4">
        <f>D328/100000</f>
        <v/>
      </c>
      <c r="G328" s="4">
        <f>($D$1-F328)/F328*100</f>
        <v/>
      </c>
      <c r="H328" s="4">
        <f>($D$2-F328)/F328*100</f>
        <v/>
      </c>
      <c r="I328" s="4">
        <f>($D$3-F328)/F328*100</f>
        <v/>
      </c>
      <c r="J328" s="4">
        <f>F328/$F$10*100</f>
        <v/>
      </c>
      <c r="K328" s="4">
        <f>N328/L328</f>
        <v/>
      </c>
      <c r="L328" s="4">
        <f>(M328/O328)*100</f>
        <v/>
      </c>
      <c r="M328" s="4">
        <f>O328/R328</f>
        <v/>
      </c>
      <c r="N328" s="4" t="n">
        <v>7.27</v>
      </c>
      <c r="O328" s="4" t="n">
        <v>20133.15</v>
      </c>
      <c r="P328" s="4" t="n">
        <v>3.53</v>
      </c>
      <c r="Q328" s="4">
        <f>N328-L328</f>
        <v/>
      </c>
      <c r="R328" s="4" t="n">
        <v>21.52</v>
      </c>
      <c r="S328" s="4" t="n">
        <v>4.33</v>
      </c>
      <c r="T328" s="7">
        <f>N328-S328</f>
        <v/>
      </c>
      <c r="U328" s="4" t="n">
        <v>103.42</v>
      </c>
      <c r="V328" s="7">
        <f>(R328*W328)</f>
        <v/>
      </c>
      <c r="W328" s="13" t="n">
        <v>0.07000000000000001</v>
      </c>
      <c r="X328" s="184" t="n"/>
      <c r="Y328" s="184" t="n"/>
      <c r="Z328" s="184" t="n"/>
      <c r="AA328" s="184" t="n"/>
      <c r="AB328" s="184" t="n"/>
      <c r="AC328" s="184" t="n"/>
      <c r="AD328" s="184" t="n"/>
      <c r="AE328" s="184" t="n"/>
    </row>
    <row r="329">
      <c r="A329" s="14" t="n">
        <v>324</v>
      </c>
      <c r="B329" s="9" t="n">
        <v>45261</v>
      </c>
      <c r="C329" s="4" t="n">
        <v>34305305.42</v>
      </c>
      <c r="D329" s="4">
        <f>C329/E329</f>
        <v/>
      </c>
      <c r="E329" s="4" t="n">
        <v>83.26000000000001</v>
      </c>
      <c r="F329" s="4">
        <f>D329/100000</f>
        <v/>
      </c>
      <c r="G329" s="4">
        <f>($D$1-F329)/F329*100</f>
        <v/>
      </c>
      <c r="H329" s="4">
        <f>($D$2-F329)/F329*100</f>
        <v/>
      </c>
      <c r="I329" s="4">
        <f>($D$3-F329)/F329*100</f>
        <v/>
      </c>
      <c r="J329" s="4">
        <f>F329/$F$10*100</f>
        <v/>
      </c>
      <c r="K329" s="4">
        <f>N329/L329</f>
        <v/>
      </c>
      <c r="L329" s="4">
        <f>(M329/O329)*100</f>
        <v/>
      </c>
      <c r="M329" s="4">
        <f>O329/R329</f>
        <v/>
      </c>
      <c r="N329" s="4" t="n">
        <v>7.29</v>
      </c>
      <c r="O329" s="4" t="n">
        <v>20267.9</v>
      </c>
      <c r="P329" s="4" t="n">
        <v>3.55</v>
      </c>
      <c r="Q329" s="4">
        <f>N329-L329</f>
        <v/>
      </c>
      <c r="R329" s="4" t="n">
        <v>21.66</v>
      </c>
      <c r="S329" s="4" t="n">
        <v>4.2</v>
      </c>
      <c r="T329" s="7">
        <f>N329-S329</f>
        <v/>
      </c>
      <c r="U329" s="4" t="n">
        <v>103.2</v>
      </c>
      <c r="V329" s="7">
        <f>(R329*W329)</f>
        <v/>
      </c>
      <c r="W329" s="13" t="n">
        <v>0.0701</v>
      </c>
      <c r="X329" s="184" t="n"/>
      <c r="Y329" s="184" t="n"/>
      <c r="Z329" s="184" t="n"/>
      <c r="AA329" s="184" t="n"/>
      <c r="AB329" s="184" t="n"/>
      <c r="AC329" s="184" t="n"/>
      <c r="AD329" s="184" t="n"/>
      <c r="AE329" s="184" t="n"/>
    </row>
    <row r="330">
      <c r="A330" s="14" t="n">
        <v>327</v>
      </c>
      <c r="B330" s="9" t="n">
        <v>45264</v>
      </c>
      <c r="C330" s="4" t="n">
        <v>34884134.67</v>
      </c>
      <c r="D330" s="4">
        <f>C330/E330</f>
        <v/>
      </c>
      <c r="E330" s="4" t="n">
        <v>83.42</v>
      </c>
      <c r="F330" s="4">
        <f>D330/100000</f>
        <v/>
      </c>
      <c r="G330" s="4">
        <f>($D$1-F330)/F330*100</f>
        <v/>
      </c>
      <c r="H330" s="4">
        <f>($D$2-F330)/F330*100</f>
        <v/>
      </c>
      <c r="I330" s="4">
        <f>($D$3-F330)/F330*100</f>
        <v/>
      </c>
      <c r="J330" s="4">
        <f>F330/$F$10*100</f>
        <v/>
      </c>
      <c r="K330" s="4">
        <f>N330/L330</f>
        <v/>
      </c>
      <c r="L330" s="4">
        <f>(M330/O330)*100</f>
        <v/>
      </c>
      <c r="M330" s="4">
        <f>O330/R330</f>
        <v/>
      </c>
      <c r="N330" s="4" t="n">
        <v>7.27</v>
      </c>
      <c r="O330" s="4" t="n">
        <v>20686.8</v>
      </c>
      <c r="P330" s="4" t="n">
        <v>3.63</v>
      </c>
      <c r="Q330" s="4">
        <f>N330-L330</f>
        <v/>
      </c>
      <c r="R330" s="4" t="n">
        <v>22.11</v>
      </c>
      <c r="S330" s="4" t="n">
        <v>4.25</v>
      </c>
      <c r="T330" s="7">
        <f>N330-S330</f>
        <v/>
      </c>
      <c r="U330" s="4" t="n">
        <v>103.64</v>
      </c>
      <c r="V330" s="7">
        <f>(R330*W330)</f>
        <v/>
      </c>
      <c r="W330" s="13" t="n">
        <v>0.0697</v>
      </c>
      <c r="X330" s="184" t="n"/>
      <c r="Y330" s="184" t="n"/>
      <c r="Z330" s="184" t="n"/>
      <c r="AA330" s="184" t="n"/>
      <c r="AB330" s="184" t="n"/>
      <c r="AC330" s="184" t="n"/>
      <c r="AD330" s="184" t="n"/>
      <c r="AE330" s="184" t="n"/>
    </row>
    <row r="331">
      <c r="A331" s="14" t="n">
        <v>328</v>
      </c>
      <c r="B331" s="9" t="n">
        <v>45265</v>
      </c>
      <c r="C331" s="4" t="n">
        <v>35185533.92</v>
      </c>
      <c r="D331" s="4">
        <f>C331/E331</f>
        <v/>
      </c>
      <c r="E331" s="4" t="n">
        <v>83.31999999999999</v>
      </c>
      <c r="F331" s="4">
        <f>D331/100000</f>
        <v/>
      </c>
      <c r="G331" s="4">
        <f>($D$1-F331)/F331*100</f>
        <v/>
      </c>
      <c r="H331" s="4">
        <f>($D$2-F331)/F331*100</f>
        <v/>
      </c>
      <c r="I331" s="4">
        <f>($D$3-F331)/F331*100</f>
        <v/>
      </c>
      <c r="J331" s="4">
        <f>F331/$F$10*100</f>
        <v/>
      </c>
      <c r="K331" s="4">
        <f>N331/L331</f>
        <v/>
      </c>
      <c r="L331" s="4">
        <f>(M331/O331)*100</f>
        <v/>
      </c>
      <c r="M331" s="4">
        <f>O331/R331</f>
        <v/>
      </c>
      <c r="N331" s="4" t="n">
        <v>7.26</v>
      </c>
      <c r="O331" s="4" t="n">
        <v>20855.1</v>
      </c>
      <c r="P331" s="4" t="n">
        <v>3.66</v>
      </c>
      <c r="Q331" s="4">
        <f>N331-L331</f>
        <v/>
      </c>
      <c r="R331" s="4" t="n">
        <v>22.29</v>
      </c>
      <c r="S331" s="4" t="n">
        <v>4.16</v>
      </c>
      <c r="T331" s="7">
        <f>N331-S331</f>
        <v/>
      </c>
      <c r="U331" s="4" t="n">
        <v>103.99</v>
      </c>
      <c r="V331" s="7">
        <f>(R331*W331)</f>
        <v/>
      </c>
      <c r="W331" s="13" t="n">
        <v>0.0696</v>
      </c>
      <c r="X331" s="184" t="n"/>
      <c r="Y331" s="184" t="n"/>
      <c r="Z331" s="184" t="n"/>
      <c r="AA331" s="184" t="n"/>
      <c r="AB331" s="184" t="n"/>
      <c r="AC331" s="184" t="n"/>
      <c r="AD331" s="184" t="n"/>
      <c r="AE331" s="184" t="n"/>
    </row>
    <row r="332">
      <c r="A332" s="14" t="n">
        <v>329</v>
      </c>
      <c r="B332" s="9" t="n">
        <v>45266</v>
      </c>
      <c r="C332" s="4" t="n">
        <v>35424796.44</v>
      </c>
      <c r="D332" s="4">
        <f>C332/E332</f>
        <v/>
      </c>
      <c r="E332" s="4" t="n">
        <v>83.33</v>
      </c>
      <c r="F332" s="4">
        <f>D332/100000</f>
        <v/>
      </c>
      <c r="G332" s="4">
        <f>($D$1-F332)/F332*100</f>
        <v/>
      </c>
      <c r="H332" s="4">
        <f>($D$2-F332)/F332*100</f>
        <v/>
      </c>
      <c r="I332" s="4">
        <f>($D$3-F332)/F332*100</f>
        <v/>
      </c>
      <c r="J332" s="4">
        <f>F332/$F$10*100</f>
        <v/>
      </c>
      <c r="K332" s="4">
        <f>N332/L332</f>
        <v/>
      </c>
      <c r="L332" s="4">
        <f>(M332/O332)*100</f>
        <v/>
      </c>
      <c r="M332" s="4">
        <f>O332/R332</f>
        <v/>
      </c>
      <c r="N332" s="4" t="n">
        <v>7.24</v>
      </c>
      <c r="O332" s="4" t="n">
        <v>20937.7</v>
      </c>
      <c r="P332" s="4" t="n">
        <v>3.67</v>
      </c>
      <c r="Q332" s="4">
        <f>N332-L332</f>
        <v/>
      </c>
      <c r="R332" s="4" t="n">
        <v>22.38</v>
      </c>
      <c r="S332" s="4" t="n">
        <v>4.11</v>
      </c>
      <c r="T332" s="7">
        <f>N332-S332</f>
        <v/>
      </c>
      <c r="U332" s="4" t="n">
        <v>104.1</v>
      </c>
      <c r="V332" s="7">
        <f>(R332*W332)</f>
        <v/>
      </c>
      <c r="W332" s="13" t="n">
        <v>0.0696</v>
      </c>
      <c r="X332" s="184" t="n"/>
      <c r="Y332" s="184" t="n"/>
      <c r="Z332" s="184" t="n"/>
      <c r="AA332" s="184" t="n"/>
      <c r="AB332" s="184" t="n"/>
      <c r="AC332" s="184" t="n"/>
      <c r="AD332" s="184" t="n"/>
      <c r="AE332" s="184" t="n"/>
    </row>
    <row r="333">
      <c r="A333" s="14" t="n">
        <v>330</v>
      </c>
      <c r="B333" s="9" t="n">
        <v>45267</v>
      </c>
      <c r="C333" s="4" t="n">
        <v>35548642.88</v>
      </c>
      <c r="D333" s="4">
        <f>C333/E333</f>
        <v/>
      </c>
      <c r="E333" s="4" t="n">
        <v>83.34</v>
      </c>
      <c r="F333" s="4">
        <f>D333/100000</f>
        <v/>
      </c>
      <c r="G333" s="4">
        <f>($D$1-F333)/F333*100</f>
        <v/>
      </c>
      <c r="H333" s="4">
        <f>($D$2-F333)/F333*100</f>
        <v/>
      </c>
      <c r="I333" s="4">
        <f>($D$3-F333)/F333*100</f>
        <v/>
      </c>
      <c r="J333" s="4">
        <f>F333/$F$10*100</f>
        <v/>
      </c>
      <c r="K333" s="4">
        <f>N333/L333</f>
        <v/>
      </c>
      <c r="L333" s="4">
        <f>(M333/O333)*100</f>
        <v/>
      </c>
      <c r="M333" s="4">
        <f>O333/R333</f>
        <v/>
      </c>
      <c r="N333" s="4" t="n">
        <v>7.23</v>
      </c>
      <c r="O333" s="4" t="n">
        <v>20901.15</v>
      </c>
      <c r="P333" s="4" t="n">
        <v>3.67</v>
      </c>
      <c r="Q333" s="4">
        <f>N333-L333</f>
        <v/>
      </c>
      <c r="R333" s="4" t="n">
        <v>22.34</v>
      </c>
      <c r="S333" s="4" t="n">
        <v>4.14</v>
      </c>
      <c r="T333" s="7">
        <f>N333-S333</f>
        <v/>
      </c>
      <c r="U333" s="4" t="n">
        <v>103.5</v>
      </c>
      <c r="V333" s="7">
        <f>(R333*W333)</f>
        <v/>
      </c>
      <c r="W333" s="13" t="n">
        <v>0.0694</v>
      </c>
      <c r="X333" s="184" t="n"/>
      <c r="Y333" s="184" t="n"/>
      <c r="Z333" s="184" t="n"/>
      <c r="AA333" s="184" t="n"/>
      <c r="AB333" s="184" t="n"/>
      <c r="AC333" s="184" t="n"/>
      <c r="AD333" s="184" t="n"/>
      <c r="AE333" s="184" t="n"/>
    </row>
    <row r="334">
      <c r="A334" s="14" t="n">
        <v>331</v>
      </c>
      <c r="B334" s="9" t="n">
        <v>45268</v>
      </c>
      <c r="C334" s="4" t="n">
        <v>35460198.26</v>
      </c>
      <c r="D334" s="4">
        <f>C334/E334</f>
        <v/>
      </c>
      <c r="E334" s="4" t="n">
        <v>83.42</v>
      </c>
      <c r="F334" s="4">
        <f>D334/100000</f>
        <v/>
      </c>
      <c r="G334" s="4">
        <f>($D$1-F334)/F334*100</f>
        <v/>
      </c>
      <c r="H334" s="4">
        <f>($D$2-F334)/F334*100</f>
        <v/>
      </c>
      <c r="I334" s="4">
        <f>($D$3-F334)/F334*100</f>
        <v/>
      </c>
      <c r="J334" s="4">
        <f>F334/$F$10*100</f>
        <v/>
      </c>
      <c r="K334" s="4">
        <f>N334/L334</f>
        <v/>
      </c>
      <c r="L334" s="4">
        <f>(M334/O334)*100</f>
        <v/>
      </c>
      <c r="M334" s="4">
        <f>O334/R334</f>
        <v/>
      </c>
      <c r="N334" s="4" t="n">
        <v>7.26</v>
      </c>
      <c r="O334" s="4" t="n">
        <v>20969.4</v>
      </c>
      <c r="P334" s="4" t="n">
        <v>3.68</v>
      </c>
      <c r="Q334" s="4">
        <f>N334-L334</f>
        <v/>
      </c>
      <c r="R334" s="4" t="n">
        <v>22.41</v>
      </c>
      <c r="S334" s="4" t="n">
        <v>4.22</v>
      </c>
      <c r="T334" s="7">
        <f>N334-S334</f>
        <v/>
      </c>
      <c r="U334" s="4" t="n">
        <v>103.98</v>
      </c>
      <c r="V334" s="7">
        <f>(R334*W334)</f>
        <v/>
      </c>
      <c r="W334" s="13" t="n">
        <v>0.0694</v>
      </c>
      <c r="X334" s="184" t="n"/>
      <c r="Y334" s="184" t="n"/>
      <c r="Z334" s="184" t="n"/>
      <c r="AA334" s="184" t="n"/>
      <c r="AB334" s="184" t="n"/>
      <c r="AC334" s="184" t="n"/>
      <c r="AD334" s="184" t="n"/>
      <c r="AE334" s="184" t="n"/>
    </row>
    <row r="335">
      <c r="A335" s="14" t="n">
        <v>332</v>
      </c>
      <c r="B335" s="9" t="n">
        <v>45271</v>
      </c>
      <c r="C335" s="4" t="n">
        <v>35639463.54</v>
      </c>
      <c r="D335" s="4">
        <f>C335/E335</f>
        <v/>
      </c>
      <c r="E335" s="4" t="n">
        <v>83.34999999999999</v>
      </c>
      <c r="F335" s="4">
        <f>D335/100000</f>
        <v/>
      </c>
      <c r="G335" s="4">
        <f>($D$1-F335)/F335*100</f>
        <v/>
      </c>
      <c r="H335" s="4">
        <f>($D$2-F335)/F335*100</f>
        <v/>
      </c>
      <c r="I335" s="4">
        <f>($D$3-F335)/F335*100</f>
        <v/>
      </c>
      <c r="J335" s="4">
        <f>F335/$F$10*100</f>
        <v/>
      </c>
      <c r="K335" s="4">
        <f>N335/L335</f>
        <v/>
      </c>
      <c r="L335" s="4">
        <f>(M335/O335)*100</f>
        <v/>
      </c>
      <c r="M335" s="4">
        <f>O335/R335</f>
        <v/>
      </c>
      <c r="N335" s="4" t="n">
        <v>7.28</v>
      </c>
      <c r="O335" s="4" t="n">
        <v>20997.1</v>
      </c>
      <c r="P335" s="4" t="n">
        <v>3.68</v>
      </c>
      <c r="Q335" s="4">
        <f>N335-L335</f>
        <v/>
      </c>
      <c r="R335" s="4" t="n">
        <v>22.44</v>
      </c>
      <c r="S335" s="4" t="n">
        <v>4.23</v>
      </c>
      <c r="T335" s="7">
        <f>N335-S335</f>
        <v/>
      </c>
      <c r="U335" s="4" t="n">
        <v>103.7</v>
      </c>
      <c r="V335" s="7">
        <f>(R335*W335)</f>
        <v/>
      </c>
      <c r="W335" s="13" t="n">
        <v>0.06950000000000001</v>
      </c>
      <c r="X335" s="184" t="n"/>
      <c r="Y335" s="184" t="n"/>
      <c r="Z335" s="184" t="n"/>
      <c r="AA335" s="184" t="n"/>
      <c r="AB335" s="184" t="n"/>
      <c r="AC335" s="184" t="n"/>
      <c r="AD335" s="184" t="n"/>
      <c r="AE335" s="184" t="n"/>
    </row>
    <row r="336">
      <c r="A336" s="14" t="n">
        <v>333</v>
      </c>
      <c r="B336" s="9" t="n">
        <v>45272</v>
      </c>
      <c r="C336" s="4" t="n">
        <v>35510493.43</v>
      </c>
      <c r="D336" s="4">
        <f>C336/E336</f>
        <v/>
      </c>
      <c r="E336" s="4" t="n">
        <v>83.39</v>
      </c>
      <c r="F336" s="4">
        <f>D336/100000</f>
        <v/>
      </c>
      <c r="G336" s="4">
        <f>($D$1-F336)/F336*100</f>
        <v/>
      </c>
      <c r="H336" s="4">
        <f>($D$2-F336)/F336*100</f>
        <v/>
      </c>
      <c r="I336" s="4">
        <f>($D$3-F336)/F336*100</f>
        <v/>
      </c>
      <c r="J336" s="4">
        <f>F336/$F$10*100</f>
        <v/>
      </c>
      <c r="K336" s="4">
        <f>N336/L336</f>
        <v/>
      </c>
      <c r="L336" s="4">
        <f>(M336/O336)*100</f>
        <v/>
      </c>
      <c r="M336" s="4">
        <f>O336/R336</f>
        <v/>
      </c>
      <c r="N336" s="4" t="n">
        <v>7.27</v>
      </c>
      <c r="O336" s="4" t="n">
        <v>20906.4</v>
      </c>
      <c r="P336" s="4" t="n">
        <v>3.67</v>
      </c>
      <c r="Q336" s="4">
        <f>N336-L336</f>
        <v/>
      </c>
      <c r="R336" s="4" t="n">
        <v>22.34</v>
      </c>
      <c r="S336" s="4" t="n">
        <v>4.21</v>
      </c>
      <c r="T336" s="7">
        <f>N336-S336</f>
        <v/>
      </c>
      <c r="U336" s="4" t="n">
        <v>103.46</v>
      </c>
      <c r="V336" s="7">
        <f>(R336*W336)</f>
        <v/>
      </c>
      <c r="W336" s="13" t="n">
        <v>0.0699</v>
      </c>
      <c r="X336" s="184" t="n"/>
      <c r="Y336" s="184" t="n"/>
      <c r="Z336" s="184" t="n"/>
      <c r="AA336" s="184" t="n"/>
      <c r="AB336" s="184" t="n"/>
      <c r="AC336" s="184" t="n"/>
      <c r="AD336" s="184" t="n"/>
      <c r="AE336" s="184" t="n"/>
    </row>
    <row r="337">
      <c r="A337" s="14" t="n">
        <v>334</v>
      </c>
      <c r="B337" s="9" t="n">
        <v>45273</v>
      </c>
      <c r="C337" s="4" t="n">
        <v>35653070.67</v>
      </c>
      <c r="D337" s="4">
        <f>C337/E337</f>
        <v/>
      </c>
      <c r="E337" s="4" t="n">
        <v>83.34999999999999</v>
      </c>
      <c r="F337" s="4">
        <f>D337/100000</f>
        <v/>
      </c>
      <c r="G337" s="4">
        <f>($D$1-F337)/F337*100</f>
        <v/>
      </c>
      <c r="H337" s="4">
        <f>($D$2-F337)/F337*100</f>
        <v/>
      </c>
      <c r="I337" s="4">
        <f>($D$3-F337)/F337*100</f>
        <v/>
      </c>
      <c r="J337" s="4">
        <f>F337/$F$10*100</f>
        <v/>
      </c>
      <c r="K337" s="4">
        <f>N337/L337</f>
        <v/>
      </c>
      <c r="L337" s="4">
        <f>(M337/O337)*100</f>
        <v/>
      </c>
      <c r="M337" s="4">
        <f>O337/R337</f>
        <v/>
      </c>
      <c r="N337" s="4" t="n">
        <v>7.25</v>
      </c>
      <c r="O337" s="4" t="n">
        <v>20926.35</v>
      </c>
      <c r="P337" s="4" t="n">
        <v>3.67</v>
      </c>
      <c r="Q337" s="4">
        <f>N337-L337</f>
        <v/>
      </c>
      <c r="R337" s="4" t="n">
        <v>22.36</v>
      </c>
      <c r="S337" s="4" t="n">
        <v>4.02</v>
      </c>
      <c r="T337" s="7">
        <f>N337-S337</f>
        <v/>
      </c>
      <c r="U337" s="4" t="n">
        <v>102.47</v>
      </c>
      <c r="V337" s="7">
        <f>(R337*W337)</f>
        <v/>
      </c>
      <c r="W337" s="13" t="n">
        <v>0.0697</v>
      </c>
      <c r="X337" s="184" t="n"/>
      <c r="Y337" s="184" t="n"/>
      <c r="Z337" s="184" t="n"/>
      <c r="AA337" s="184" t="n"/>
      <c r="AB337" s="184" t="n"/>
      <c r="AC337" s="184" t="n"/>
      <c r="AD337" s="184" t="n"/>
      <c r="AE337" s="184" t="n"/>
    </row>
    <row r="338">
      <c r="A338" s="14" t="n">
        <v>335</v>
      </c>
      <c r="B338" s="9" t="n">
        <v>45274</v>
      </c>
      <c r="C338" s="4" t="n">
        <v>36035345.74</v>
      </c>
      <c r="D338" s="4">
        <f>C338/E338</f>
        <v/>
      </c>
      <c r="E338" s="4" t="n">
        <v>83.3</v>
      </c>
      <c r="F338" s="4">
        <f>D338/100000</f>
        <v/>
      </c>
      <c r="G338" s="4">
        <f>($D$1-F338)/F338*100</f>
        <v/>
      </c>
      <c r="H338" s="4">
        <f>($D$2-F338)/F338*100</f>
        <v/>
      </c>
      <c r="I338" s="4">
        <f>($D$3-F338)/F338*100</f>
        <v/>
      </c>
      <c r="J338" s="4">
        <f>F338/$F$10*100</f>
        <v/>
      </c>
      <c r="K338" s="4">
        <f>N338/L338</f>
        <v/>
      </c>
      <c r="L338" s="4">
        <f>(M338/O338)*100</f>
        <v/>
      </c>
      <c r="M338" s="4">
        <f>O338/R338</f>
        <v/>
      </c>
      <c r="N338" s="4" t="n">
        <v>7.19</v>
      </c>
      <c r="O338" s="4" t="n">
        <v>21182.7</v>
      </c>
      <c r="P338" s="4" t="n">
        <v>3.71</v>
      </c>
      <c r="Q338" s="4">
        <f>N338-L338</f>
        <v/>
      </c>
      <c r="R338" s="4" t="n">
        <v>22.63</v>
      </c>
      <c r="S338" s="4" t="n">
        <v>3.92</v>
      </c>
      <c r="T338" s="7">
        <f>N338-S338</f>
        <v/>
      </c>
      <c r="U338" s="4" t="n">
        <v>101.57</v>
      </c>
      <c r="V338" s="7">
        <f>(R338*W338)</f>
        <v/>
      </c>
      <c r="W338" s="13" t="n">
        <v>0.06950000000000001</v>
      </c>
      <c r="X338" s="184" t="n"/>
      <c r="Y338" s="184" t="n"/>
      <c r="Z338" s="184" t="n"/>
      <c r="AA338" s="184" t="n"/>
      <c r="AB338" s="184" t="n"/>
      <c r="AC338" s="184" t="n"/>
      <c r="AD338" s="184" t="n"/>
      <c r="AE338" s="184" t="n"/>
    </row>
    <row r="339">
      <c r="A339" s="14" t="n">
        <v>336</v>
      </c>
      <c r="B339" s="9" t="n">
        <v>45275</v>
      </c>
      <c r="C339" s="4" t="n">
        <v>36323869.19</v>
      </c>
      <c r="D339" s="4">
        <f>C339/E339</f>
        <v/>
      </c>
      <c r="E339" s="4" t="n">
        <v>83.04000000000001</v>
      </c>
      <c r="F339" s="4">
        <f>D339/100000</f>
        <v/>
      </c>
      <c r="G339" s="4">
        <f>($D$1-F339)/F339*100</f>
        <v/>
      </c>
      <c r="H339" s="4">
        <f>($D$2-F339)/F339*100</f>
        <v/>
      </c>
      <c r="I339" s="4">
        <f>($D$3-F339)/F339*100</f>
        <v/>
      </c>
      <c r="J339" s="4">
        <f>F339/$F$10*100</f>
        <v/>
      </c>
      <c r="K339" s="4">
        <f>N339/L339</f>
        <v/>
      </c>
      <c r="L339" s="4">
        <f>(M339/O339)*100</f>
        <v/>
      </c>
      <c r="M339" s="4">
        <f>O339/R339</f>
        <v/>
      </c>
      <c r="N339" s="4" t="n">
        <v>7.16</v>
      </c>
      <c r="O339" s="4" t="n">
        <v>21456.65</v>
      </c>
      <c r="P339" s="4" t="n">
        <v>3.76</v>
      </c>
      <c r="Q339" s="4">
        <f>N339-L339</f>
        <v/>
      </c>
      <c r="R339" s="4" t="n">
        <v>22.92</v>
      </c>
      <c r="S339" s="4" t="n">
        <v>3.91</v>
      </c>
      <c r="T339" s="7">
        <f>N339-S339</f>
        <v/>
      </c>
      <c r="U339" s="4" t="n">
        <v>102.54</v>
      </c>
      <c r="V339" s="7">
        <f>(R339*W339)</f>
        <v/>
      </c>
      <c r="W339" s="13" t="n">
        <v>0.0693</v>
      </c>
      <c r="X339" s="184" t="n"/>
      <c r="Y339" s="184" t="n"/>
      <c r="Z339" s="184" t="n"/>
      <c r="AA339" s="184" t="n"/>
      <c r="AB339" s="184" t="n"/>
      <c r="AC339" s="184" t="n"/>
      <c r="AD339" s="184" t="n"/>
      <c r="AE339" s="184" t="n"/>
    </row>
    <row r="340">
      <c r="A340" s="14" t="n">
        <v>337</v>
      </c>
      <c r="B340" s="9" t="n">
        <v>45278</v>
      </c>
      <c r="C340" s="5" t="n">
        <v>36409498.48</v>
      </c>
      <c r="D340" s="4">
        <f>C340/E340</f>
        <v/>
      </c>
      <c r="E340" s="4" t="n">
        <v>83.14</v>
      </c>
      <c r="F340" s="4">
        <f>D340/100000</f>
        <v/>
      </c>
      <c r="G340" s="4">
        <f>($D$1-F340)/F340*100</f>
        <v/>
      </c>
      <c r="H340" s="4">
        <f>($D$2-F340)/F340*100</f>
        <v/>
      </c>
      <c r="I340" s="4">
        <f>($D$3-F340)/F340*100</f>
        <v/>
      </c>
      <c r="J340" s="4">
        <f>F340/$F$10*100</f>
        <v/>
      </c>
      <c r="K340" s="4">
        <f>N340/L340</f>
        <v/>
      </c>
      <c r="L340" s="4">
        <f>(M340/O340)*100</f>
        <v/>
      </c>
      <c r="M340" s="4">
        <f>O340/R340</f>
        <v/>
      </c>
      <c r="N340" s="4" t="n">
        <v>7.15</v>
      </c>
      <c r="O340" s="4" t="n">
        <v>21418.65</v>
      </c>
      <c r="P340" s="4" t="n">
        <v>3.76</v>
      </c>
      <c r="Q340" s="4">
        <f>N340-L340</f>
        <v/>
      </c>
      <c r="R340" s="4" t="n">
        <v>22.88</v>
      </c>
      <c r="S340" s="4" t="n">
        <v>3.93</v>
      </c>
      <c r="T340" s="7">
        <f>N340-S340</f>
        <v/>
      </c>
      <c r="U340" s="4" t="n">
        <v>102.53</v>
      </c>
      <c r="V340" s="7">
        <f>(R340*W340)</f>
        <v/>
      </c>
      <c r="W340" s="13" t="n">
        <v>0.0692</v>
      </c>
      <c r="X340" s="184" t="n"/>
      <c r="Y340" s="184" t="n"/>
      <c r="Z340" s="184" t="n"/>
      <c r="AA340" s="184" t="n"/>
      <c r="AB340" s="184" t="n"/>
      <c r="AC340" s="184" t="n"/>
      <c r="AD340" s="184" t="n"/>
      <c r="AE340" s="184" t="n"/>
    </row>
    <row r="341">
      <c r="A341" s="14" t="n">
        <v>338</v>
      </c>
      <c r="B341" s="9" t="n">
        <v>45279</v>
      </c>
      <c r="C341" s="5" t="n">
        <v>36448416.61</v>
      </c>
      <c r="D341" s="4">
        <f>C341/E341</f>
        <v/>
      </c>
      <c r="E341" s="4" t="n">
        <v>83.09999999999999</v>
      </c>
      <c r="F341" s="4">
        <f>D341/100000</f>
        <v/>
      </c>
      <c r="G341" s="4">
        <f>($D$1-F341)/F341*100</f>
        <v/>
      </c>
      <c r="H341" s="4">
        <f>($D$2-F341)/F341*100</f>
        <v/>
      </c>
      <c r="I341" s="4">
        <f>($D$3-F341)/F341*100</f>
        <v/>
      </c>
      <c r="J341" s="4">
        <f>F341/$F$10*100</f>
        <v/>
      </c>
      <c r="K341" s="4">
        <f>N341/L341</f>
        <v/>
      </c>
      <c r="L341" s="4">
        <f>(M341/O341)*100</f>
        <v/>
      </c>
      <c r="M341" s="4">
        <f>O341/R341</f>
        <v/>
      </c>
      <c r="N341" s="4" t="n">
        <v>7.17</v>
      </c>
      <c r="O341" s="4" t="n">
        <v>21453.1</v>
      </c>
      <c r="P341" s="4" t="n">
        <v>3.76</v>
      </c>
      <c r="Q341" s="4">
        <f>N341-L341</f>
        <v/>
      </c>
      <c r="R341" s="4" t="n">
        <v>22.92</v>
      </c>
      <c r="S341" s="4" t="n">
        <v>3.93</v>
      </c>
      <c r="T341" s="7">
        <f>N341-S341</f>
        <v/>
      </c>
      <c r="U341" s="4" t="n">
        <v>101.76</v>
      </c>
      <c r="V341" s="7">
        <f>(R341*W341)</f>
        <v/>
      </c>
      <c r="W341" s="13" t="n">
        <v>0.0693</v>
      </c>
      <c r="X341" s="184" t="n"/>
      <c r="Y341" s="184" t="n"/>
      <c r="Z341" s="184" t="n"/>
      <c r="AA341" s="184" t="n"/>
      <c r="AB341" s="184" t="n"/>
      <c r="AC341" s="184" t="n"/>
      <c r="AD341" s="184" t="n"/>
      <c r="AE341" s="184" t="n"/>
    </row>
    <row r="342">
      <c r="A342" s="14" t="n">
        <v>339</v>
      </c>
      <c r="B342" s="9" t="n">
        <v>45280</v>
      </c>
      <c r="C342" s="5" t="n">
        <v>35559532.99</v>
      </c>
      <c r="D342" s="4">
        <f>C342/E342</f>
        <v/>
      </c>
      <c r="E342" s="4" t="n">
        <v>83.13</v>
      </c>
      <c r="F342" s="4">
        <f>D342/100000</f>
        <v/>
      </c>
      <c r="G342" s="4">
        <f>($D$1-F342)/F342*100</f>
        <v/>
      </c>
      <c r="H342" s="4">
        <f>($D$2-F342)/F342*100</f>
        <v/>
      </c>
      <c r="I342" s="4">
        <f>($D$3-F342)/F342*100</f>
        <v/>
      </c>
      <c r="J342" s="4">
        <f>F342/$F$10*100</f>
        <v/>
      </c>
      <c r="K342" s="4">
        <f>N342/L342</f>
        <v/>
      </c>
      <c r="L342" s="4">
        <f>(M342/O342)*100</f>
        <v/>
      </c>
      <c r="M342" s="4">
        <f>O342/R342</f>
        <v/>
      </c>
      <c r="N342" s="4" t="n">
        <v>7.17</v>
      </c>
      <c r="O342" s="4" t="n">
        <v>21150.15</v>
      </c>
      <c r="P342" s="4" t="n">
        <v>3.71</v>
      </c>
      <c r="Q342" s="4">
        <f>N342-L342</f>
        <v/>
      </c>
      <c r="R342" s="4" t="n">
        <v>22.6</v>
      </c>
      <c r="S342" s="4" t="n">
        <v>3.85</v>
      </c>
      <c r="T342" s="7">
        <f>N342-S342</f>
        <v/>
      </c>
      <c r="U342" s="4" t="n">
        <v>102.04</v>
      </c>
      <c r="V342" s="7">
        <f>(R342*W342)</f>
        <v/>
      </c>
      <c r="W342" s="13" t="n">
        <v>0.06950000000000001</v>
      </c>
      <c r="X342" s="184" t="n"/>
      <c r="Y342" s="184" t="n"/>
      <c r="Z342" s="184" t="n"/>
      <c r="AA342" s="184" t="n"/>
      <c r="AB342" s="184" t="n"/>
      <c r="AC342" s="184" t="n"/>
      <c r="AD342" s="184" t="n"/>
      <c r="AE342" s="184" t="n"/>
    </row>
    <row r="343">
      <c r="A343" s="14" t="n">
        <v>340</v>
      </c>
      <c r="B343" s="9" t="n">
        <v>45281</v>
      </c>
      <c r="C343" s="5" t="n">
        <v>35943299.57</v>
      </c>
      <c r="D343" s="4">
        <f>C343/E343</f>
        <v/>
      </c>
      <c r="E343" s="4" t="n">
        <v>83.20999999999999</v>
      </c>
      <c r="F343" s="4">
        <f>D343/100000</f>
        <v/>
      </c>
      <c r="G343" s="4">
        <f>($D$1-F343)/F343*100</f>
        <v/>
      </c>
      <c r="H343" s="4">
        <f>($D$2-F343)/F343*100</f>
        <v/>
      </c>
      <c r="I343" s="4">
        <f>($D$3-F343)/F343*100</f>
        <v/>
      </c>
      <c r="J343" s="4">
        <f>F343/$F$10*100</f>
        <v/>
      </c>
      <c r="K343" s="4">
        <f>N343/L343</f>
        <v/>
      </c>
      <c r="L343" s="4">
        <f>(M343/O343)*100</f>
        <v/>
      </c>
      <c r="M343" s="4">
        <f>O343/R343</f>
        <v/>
      </c>
      <c r="N343" s="4" t="n">
        <v>7.18</v>
      </c>
      <c r="O343" s="4" t="n">
        <v>21255.05</v>
      </c>
      <c r="P343" s="4" t="n">
        <v>3.73</v>
      </c>
      <c r="Q343" s="4">
        <f>N343-L343</f>
        <v/>
      </c>
      <c r="R343" s="4" t="n">
        <v>22.71</v>
      </c>
      <c r="S343" s="4" t="n">
        <v>3.89</v>
      </c>
      <c r="T343" s="7">
        <f>N343-S343</f>
        <v/>
      </c>
      <c r="U343" s="4" t="n">
        <v>101.47</v>
      </c>
      <c r="V343" s="7">
        <f>(R343*W343)</f>
        <v/>
      </c>
      <c r="W343" s="13" t="n">
        <v>0.0694</v>
      </c>
      <c r="X343" s="184" t="n"/>
      <c r="Y343" s="184" t="n"/>
      <c r="Z343" s="184" t="n"/>
      <c r="AA343" s="184" t="n"/>
      <c r="AB343" s="184" t="n"/>
      <c r="AC343" s="184" t="n"/>
      <c r="AD343" s="184" t="n"/>
      <c r="AE343" s="184" t="n"/>
    </row>
    <row r="344">
      <c r="A344" s="14" t="n">
        <v>341</v>
      </c>
      <c r="B344" s="9" t="n">
        <v>45282</v>
      </c>
      <c r="C344" s="5" t="n">
        <v>36215715.63</v>
      </c>
      <c r="D344" s="4">
        <f>C344/E344</f>
        <v/>
      </c>
      <c r="E344" s="4" t="n">
        <v>83.16</v>
      </c>
      <c r="F344" s="4">
        <f>D344/100000</f>
        <v/>
      </c>
      <c r="G344" s="4">
        <f>($D$1-F344)/F344*100</f>
        <v/>
      </c>
      <c r="H344" s="4">
        <f>($D$2-F344)/F344*100</f>
        <v/>
      </c>
      <c r="I344" s="4">
        <f>($D$3-F344)/F344*100</f>
        <v/>
      </c>
      <c r="J344" s="4">
        <f>F344/$F$10*100</f>
        <v/>
      </c>
      <c r="K344" s="4">
        <f>N344/L344</f>
        <v/>
      </c>
      <c r="L344" s="4">
        <f>(M344/O344)*100</f>
        <v/>
      </c>
      <c r="M344" s="4">
        <f>O344/R344</f>
        <v/>
      </c>
      <c r="N344" s="4" t="n">
        <v>7.18</v>
      </c>
      <c r="O344" s="4" t="n">
        <v>21349.4</v>
      </c>
      <c r="P344" s="4" t="n">
        <v>3.74</v>
      </c>
      <c r="Q344" s="4">
        <f>N344-L344</f>
        <v/>
      </c>
      <c r="R344" s="4" t="n">
        <v>22.81</v>
      </c>
      <c r="S344" s="4" t="n">
        <v>3.9</v>
      </c>
      <c r="T344" s="7">
        <f>N344-S344</f>
        <v/>
      </c>
      <c r="U344" s="4" t="n">
        <v>101.33</v>
      </c>
      <c r="V344" s="7">
        <f>(R344*W344)</f>
        <v/>
      </c>
      <c r="W344" s="13" t="n">
        <v>0.0694</v>
      </c>
      <c r="X344" s="184" t="n"/>
      <c r="Y344" s="184" t="n"/>
      <c r="Z344" s="184" t="n"/>
      <c r="AA344" s="184" t="n"/>
      <c r="AB344" s="184" t="n"/>
      <c r="AC344" s="184" t="n"/>
      <c r="AD344" s="184" t="n"/>
      <c r="AE344" s="184" t="n"/>
    </row>
    <row r="345">
      <c r="A345" s="14" t="n">
        <v>342</v>
      </c>
      <c r="B345" s="9" t="n">
        <v>45286</v>
      </c>
      <c r="C345" s="5" t="n">
        <v>36422360.83</v>
      </c>
      <c r="D345" s="4">
        <f>C345/E345</f>
        <v/>
      </c>
      <c r="E345" s="4" t="n">
        <v>83.16</v>
      </c>
      <c r="F345" s="4">
        <f>D345/100000</f>
        <v/>
      </c>
      <c r="G345" s="4">
        <f>($D$1-F345)/F345*100</f>
        <v/>
      </c>
      <c r="H345" s="4">
        <f>($D$2-F345)/F345*100</f>
        <v/>
      </c>
      <c r="I345" s="4">
        <f>($D$3-F345)/F345*100</f>
        <v/>
      </c>
      <c r="J345" s="4">
        <f>F345/$F$10*100</f>
        <v/>
      </c>
      <c r="K345" s="4">
        <f>N345/L345</f>
        <v/>
      </c>
      <c r="L345" s="4">
        <f>(M345/O345)*100</f>
        <v/>
      </c>
      <c r="M345" s="4">
        <f>O345/R345</f>
        <v/>
      </c>
      <c r="N345" s="4" t="n">
        <v>7.18</v>
      </c>
      <c r="O345" s="4" t="n">
        <v>21441.35</v>
      </c>
      <c r="P345" s="4" t="n">
        <v>3.76</v>
      </c>
      <c r="Q345" s="4">
        <f>N345-L345</f>
        <v/>
      </c>
      <c r="R345" s="4" t="n">
        <v>22.91</v>
      </c>
      <c r="S345" s="4" t="n">
        <v>3.89</v>
      </c>
      <c r="T345" s="7">
        <f>N345-S345</f>
        <v/>
      </c>
      <c r="U345" s="4" t="n">
        <v>101.1</v>
      </c>
      <c r="V345" s="7">
        <f>(R345*W345)</f>
        <v/>
      </c>
      <c r="W345" s="13" t="n">
        <v>0.06950000000000001</v>
      </c>
      <c r="X345" s="184" t="n"/>
      <c r="Y345" s="184" t="n"/>
      <c r="Z345" s="184" t="n"/>
      <c r="AA345" s="184" t="n"/>
      <c r="AB345" s="184" t="n"/>
      <c r="AC345" s="184" t="n"/>
      <c r="AD345" s="184" t="n"/>
      <c r="AE345" s="184" t="n"/>
    </row>
    <row r="346">
      <c r="A346" s="14" t="n">
        <v>343</v>
      </c>
      <c r="B346" s="9" t="n">
        <v>45287</v>
      </c>
      <c r="C346" s="5" t="n">
        <v>36670847.64</v>
      </c>
      <c r="D346" s="4">
        <f>C346/E346</f>
        <v/>
      </c>
      <c r="E346" s="4" t="n">
        <v>83.15000000000001</v>
      </c>
      <c r="F346" s="4">
        <f>D346/100000</f>
        <v/>
      </c>
      <c r="G346" s="4">
        <f>($D$1-F346)/F346*100</f>
        <v/>
      </c>
      <c r="H346" s="4">
        <f>($D$2-F346)/F346*100</f>
        <v/>
      </c>
      <c r="I346" s="4">
        <f>($D$3-F346)/F346*100</f>
        <v/>
      </c>
      <c r="J346" s="4">
        <f>F346/$F$10*100</f>
        <v/>
      </c>
      <c r="K346" s="4">
        <f>N346/L346</f>
        <v/>
      </c>
      <c r="L346" s="4">
        <f>(M346/O346)*100</f>
        <v/>
      </c>
      <c r="M346" s="4">
        <f>O346/R346</f>
        <v/>
      </c>
      <c r="N346" s="4" t="n">
        <v>7.2</v>
      </c>
      <c r="O346" s="4" t="n">
        <v>21654.75</v>
      </c>
      <c r="P346" s="4" t="n">
        <v>3.8</v>
      </c>
      <c r="Q346" s="4">
        <f>N346-L346</f>
        <v/>
      </c>
      <c r="R346" s="4" t="n">
        <v>23.14</v>
      </c>
      <c r="S346" s="4" t="n">
        <v>3.78</v>
      </c>
      <c r="T346" s="7">
        <f>N346-S346</f>
        <v/>
      </c>
      <c r="U346" s="4" t="n">
        <v>100.65</v>
      </c>
      <c r="V346" s="7">
        <f>(R346*W346)</f>
        <v/>
      </c>
      <c r="W346" s="13" t="n">
        <v>0.0698</v>
      </c>
      <c r="X346" s="184" t="n"/>
      <c r="Y346" s="184" t="n"/>
      <c r="Z346" s="184" t="n"/>
      <c r="AA346" s="184" t="n"/>
      <c r="AB346" s="184" t="n"/>
      <c r="AC346" s="184" t="n"/>
      <c r="AD346" s="184" t="n"/>
      <c r="AE346" s="184" t="n"/>
    </row>
    <row r="347">
      <c r="A347" s="14" t="n">
        <v>344</v>
      </c>
      <c r="B347" s="9" t="n">
        <v>45288</v>
      </c>
      <c r="C347" s="5" t="n">
        <v>36835140.85</v>
      </c>
      <c r="D347" s="4">
        <f>C347/E347</f>
        <v/>
      </c>
      <c r="E347" s="4" t="n">
        <v>83.26000000000001</v>
      </c>
      <c r="F347" s="4">
        <f>D347/100000</f>
        <v/>
      </c>
      <c r="G347" s="4">
        <f>($D$1-F347)/F347*100</f>
        <v/>
      </c>
      <c r="H347" s="4">
        <f>($D$2-F347)/F347*100</f>
        <v/>
      </c>
      <c r="I347" s="4">
        <f>($D$3-F347)/F347*100</f>
        <v/>
      </c>
      <c r="J347" s="4">
        <f>F347/$F$10*100</f>
        <v/>
      </c>
      <c r="K347" s="4">
        <f>N347/L347</f>
        <v/>
      </c>
      <c r="L347" s="4">
        <f>(M347/O347)*100</f>
        <v/>
      </c>
      <c r="M347" s="4">
        <f>O347/R347</f>
        <v/>
      </c>
      <c r="N347" s="4" t="n">
        <v>7.2</v>
      </c>
      <c r="O347" s="4" t="n">
        <v>21778.7</v>
      </c>
      <c r="P347" s="4" t="n">
        <v>3.82</v>
      </c>
      <c r="Q347" s="4">
        <f>N347-L347</f>
        <v/>
      </c>
      <c r="R347" s="4" t="n">
        <v>23.27</v>
      </c>
      <c r="S347" s="4" t="n">
        <v>3.84</v>
      </c>
      <c r="T347" s="7">
        <f>N347-S347</f>
        <v/>
      </c>
      <c r="U347" s="4" t="n">
        <v>100.91</v>
      </c>
      <c r="V347" s="7">
        <f>(R347*W347)</f>
        <v/>
      </c>
      <c r="W347" s="13" t="n">
        <v>0.0698</v>
      </c>
      <c r="X347" s="184" t="n"/>
      <c r="Y347" s="184" t="n"/>
      <c r="Z347" s="184" t="n"/>
      <c r="AA347" s="184" t="n"/>
      <c r="AB347" s="184" t="n"/>
      <c r="AC347" s="184" t="n"/>
      <c r="AD347" s="184" t="n"/>
      <c r="AE347" s="184" t="n"/>
    </row>
    <row r="348">
      <c r="A348" s="14" t="n">
        <v>345</v>
      </c>
      <c r="B348" s="9" t="n">
        <v>45289</v>
      </c>
      <c r="C348" s="4" t="n">
        <v>36937725.8</v>
      </c>
      <c r="D348" s="4">
        <f>C348/E348</f>
        <v/>
      </c>
      <c r="E348" s="4" t="n">
        <v>83.19</v>
      </c>
      <c r="F348" s="4">
        <f>D348/100000</f>
        <v/>
      </c>
      <c r="G348" s="4">
        <f>($D$1-F348)/F348*100</f>
        <v/>
      </c>
      <c r="H348" s="4">
        <f>($D$2-F348)/F348*100</f>
        <v/>
      </c>
      <c r="I348" s="4">
        <f>($D$3-F348)/F348*100</f>
        <v/>
      </c>
      <c r="J348" s="4">
        <f>F348/$F$10*100</f>
        <v/>
      </c>
      <c r="K348" s="4">
        <f>N348/L348</f>
        <v/>
      </c>
      <c r="L348" s="4">
        <f>(M348/O348)*100</f>
        <v/>
      </c>
      <c r="M348" s="4">
        <f>O348/R348</f>
        <v/>
      </c>
      <c r="N348" s="4" t="n">
        <v>7.17</v>
      </c>
      <c r="O348" s="4" t="n">
        <v>21731.4</v>
      </c>
      <c r="P348" s="4" t="n">
        <v>3.81</v>
      </c>
      <c r="Q348" s="4">
        <f>N348-L348</f>
        <v/>
      </c>
      <c r="R348" s="4" t="n">
        <v>23.17</v>
      </c>
      <c r="S348" s="4" t="n">
        <v>3.86</v>
      </c>
      <c r="T348" s="7">
        <f>N348-S348</f>
        <v/>
      </c>
      <c r="U348" s="4" t="n">
        <v>101.02</v>
      </c>
      <c r="V348" s="7">
        <f>(R348*W348)</f>
        <v/>
      </c>
      <c r="W348" s="13" t="n">
        <v>0.0698</v>
      </c>
      <c r="X348" s="184" t="n"/>
      <c r="Y348" s="184" t="n"/>
      <c r="Z348" s="184" t="n"/>
      <c r="AA348" s="184" t="n"/>
      <c r="AB348" s="184" t="n"/>
      <c r="AC348" s="184" t="n"/>
      <c r="AD348" s="184" t="n"/>
      <c r="AE348" s="184" t="n"/>
    </row>
    <row r="349">
      <c r="A349" s="14" t="n">
        <v>346</v>
      </c>
      <c r="B349" s="9" t="n">
        <v>45292</v>
      </c>
      <c r="C349" s="5" t="n">
        <v>37094900.16</v>
      </c>
      <c r="D349" s="4">
        <f>C349/E349</f>
        <v/>
      </c>
      <c r="E349" s="4" t="n">
        <v>83.23</v>
      </c>
      <c r="F349" s="4">
        <f>D349/100000</f>
        <v/>
      </c>
      <c r="G349" s="4">
        <f>($D$1-F349)/F349*100</f>
        <v/>
      </c>
      <c r="H349" s="4">
        <f>($D$2-F349)/F349*100</f>
        <v/>
      </c>
      <c r="I349" s="4">
        <f>($D$3-F349)/F349*100</f>
        <v/>
      </c>
      <c r="J349" s="4">
        <f>F349/$F$10*100</f>
        <v/>
      </c>
      <c r="K349" s="4">
        <f>N349/L349</f>
        <v/>
      </c>
      <c r="L349" s="4">
        <f>(M349/O349)*100</f>
        <v/>
      </c>
      <c r="M349" s="4">
        <f>O349/R349</f>
        <v/>
      </c>
      <c r="N349" s="4" t="n">
        <v>7.19</v>
      </c>
      <c r="O349" s="4" t="n">
        <v>21741.9</v>
      </c>
      <c r="P349" s="4" t="n">
        <v>3.81</v>
      </c>
      <c r="Q349" s="4">
        <f>N349-L349</f>
        <v/>
      </c>
      <c r="R349" s="4" t="n">
        <v>23.18</v>
      </c>
      <c r="S349" s="4" t="n">
        <v>3.89</v>
      </c>
      <c r="T349" s="7">
        <f>N349-S349</f>
        <v/>
      </c>
      <c r="U349" s="4" t="n">
        <v>101.02</v>
      </c>
      <c r="V349" s="7">
        <f>(R349*W349)</f>
        <v/>
      </c>
      <c r="W349" s="13" t="n">
        <v>0.0692</v>
      </c>
      <c r="X349" s="184" t="n"/>
      <c r="Y349" s="184" t="n"/>
      <c r="Z349" s="184" t="n"/>
      <c r="AA349" s="184" t="n"/>
      <c r="AB349" s="184" t="n"/>
      <c r="AC349" s="184" t="n"/>
      <c r="AD349" s="184" t="n"/>
      <c r="AE349" s="184" t="n"/>
    </row>
    <row r="350">
      <c r="A350" s="14" t="n">
        <v>347</v>
      </c>
      <c r="B350" s="9" t="n">
        <v>45293</v>
      </c>
      <c r="C350" s="5" t="n">
        <v>37029723.62</v>
      </c>
      <c r="D350" s="4">
        <f>C350/E350</f>
        <v/>
      </c>
      <c r="E350" s="4" t="n">
        <v>83.27</v>
      </c>
      <c r="F350" s="4">
        <f>D350/100000</f>
        <v/>
      </c>
      <c r="G350" s="4">
        <f>($D$1-F350)/F350*100</f>
        <v/>
      </c>
      <c r="H350" s="4">
        <f>($D$2-F350)/F350*100</f>
        <v/>
      </c>
      <c r="I350" s="4">
        <f>($D$3-F350)/F350*100</f>
        <v/>
      </c>
      <c r="J350" s="4">
        <f>F350/$F$10*100</f>
        <v/>
      </c>
      <c r="K350" s="4">
        <f>N350/L350</f>
        <v/>
      </c>
      <c r="L350" s="4">
        <f>(M350/O350)*100</f>
        <v/>
      </c>
      <c r="M350" s="4">
        <f>O350/R350</f>
        <v/>
      </c>
      <c r="N350" s="4" t="n">
        <v>7.2</v>
      </c>
      <c r="O350" s="4" t="n">
        <v>21665.8</v>
      </c>
      <c r="P350" s="4" t="n">
        <v>3.79</v>
      </c>
      <c r="Q350" s="4">
        <f>N350-L350</f>
        <v/>
      </c>
      <c r="R350" s="4" t="n">
        <v>23.1</v>
      </c>
      <c r="S350" s="4" t="n">
        <v>3.94</v>
      </c>
      <c r="T350" s="7">
        <f>N350-S350</f>
        <v/>
      </c>
      <c r="U350" s="4" t="n">
        <v>101.89</v>
      </c>
      <c r="V350" s="7">
        <f>(R350*W350)</f>
        <v/>
      </c>
      <c r="W350" s="13" t="n">
        <v>0.0692</v>
      </c>
      <c r="X350" s="184" t="n"/>
      <c r="Y350" s="184" t="n"/>
      <c r="Z350" s="184" t="n"/>
      <c r="AA350" s="184" t="n"/>
      <c r="AB350" s="184" t="n"/>
      <c r="AC350" s="184" t="n"/>
      <c r="AD350" s="184" t="n"/>
      <c r="AE350" s="184" t="n"/>
    </row>
    <row r="351">
      <c r="A351" s="14" t="n">
        <v>348</v>
      </c>
      <c r="B351" s="9" t="n">
        <v>45294</v>
      </c>
      <c r="C351" s="5" t="n">
        <v>37019528.83</v>
      </c>
      <c r="D351" s="4">
        <f>C351/E351</f>
        <v/>
      </c>
      <c r="E351" s="4" t="n">
        <v>83.28</v>
      </c>
      <c r="F351" s="4">
        <f>D351/100000</f>
        <v/>
      </c>
      <c r="G351" s="4">
        <f>($D$1-F351)/F351*100</f>
        <v/>
      </c>
      <c r="H351" s="4">
        <f>($D$2-F351)/F351*100</f>
        <v/>
      </c>
      <c r="I351" s="4">
        <f>($D$3-F351)/F351*100</f>
        <v/>
      </c>
      <c r="J351" s="4">
        <f>F351/$F$10*100</f>
        <v/>
      </c>
      <c r="K351" s="4">
        <f>N351/L351</f>
        <v/>
      </c>
      <c r="L351" s="4">
        <f>(M351/O351)*100</f>
        <v/>
      </c>
      <c r="M351" s="4">
        <f>O351/R351</f>
        <v/>
      </c>
      <c r="N351" s="4" t="n">
        <v>7.21</v>
      </c>
      <c r="O351" s="4" t="n">
        <v>21517.35</v>
      </c>
      <c r="P351" s="4" t="n">
        <v>3.77</v>
      </c>
      <c r="Q351" s="4">
        <f>N351-L351</f>
        <v/>
      </c>
      <c r="R351" s="4" t="n">
        <v>22.94</v>
      </c>
      <c r="S351" s="4" t="n">
        <v>3.92</v>
      </c>
      <c r="T351" s="7">
        <f>N351-S351</f>
        <v/>
      </c>
      <c r="U351" s="4" t="n">
        <v>102.19</v>
      </c>
      <c r="V351" s="7">
        <f>(R351*W351)</f>
        <v/>
      </c>
      <c r="W351" s="13" t="n">
        <v>0.06909999999999999</v>
      </c>
      <c r="X351" s="184" t="n"/>
      <c r="Y351" s="184" t="n"/>
      <c r="Z351" s="184" t="n"/>
      <c r="AA351" s="184" t="n"/>
      <c r="AB351" s="184" t="n"/>
      <c r="AC351" s="184" t="n"/>
      <c r="AD351" s="184" t="n"/>
      <c r="AE351" s="184" t="n"/>
    </row>
    <row r="352">
      <c r="A352" s="14" t="n">
        <v>349</v>
      </c>
      <c r="B352" s="9" t="n">
        <v>45295</v>
      </c>
      <c r="C352" s="5" t="n">
        <v>37346699.18</v>
      </c>
      <c r="D352" s="4">
        <f>C352/E352</f>
        <v/>
      </c>
      <c r="E352" s="4" t="n">
        <v>83.23999999999999</v>
      </c>
      <c r="F352" s="4">
        <f>D352/100000</f>
        <v/>
      </c>
      <c r="G352" s="4">
        <f>($D$1-F352)/F352*100</f>
        <v/>
      </c>
      <c r="H352" s="4">
        <f>($D$2-F352)/F352*100</f>
        <v/>
      </c>
      <c r="I352" s="4">
        <f>($D$3-F352)/F352*100</f>
        <v/>
      </c>
      <c r="J352" s="4">
        <f>F352/$F$10*100</f>
        <v/>
      </c>
      <c r="K352" s="4">
        <f>N352/L352</f>
        <v/>
      </c>
      <c r="L352" s="4">
        <f>(M352/O352)*100</f>
        <v/>
      </c>
      <c r="M352" s="4">
        <f>O352/R352</f>
        <v/>
      </c>
      <c r="N352" s="4" t="n">
        <v>7.22</v>
      </c>
      <c r="O352" s="4" t="n">
        <v>21658.6</v>
      </c>
      <c r="P352" s="4" t="n">
        <v>3.79</v>
      </c>
      <c r="Q352" s="4">
        <f>N352-L352</f>
        <v/>
      </c>
      <c r="R352" s="4" t="n">
        <v>23.09</v>
      </c>
      <c r="S352" s="10" t="n">
        <v>4</v>
      </c>
      <c r="T352" s="7">
        <f>N352-S352</f>
        <v/>
      </c>
      <c r="U352" s="4" t="n">
        <v>102.13</v>
      </c>
      <c r="V352" s="7">
        <f>(R352*W352)</f>
        <v/>
      </c>
      <c r="W352" s="13" t="n">
        <v>0.06900000000000001</v>
      </c>
      <c r="X352" s="184" t="n"/>
      <c r="Y352" s="184" t="n"/>
      <c r="Z352" s="184" t="n"/>
      <c r="AA352" s="184" t="n"/>
      <c r="AB352" s="184" t="n"/>
      <c r="AC352" s="184" t="n"/>
      <c r="AD352" s="184" t="n"/>
      <c r="AE352" s="184" t="n"/>
    </row>
    <row r="353">
      <c r="A353" s="14" t="n">
        <v>350</v>
      </c>
      <c r="B353" s="9" t="n">
        <v>45296</v>
      </c>
      <c r="C353" s="5" t="n">
        <v>37448192.14</v>
      </c>
      <c r="D353" s="4">
        <f>C353/E353</f>
        <v/>
      </c>
      <c r="E353" s="4" t="n">
        <v>83.09999999999999</v>
      </c>
      <c r="F353" s="4">
        <f>D353/100000</f>
        <v/>
      </c>
      <c r="G353" s="4">
        <f>($D$1-F353)/F353*100</f>
        <v/>
      </c>
      <c r="H353" s="4">
        <f>($D$2-F353)/F353*100</f>
        <v/>
      </c>
      <c r="I353" s="4">
        <f>($D$3-F353)/F353*100</f>
        <v/>
      </c>
      <c r="J353" s="4">
        <f>F353/$F$10*100</f>
        <v/>
      </c>
      <c r="K353" s="4">
        <f>N353/L353</f>
        <v/>
      </c>
      <c r="L353" s="4">
        <f>(M353/O353)*100</f>
        <v/>
      </c>
      <c r="M353" s="4">
        <f>O353/R353</f>
        <v/>
      </c>
      <c r="N353" s="4" t="n">
        <v>7.23</v>
      </c>
      <c r="O353" s="4" t="n">
        <v>21710.8</v>
      </c>
      <c r="P353" s="4" t="n">
        <v>3.8</v>
      </c>
      <c r="Q353" s="4">
        <f>N353-L353</f>
        <v/>
      </c>
      <c r="R353" s="4" t="n">
        <v>23.15</v>
      </c>
      <c r="S353" s="4" t="n">
        <v>4.05</v>
      </c>
      <c r="T353" s="7">
        <f>N353-S353</f>
        <v/>
      </c>
      <c r="U353" s="4" t="n">
        <v>102.12</v>
      </c>
      <c r="V353" s="7">
        <f>(R353*W353)</f>
        <v/>
      </c>
      <c r="W353" s="13" t="n">
        <v>0.06900000000000001</v>
      </c>
      <c r="X353" s="184" t="n"/>
      <c r="Y353" s="184" t="n"/>
      <c r="Z353" s="184" t="n"/>
      <c r="AA353" s="184" t="n"/>
      <c r="AB353" s="184" t="n"/>
      <c r="AC353" s="184" t="n"/>
      <c r="AD353" s="184" t="n"/>
      <c r="AE353" s="184" t="n"/>
    </row>
    <row r="354">
      <c r="A354" s="14" t="n">
        <v>351</v>
      </c>
      <c r="B354" s="9" t="n">
        <v>45299</v>
      </c>
      <c r="C354" s="5" t="n">
        <v>37150868.55</v>
      </c>
      <c r="D354" s="4">
        <f>C354/E354</f>
        <v/>
      </c>
      <c r="E354" s="4" t="n">
        <v>83.04000000000001</v>
      </c>
      <c r="F354" s="4">
        <f>D354/100000</f>
        <v/>
      </c>
      <c r="G354" s="4">
        <f>($D$1-F354)/F354*100</f>
        <v/>
      </c>
      <c r="H354" s="4">
        <f>($D$2-F354)/F354*100</f>
        <v/>
      </c>
      <c r="I354" s="4">
        <f>($D$3-F354)/F354*100</f>
        <v/>
      </c>
      <c r="J354" s="4">
        <f>F354/$F$10*100</f>
        <v/>
      </c>
      <c r="K354" s="4">
        <f>N354/L354</f>
        <v/>
      </c>
      <c r="L354" s="4">
        <f>(M354/O354)*100</f>
        <v/>
      </c>
      <c r="M354" s="4">
        <f>O354/R354</f>
        <v/>
      </c>
      <c r="N354" s="4" t="n">
        <v>7.2</v>
      </c>
      <c r="O354" s="4" t="n">
        <v>21513</v>
      </c>
      <c r="P354" s="4" t="n">
        <v>3.77</v>
      </c>
      <c r="Q354" s="4">
        <f>N354-L354</f>
        <v/>
      </c>
      <c r="R354" s="4" t="n">
        <v>22.94</v>
      </c>
      <c r="S354" s="4" t="n">
        <v>4.02</v>
      </c>
      <c r="T354" s="7">
        <f>N354-S354</f>
        <v/>
      </c>
      <c r="U354" s="4" t="n">
        <v>101.92</v>
      </c>
      <c r="V354" s="7">
        <f>(R354*W354)</f>
        <v/>
      </c>
      <c r="W354" s="13" t="n">
        <v>0.0692</v>
      </c>
      <c r="X354" s="184" t="n"/>
      <c r="Y354" s="184" t="n"/>
      <c r="Z354" s="184" t="n"/>
      <c r="AA354" s="184" t="n"/>
      <c r="AB354" s="184" t="n"/>
      <c r="AC354" s="184" t="n"/>
      <c r="AD354" s="184" t="n"/>
      <c r="AE354" s="184" t="n"/>
    </row>
    <row r="355">
      <c r="A355" s="14" t="n">
        <v>352</v>
      </c>
      <c r="B355" s="9" t="n">
        <v>45300</v>
      </c>
      <c r="C355" s="5" t="n">
        <v>37265202.84</v>
      </c>
      <c r="D355" s="4">
        <f>C355/E355</f>
        <v/>
      </c>
      <c r="E355" s="4" t="n">
        <v>83.09999999999999</v>
      </c>
      <c r="F355" s="4">
        <f>D355/100000</f>
        <v/>
      </c>
      <c r="G355" s="4">
        <f>($D$1-F355)/F355*100</f>
        <v/>
      </c>
      <c r="H355" s="4">
        <f>($D$2-F355)/F355*100</f>
        <v/>
      </c>
      <c r="I355" s="4">
        <f>($D$3-F355)/F355*100</f>
        <v/>
      </c>
      <c r="J355" s="4">
        <f>F355/$F$10*100</f>
        <v/>
      </c>
      <c r="K355" s="4">
        <f>N355/L355</f>
        <v/>
      </c>
      <c r="L355" s="4">
        <f>(M355/O355)*100</f>
        <v/>
      </c>
      <c r="M355" s="4">
        <f>O355/R355</f>
        <v/>
      </c>
      <c r="N355" s="4" t="n">
        <v>7.18</v>
      </c>
      <c r="O355" s="4" t="n">
        <v>21544.85</v>
      </c>
      <c r="P355" s="4" t="n">
        <v>3.77</v>
      </c>
      <c r="Q355" s="4">
        <f>N355-L355</f>
        <v/>
      </c>
      <c r="R355" s="4" t="n">
        <v>22.97</v>
      </c>
      <c r="S355" s="4" t="n">
        <v>4.01</v>
      </c>
      <c r="T355" s="7">
        <f>N355-S355</f>
        <v/>
      </c>
      <c r="U355" s="4" t="n">
        <v>102.28</v>
      </c>
      <c r="V355" s="7">
        <f>(R355*W355)</f>
        <v/>
      </c>
      <c r="W355" s="13" t="n">
        <v>0.0693</v>
      </c>
      <c r="X355" s="184" t="n"/>
      <c r="Y355" s="184" t="n"/>
      <c r="Z355" s="184" t="n"/>
      <c r="AA355" s="184" t="n"/>
      <c r="AB355" s="184" t="n"/>
      <c r="AC355" s="184" t="n"/>
      <c r="AD355" s="184" t="n"/>
      <c r="AE355" s="184" t="n"/>
    </row>
    <row r="356">
      <c r="A356" s="14" t="n">
        <v>353</v>
      </c>
      <c r="B356" s="9" t="n">
        <v>45301</v>
      </c>
      <c r="C356" s="5" t="n">
        <v>37392677.15</v>
      </c>
      <c r="D356" s="4">
        <f>C356/E356</f>
        <v/>
      </c>
      <c r="E356" s="4" t="n">
        <v>83.02</v>
      </c>
      <c r="F356" s="4">
        <f>D356/100000</f>
        <v/>
      </c>
      <c r="G356" s="4">
        <f>($D$1-F356)/F356*100</f>
        <v/>
      </c>
      <c r="H356" s="4">
        <f>($D$2-F356)/F356*100</f>
        <v/>
      </c>
      <c r="I356" s="4">
        <f>($D$3-F356)/F356*100</f>
        <v/>
      </c>
      <c r="J356" s="4">
        <f>F356/$F$10*100</f>
        <v/>
      </c>
      <c r="K356" s="4">
        <f>N356/L356</f>
        <v/>
      </c>
      <c r="L356" s="4">
        <f>(M356/O356)*100</f>
        <v/>
      </c>
      <c r="M356" s="4">
        <f>O356/R356</f>
        <v/>
      </c>
      <c r="N356" s="4" t="n">
        <v>7.17</v>
      </c>
      <c r="O356" s="4" t="n">
        <v>21618.7</v>
      </c>
      <c r="P356" s="4" t="n">
        <v>3.79</v>
      </c>
      <c r="Q356" s="4">
        <f>N356-L356</f>
        <v/>
      </c>
      <c r="R356" s="4" t="n">
        <v>23.05</v>
      </c>
      <c r="S356" s="4" t="n">
        <v>4.03</v>
      </c>
      <c r="T356" s="7">
        <f>N356-S356</f>
        <v/>
      </c>
      <c r="U356" s="4" t="n">
        <v>102.08</v>
      </c>
      <c r="V356" s="7">
        <f>(R356*W356)</f>
        <v/>
      </c>
      <c r="W356" s="13" t="n">
        <v>0.0692</v>
      </c>
      <c r="X356" s="184" t="n"/>
      <c r="Y356" s="184" t="n"/>
      <c r="Z356" s="184" t="n"/>
      <c r="AA356" s="184" t="n"/>
      <c r="AB356" s="184" t="n"/>
      <c r="AC356" s="184" t="n"/>
      <c r="AD356" s="184" t="n"/>
      <c r="AE356" s="184" t="n"/>
    </row>
    <row r="357">
      <c r="A357" s="14" t="n">
        <v>354</v>
      </c>
      <c r="B357" s="9" t="n">
        <v>45302</v>
      </c>
      <c r="C357" s="5" t="n">
        <v>37565219.02</v>
      </c>
      <c r="D357" s="4">
        <f>C357/E357</f>
        <v/>
      </c>
      <c r="E357" s="4" t="n">
        <v>83.06</v>
      </c>
      <c r="F357" s="4">
        <f>D357/100000</f>
        <v/>
      </c>
      <c r="G357" s="4">
        <f>($D$1-F357)/F357*100</f>
        <v/>
      </c>
      <c r="H357" s="4">
        <f>($D$2-F357)/F357*100</f>
        <v/>
      </c>
      <c r="I357" s="4">
        <f>($D$3-F357)/F357*100</f>
        <v/>
      </c>
      <c r="J357" s="4">
        <f>F357/$F$10*100</f>
        <v/>
      </c>
      <c r="K357" s="4">
        <f>N357/L357</f>
        <v/>
      </c>
      <c r="L357" s="4">
        <f>(M357/O357)*100</f>
        <v/>
      </c>
      <c r="M357" s="4">
        <f>O357/R357</f>
        <v/>
      </c>
      <c r="N357" s="4" t="n">
        <v>7.16</v>
      </c>
      <c r="O357" s="4" t="n">
        <v>21647.2</v>
      </c>
      <c r="P357" s="4" t="n">
        <v>3.79</v>
      </c>
      <c r="Q357" s="4">
        <f>N357-L357</f>
        <v/>
      </c>
      <c r="R357" s="4" t="n">
        <v>23.08</v>
      </c>
      <c r="S357" s="4" t="n">
        <v>3.97</v>
      </c>
      <c r="T357" s="7">
        <f>N357-S357</f>
        <v/>
      </c>
      <c r="U357" s="4" t="n">
        <v>102.02</v>
      </c>
      <c r="V357" s="7">
        <f>(R357*W357)</f>
        <v/>
      </c>
      <c r="W357" s="13" t="n">
        <v>0.06909999999999999</v>
      </c>
      <c r="X357" s="184" t="n"/>
      <c r="Y357" s="184" t="n"/>
      <c r="Z357" s="184" t="n"/>
      <c r="AA357" s="184" t="n"/>
      <c r="AB357" s="184" t="n"/>
      <c r="AC357" s="184" t="n"/>
      <c r="AD357" s="184" t="n"/>
      <c r="AE357" s="184" t="n"/>
    </row>
    <row r="358">
      <c r="A358" s="14" t="n">
        <v>355</v>
      </c>
      <c r="B358" s="9" t="n">
        <v>45303</v>
      </c>
      <c r="C358" s="5" t="n">
        <v>37846544.38</v>
      </c>
      <c r="D358" s="4">
        <f>C358/E358</f>
        <v/>
      </c>
      <c r="E358" s="4" t="n">
        <v>82.84999999999999</v>
      </c>
      <c r="F358" s="4">
        <f>D358/100000</f>
        <v/>
      </c>
      <c r="G358" s="4">
        <f>($D$1-F358)/F358*100</f>
        <v/>
      </c>
      <c r="H358" s="4">
        <f>($D$2-F358)/F358*100</f>
        <v/>
      </c>
      <c r="I358" s="4">
        <f>($D$3-F358)/F358*100</f>
        <v/>
      </c>
      <c r="J358" s="4">
        <f>F358/$F$10*100</f>
        <v/>
      </c>
      <c r="K358" s="4">
        <f>N358/L358</f>
        <v/>
      </c>
      <c r="L358" s="4">
        <f>(M358/O358)*100</f>
        <v/>
      </c>
      <c r="M358" s="4">
        <f>O358/R358</f>
        <v/>
      </c>
      <c r="N358" s="4" t="n">
        <v>7.17</v>
      </c>
      <c r="O358" s="4" t="n">
        <v>21894.55</v>
      </c>
      <c r="P358" s="4" t="n">
        <v>3.83</v>
      </c>
      <c r="Q358" s="4">
        <f>N358-L358</f>
        <v/>
      </c>
      <c r="R358" s="4" t="n">
        <v>23.34</v>
      </c>
      <c r="S358" s="4" t="n">
        <v>3.93</v>
      </c>
      <c r="T358" s="7">
        <f>N358-S358</f>
        <v/>
      </c>
      <c r="U358" s="4" t="n">
        <v>102.15</v>
      </c>
      <c r="V358" s="7">
        <f>(R358*W358)</f>
        <v/>
      </c>
      <c r="W358" s="13" t="n">
        <v>0.0693</v>
      </c>
      <c r="X358" s="184" t="n"/>
      <c r="Y358" s="184" t="n"/>
      <c r="Z358" s="184" t="n"/>
      <c r="AA358" s="184" t="n"/>
      <c r="AB358" s="184" t="n"/>
      <c r="AC358" s="184" t="n"/>
      <c r="AD358" s="184" t="n"/>
      <c r="AE358" s="184" t="n"/>
    </row>
    <row r="359">
      <c r="A359" s="14" t="n">
        <v>356</v>
      </c>
      <c r="B359" s="9" t="n">
        <v>45306</v>
      </c>
      <c r="C359" s="5" t="n">
        <v>38129439.27</v>
      </c>
      <c r="D359" s="4">
        <f>C359/E359</f>
        <v/>
      </c>
      <c r="E359" s="4" t="n">
        <v>82.81999999999999</v>
      </c>
      <c r="F359" s="4">
        <f>D359/100000</f>
        <v/>
      </c>
      <c r="G359" s="4">
        <f>($D$1-F359)/F359*100</f>
        <v/>
      </c>
      <c r="H359" s="4">
        <f>($D$2-F359)/F359*100</f>
        <v/>
      </c>
      <c r="I359" s="4">
        <f>($D$3-F359)/F359*100</f>
        <v/>
      </c>
      <c r="J359" s="4">
        <f>F359/$F$10*100</f>
        <v/>
      </c>
      <c r="K359" s="4">
        <f>N359/L359</f>
        <v/>
      </c>
      <c r="L359" s="4">
        <f>(M359/O359)*100</f>
        <v/>
      </c>
      <c r="M359" s="4">
        <f>O359/R359</f>
        <v/>
      </c>
      <c r="N359" s="4" t="n">
        <v>7.14</v>
      </c>
      <c r="O359" s="4" t="n">
        <v>22097.45</v>
      </c>
      <c r="P359" s="4" t="n">
        <v>3.87</v>
      </c>
      <c r="Q359" s="4">
        <f>N359-L359</f>
        <v/>
      </c>
      <c r="R359" s="4" t="n">
        <v>23.59</v>
      </c>
      <c r="S359" s="4" t="n">
        <v>3.98</v>
      </c>
      <c r="T359" s="7">
        <f>N359-S359</f>
        <v/>
      </c>
      <c r="U359" s="4" t="n">
        <v>102.15</v>
      </c>
      <c r="V359" s="7">
        <f>(R359*W359)</f>
        <v/>
      </c>
      <c r="W359" s="13" t="n">
        <v>0.06950000000000001</v>
      </c>
      <c r="X359" s="184" t="n"/>
      <c r="Y359" s="184" t="n"/>
      <c r="Z359" s="184" t="n"/>
      <c r="AA359" s="184" t="n"/>
      <c r="AB359" s="184" t="n"/>
      <c r="AC359" s="184" t="n"/>
      <c r="AD359" s="184" t="n"/>
      <c r="AE359" s="184" t="n"/>
    </row>
    <row r="360">
      <c r="A360" s="14" t="n">
        <v>357</v>
      </c>
      <c r="B360" s="9" t="n">
        <v>45307</v>
      </c>
      <c r="C360" s="5" t="n">
        <v>38021747.04</v>
      </c>
      <c r="D360" s="4">
        <f>C360/E360</f>
        <v/>
      </c>
      <c r="E360" s="4" t="n">
        <v>83.08</v>
      </c>
      <c r="F360" s="4">
        <f>D360/100000</f>
        <v/>
      </c>
      <c r="G360" s="4">
        <f>($D$1-F360)/F360*100</f>
        <v/>
      </c>
      <c r="H360" s="4">
        <f>($D$2-F360)/F360*100</f>
        <v/>
      </c>
      <c r="I360" s="4">
        <f>($D$3-F360)/F360*100</f>
        <v/>
      </c>
      <c r="J360" s="4">
        <f>F360/$F$10*100</f>
        <v/>
      </c>
      <c r="K360" s="4">
        <f>N360/L360</f>
        <v/>
      </c>
      <c r="L360" s="4">
        <f>(M360/O360)*100</f>
        <v/>
      </c>
      <c r="M360" s="4">
        <f>O360/R360</f>
        <v/>
      </c>
      <c r="N360" s="4" t="n">
        <v>7.14</v>
      </c>
      <c r="O360" s="4" t="n">
        <v>22032.3</v>
      </c>
      <c r="P360" s="4" t="n">
        <v>3.86</v>
      </c>
      <c r="Q360" s="4">
        <f>N360-L360</f>
        <v/>
      </c>
      <c r="R360" s="4" t="n">
        <v>23.52</v>
      </c>
      <c r="S360" s="4" t="n">
        <v>4.05</v>
      </c>
      <c r="T360" s="7">
        <f>N360-S360</f>
        <v/>
      </c>
      <c r="U360" s="4" t="n">
        <v>103.11</v>
      </c>
      <c r="V360" s="7">
        <f>(R360*W360)</f>
        <v/>
      </c>
      <c r="W360" s="13" t="n">
        <v>0.06950000000000001</v>
      </c>
      <c r="X360" s="184" t="n"/>
      <c r="Y360" s="184" t="n"/>
      <c r="Z360" s="184" t="n"/>
      <c r="AA360" s="184" t="n"/>
      <c r="AB360" s="184" t="n"/>
      <c r="AC360" s="184" t="n"/>
      <c r="AD360" s="184" t="n"/>
      <c r="AE360" s="184" t="n"/>
    </row>
    <row r="361">
      <c r="A361" s="14" t="n">
        <v>358</v>
      </c>
      <c r="B361" s="9" t="n">
        <v>45308</v>
      </c>
      <c r="C361" s="5" t="n">
        <v>37557740.27</v>
      </c>
      <c r="D361" s="4">
        <f>C361/E361</f>
        <v/>
      </c>
      <c r="E361" s="4" t="n">
        <v>83.18000000000001</v>
      </c>
      <c r="F361" s="4">
        <f>D361/100000</f>
        <v/>
      </c>
      <c r="G361" s="4">
        <f>($D$1-F361)/F361*100</f>
        <v/>
      </c>
      <c r="H361" s="4">
        <f>($D$2-F361)/F361*100</f>
        <v/>
      </c>
      <c r="I361" s="4">
        <f>($D$3-F361)/F361*100</f>
        <v/>
      </c>
      <c r="J361" s="4">
        <f>F361/$F$10*100</f>
        <v/>
      </c>
      <c r="K361" s="4">
        <f>N361/L361</f>
        <v/>
      </c>
      <c r="L361" s="4">
        <f>(M361/O361)*100</f>
        <v/>
      </c>
      <c r="M361" s="4">
        <f>O361/R361</f>
        <v/>
      </c>
      <c r="N361" s="4" t="n">
        <v>7.16</v>
      </c>
      <c r="O361" s="4" t="n">
        <v>21571.95</v>
      </c>
      <c r="P361" s="4" t="n">
        <v>3.78</v>
      </c>
      <c r="Q361" s="4">
        <f>N361-L361</f>
        <v/>
      </c>
      <c r="R361" s="4" t="n">
        <v>23.03</v>
      </c>
      <c r="S361" s="4" t="n">
        <v>4.1</v>
      </c>
      <c r="T361" s="7">
        <f>N361-S361</f>
        <v/>
      </c>
      <c r="U361" s="4" t="n">
        <v>103.2</v>
      </c>
      <c r="V361" s="7">
        <f>(R361*W361)</f>
        <v/>
      </c>
      <c r="W361" s="13" t="n">
        <v>0.0694</v>
      </c>
      <c r="X361" s="184" t="n"/>
      <c r="Y361" s="184" t="n"/>
      <c r="Z361" s="184" t="n"/>
      <c r="AA361" s="184" t="n"/>
      <c r="AB361" s="184" t="n"/>
      <c r="AC361" s="184" t="n"/>
      <c r="AD361" s="184" t="n"/>
      <c r="AE361" s="184" t="n"/>
    </row>
    <row r="362">
      <c r="A362" s="14" t="n">
        <v>359</v>
      </c>
      <c r="B362" s="9" t="n">
        <v>45309</v>
      </c>
      <c r="C362" s="4" t="n">
        <v>37470481.82</v>
      </c>
      <c r="D362" s="4">
        <f>C362/E362</f>
        <v/>
      </c>
      <c r="E362" s="4" t="n">
        <v>83.16</v>
      </c>
      <c r="F362" s="4">
        <f>D362/100000</f>
        <v/>
      </c>
      <c r="G362" s="4">
        <f>($D$1-F362)/F362*100</f>
        <v/>
      </c>
      <c r="H362" s="4">
        <f>($D$2-F362)/F362*100</f>
        <v/>
      </c>
      <c r="I362" s="4">
        <f>($D$3-F362)/F362*100</f>
        <v/>
      </c>
      <c r="J362" s="4">
        <f>F362/$F$10*100</f>
        <v/>
      </c>
      <c r="K362" s="4">
        <f>N362/L362</f>
        <v/>
      </c>
      <c r="L362" s="4">
        <f>(M362/O362)*100</f>
        <v/>
      </c>
      <c r="M362" s="4">
        <f>O362/R362</f>
        <v/>
      </c>
      <c r="N362" s="4" t="n">
        <v>7.17</v>
      </c>
      <c r="O362" s="4" t="n">
        <v>21462.25</v>
      </c>
      <c r="P362" s="4" t="n">
        <v>3.76</v>
      </c>
      <c r="Q362" s="4">
        <f>N362-L362</f>
        <v/>
      </c>
      <c r="R362" s="4" t="n">
        <v>22.64</v>
      </c>
      <c r="S362" s="4" t="n">
        <v>4.14</v>
      </c>
      <c r="T362" s="7">
        <f>N362-S362</f>
        <v/>
      </c>
      <c r="U362" s="4" t="n">
        <v>103.31</v>
      </c>
      <c r="V362" s="7">
        <f>(R362*W362)</f>
        <v/>
      </c>
      <c r="W362" s="13" t="n">
        <v>0.0699</v>
      </c>
      <c r="X362" s="184" t="n"/>
      <c r="Y362" s="184" t="n"/>
      <c r="Z362" s="184" t="n"/>
      <c r="AA362" s="184" t="n"/>
      <c r="AB362" s="184" t="n"/>
      <c r="AC362" s="184" t="n"/>
      <c r="AD362" s="184" t="n"/>
      <c r="AE362" s="184" t="n"/>
    </row>
    <row r="363">
      <c r="A363" s="14" t="n">
        <v>360</v>
      </c>
      <c r="B363" s="9" t="n">
        <v>45310</v>
      </c>
      <c r="C363" s="4" t="n">
        <v>37887479.17</v>
      </c>
      <c r="D363" s="4">
        <f>C363/E363</f>
        <v/>
      </c>
      <c r="E363" s="4" t="n">
        <v>83.08</v>
      </c>
      <c r="F363" s="4">
        <f>D363/100000</f>
        <v/>
      </c>
      <c r="G363" s="4">
        <f>($D$1-F363)/F363*100</f>
        <v/>
      </c>
      <c r="H363" s="4">
        <f>($D$2-F363)/F363*100</f>
        <v/>
      </c>
      <c r="I363" s="4">
        <f>($D$3-F363)/F363*100</f>
        <v/>
      </c>
      <c r="J363" s="4">
        <f>F363/$F$10*100</f>
        <v/>
      </c>
      <c r="K363" s="4">
        <f>N363/L363</f>
        <v/>
      </c>
      <c r="L363" s="4">
        <f>(M363/O363)*100</f>
        <v/>
      </c>
      <c r="M363" s="4">
        <f>O363/R363</f>
        <v/>
      </c>
      <c r="N363" s="4" t="n">
        <v>7.18</v>
      </c>
      <c r="O363" s="4" t="n">
        <v>21622.4</v>
      </c>
      <c r="P363" s="4" t="n">
        <v>3.79</v>
      </c>
      <c r="Q363" s="4">
        <f>N363-L363</f>
        <v/>
      </c>
      <c r="R363" s="4" t="n">
        <v>22.79</v>
      </c>
      <c r="S363" s="4" t="n">
        <v>4.13</v>
      </c>
      <c r="T363" s="7">
        <f>N363-S363</f>
        <v/>
      </c>
      <c r="U363" s="4" t="n">
        <v>103.06</v>
      </c>
      <c r="V363" s="7">
        <f>(R363*W363)</f>
        <v/>
      </c>
      <c r="W363" s="13" t="n">
        <v>0.0701</v>
      </c>
      <c r="X363" s="184" t="n"/>
      <c r="Y363" s="184" t="n"/>
      <c r="Z363" s="184" t="n"/>
      <c r="AA363" s="184" t="n"/>
      <c r="AB363" s="184" t="n"/>
      <c r="AC363" s="184" t="n"/>
      <c r="AD363" s="184" t="n"/>
      <c r="AE363" s="184" t="n"/>
    </row>
    <row r="364">
      <c r="A364" s="14" t="n">
        <v>361</v>
      </c>
      <c r="B364" s="9" t="n">
        <v>45311</v>
      </c>
      <c r="C364" s="4" t="n">
        <v>37973156.97</v>
      </c>
      <c r="D364" s="4">
        <f>C364/E364</f>
        <v/>
      </c>
      <c r="E364" s="4" t="n">
        <v>83.09999999999999</v>
      </c>
      <c r="F364" s="4">
        <f>D364/100000</f>
        <v/>
      </c>
      <c r="G364" s="4">
        <f>($D$1-F364)/F364*100</f>
        <v/>
      </c>
      <c r="H364" s="4">
        <f>($D$2-F364)/F364*100</f>
        <v/>
      </c>
      <c r="I364" s="4">
        <f>($D$3-F364)/F364*100</f>
        <v/>
      </c>
      <c r="J364" s="4">
        <f>F364/$F$10*100</f>
        <v/>
      </c>
      <c r="K364" s="4">
        <f>N364/L364</f>
        <v/>
      </c>
      <c r="L364" s="4">
        <f>(M364/O364)*100</f>
        <v/>
      </c>
      <c r="M364" s="4">
        <f>O364/R364</f>
        <v/>
      </c>
      <c r="N364" s="4" t="n">
        <v>7.18</v>
      </c>
      <c r="O364" s="4" t="n">
        <v>21571.8</v>
      </c>
      <c r="P364" s="4" t="n">
        <v>3.78</v>
      </c>
      <c r="Q364" s="4">
        <f>N364-L364</f>
        <v/>
      </c>
      <c r="R364" s="4" t="n">
        <v>22.73</v>
      </c>
      <c r="S364" s="4" t="n">
        <v>4.1</v>
      </c>
      <c r="T364" s="7">
        <f>N364-S364</f>
        <v/>
      </c>
      <c r="U364" s="4" t="n">
        <v>103.11</v>
      </c>
      <c r="V364" s="7">
        <f>(R364*W364)</f>
        <v/>
      </c>
      <c r="W364" s="13" t="n">
        <v>0.0701</v>
      </c>
      <c r="X364" s="184" t="n"/>
      <c r="Y364" s="184" t="n"/>
      <c r="Z364" s="184" t="n"/>
      <c r="AA364" s="184" t="n"/>
      <c r="AB364" s="184" t="n"/>
      <c r="AC364" s="184" t="n"/>
      <c r="AD364" s="184" t="n"/>
      <c r="AE364" s="184" t="n"/>
    </row>
    <row r="365">
      <c r="A365" s="14" t="n">
        <v>362</v>
      </c>
      <c r="B365" s="9" t="n">
        <v>45314</v>
      </c>
      <c r="C365" s="4" t="n">
        <v>37116565.62</v>
      </c>
      <c r="D365" s="4">
        <f>C365/E365</f>
        <v/>
      </c>
      <c r="E365" s="4" t="n">
        <v>83.15000000000001</v>
      </c>
      <c r="F365" s="4">
        <f>D365/100000</f>
        <v/>
      </c>
      <c r="G365" s="4">
        <f>($D$1-F365)/F365*100</f>
        <v/>
      </c>
      <c r="H365" s="4">
        <f>($D$2-F365)/F365*100</f>
        <v/>
      </c>
      <c r="I365" s="4">
        <f>($D$3-F365)/F365*100</f>
        <v/>
      </c>
      <c r="J365" s="4">
        <f>F365/$F$10*100</f>
        <v/>
      </c>
      <c r="K365" s="4">
        <f>N365/L365</f>
        <v/>
      </c>
      <c r="L365" s="4">
        <f>(M365/O365)*100</f>
        <v/>
      </c>
      <c r="M365" s="4">
        <f>O365/R365</f>
        <v/>
      </c>
      <c r="N365" s="4" t="n">
        <v>7.17</v>
      </c>
      <c r="O365" s="4" t="n">
        <v>21238.8</v>
      </c>
      <c r="P365" s="4" t="n">
        <v>3.72</v>
      </c>
      <c r="Q365" s="4">
        <f>N365-L365</f>
        <v/>
      </c>
      <c r="R365" s="4" t="n">
        <v>22.31</v>
      </c>
      <c r="S365" s="4" t="n">
        <v>4.13</v>
      </c>
      <c r="T365" s="7">
        <f>N365-S365</f>
        <v/>
      </c>
      <c r="U365" s="4" t="n">
        <v>103.4</v>
      </c>
      <c r="V365" s="7">
        <f>(R365*W365)</f>
        <v/>
      </c>
      <c r="W365" s="13" t="n">
        <v>0.0698</v>
      </c>
      <c r="X365" s="184" t="n"/>
      <c r="Y365" s="184" t="n"/>
      <c r="Z365" s="184" t="n"/>
      <c r="AA365" s="184" t="n"/>
      <c r="AB365" s="184" t="n"/>
      <c r="AC365" s="184" t="n"/>
      <c r="AD365" s="184" t="n"/>
      <c r="AE365" s="184" t="n"/>
    </row>
    <row r="366">
      <c r="A366" s="14" t="n">
        <v>363</v>
      </c>
      <c r="B366" s="9" t="n">
        <v>45315</v>
      </c>
      <c r="C366" s="4" t="n">
        <v>37627993.44</v>
      </c>
      <c r="D366" s="4">
        <f>C366/E366</f>
        <v/>
      </c>
      <c r="E366" s="4" t="n">
        <v>83.13</v>
      </c>
      <c r="F366" s="4">
        <f>D366/100000</f>
        <v/>
      </c>
      <c r="G366" s="4">
        <f>($D$1-F366)/F366*100</f>
        <v/>
      </c>
      <c r="H366" s="4">
        <f>($D$2-F366)/F366*100</f>
        <v/>
      </c>
      <c r="I366" s="4">
        <f>($D$3-F366)/F366*100</f>
        <v/>
      </c>
      <c r="J366" s="4">
        <f>F366/$F$10*100</f>
        <v/>
      </c>
      <c r="K366" s="4">
        <f>N366/L366</f>
        <v/>
      </c>
      <c r="L366" s="4">
        <f>(M366/O366)*100</f>
        <v/>
      </c>
      <c r="M366" s="4">
        <f>O366/R366</f>
        <v/>
      </c>
      <c r="N366" s="4" t="n">
        <v>7.18</v>
      </c>
      <c r="O366" s="4" t="n">
        <v>21453.95</v>
      </c>
      <c r="P366" s="4" t="n">
        <v>3.76</v>
      </c>
      <c r="Q366" s="4">
        <f>N366-L366</f>
        <v/>
      </c>
      <c r="R366" s="4" t="n">
        <v>22.39</v>
      </c>
      <c r="S366" s="4" t="n">
        <v>4.18</v>
      </c>
      <c r="T366" s="7">
        <f>N366-S366</f>
        <v/>
      </c>
      <c r="U366" s="4" t="n">
        <v>103.03</v>
      </c>
      <c r="V366" s="7">
        <f>(R366*W366)</f>
        <v/>
      </c>
      <c r="W366" s="13" t="n">
        <v>0.07000000000000001</v>
      </c>
      <c r="X366" s="184" t="n"/>
      <c r="Y366" s="184" t="n"/>
      <c r="Z366" s="184" t="n"/>
      <c r="AA366" s="184" t="n"/>
      <c r="AB366" s="184" t="n"/>
      <c r="AC366" s="184" t="n"/>
      <c r="AD366" s="184" t="n"/>
      <c r="AE366" s="184" t="n"/>
    </row>
    <row r="367">
      <c r="A367" s="5" t="n">
        <v>364</v>
      </c>
      <c r="B367" s="8" t="n">
        <v>45316</v>
      </c>
      <c r="C367" s="4" t="n">
        <v>37636886.59</v>
      </c>
      <c r="D367" s="4">
        <f>C367/E367</f>
        <v/>
      </c>
      <c r="E367" s="4" t="n">
        <v>83.14</v>
      </c>
      <c r="F367" s="4">
        <f>D367/100000</f>
        <v/>
      </c>
      <c r="G367" s="4">
        <f>($D$1-F367)/F367*100</f>
        <v/>
      </c>
      <c r="H367" s="4">
        <f>($D$2-F367)/F367*100</f>
        <v/>
      </c>
      <c r="I367" s="4">
        <f>($D$3-F367)/F367*100</f>
        <v/>
      </c>
      <c r="J367" s="4">
        <f>F367/$F$10*100</f>
        <v/>
      </c>
      <c r="K367" s="4">
        <f>N367/L367</f>
        <v/>
      </c>
      <c r="L367" s="4">
        <f>(M367/O367)*100</f>
        <v/>
      </c>
      <c r="M367" s="4">
        <f>O367/R367</f>
        <v/>
      </c>
      <c r="N367" s="4" t="n">
        <v>7.17</v>
      </c>
      <c r="O367" s="4" t="n">
        <v>21352.6</v>
      </c>
      <c r="P367" s="4" t="n">
        <v>3.74</v>
      </c>
      <c r="Q367" s="4">
        <f>N367-L367</f>
        <v/>
      </c>
      <c r="R367" s="4" t="n">
        <v>22.27</v>
      </c>
      <c r="S367" s="4" t="n">
        <v>4.12</v>
      </c>
      <c r="T367" s="7">
        <f>N367-S367</f>
        <v/>
      </c>
      <c r="U367" s="4" t="n">
        <v>103.37</v>
      </c>
      <c r="V367" s="7">
        <f>(R367*W367)</f>
        <v/>
      </c>
      <c r="W367" s="13" t="n">
        <v>0.0704</v>
      </c>
      <c r="X367" s="184" t="n"/>
      <c r="Y367" s="184" t="n"/>
      <c r="Z367" s="184" t="n"/>
      <c r="AA367" s="184" t="n"/>
      <c r="AB367" s="184" t="n"/>
      <c r="AC367" s="184" t="n"/>
      <c r="AD367" s="184" t="n"/>
      <c r="AE367" s="184" t="n"/>
    </row>
    <row r="368">
      <c r="A368" s="14" t="n">
        <v>365</v>
      </c>
      <c r="B368" s="9" t="n">
        <v>45320</v>
      </c>
      <c r="C368" s="4" t="n">
        <v>38240643.81</v>
      </c>
      <c r="D368" s="4">
        <f>C368/E368</f>
        <v/>
      </c>
      <c r="E368" s="4" t="n">
        <v>83.13</v>
      </c>
      <c r="F368" s="4">
        <f>D368/100000</f>
        <v/>
      </c>
      <c r="G368" s="4">
        <f>($D$1-F368)/F368*100</f>
        <v/>
      </c>
      <c r="H368" s="4">
        <f>($D$2-F368)/F368*100</f>
        <v/>
      </c>
      <c r="I368" s="4">
        <f>($D$3-F368)/F368*100</f>
        <v/>
      </c>
      <c r="J368" s="4">
        <f>F368/$F$10*100</f>
        <v/>
      </c>
      <c r="K368" s="4">
        <f>N368/L368</f>
        <v/>
      </c>
      <c r="L368" s="4">
        <f>(M368/O368)*100</f>
        <v/>
      </c>
      <c r="M368" s="4">
        <f>O368/R368</f>
        <v/>
      </c>
      <c r="N368" s="4" t="n">
        <v>7.17</v>
      </c>
      <c r="O368" s="4" t="n">
        <v>21737.6</v>
      </c>
      <c r="P368" s="4" t="n">
        <v>3.81</v>
      </c>
      <c r="Q368" s="4">
        <f>N368-L368</f>
        <v/>
      </c>
      <c r="R368" s="4" t="n">
        <v>22.58</v>
      </c>
      <c r="S368" s="4" t="n">
        <v>4.07</v>
      </c>
      <c r="T368" s="7">
        <f>N368-S368</f>
        <v/>
      </c>
      <c r="U368" s="4" t="n">
        <v>103.42</v>
      </c>
      <c r="V368" s="7">
        <f>(R368*W368)</f>
        <v/>
      </c>
      <c r="W368" s="13" t="n">
        <v>0.0702</v>
      </c>
      <c r="X368" s="184" t="n"/>
      <c r="Y368" s="184" t="n"/>
      <c r="Z368" s="184" t="n"/>
      <c r="AA368" s="184" t="n"/>
      <c r="AB368" s="184" t="n"/>
      <c r="AC368" s="184" t="n"/>
      <c r="AD368" s="184" t="n"/>
      <c r="AE368" s="184" t="n"/>
    </row>
    <row r="369">
      <c r="A369" s="14" t="n">
        <v>366</v>
      </c>
      <c r="B369" s="9" t="n">
        <v>45321</v>
      </c>
      <c r="C369" s="4" t="n">
        <v>38053566.52</v>
      </c>
      <c r="D369" s="4">
        <f>C369/E369</f>
        <v/>
      </c>
      <c r="E369" s="4" t="n">
        <v>83.12</v>
      </c>
      <c r="F369" s="4">
        <f>D369/100000</f>
        <v/>
      </c>
      <c r="G369" s="4">
        <f>($D$1-F369)/F369*100</f>
        <v/>
      </c>
      <c r="H369" s="4">
        <f>($D$2-F369)/F369*100</f>
        <v/>
      </c>
      <c r="I369" s="4">
        <f>($D$3-F369)/F369*100</f>
        <v/>
      </c>
      <c r="J369" s="4">
        <f>F369/$F$10*100</f>
        <v/>
      </c>
      <c r="K369" s="4">
        <f>N369/L369</f>
        <v/>
      </c>
      <c r="L369" s="4">
        <f>(M369/O369)*100</f>
        <v/>
      </c>
      <c r="M369" s="4">
        <f>O369/R369</f>
        <v/>
      </c>
      <c r="N369" s="4" t="n">
        <v>7.15</v>
      </c>
      <c r="O369" s="4" t="n">
        <v>21522.1</v>
      </c>
      <c r="P369" s="4" t="n">
        <v>3.77</v>
      </c>
      <c r="Q369" s="4">
        <f>N369-L369</f>
        <v/>
      </c>
      <c r="R369" s="4" t="n">
        <v>22.31</v>
      </c>
      <c r="S369" s="4" t="n">
        <v>4.03</v>
      </c>
      <c r="T369" s="7">
        <f>N369-S369</f>
        <v/>
      </c>
      <c r="U369" s="4" t="n">
        <v>103.21</v>
      </c>
      <c r="V369" s="7">
        <f>(R369*W369)</f>
        <v/>
      </c>
      <c r="W369" s="13" t="n">
        <v>0.0703</v>
      </c>
      <c r="X369" s="184" t="n"/>
      <c r="Y369" s="184" t="n"/>
      <c r="Z369" s="184" t="n"/>
      <c r="AA369" s="184" t="n"/>
      <c r="AB369" s="184" t="n"/>
      <c r="AC369" s="184" t="n"/>
      <c r="AD369" s="184" t="n"/>
      <c r="AE369" s="184" t="n"/>
    </row>
    <row r="370">
      <c r="A370" s="5" t="n">
        <v>367</v>
      </c>
      <c r="B370" s="9" t="n">
        <v>45322</v>
      </c>
      <c r="C370" s="4" t="n">
        <v>38511922.9</v>
      </c>
      <c r="D370" s="4">
        <f>C370/E370</f>
        <v/>
      </c>
      <c r="E370" s="4" t="n">
        <v>83.09</v>
      </c>
      <c r="F370" s="4">
        <f>D370/100000</f>
        <v/>
      </c>
      <c r="G370" s="4">
        <f>($D$1-F370)/F370*100</f>
        <v/>
      </c>
      <c r="H370" s="4">
        <f>($D$2-F370)/F370*100</f>
        <v/>
      </c>
      <c r="I370" s="4">
        <f>($D$3-F370)/F370*100</f>
        <v/>
      </c>
      <c r="J370" s="4">
        <f>F370/$F$10*100</f>
        <v/>
      </c>
      <c r="K370" s="4">
        <f>N370/L370</f>
        <v/>
      </c>
      <c r="L370" s="4">
        <f>(M370/O370)*100</f>
        <v/>
      </c>
      <c r="M370" s="4">
        <f>O370/R370</f>
        <v/>
      </c>
      <c r="N370" s="4" t="n">
        <v>7.14</v>
      </c>
      <c r="O370" s="4" t="n">
        <v>21725.7</v>
      </c>
      <c r="P370" s="4" t="n">
        <v>3.81</v>
      </c>
      <c r="Q370" s="4">
        <f>N370-L370</f>
        <v/>
      </c>
      <c r="R370" s="4" t="n">
        <v>22.46</v>
      </c>
      <c r="S370" s="4" t="n">
        <v>3.91</v>
      </c>
      <c r="T370" s="7">
        <f>N370-S370</f>
        <v/>
      </c>
      <c r="U370" s="4" t="n">
        <v>103.08</v>
      </c>
      <c r="V370" s="7">
        <f>(R370*W370)</f>
        <v/>
      </c>
      <c r="W370" s="13" t="n">
        <v>0.0703</v>
      </c>
      <c r="X370" s="184" t="n"/>
      <c r="Y370" s="184" t="n"/>
      <c r="Z370" s="184" t="n"/>
      <c r="AA370" s="184" t="n"/>
      <c r="AB370" s="184" t="n"/>
      <c r="AC370" s="184" t="n"/>
      <c r="AD370" s="184" t="n"/>
      <c r="AE370" s="184" t="n"/>
    </row>
    <row r="371">
      <c r="A371" s="14" t="n">
        <v>368</v>
      </c>
      <c r="B371" s="9" t="n">
        <v>45323</v>
      </c>
      <c r="C371" s="4" t="n">
        <v>38475305.82</v>
      </c>
      <c r="D371" s="4">
        <f>C371/E371</f>
        <v/>
      </c>
      <c r="E371" s="4" t="n">
        <v>82.94</v>
      </c>
      <c r="F371" s="4">
        <f>D371/100000</f>
        <v/>
      </c>
      <c r="G371" s="4">
        <f>($D$1-F371)/F371*100</f>
        <v/>
      </c>
      <c r="H371" s="4">
        <f>($D$2-F371)/F371*100</f>
        <v/>
      </c>
      <c r="I371" s="4">
        <f>($D$3-F371)/F371*100</f>
        <v/>
      </c>
      <c r="J371" s="4">
        <f>F371/$F$10*100</f>
        <v/>
      </c>
      <c r="K371" s="4">
        <f>N371/L371</f>
        <v/>
      </c>
      <c r="L371" s="4">
        <f>(M371/O371)*100</f>
        <v/>
      </c>
      <c r="M371" s="4">
        <f>O371/R371</f>
        <v/>
      </c>
      <c r="N371" s="4" t="n">
        <v>7.06</v>
      </c>
      <c r="O371" s="4" t="n">
        <v>21697.45</v>
      </c>
      <c r="P371" s="4" t="n">
        <v>3.8</v>
      </c>
      <c r="Q371" s="4">
        <f>N371-L371</f>
        <v/>
      </c>
      <c r="R371" s="4" t="n">
        <v>22.38</v>
      </c>
      <c r="S371" s="4" t="n">
        <v>3.88</v>
      </c>
      <c r="T371" s="7">
        <f>N371-S371</f>
        <v/>
      </c>
      <c r="U371" s="4" t="n">
        <v>102.87</v>
      </c>
      <c r="V371" s="7">
        <f>(R371*W371)</f>
        <v/>
      </c>
      <c r="W371" s="13" t="n">
        <v>0.07000000000000001</v>
      </c>
      <c r="X371" s="184" t="n"/>
      <c r="Y371" s="184" t="n"/>
      <c r="Z371" s="184" t="n"/>
      <c r="AA371" s="184" t="n"/>
      <c r="AB371" s="184" t="n"/>
      <c r="AC371" s="184" t="n"/>
      <c r="AD371" s="184" t="n"/>
      <c r="AE371" s="184" t="n"/>
    </row>
    <row r="372">
      <c r="A372" s="14" t="n">
        <v>369</v>
      </c>
      <c r="B372" s="9" t="n">
        <v>45324</v>
      </c>
      <c r="C372" s="4" t="n">
        <v>38809851.85</v>
      </c>
      <c r="D372" s="4">
        <f>C372/E372</f>
        <v/>
      </c>
      <c r="E372" s="4" t="n">
        <v>82.98999999999999</v>
      </c>
      <c r="F372" s="4">
        <f>D372/100000</f>
        <v/>
      </c>
      <c r="G372" s="4">
        <f>($D$1-F372)/F372*100</f>
        <v/>
      </c>
      <c r="H372" s="4">
        <f>($D$2-F372)/F372*100</f>
        <v/>
      </c>
      <c r="I372" s="4">
        <f>($D$3-F372)/F372*100</f>
        <v/>
      </c>
      <c r="J372" s="4">
        <f>F372/$F$10*100</f>
        <v/>
      </c>
      <c r="K372" s="4">
        <f>N372/L372</f>
        <v/>
      </c>
      <c r="L372" s="4">
        <f>(M372/O372)*100</f>
        <v/>
      </c>
      <c r="M372" s="4">
        <f>O372/R372</f>
        <v/>
      </c>
      <c r="N372" s="4" t="n">
        <v>7.05</v>
      </c>
      <c r="O372" s="4" t="n">
        <v>21853.8</v>
      </c>
      <c r="P372" s="4" t="n">
        <v>3.83</v>
      </c>
      <c r="Q372" s="4">
        <f>N372-L372</f>
        <v/>
      </c>
      <c r="R372" s="4" t="n">
        <v>22.51</v>
      </c>
      <c r="S372" s="4" t="n">
        <v>4.02</v>
      </c>
      <c r="T372" s="7">
        <f>N372-S372</f>
        <v/>
      </c>
      <c r="U372" s="4" t="n">
        <v>103.78</v>
      </c>
      <c r="V372" s="7">
        <f>(R372*W372)</f>
        <v/>
      </c>
      <c r="W372" s="13" t="n">
        <v>0.07000000000000001</v>
      </c>
      <c r="X372" s="184" t="n"/>
      <c r="Y372" s="184" t="n"/>
      <c r="Z372" s="184" t="n"/>
      <c r="AA372" s="184" t="n"/>
      <c r="AB372" s="184" t="n"/>
      <c r="AC372" s="184" t="n"/>
      <c r="AD372" s="184" t="n"/>
      <c r="AE372" s="184" t="n"/>
    </row>
    <row r="373">
      <c r="A373" s="5" t="n">
        <v>370</v>
      </c>
      <c r="B373" s="9" t="n">
        <v>45327</v>
      </c>
      <c r="C373" s="4" t="n">
        <v>38787779.53</v>
      </c>
      <c r="D373" s="4">
        <f>C373/E373</f>
        <v/>
      </c>
      <c r="E373" s="4" t="n">
        <v>83.03</v>
      </c>
      <c r="F373" s="4">
        <f>D373/100000</f>
        <v/>
      </c>
      <c r="G373" s="4">
        <f>($D$1-F373)/F373*100</f>
        <v/>
      </c>
      <c r="H373" s="4">
        <f>($D$2-F373)/F373*100</f>
        <v/>
      </c>
      <c r="I373" s="4">
        <f>($D$3-F373)/F373*100</f>
        <v/>
      </c>
      <c r="J373" s="4">
        <f>F373/$F$10*100</f>
        <v/>
      </c>
      <c r="K373" s="4">
        <f>N373/L373</f>
        <v/>
      </c>
      <c r="L373" s="4">
        <f>(M373/O373)*100</f>
        <v/>
      </c>
      <c r="M373" s="4">
        <f>O373/R373</f>
        <v/>
      </c>
      <c r="N373" s="4" t="n">
        <v>7.09</v>
      </c>
      <c r="O373" s="4" t="n">
        <v>21771.7</v>
      </c>
      <c r="P373" s="4" t="n">
        <v>3.81</v>
      </c>
      <c r="Q373" s="4">
        <f>N373-L373</f>
        <v/>
      </c>
      <c r="R373" s="4" t="n">
        <v>22.39</v>
      </c>
      <c r="S373" s="4" t="n">
        <v>4.16</v>
      </c>
      <c r="T373" s="7">
        <f>N373-S373</f>
        <v/>
      </c>
      <c r="U373" s="4" t="n">
        <v>104.31</v>
      </c>
      <c r="V373" s="7">
        <f>(R373*W373)</f>
        <v/>
      </c>
      <c r="W373" s="13" t="n">
        <v>0.07000000000000001</v>
      </c>
      <c r="X373" s="184" t="n"/>
      <c r="Y373" s="184" t="n"/>
      <c r="Z373" s="184" t="n"/>
      <c r="AA373" s="184" t="n"/>
      <c r="AB373" s="184" t="n"/>
      <c r="AC373" s="184" t="n"/>
      <c r="AD373" s="184" t="n"/>
      <c r="AE373" s="184" t="n"/>
    </row>
    <row r="374">
      <c r="A374" s="14" t="n">
        <v>371</v>
      </c>
      <c r="B374" s="9" t="n">
        <v>45328</v>
      </c>
      <c r="C374" s="4" t="n">
        <v>39221464.84</v>
      </c>
      <c r="D374" s="4">
        <f>C374/E374</f>
        <v/>
      </c>
      <c r="E374" s="4" t="n">
        <v>83.05</v>
      </c>
      <c r="F374" s="4">
        <f>D374/100000</f>
        <v/>
      </c>
      <c r="G374" s="4">
        <f>($D$1-F374)/F374*100</f>
        <v/>
      </c>
      <c r="H374" s="4">
        <f>($D$2-F374)/F374*100</f>
        <v/>
      </c>
      <c r="I374" s="4">
        <f>($D$3-F374)/F374*100</f>
        <v/>
      </c>
      <c r="J374" s="4">
        <f>F374/$F$10*100</f>
        <v/>
      </c>
      <c r="K374" s="4">
        <f>N374/L374</f>
        <v/>
      </c>
      <c r="L374" s="4">
        <f>(M374/O374)*100</f>
        <v/>
      </c>
      <c r="M374" s="4">
        <f>O374/R374</f>
        <v/>
      </c>
      <c r="N374" s="4" t="n">
        <v>7.08</v>
      </c>
      <c r="O374" s="4" t="n">
        <v>21929.4</v>
      </c>
      <c r="P374" s="4" t="n">
        <v>3.84</v>
      </c>
      <c r="Q374" s="4">
        <f>N374-L374</f>
        <v/>
      </c>
      <c r="R374" s="4" t="n">
        <v>22.66</v>
      </c>
      <c r="S374" s="4" t="n">
        <v>4.15</v>
      </c>
      <c r="T374" s="7">
        <f>N374-S374</f>
        <v/>
      </c>
      <c r="U374" s="4" t="n">
        <v>104.36</v>
      </c>
      <c r="V374" s="7">
        <f>(R374*W374)</f>
        <v/>
      </c>
      <c r="W374" s="13" t="n">
        <v>0.0703</v>
      </c>
      <c r="X374" s="184" t="n"/>
      <c r="Y374" s="184" t="n"/>
      <c r="Z374" s="184" t="n"/>
      <c r="AA374" s="184" t="n"/>
      <c r="AB374" s="184" t="n"/>
      <c r="AC374" s="184" t="n"/>
      <c r="AD374" s="184" t="n"/>
      <c r="AE374" s="184" t="n"/>
    </row>
    <row r="375">
      <c r="A375" s="14" t="n">
        <v>372</v>
      </c>
      <c r="B375" s="9" t="n">
        <v>45329</v>
      </c>
      <c r="C375" s="4" t="n">
        <v>39466513.91</v>
      </c>
      <c r="D375" s="4">
        <f>C375/E375</f>
        <v/>
      </c>
      <c r="E375" s="4" t="n">
        <v>82.97</v>
      </c>
      <c r="F375" s="4">
        <f>D375/100000</f>
        <v/>
      </c>
      <c r="G375" s="4">
        <f>($D$1-F375)/F375*100</f>
        <v/>
      </c>
      <c r="H375" s="4">
        <f>($D$2-F375)/F375*100</f>
        <v/>
      </c>
      <c r="I375" s="4">
        <f>($D$3-F375)/F375*100</f>
        <v/>
      </c>
      <c r="J375" s="4">
        <f>F375/$F$10*100</f>
        <v/>
      </c>
      <c r="K375" s="4">
        <f>N375/L375</f>
        <v/>
      </c>
      <c r="L375" s="4">
        <f>(M375/O375)*100</f>
        <v/>
      </c>
      <c r="M375" s="4">
        <f>O375/R375</f>
        <v/>
      </c>
      <c r="N375" s="4" t="n">
        <v>7.07</v>
      </c>
      <c r="O375" s="4" t="n">
        <v>21930.5</v>
      </c>
      <c r="P375" s="4" t="n">
        <v>3.84</v>
      </c>
      <c r="Q375" s="4">
        <f>N375-L375</f>
        <v/>
      </c>
      <c r="R375" s="4" t="n">
        <v>22.66</v>
      </c>
      <c r="S375" s="4" t="n">
        <v>4.11</v>
      </c>
      <c r="T375" s="7">
        <f>N375-S375</f>
        <v/>
      </c>
      <c r="U375" s="4" t="n">
        <v>103.91</v>
      </c>
      <c r="V375" s="7">
        <f>(R375*W375)</f>
        <v/>
      </c>
      <c r="W375" s="13" t="n">
        <v>0.0701</v>
      </c>
      <c r="X375" s="184" t="n"/>
      <c r="Y375" s="184" t="n"/>
      <c r="Z375" s="184" t="n"/>
      <c r="AA375" s="184" t="n"/>
      <c r="AB375" s="184" t="n"/>
      <c r="AC375" s="184" t="n"/>
      <c r="AD375" s="184" t="n"/>
      <c r="AE375" s="184" t="n"/>
    </row>
    <row r="376">
      <c r="A376" s="14" t="n">
        <v>373</v>
      </c>
      <c r="B376" s="9" t="n">
        <v>45330</v>
      </c>
      <c r="C376" s="4" t="n">
        <v>39356397.24</v>
      </c>
      <c r="D376" s="4">
        <f>C376/E376</f>
        <v/>
      </c>
      <c r="E376" s="4" t="n">
        <v>82.97</v>
      </c>
      <c r="F376" s="4">
        <f>D376/100000</f>
        <v/>
      </c>
      <c r="G376" s="4">
        <f>($D$1-F376)/F376*100</f>
        <v/>
      </c>
      <c r="H376" s="4">
        <f>($D$2-F376)/F376*100</f>
        <v/>
      </c>
      <c r="I376" s="4">
        <f>($D$3-F376)/F376*100</f>
        <v/>
      </c>
      <c r="J376" s="4">
        <f>F376/$F$10*100</f>
        <v/>
      </c>
      <c r="K376" s="4">
        <f>N376/L376</f>
        <v/>
      </c>
      <c r="L376" s="4">
        <f>(M376/O376)*100</f>
        <v/>
      </c>
      <c r="M376" s="4">
        <f>O376/R376</f>
        <v/>
      </c>
      <c r="N376" s="4" t="n">
        <v>7.08</v>
      </c>
      <c r="O376" s="4" t="n">
        <v>21717.95</v>
      </c>
      <c r="P376" s="4" t="n">
        <v>3.8</v>
      </c>
      <c r="Q376" s="4">
        <f>N376-L376</f>
        <v/>
      </c>
      <c r="R376" s="4" t="n">
        <v>22.45</v>
      </c>
      <c r="S376" s="4" t="n">
        <v>4.15</v>
      </c>
      <c r="T376" s="7">
        <f>N376-S376</f>
        <v/>
      </c>
      <c r="U376" s="4" t="n">
        <v>104.03</v>
      </c>
      <c r="V376" s="7">
        <f>(R376*W376)</f>
        <v/>
      </c>
      <c r="W376" s="13" t="n">
        <v>0.0701</v>
      </c>
      <c r="X376" s="184" t="n"/>
      <c r="Y376" s="184" t="n"/>
      <c r="Z376" s="184" t="n"/>
      <c r="AA376" s="184" t="n"/>
      <c r="AB376" s="184" t="n"/>
      <c r="AC376" s="184" t="n"/>
      <c r="AD376" s="184" t="n"/>
      <c r="AE376" s="184" t="n"/>
    </row>
    <row r="377">
      <c r="A377" s="5" t="n">
        <v>374</v>
      </c>
      <c r="B377" s="9" t="n">
        <v>45331</v>
      </c>
      <c r="C377" s="4" t="n">
        <v>39177108.08</v>
      </c>
      <c r="D377" s="4">
        <f>C377/E377</f>
        <v/>
      </c>
      <c r="E377" s="4" t="n">
        <v>83</v>
      </c>
      <c r="F377" s="4">
        <f>D377/100000</f>
        <v/>
      </c>
      <c r="G377" s="4">
        <f>($D$1-F377)/F377*100</f>
        <v/>
      </c>
      <c r="H377" s="4">
        <f>($D$2-F377)/F377*100</f>
        <v/>
      </c>
      <c r="I377" s="4">
        <f>($D$3-F377)/F377*100</f>
        <v/>
      </c>
      <c r="J377" s="4">
        <f>F377/$F$10*100</f>
        <v/>
      </c>
      <c r="K377" s="4">
        <f>N377/L377</f>
        <v/>
      </c>
      <c r="L377" s="4">
        <f>(M377/O377)*100</f>
        <v/>
      </c>
      <c r="M377" s="4">
        <f>O377/R377</f>
        <v/>
      </c>
      <c r="N377" s="4" t="n">
        <v>7.11</v>
      </c>
      <c r="O377" s="4" t="n">
        <v>21782.5</v>
      </c>
      <c r="P377" s="4" t="n">
        <v>3.82</v>
      </c>
      <c r="Q377" s="4">
        <f>N377-L377</f>
        <v/>
      </c>
      <c r="R377" s="4" t="n">
        <v>22.51</v>
      </c>
      <c r="S377" s="4" t="n">
        <v>4.17</v>
      </c>
      <c r="T377" s="7">
        <f>N377-S377</f>
        <v/>
      </c>
      <c r="U377" s="4" t="n">
        <v>103.99</v>
      </c>
      <c r="V377" s="7">
        <f>(R377*W377)</f>
        <v/>
      </c>
      <c r="W377" s="13" t="n">
        <v>0.07000000000000001</v>
      </c>
      <c r="X377" s="184" t="n"/>
      <c r="Y377" s="184" t="n"/>
      <c r="Z377" s="184" t="n"/>
      <c r="AA377" s="184" t="n"/>
      <c r="AB377" s="184" t="n"/>
      <c r="AC377" s="184" t="n"/>
      <c r="AD377" s="184" t="n"/>
      <c r="AE377" s="184" t="n"/>
    </row>
    <row r="378">
      <c r="A378" s="14" t="n">
        <v>375</v>
      </c>
      <c r="B378" s="9" t="n">
        <v>45334</v>
      </c>
      <c r="C378" s="4" t="n">
        <v>38419004.97</v>
      </c>
      <c r="D378" s="4">
        <f>C378/E378</f>
        <v/>
      </c>
      <c r="E378" s="4" t="n">
        <v>82.97</v>
      </c>
      <c r="F378" s="4">
        <f>D378/100000</f>
        <v/>
      </c>
      <c r="G378" s="4">
        <f>($D$1-F378)/F378*100</f>
        <v/>
      </c>
      <c r="H378" s="4">
        <f>($D$2-F378)/F378*100</f>
        <v/>
      </c>
      <c r="I378" s="4">
        <f>($D$3-F378)/F378*100</f>
        <v/>
      </c>
      <c r="J378" s="4">
        <f>F378/$F$10*100</f>
        <v/>
      </c>
      <c r="K378" s="4">
        <f>N378/L378</f>
        <v/>
      </c>
      <c r="L378" s="4">
        <f>(M378/O378)*100</f>
        <v/>
      </c>
      <c r="M378" s="4">
        <f>O378/R378</f>
        <v/>
      </c>
      <c r="N378" s="4" t="n">
        <v>7.09</v>
      </c>
      <c r="O378" s="4" t="n">
        <v>21616.05</v>
      </c>
      <c r="P378" s="4" t="n">
        <v>3.79</v>
      </c>
      <c r="Q378" s="4">
        <f>N378-L378</f>
        <v/>
      </c>
      <c r="R378" s="4" t="n">
        <v>22.38</v>
      </c>
      <c r="S378" s="4" t="n">
        <v>4.17</v>
      </c>
      <c r="T378" s="7">
        <f>N378-S378</f>
        <v/>
      </c>
      <c r="U378" s="4" t="n">
        <v>104.04</v>
      </c>
      <c r="V378" s="7">
        <f>(R378*W378)</f>
        <v/>
      </c>
      <c r="W378" s="13" t="n">
        <v>0.0702</v>
      </c>
      <c r="X378" s="184" t="n"/>
      <c r="Y378" s="184" t="n"/>
      <c r="Z378" s="184" t="n"/>
      <c r="AA378" s="184" t="n"/>
      <c r="AB378" s="184" t="n"/>
      <c r="AC378" s="184" t="n"/>
      <c r="AD378" s="184" t="n"/>
      <c r="AE378" s="184" t="n"/>
    </row>
    <row r="379">
      <c r="A379" s="14" t="n">
        <v>376</v>
      </c>
      <c r="B379" s="9" t="n">
        <v>45335</v>
      </c>
      <c r="C379" s="4" t="n">
        <v>38612008.49</v>
      </c>
      <c r="D379" s="4">
        <f>C379/E379</f>
        <v/>
      </c>
      <c r="E379" s="4" t="n">
        <v>83.09</v>
      </c>
      <c r="F379" s="4">
        <f>D379/100000</f>
        <v/>
      </c>
      <c r="G379" s="4">
        <f>($D$1-F379)/F379*100</f>
        <v/>
      </c>
      <c r="H379" s="4">
        <f>($D$2-F379)/F379*100</f>
        <v/>
      </c>
      <c r="I379" s="4">
        <f>($D$3-F379)/F379*100</f>
        <v/>
      </c>
      <c r="J379" s="4">
        <f>F379/$F$10*100</f>
        <v/>
      </c>
      <c r="K379" s="4">
        <f>N379/L379</f>
        <v/>
      </c>
      <c r="L379" s="4">
        <f>(M379/O379)*100</f>
        <v/>
      </c>
      <c r="M379" s="4">
        <f>O379/R379</f>
        <v/>
      </c>
      <c r="N379" s="4" t="n">
        <v>7.09</v>
      </c>
      <c r="O379" s="4" t="n">
        <v>21743.25</v>
      </c>
      <c r="P379" s="4" t="n">
        <v>3.81</v>
      </c>
      <c r="Q379" s="4">
        <f>N379-L379</f>
        <v/>
      </c>
      <c r="R379" s="4" t="n">
        <v>22.5</v>
      </c>
      <c r="S379" s="4" t="n">
        <v>4.32</v>
      </c>
      <c r="T379" s="7">
        <f>N379-S379</f>
        <v/>
      </c>
      <c r="U379" s="4" t="n">
        <v>104.85</v>
      </c>
      <c r="V379" s="7">
        <f>(R379*W379)</f>
        <v/>
      </c>
      <c r="W379" s="13" t="n">
        <v>0.0702</v>
      </c>
      <c r="X379" s="184" t="n"/>
      <c r="Y379" s="184" t="n"/>
      <c r="Z379" s="184" t="n"/>
      <c r="AA379" s="184" t="n"/>
      <c r="AB379" s="184" t="n"/>
      <c r="AC379" s="184" t="n"/>
      <c r="AD379" s="184" t="n"/>
      <c r="AE379" s="184" t="n"/>
    </row>
    <row r="380">
      <c r="A380" s="14" t="n">
        <v>377</v>
      </c>
      <c r="B380" s="9" t="n">
        <v>45336</v>
      </c>
      <c r="C380" s="4" t="n">
        <v>39013295.22</v>
      </c>
      <c r="D380" s="4">
        <f>C380/E380</f>
        <v/>
      </c>
      <c r="E380" s="4" t="n">
        <v>83.03</v>
      </c>
      <c r="F380" s="4">
        <f>D380/100000</f>
        <v/>
      </c>
      <c r="G380" s="4">
        <f>($D$1-F380)/F380*100</f>
        <v/>
      </c>
      <c r="H380" s="4">
        <f>($D$2-F380)/F380*100</f>
        <v/>
      </c>
      <c r="I380" s="4">
        <f>($D$3-F380)/F380*100</f>
        <v/>
      </c>
      <c r="J380" s="4">
        <f>F380/$F$10*100</f>
        <v/>
      </c>
      <c r="K380" s="4">
        <f>N380/L380</f>
        <v/>
      </c>
      <c r="L380" s="4">
        <f>(M380/O380)*100</f>
        <v/>
      </c>
      <c r="M380" s="4">
        <f>O380/R380</f>
        <v/>
      </c>
      <c r="N380" s="4" t="n">
        <v>7.11</v>
      </c>
      <c r="O380" s="4" t="n">
        <v>21840.05</v>
      </c>
      <c r="P380" s="4" t="n">
        <v>3.83</v>
      </c>
      <c r="Q380" s="4">
        <f>N380-L380</f>
        <v/>
      </c>
      <c r="R380" s="4" t="n">
        <v>22.59</v>
      </c>
      <c r="S380" s="4" t="n">
        <v>4.26</v>
      </c>
      <c r="T380" s="7">
        <f>N380-S380</f>
        <v/>
      </c>
      <c r="U380" s="4" t="n">
        <v>104.61</v>
      </c>
      <c r="V380" s="7">
        <f>(R380*W380)</f>
        <v/>
      </c>
      <c r="W380" s="13" t="n">
        <v>0.07049999999999999</v>
      </c>
      <c r="X380" s="184" t="n"/>
      <c r="Y380" s="184" t="n"/>
      <c r="Z380" s="184" t="n"/>
      <c r="AA380" s="184" t="n"/>
      <c r="AB380" s="184" t="n"/>
      <c r="AC380" s="184" t="n"/>
      <c r="AD380" s="184" t="n"/>
      <c r="AE380" s="184" t="n"/>
    </row>
    <row r="381">
      <c r="A381" s="5" t="n">
        <v>378</v>
      </c>
      <c r="B381" s="9" t="n">
        <v>45337</v>
      </c>
      <c r="C381" s="4" t="n">
        <v>39273480.19</v>
      </c>
      <c r="D381" s="4">
        <f>C381/E381</f>
        <v/>
      </c>
      <c r="E381" s="4" t="n">
        <v>83.08</v>
      </c>
      <c r="F381" s="4">
        <f>D381/100000</f>
        <v/>
      </c>
      <c r="G381" s="4">
        <f>($D$1-F381)/F381*100</f>
        <v/>
      </c>
      <c r="H381" s="4">
        <f>($D$2-F381)/F381*100</f>
        <v/>
      </c>
      <c r="I381" s="4">
        <f>($D$3-F381)/F381*100</f>
        <v/>
      </c>
      <c r="J381" s="4">
        <f>F381/$F$10*100</f>
        <v/>
      </c>
      <c r="K381" s="4">
        <f>N381/L381</f>
        <v/>
      </c>
      <c r="L381" s="4">
        <f>(M381/O381)*100</f>
        <v/>
      </c>
      <c r="M381" s="4">
        <f>O381/R381</f>
        <v/>
      </c>
      <c r="N381" s="4" t="n">
        <v>7.08</v>
      </c>
      <c r="O381" s="4" t="n">
        <v>21910.75</v>
      </c>
      <c r="P381" s="4" t="n">
        <v>3.84</v>
      </c>
      <c r="Q381" s="4">
        <f>N381-L381</f>
        <v/>
      </c>
      <c r="R381" s="4" t="n">
        <v>22.62</v>
      </c>
      <c r="S381" s="4" t="n">
        <v>4.22</v>
      </c>
      <c r="T381" s="7">
        <f>N381-S381</f>
        <v/>
      </c>
      <c r="U381" s="4" t="n">
        <v>104.52</v>
      </c>
      <c r="V381" s="7">
        <f>(R381*W381)</f>
        <v/>
      </c>
      <c r="W381" s="13" t="n">
        <v>0.0703</v>
      </c>
      <c r="X381" s="184" t="n"/>
      <c r="Y381" s="184" t="n"/>
      <c r="Z381" s="184" t="n"/>
      <c r="AA381" s="184" t="n"/>
      <c r="AB381" s="184" t="n"/>
      <c r="AC381" s="184" t="n"/>
      <c r="AD381" s="184" t="n"/>
      <c r="AE381" s="184" t="n"/>
    </row>
    <row r="382">
      <c r="A382" s="14" t="n">
        <v>379</v>
      </c>
      <c r="B382" s="9" t="n">
        <v>45338</v>
      </c>
      <c r="C382" s="4" t="n">
        <v>39495674.89</v>
      </c>
      <c r="D382" s="4">
        <f>C382/E382</f>
        <v/>
      </c>
      <c r="E382" s="4" t="n">
        <v>83.01000000000001</v>
      </c>
      <c r="F382" s="4">
        <f>D382/100000</f>
        <v/>
      </c>
      <c r="G382" s="4">
        <f>($D$1-F382)/F382*100</f>
        <v/>
      </c>
      <c r="H382" s="4">
        <f>($D$2-F382)/F382*100</f>
        <v/>
      </c>
      <c r="I382" s="4">
        <f>($D$3-F382)/F382*100</f>
        <v/>
      </c>
      <c r="J382" s="4">
        <f>F382/$F$10*100</f>
        <v/>
      </c>
      <c r="K382" s="4">
        <f>N382/L382</f>
        <v/>
      </c>
      <c r="L382" s="4">
        <f>(M382/O382)*100</f>
        <v/>
      </c>
      <c r="M382" s="4">
        <f>O382/R382</f>
        <v/>
      </c>
      <c r="N382" s="4" t="n">
        <v>7.09</v>
      </c>
      <c r="O382" s="4" t="n">
        <v>22040.7</v>
      </c>
      <c r="P382" s="4" t="n">
        <v>3.86</v>
      </c>
      <c r="Q382" s="4">
        <f>N382-L382</f>
        <v/>
      </c>
      <c r="R382" s="4" t="n">
        <v>22.76</v>
      </c>
      <c r="S382" s="4" t="n">
        <v>4.27</v>
      </c>
      <c r="T382" s="7">
        <f>N382-S382</f>
        <v/>
      </c>
      <c r="U382" s="4" t="n">
        <v>104.29</v>
      </c>
      <c r="V382" s="7">
        <f>(R382*W382)</f>
        <v/>
      </c>
      <c r="W382" s="13" t="n">
        <v>0.0704</v>
      </c>
      <c r="X382" s="184" t="n"/>
      <c r="Y382" s="184" t="n"/>
      <c r="Z382" s="184" t="n"/>
      <c r="AA382" s="184" t="n"/>
      <c r="AB382" s="184" t="n"/>
      <c r="AC382" s="184" t="n"/>
      <c r="AD382" s="184" t="n"/>
      <c r="AE382" s="184" t="n"/>
    </row>
    <row r="383">
      <c r="A383" s="14" t="n">
        <v>380</v>
      </c>
      <c r="B383" s="9" t="n">
        <v>45341</v>
      </c>
      <c r="C383" s="4" t="n">
        <v>39706844.16</v>
      </c>
      <c r="D383" s="4">
        <f>C383/E383</f>
        <v/>
      </c>
      <c r="E383" s="4" t="n">
        <v>83.02</v>
      </c>
      <c r="F383" s="4">
        <f>D383/100000</f>
        <v/>
      </c>
      <c r="G383" s="4">
        <f>($D$1-F383)/F383*100</f>
        <v/>
      </c>
      <c r="H383" s="4">
        <f>($D$2-F383)/F383*100</f>
        <v/>
      </c>
      <c r="I383" s="4">
        <f>($D$3-F383)/F383*100</f>
        <v/>
      </c>
      <c r="J383" s="4">
        <f>F383/$F$10*100</f>
        <v/>
      </c>
      <c r="K383" s="4">
        <f>N383/L383</f>
        <v/>
      </c>
      <c r="L383" s="4">
        <f>(M383/O383)*100</f>
        <v/>
      </c>
      <c r="M383" s="4">
        <f>O383/R383</f>
        <v/>
      </c>
      <c r="N383" s="4" t="n">
        <v>7.09</v>
      </c>
      <c r="O383" s="4" t="n">
        <v>22122.25</v>
      </c>
      <c r="P383" s="4" t="n">
        <v>3.88</v>
      </c>
      <c r="Q383" s="4">
        <f>N383-L383</f>
        <v/>
      </c>
      <c r="R383" s="4" t="n">
        <v>22.84</v>
      </c>
      <c r="S383" s="4" t="n">
        <v>4.31</v>
      </c>
      <c r="T383" s="7">
        <f>N383-S383</f>
        <v/>
      </c>
      <c r="U383" s="4" t="n">
        <v>104.18</v>
      </c>
      <c r="V383" s="7">
        <f>(R383*W383)</f>
        <v/>
      </c>
      <c r="W383" s="13" t="n">
        <v>0.0704</v>
      </c>
      <c r="X383" s="184" t="n"/>
      <c r="Y383" s="184" t="n"/>
      <c r="Z383" s="184" t="n"/>
      <c r="AA383" s="184" t="n"/>
      <c r="AB383" s="184" t="n"/>
      <c r="AC383" s="184" t="n"/>
      <c r="AD383" s="184" t="n"/>
      <c r="AE383" s="184" t="n"/>
    </row>
    <row r="384">
      <c r="A384" s="5" t="n">
        <v>381</v>
      </c>
      <c r="B384" s="9" t="n">
        <v>45342</v>
      </c>
      <c r="C384" s="4" t="n">
        <v>39695109.5</v>
      </c>
      <c r="D384" s="4">
        <f>C384/E384</f>
        <v/>
      </c>
      <c r="E384" s="4" t="n">
        <v>82.81999999999999</v>
      </c>
      <c r="F384" s="4">
        <f>D384/100000</f>
        <v/>
      </c>
      <c r="G384" s="4">
        <f>($D$1-F384)/F384*100</f>
        <v/>
      </c>
      <c r="H384" s="4">
        <f>($D$2-F384)/F384*100</f>
        <v/>
      </c>
      <c r="I384" s="4">
        <f>($D$3-F384)/F384*100</f>
        <v/>
      </c>
      <c r="J384" s="4">
        <f>F384/$F$10*100</f>
        <v/>
      </c>
      <c r="K384" s="4">
        <f>N384/L384</f>
        <v/>
      </c>
      <c r="L384" s="4">
        <f>(M384/O384)*100</f>
        <v/>
      </c>
      <c r="M384" s="4">
        <f>O384/R384</f>
        <v/>
      </c>
      <c r="N384" s="4" t="n">
        <v>7.06</v>
      </c>
      <c r="O384" s="4" t="n">
        <v>22196.95</v>
      </c>
      <c r="P384" s="4" t="n">
        <v>3.89</v>
      </c>
      <c r="Q384" s="4">
        <f>N384-L384</f>
        <v/>
      </c>
      <c r="R384" s="4" t="n">
        <v>22.92</v>
      </c>
      <c r="S384" s="4" t="n">
        <v>4.27</v>
      </c>
      <c r="T384" s="7">
        <f>N384-S384</f>
        <v/>
      </c>
      <c r="U384" s="4" t="n">
        <v>103.96</v>
      </c>
      <c r="V384" s="7">
        <f>(R384*W384)</f>
        <v/>
      </c>
      <c r="W384" s="13" t="n">
        <v>0.0701</v>
      </c>
      <c r="X384" s="184" t="n"/>
      <c r="Y384" s="184" t="n"/>
      <c r="Z384" s="184" t="n"/>
      <c r="AA384" s="184" t="n"/>
      <c r="AB384" s="184" t="n"/>
      <c r="AC384" s="184" t="n"/>
      <c r="AD384" s="184" t="n"/>
      <c r="AE384" s="184" t="n"/>
    </row>
    <row r="385">
      <c r="A385" s="14" t="n">
        <v>382</v>
      </c>
      <c r="B385" s="9" t="n">
        <v>45343</v>
      </c>
      <c r="C385" s="4" t="n">
        <v>39432876.06</v>
      </c>
      <c r="D385" s="4">
        <f>C385/E385</f>
        <v/>
      </c>
      <c r="E385" s="4" t="n">
        <v>82.93000000000001</v>
      </c>
      <c r="F385" s="4">
        <f>D385/100000</f>
        <v/>
      </c>
      <c r="G385" s="4">
        <f>($D$1-F385)/F385*100</f>
        <v/>
      </c>
      <c r="H385" s="4">
        <f>($D$2-F385)/F385*100</f>
        <v/>
      </c>
      <c r="I385" s="4">
        <f>($D$3-F385)/F385*100</f>
        <v/>
      </c>
      <c r="J385" s="4">
        <f>F385/$F$10*100</f>
        <v/>
      </c>
      <c r="K385" s="4">
        <f>N385/L385</f>
        <v/>
      </c>
      <c r="L385" s="4">
        <f>(M385/O385)*100</f>
        <v/>
      </c>
      <c r="M385" s="4">
        <f>O385/R385</f>
        <v/>
      </c>
      <c r="N385" s="4" t="n">
        <v>7.04</v>
      </c>
      <c r="O385" s="4" t="n">
        <v>22055.05</v>
      </c>
      <c r="P385" s="4" t="n">
        <v>3.86</v>
      </c>
      <c r="Q385" s="4">
        <f>N385-L385</f>
        <v/>
      </c>
      <c r="R385" s="4" t="n">
        <v>22.77</v>
      </c>
      <c r="S385" s="4" t="n">
        <v>4.31</v>
      </c>
      <c r="T385" s="7">
        <f>N385-S385</f>
        <v/>
      </c>
      <c r="U385" s="4" t="n">
        <v>103.91</v>
      </c>
      <c r="V385" s="7">
        <f>(R385*W385)</f>
        <v/>
      </c>
      <c r="W385" s="13" t="n">
        <v>0.07000000000000001</v>
      </c>
      <c r="X385" s="184" t="n"/>
      <c r="Y385" s="184" t="n"/>
      <c r="Z385" s="184" t="n"/>
      <c r="AA385" s="184" t="n"/>
      <c r="AB385" s="184" t="n"/>
      <c r="AC385" s="184" t="n"/>
      <c r="AD385" s="184" t="n"/>
      <c r="AE385" s="184" t="n"/>
    </row>
    <row r="386">
      <c r="A386" s="14" t="n">
        <v>383</v>
      </c>
      <c r="B386" s="9" t="n">
        <v>45344</v>
      </c>
      <c r="C386" s="4" t="n">
        <v>39762271.88</v>
      </c>
      <c r="D386" s="4">
        <f>C386/E386</f>
        <v/>
      </c>
      <c r="E386" s="4" t="n">
        <v>82.83</v>
      </c>
      <c r="F386" s="4">
        <f>D386/100000</f>
        <v/>
      </c>
      <c r="G386" s="4">
        <f>($D$1-F386)/F386*100</f>
        <v/>
      </c>
      <c r="H386" s="4">
        <f>($D$2-F386)/F386*100</f>
        <v/>
      </c>
      <c r="I386" s="4">
        <f>($D$3-F386)/F386*100</f>
        <v/>
      </c>
      <c r="J386" s="4">
        <f>F386/$F$10*100</f>
        <v/>
      </c>
      <c r="K386" s="4">
        <f>N386/L386</f>
        <v/>
      </c>
      <c r="L386" s="4">
        <f>(M386/O386)*100</f>
        <v/>
      </c>
      <c r="M386" s="4">
        <f>O386/R386</f>
        <v/>
      </c>
      <c r="N386" s="4" t="n">
        <v>7.06</v>
      </c>
      <c r="O386" s="4" t="n">
        <v>22217.45</v>
      </c>
      <c r="P386" s="4" t="n">
        <v>3.89</v>
      </c>
      <c r="Q386" s="4">
        <f>N386-L386</f>
        <v/>
      </c>
      <c r="R386" s="4" t="n">
        <v>22.94</v>
      </c>
      <c r="S386" s="4" t="n">
        <v>4.33</v>
      </c>
      <c r="T386" s="7">
        <f>N386-S386</f>
        <v/>
      </c>
      <c r="U386" s="4" t="n">
        <v>103.87</v>
      </c>
      <c r="V386" s="7">
        <f>(R386*W386)</f>
        <v/>
      </c>
      <c r="W386" s="13" t="n">
        <v>0.0697</v>
      </c>
      <c r="X386" s="184" t="n"/>
      <c r="Y386" s="184" t="n"/>
      <c r="Z386" s="184" t="n"/>
      <c r="AA386" s="184" t="n"/>
      <c r="AB386" s="184" t="n"/>
      <c r="AC386" s="184" t="n"/>
      <c r="AD386" s="184" t="n"/>
      <c r="AE386" s="184" t="n"/>
    </row>
    <row r="387">
      <c r="A387" s="5" t="n">
        <v>384</v>
      </c>
      <c r="B387" s="9" t="n">
        <v>45345</v>
      </c>
      <c r="C387" s="4" t="n">
        <v>39851982.1</v>
      </c>
      <c r="D387" s="4">
        <f>C387/E387</f>
        <v/>
      </c>
      <c r="E387" s="4" t="n">
        <v>82.84999999999999</v>
      </c>
      <c r="F387" s="4">
        <f>D387/100000</f>
        <v/>
      </c>
      <c r="G387" s="4">
        <f>($D$1-F387)/F387*100</f>
        <v/>
      </c>
      <c r="H387" s="4">
        <f>($D$2-F387)/F387*100</f>
        <v/>
      </c>
      <c r="I387" s="4">
        <f>($D$3-F387)/F387*100</f>
        <v/>
      </c>
      <c r="J387" s="4">
        <f>F387/$F$10*100</f>
        <v/>
      </c>
      <c r="K387" s="4">
        <f>N387/L387</f>
        <v/>
      </c>
      <c r="L387" s="4">
        <f>(M387/O387)*100</f>
        <v/>
      </c>
      <c r="M387" s="4">
        <f>O387/R387</f>
        <v/>
      </c>
      <c r="N387" s="4" t="n">
        <v>7.07</v>
      </c>
      <c r="O387" s="4" t="n">
        <v>22212.7</v>
      </c>
      <c r="P387" s="4" t="n">
        <v>3.89</v>
      </c>
      <c r="Q387" s="4">
        <f>N387-L387</f>
        <v/>
      </c>
      <c r="R387" s="4" t="n">
        <v>22.93</v>
      </c>
      <c r="S387" s="4" t="n">
        <v>4.24</v>
      </c>
      <c r="T387" s="7">
        <f>N387-S387</f>
        <v/>
      </c>
      <c r="U387" s="4" t="n">
        <v>103.85</v>
      </c>
      <c r="V387" s="7">
        <f>(R387*W387)</f>
        <v/>
      </c>
      <c r="W387" s="13" t="n">
        <v>0.0697</v>
      </c>
      <c r="X387" s="184" t="n"/>
      <c r="Y387" s="184" t="n"/>
      <c r="Z387" s="184" t="n"/>
      <c r="AA387" s="184" t="n"/>
      <c r="AB387" s="184" t="n"/>
      <c r="AC387" s="184" t="n"/>
      <c r="AD387" s="184" t="n"/>
      <c r="AE387" s="184" t="n"/>
    </row>
    <row r="388">
      <c r="A388" s="14" t="n">
        <v>385</v>
      </c>
      <c r="B388" s="9" t="n">
        <v>45348</v>
      </c>
      <c r="C388" s="4" t="n">
        <v>39741568.38</v>
      </c>
      <c r="D388" s="4">
        <f>C388/E388</f>
        <v/>
      </c>
      <c r="E388" s="4" t="n">
        <v>82.84</v>
      </c>
      <c r="F388" s="4">
        <f>D388/100000</f>
        <v/>
      </c>
      <c r="G388" s="4">
        <f>($D$1-F388)/F388*100</f>
        <v/>
      </c>
      <c r="H388" s="4">
        <f>($D$2-F388)/F388*100</f>
        <v/>
      </c>
      <c r="I388" s="4">
        <f>($D$3-F388)/F388*100</f>
        <v/>
      </c>
      <c r="J388" s="4">
        <f>F388/$F$10*100</f>
        <v/>
      </c>
      <c r="K388" s="4">
        <f>N388/L388</f>
        <v/>
      </c>
      <c r="L388" s="4">
        <f>(M388/O388)*100</f>
        <v/>
      </c>
      <c r="M388" s="4">
        <f>O388/R388</f>
        <v/>
      </c>
      <c r="N388" s="4" t="n">
        <v>7.06</v>
      </c>
      <c r="O388" s="4" t="n">
        <v>22122.05</v>
      </c>
      <c r="P388" s="4" t="n">
        <v>3.87</v>
      </c>
      <c r="Q388" s="4">
        <f>N388-L388</f>
        <v/>
      </c>
      <c r="R388" s="4" t="n">
        <v>22.84</v>
      </c>
      <c r="S388" s="4" t="n">
        <v>4.28</v>
      </c>
      <c r="T388" s="7">
        <f>N388-S388</f>
        <v/>
      </c>
      <c r="U388" s="4" t="n">
        <v>103.75</v>
      </c>
      <c r="V388" s="7">
        <f>(R388*W388)</f>
        <v/>
      </c>
      <c r="W388" s="13" t="n">
        <v>0.06950000000000001</v>
      </c>
      <c r="X388" s="184" t="n"/>
      <c r="Y388" s="184" t="n"/>
      <c r="Z388" s="184" t="n"/>
      <c r="AA388" s="184" t="n"/>
      <c r="AB388" s="184" t="n"/>
      <c r="AC388" s="184" t="n"/>
      <c r="AD388" s="184" t="n"/>
      <c r="AE388" s="184" t="n"/>
    </row>
    <row r="389">
      <c r="A389" s="14" t="n">
        <v>386</v>
      </c>
      <c r="B389" s="9" t="n">
        <v>45349</v>
      </c>
      <c r="C389" s="4" t="n">
        <v>39746429.94</v>
      </c>
      <c r="D389" s="4">
        <f>C389/E389</f>
        <v/>
      </c>
      <c r="E389" s="4" t="n">
        <v>82.87</v>
      </c>
      <c r="F389" s="4">
        <f>D389/100000</f>
        <v/>
      </c>
      <c r="G389" s="4">
        <f>($D$1-F389)/F389*100</f>
        <v/>
      </c>
      <c r="H389" s="4">
        <f>($D$2-F389)/F389*100</f>
        <v/>
      </c>
      <c r="I389" s="4">
        <f>($D$3-F389)/F389*100</f>
        <v/>
      </c>
      <c r="J389" s="4">
        <f>F389/$F$10*100</f>
        <v/>
      </c>
      <c r="K389" s="4">
        <f>N389/L389</f>
        <v/>
      </c>
      <c r="L389" s="4">
        <f>(M389/O389)*100</f>
        <v/>
      </c>
      <c r="M389" s="4">
        <f>O389/R389</f>
        <v/>
      </c>
      <c r="N389" s="4" t="n">
        <v>7.06</v>
      </c>
      <c r="O389" s="4" t="n">
        <v>22198.35</v>
      </c>
      <c r="P389" s="4" t="n">
        <v>3.89</v>
      </c>
      <c r="Q389" s="4">
        <f>N389-L389</f>
        <v/>
      </c>
      <c r="R389" s="4" t="n">
        <v>22.92</v>
      </c>
      <c r="S389" s="4" t="n">
        <v>4.3</v>
      </c>
      <c r="T389" s="7">
        <f>N389-S389</f>
        <v/>
      </c>
      <c r="U389" s="4" t="n">
        <v>103.75</v>
      </c>
      <c r="V389" s="7">
        <f>(R389*W389)</f>
        <v/>
      </c>
      <c r="W389" s="13" t="n">
        <v>0.0693</v>
      </c>
      <c r="X389" s="184" t="n"/>
      <c r="Y389" s="184" t="n"/>
      <c r="Z389" s="184" t="n"/>
      <c r="AA389" s="184" t="n"/>
      <c r="AB389" s="184" t="n"/>
      <c r="AC389" s="184" t="n"/>
      <c r="AD389" s="184" t="n"/>
      <c r="AE389" s="184" t="n"/>
    </row>
    <row r="390">
      <c r="A390" s="5" t="n">
        <v>387</v>
      </c>
      <c r="B390" s="9" t="n">
        <v>45350</v>
      </c>
      <c r="C390" s="4" t="n">
        <v>39148154.53</v>
      </c>
      <c r="D390" s="4">
        <f>C390/E390</f>
        <v/>
      </c>
      <c r="E390" s="4" t="n">
        <v>82.90000000000001</v>
      </c>
      <c r="F390" s="4">
        <f>D390/100000</f>
        <v/>
      </c>
      <c r="G390" s="4">
        <f>($D$1-F390)/F390*100</f>
        <v/>
      </c>
      <c r="H390" s="4">
        <f>($D$2-F390)/F390*100</f>
        <v/>
      </c>
      <c r="I390" s="4">
        <f>($D$3-F390)/F390*100</f>
        <v/>
      </c>
      <c r="J390" s="4">
        <f>F390/$F$10*100</f>
        <v/>
      </c>
      <c r="K390" s="4">
        <f>N390/L390</f>
        <v/>
      </c>
      <c r="L390" s="4">
        <f>(M390/O390)*100</f>
        <v/>
      </c>
      <c r="M390" s="4">
        <f>O390/R390</f>
        <v/>
      </c>
      <c r="N390" s="4" t="n">
        <v>7.06</v>
      </c>
      <c r="O390" s="4" t="n">
        <v>21951.15</v>
      </c>
      <c r="P390" s="4" t="n">
        <v>3.84</v>
      </c>
      <c r="Q390" s="4">
        <f>N390-L390</f>
        <v/>
      </c>
      <c r="R390" s="4" t="n">
        <v>22.66</v>
      </c>
      <c r="S390" s="4" t="n">
        <v>4.26</v>
      </c>
      <c r="T390" s="7">
        <f>N390-S390</f>
        <v/>
      </c>
      <c r="U390" s="4" t="n">
        <v>103.9</v>
      </c>
      <c r="V390" s="7">
        <f>(R390*W390)</f>
        <v/>
      </c>
      <c r="W390" s="13" t="n">
        <v>0.0693</v>
      </c>
      <c r="X390" s="184" t="n"/>
      <c r="Y390" s="184" t="n"/>
      <c r="Z390" s="184" t="n"/>
      <c r="AA390" s="184" t="n"/>
      <c r="AB390" s="184" t="n"/>
      <c r="AC390" s="184" t="n"/>
      <c r="AD390" s="184" t="n"/>
      <c r="AE390" s="184" t="n"/>
    </row>
    <row r="391">
      <c r="A391" s="14" t="n">
        <v>388</v>
      </c>
      <c r="B391" s="9" t="n">
        <v>45351</v>
      </c>
      <c r="C391" s="4" t="n">
        <v>39329609.6</v>
      </c>
      <c r="D391" s="4">
        <f>C391/E391</f>
        <v/>
      </c>
      <c r="E391" s="4" t="n">
        <v>82.90000000000001</v>
      </c>
      <c r="F391" s="4">
        <f>D391/100000</f>
        <v/>
      </c>
      <c r="G391" s="4">
        <f>($D$1-F391)/F391*100</f>
        <v/>
      </c>
      <c r="H391" s="4">
        <f>($D$2-F391)/F391*100</f>
        <v/>
      </c>
      <c r="I391" s="4">
        <f>($D$3-F391)/F391*100</f>
        <v/>
      </c>
      <c r="J391" s="4">
        <f>F391/$F$10*100</f>
        <v/>
      </c>
      <c r="K391" s="4">
        <f>N391/L391</f>
        <v/>
      </c>
      <c r="L391" s="4">
        <f>(M391/O391)*100</f>
        <v/>
      </c>
      <c r="M391" s="4">
        <f>O391/R391</f>
        <v/>
      </c>
      <c r="N391" s="4" t="n">
        <v>7.07</v>
      </c>
      <c r="O391" s="4" t="n">
        <v>21982.8</v>
      </c>
      <c r="P391" s="4" t="n">
        <v>3.85</v>
      </c>
      <c r="Q391" s="4">
        <f>N391-L391</f>
        <v/>
      </c>
      <c r="R391" s="4" t="n">
        <v>22.7</v>
      </c>
      <c r="S391" s="4" t="n">
        <v>4.25</v>
      </c>
      <c r="T391" s="7">
        <f>N391-S391</f>
        <v/>
      </c>
      <c r="U391" s="4" t="n">
        <v>104.09</v>
      </c>
      <c r="V391" s="7">
        <f>(R391*W391)</f>
        <v/>
      </c>
      <c r="W391" s="13" t="n">
        <v>0.06900000000000001</v>
      </c>
      <c r="X391" s="184" t="n"/>
      <c r="Y391" s="184" t="n"/>
      <c r="Z391" s="184" t="n"/>
      <c r="AA391" s="184" t="n"/>
      <c r="AB391" s="184" t="n"/>
      <c r="AC391" s="184" t="n"/>
      <c r="AD391" s="184" t="n"/>
      <c r="AE391" s="184" t="n"/>
    </row>
    <row r="392">
      <c r="A392" s="14" t="n">
        <v>389</v>
      </c>
      <c r="B392" s="9" t="n">
        <v>45352</v>
      </c>
      <c r="C392" s="4" t="n">
        <v>39763870.91</v>
      </c>
      <c r="D392" s="4">
        <f>C392/E392</f>
        <v/>
      </c>
      <c r="E392" s="4" t="n">
        <v>82.84</v>
      </c>
      <c r="F392" s="4">
        <f>D392/100000</f>
        <v/>
      </c>
      <c r="G392" s="4">
        <f>($D$1-F392)/F392*100</f>
        <v/>
      </c>
      <c r="H392" s="4">
        <f>($D$2-F392)/F392*100</f>
        <v/>
      </c>
      <c r="I392" s="4">
        <f>($D$3-F392)/F392*100</f>
        <v/>
      </c>
      <c r="J392" s="4">
        <f>F392/$F$10*100</f>
        <v/>
      </c>
      <c r="K392" s="4">
        <f>N392/L392</f>
        <v/>
      </c>
      <c r="L392" s="4">
        <f>(M392/O392)*100</f>
        <v/>
      </c>
      <c r="M392" s="4">
        <f>O392/R392</f>
        <v/>
      </c>
      <c r="N392" s="4" t="n">
        <v>7.06</v>
      </c>
      <c r="O392" s="4" t="n">
        <v>22338.75</v>
      </c>
      <c r="P392" s="4" t="n">
        <v>3.91</v>
      </c>
      <c r="Q392" s="4">
        <f>N392-L392</f>
        <v/>
      </c>
      <c r="R392" s="4" t="n">
        <v>23.06</v>
      </c>
      <c r="S392" s="4" t="n">
        <v>4.18</v>
      </c>
      <c r="T392" s="7">
        <f>N392-S392</f>
        <v/>
      </c>
      <c r="U392" s="4" t="n">
        <v>103.79</v>
      </c>
      <c r="V392" s="7">
        <f>(R392*W392)</f>
        <v/>
      </c>
      <c r="W392" s="13" t="n">
        <v>0.06900000000000001</v>
      </c>
      <c r="X392" s="7" t="n">
        <v>17974.65</v>
      </c>
      <c r="Y392" s="7" t="n">
        <v>27.17</v>
      </c>
      <c r="Z392" s="7">
        <f>X392/Y392</f>
        <v/>
      </c>
      <c r="AA392" s="7">
        <f>(Z392/X392)*100</f>
        <v/>
      </c>
      <c r="AB392" s="7" t="n">
        <v>15061.35</v>
      </c>
      <c r="AC392" s="7" t="n">
        <v>29.03</v>
      </c>
      <c r="AD392" s="7">
        <f>AB392/AC392</f>
        <v/>
      </c>
      <c r="AE392" s="7">
        <f>(AD392/AB392)*100</f>
        <v/>
      </c>
    </row>
    <row r="393">
      <c r="A393" s="5" t="n">
        <v>390</v>
      </c>
      <c r="B393" s="9" t="n">
        <v>45353</v>
      </c>
      <c r="C393" s="4" t="n">
        <v>39922379.45</v>
      </c>
      <c r="D393" s="4">
        <f>C393/E393</f>
        <v/>
      </c>
      <c r="E393" s="4" t="n">
        <v>82.84</v>
      </c>
      <c r="F393" s="4">
        <f>D393/100000</f>
        <v/>
      </c>
      <c r="G393" s="4">
        <f>($D$1-F393)/F393*100</f>
        <v/>
      </c>
      <c r="H393" s="4">
        <f>($D$2-F393)/F393*100</f>
        <v/>
      </c>
      <c r="I393" s="4">
        <f>($D$3-F393)/F393*100</f>
        <v/>
      </c>
      <c r="J393" s="4">
        <f>F393/$F$10*100</f>
        <v/>
      </c>
      <c r="K393" s="4">
        <f>N393/L393</f>
        <v/>
      </c>
      <c r="L393" s="4">
        <f>(M393/O393)*100</f>
        <v/>
      </c>
      <c r="M393" s="4">
        <f>O393/R393</f>
        <v/>
      </c>
      <c r="N393" s="4" t="n">
        <v>7.06</v>
      </c>
      <c r="O393" s="4" t="n">
        <v>22378.4</v>
      </c>
      <c r="P393" s="4" t="n">
        <v>3.92</v>
      </c>
      <c r="Q393" s="4">
        <f>N393-L393</f>
        <v/>
      </c>
      <c r="R393" s="4" t="n">
        <v>23.1</v>
      </c>
      <c r="S393" s="4" t="n">
        <v>4.18</v>
      </c>
      <c r="T393" s="7">
        <f>N393-S393</f>
        <v/>
      </c>
      <c r="U393" s="4" t="n">
        <v>103.79</v>
      </c>
      <c r="V393" s="7">
        <f>(R393*W393)</f>
        <v/>
      </c>
      <c r="W393" s="13" t="n">
        <v>0.06900000000000001</v>
      </c>
      <c r="X393" s="7" t="n">
        <v>18093</v>
      </c>
      <c r="Y393" s="7" t="n">
        <v>27.35</v>
      </c>
      <c r="Z393" s="7">
        <f>X393/Y393</f>
        <v/>
      </c>
      <c r="AA393" s="7">
        <f>(Z393/X393)*100</f>
        <v/>
      </c>
      <c r="AB393" s="7" t="n">
        <v>15168.15</v>
      </c>
      <c r="AC393" s="7" t="n">
        <v>29.24</v>
      </c>
      <c r="AD393" s="7">
        <f>AB393/AC393</f>
        <v/>
      </c>
      <c r="AE393" s="7">
        <f>(AD393/AB393)*100</f>
        <v/>
      </c>
    </row>
    <row r="394">
      <c r="A394" s="14" t="n">
        <v>391</v>
      </c>
      <c r="B394" s="9" t="n">
        <v>45355</v>
      </c>
      <c r="C394" s="4" t="n">
        <v>39889768.11</v>
      </c>
      <c r="D394" s="4">
        <f>C394/E394</f>
        <v/>
      </c>
      <c r="E394" s="4" t="n">
        <v>82.91</v>
      </c>
      <c r="F394" s="4">
        <f>D394/100000</f>
        <v/>
      </c>
      <c r="G394" s="4">
        <f>($D$1-F394)/F394*100</f>
        <v/>
      </c>
      <c r="H394" s="4">
        <f>($D$2-F394)/F394*100</f>
        <v/>
      </c>
      <c r="I394" s="4">
        <f>($D$3-F394)/F394*100</f>
        <v/>
      </c>
      <c r="J394" s="4">
        <f>F394/$F$10*100</f>
        <v/>
      </c>
      <c r="K394" s="4">
        <f>N394/L394</f>
        <v/>
      </c>
      <c r="L394" s="4">
        <f>(M394/O394)*100</f>
        <v/>
      </c>
      <c r="M394" s="4">
        <f>O394/R394</f>
        <v/>
      </c>
      <c r="N394" s="4" t="n">
        <v>7.06</v>
      </c>
      <c r="O394" s="4" t="n">
        <v>22405.6</v>
      </c>
      <c r="P394" s="4" t="n">
        <v>3.92</v>
      </c>
      <c r="Q394" s="4">
        <f>N394-L394</f>
        <v/>
      </c>
      <c r="R394" s="4" t="n">
        <v>23.13</v>
      </c>
      <c r="S394" s="4" t="n">
        <v>4.21</v>
      </c>
      <c r="T394" s="7">
        <f>N394-S394</f>
        <v/>
      </c>
      <c r="U394" s="4" t="n">
        <v>103.77</v>
      </c>
      <c r="V394" s="7">
        <f>(R394*W394)</f>
        <v/>
      </c>
      <c r="W394" s="13" t="n">
        <v>0.06900000000000001</v>
      </c>
      <c r="X394" s="7" t="n">
        <v>18110.05</v>
      </c>
      <c r="Y394" s="7" t="n">
        <v>27.38</v>
      </c>
      <c r="Z394" s="7">
        <f>X394/Y394</f>
        <v/>
      </c>
      <c r="AA394" s="7">
        <f>(Z394/X394)*100</f>
        <v/>
      </c>
      <c r="AB394" s="7" t="n">
        <v>15077.1</v>
      </c>
      <c r="AC394" s="7" t="n">
        <v>29.06</v>
      </c>
      <c r="AD394" s="7">
        <f>AB394/AC394</f>
        <v/>
      </c>
      <c r="AE394" s="7">
        <f>(AD394/AB394)*100</f>
        <v/>
      </c>
    </row>
    <row r="395">
      <c r="A395" s="14" t="n">
        <v>392</v>
      </c>
      <c r="B395" s="9" t="n">
        <v>45356</v>
      </c>
      <c r="C395" s="4" t="n">
        <v>39810301.9</v>
      </c>
      <c r="D395" s="4">
        <f>C395/E395</f>
        <v/>
      </c>
      <c r="E395" s="4" t="n">
        <v>82.89</v>
      </c>
      <c r="F395" s="4">
        <f>D395/100000</f>
        <v/>
      </c>
      <c r="G395" s="4">
        <f>($D$1-F395)/F395*100</f>
        <v/>
      </c>
      <c r="H395" s="4">
        <f>($D$2-F395)/F395*100</f>
        <v/>
      </c>
      <c r="I395" s="4">
        <f>($D$3-F395)/F395*100</f>
        <v/>
      </c>
      <c r="J395" s="4">
        <f>F395/$F$10*100</f>
        <v/>
      </c>
      <c r="K395" s="4">
        <f>N395/L395</f>
        <v/>
      </c>
      <c r="L395" s="4">
        <f>(M395/O395)*100</f>
        <v/>
      </c>
      <c r="M395" s="4">
        <f>O395/R395</f>
        <v/>
      </c>
      <c r="N395" s="4" t="n">
        <v>7.05</v>
      </c>
      <c r="O395" s="4" t="n">
        <v>22356.3</v>
      </c>
      <c r="P395" s="4" t="n">
        <v>3.92</v>
      </c>
      <c r="Q395" s="4">
        <f>N395-L395</f>
        <v/>
      </c>
      <c r="R395" s="4" t="n">
        <v>23.08</v>
      </c>
      <c r="S395" s="4" t="n">
        <v>4.15</v>
      </c>
      <c r="T395" s="7">
        <f>N395-S395</f>
        <v/>
      </c>
      <c r="U395" s="4" t="n">
        <v>103.75</v>
      </c>
      <c r="V395" s="7">
        <f>(R395*W395)</f>
        <v/>
      </c>
      <c r="W395" s="13" t="n">
        <v>0.0688</v>
      </c>
      <c r="X395" s="7" t="n">
        <v>18065.2</v>
      </c>
      <c r="Y395" s="7" t="n">
        <v>27.31</v>
      </c>
      <c r="Z395" s="7">
        <f>X395/Y395</f>
        <v/>
      </c>
      <c r="AA395" s="7">
        <f>(Z395/X395)*100</f>
        <v/>
      </c>
      <c r="AB395" s="7" t="n">
        <v>14979.6</v>
      </c>
      <c r="AC395" s="7" t="n">
        <v>28.87</v>
      </c>
      <c r="AD395" s="7">
        <f>AB395/AC395</f>
        <v/>
      </c>
      <c r="AE395" s="7">
        <f>(AD395/AB395)*100</f>
        <v/>
      </c>
    </row>
    <row r="396">
      <c r="A396" s="5" t="n">
        <v>393</v>
      </c>
      <c r="B396" s="9" t="n">
        <v>45357</v>
      </c>
      <c r="C396" s="4" t="n">
        <v>39640109.44</v>
      </c>
      <c r="D396" s="4">
        <f>C396/E396</f>
        <v/>
      </c>
      <c r="E396" s="4" t="n">
        <v>82.78</v>
      </c>
      <c r="F396" s="4">
        <f>D396/100000</f>
        <v/>
      </c>
      <c r="G396" s="4">
        <f>($D$1-F396)/F396*100</f>
        <v/>
      </c>
      <c r="H396" s="4">
        <f>($D$2-F396)/F396*100</f>
        <v/>
      </c>
      <c r="I396" s="4">
        <f>($D$3-F396)/F396*100</f>
        <v/>
      </c>
      <c r="J396" s="4">
        <f>F396/$F$10*100</f>
        <v/>
      </c>
      <c r="K396" s="4">
        <f>N396/L396</f>
        <v/>
      </c>
      <c r="L396" s="4">
        <f>(M396/O396)*100</f>
        <v/>
      </c>
      <c r="M396" s="4">
        <f>O396/R396</f>
        <v/>
      </c>
      <c r="N396" s="4" t="n">
        <v>7.05</v>
      </c>
      <c r="O396" s="4" t="n">
        <v>22474.05</v>
      </c>
      <c r="P396" s="4" t="n">
        <v>3.94</v>
      </c>
      <c r="Q396" s="4">
        <f>N396-L396</f>
        <v/>
      </c>
      <c r="R396" s="4" t="n">
        <v>23.2</v>
      </c>
      <c r="S396" s="4" t="n">
        <v>4.1</v>
      </c>
      <c r="T396" s="7">
        <f>N396-S396</f>
        <v/>
      </c>
      <c r="U396" s="4" t="n">
        <v>103.32</v>
      </c>
      <c r="V396" s="7">
        <f>(R396*W396)</f>
        <v/>
      </c>
      <c r="W396" s="13" t="n">
        <v>0.06900000000000001</v>
      </c>
      <c r="X396" s="7" t="n">
        <v>17950</v>
      </c>
      <c r="Y396" s="7" t="n">
        <v>27.14</v>
      </c>
      <c r="Z396" s="7">
        <f>X396/Y396</f>
        <v/>
      </c>
      <c r="AA396" s="7">
        <f>(Z396/X396)*100</f>
        <v/>
      </c>
      <c r="AB396" s="7" t="n">
        <v>14684.2</v>
      </c>
      <c r="AC396" s="7" t="n">
        <v>28.3</v>
      </c>
      <c r="AD396" s="7">
        <f>AB396/AC396</f>
        <v/>
      </c>
      <c r="AE396" s="7">
        <f>(AD396/AB396)*100</f>
        <v/>
      </c>
    </row>
    <row r="397">
      <c r="A397" s="14" t="n">
        <v>394</v>
      </c>
      <c r="B397" s="9" t="n">
        <v>45358</v>
      </c>
      <c r="C397" s="4" t="n">
        <v>39790010.48</v>
      </c>
      <c r="D397" s="4">
        <f>C397/E397</f>
        <v/>
      </c>
      <c r="E397" s="4" t="n">
        <v>82.7</v>
      </c>
      <c r="F397" s="4">
        <f>D397/100000</f>
        <v/>
      </c>
      <c r="G397" s="4">
        <f>($D$1-F397)/F397*100</f>
        <v/>
      </c>
      <c r="H397" s="4">
        <f>($D$2-F397)/F397*100</f>
        <v/>
      </c>
      <c r="I397" s="4">
        <f>($D$3-F397)/F397*100</f>
        <v/>
      </c>
      <c r="J397" s="4">
        <f>F397/$F$10*100</f>
        <v/>
      </c>
      <c r="K397" s="4">
        <f>N397/L397</f>
        <v/>
      </c>
      <c r="L397" s="4">
        <f>(M397/O397)*100</f>
        <v/>
      </c>
      <c r="M397" s="4">
        <f>O397/R397</f>
        <v/>
      </c>
      <c r="N397" s="4" t="n">
        <v>7.03</v>
      </c>
      <c r="O397" s="4" t="n">
        <v>22493.55</v>
      </c>
      <c r="P397" s="4" t="n">
        <v>3.94</v>
      </c>
      <c r="Q397" s="4">
        <f>N397-L397</f>
        <v/>
      </c>
      <c r="R397" s="4" t="n">
        <v>23.22</v>
      </c>
      <c r="S397" s="4" t="n">
        <v>4.08</v>
      </c>
      <c r="T397" s="7">
        <f>N397-S397</f>
        <v/>
      </c>
      <c r="U397" s="4" t="n">
        <v>102.77</v>
      </c>
      <c r="V397" s="7">
        <f>(R397*W397)</f>
        <v/>
      </c>
      <c r="W397" s="13" t="n">
        <v>0.06909999999999999</v>
      </c>
      <c r="X397" s="7" t="n">
        <v>17995.7</v>
      </c>
      <c r="Y397" s="7" t="n">
        <v>27.21</v>
      </c>
      <c r="Z397" s="7">
        <f>X397/Y397</f>
        <v/>
      </c>
      <c r="AA397" s="7">
        <f>(Z397/X397)*100</f>
        <v/>
      </c>
      <c r="AB397" s="7" t="n">
        <v>14803.2</v>
      </c>
      <c r="AC397" s="7" t="n">
        <v>28.53</v>
      </c>
      <c r="AD397" s="7">
        <f>AB397/AC397</f>
        <v/>
      </c>
      <c r="AE397" s="7">
        <f>(AD397/AB397)*100</f>
        <v/>
      </c>
    </row>
    <row r="398">
      <c r="A398" s="14" t="n">
        <v>395</v>
      </c>
      <c r="B398" s="9" t="n">
        <v>45362</v>
      </c>
      <c r="C398" s="4" t="n">
        <v>39468166.37</v>
      </c>
      <c r="D398" s="4">
        <f>C398/E398</f>
        <v/>
      </c>
      <c r="E398" s="4" t="n">
        <v>82.73</v>
      </c>
      <c r="F398" s="4">
        <f>D398/100000</f>
        <v/>
      </c>
      <c r="G398" s="4">
        <f>($D$1-F398)/F398*100</f>
        <v/>
      </c>
      <c r="H398" s="4">
        <f>($D$2-F398)/F398*100</f>
        <v/>
      </c>
      <c r="I398" s="4">
        <f>($D$3-F398)/F398*100</f>
        <v/>
      </c>
      <c r="J398" s="4">
        <f>F398/$F$10*100</f>
        <v/>
      </c>
      <c r="K398" s="4">
        <f>N398/L398</f>
        <v/>
      </c>
      <c r="L398" s="4">
        <f>(M398/O398)*100</f>
        <v/>
      </c>
      <c r="M398" s="4">
        <f>O398/R398</f>
        <v/>
      </c>
      <c r="N398" s="4" t="n">
        <v>7.01</v>
      </c>
      <c r="O398" s="4" t="n">
        <v>22332.65</v>
      </c>
      <c r="P398" s="4" t="n">
        <v>3.91</v>
      </c>
      <c r="Q398" s="4">
        <f>N398-L398</f>
        <v/>
      </c>
      <c r="R398" s="4" t="n">
        <v>23.06</v>
      </c>
      <c r="S398" s="4" t="n">
        <v>4.09</v>
      </c>
      <c r="T398" s="7">
        <f>N398-S398</f>
        <v/>
      </c>
      <c r="U398" s="4" t="n">
        <v>102.46</v>
      </c>
      <c r="V398" s="7">
        <f>(R398*W398)</f>
        <v/>
      </c>
      <c r="W398" s="13" t="n">
        <v>0.06900000000000001</v>
      </c>
      <c r="X398" s="7" t="n">
        <v>17911.75</v>
      </c>
      <c r="Y398" s="7" t="n">
        <v>27.08</v>
      </c>
      <c r="Z398" s="7">
        <f>X398/Y398</f>
        <v/>
      </c>
      <c r="AA398" s="7">
        <f>(Z398/X398)*100</f>
        <v/>
      </c>
      <c r="AB398" s="7" t="n">
        <v>14507.15</v>
      </c>
      <c r="AC398" s="7" t="n">
        <v>27.96</v>
      </c>
      <c r="AD398" s="7">
        <f>AB398/AC398</f>
        <v/>
      </c>
      <c r="AE398" s="7">
        <f>(AD398/AB398)*100</f>
        <v/>
      </c>
    </row>
    <row r="399">
      <c r="A399" s="5" t="n">
        <v>396</v>
      </c>
      <c r="B399" s="9" t="n">
        <v>45363</v>
      </c>
      <c r="C399" s="4" t="n">
        <v>39069312.74</v>
      </c>
      <c r="D399" s="4">
        <f>C399/E399</f>
        <v/>
      </c>
      <c r="E399" s="4" t="n">
        <v>82.78</v>
      </c>
      <c r="F399" s="4">
        <f>D399/100000</f>
        <v/>
      </c>
      <c r="G399" s="4">
        <f>($D$1-F399)/F399*100</f>
        <v/>
      </c>
      <c r="H399" s="4">
        <f>($D$2-F399)/F399*100</f>
        <v/>
      </c>
      <c r="I399" s="4">
        <f>($D$3-F399)/F399*100</f>
        <v/>
      </c>
      <c r="J399" s="4">
        <f>F399/$F$10*100</f>
        <v/>
      </c>
      <c r="K399" s="4">
        <f>N399/L399</f>
        <v/>
      </c>
      <c r="L399" s="4">
        <f>(M399/O399)*100</f>
        <v/>
      </c>
      <c r="M399" s="4">
        <f>O399/R399</f>
        <v/>
      </c>
      <c r="N399" s="4" t="n">
        <v>7.02</v>
      </c>
      <c r="O399" s="4" t="n">
        <v>22335.7</v>
      </c>
      <c r="P399" s="4" t="n">
        <v>3.91</v>
      </c>
      <c r="Q399" s="4">
        <f>N399-L399</f>
        <v/>
      </c>
      <c r="R399" s="4" t="n">
        <v>23.06</v>
      </c>
      <c r="S399" s="4" t="n">
        <v>4.15</v>
      </c>
      <c r="T399" s="7">
        <f>N399-S399</f>
        <v/>
      </c>
      <c r="U399" s="4" t="n">
        <v>102.54</v>
      </c>
      <c r="V399" s="7">
        <f>(R399*W399)</f>
        <v/>
      </c>
      <c r="W399" s="13" t="n">
        <v>0.06850000000000001</v>
      </c>
      <c r="X399" s="7" t="n">
        <v>17685.6</v>
      </c>
      <c r="Y399" s="7" t="n">
        <v>26.74</v>
      </c>
      <c r="Z399" s="7">
        <f>X399/Y399</f>
        <v/>
      </c>
      <c r="AA399" s="7">
        <f>(Z399/X399)*100</f>
        <v/>
      </c>
      <c r="AB399" s="7" t="n">
        <v>14208.65</v>
      </c>
      <c r="AC399" s="7" t="n">
        <v>27.39</v>
      </c>
      <c r="AD399" s="7">
        <f>AB399/AC399</f>
        <v/>
      </c>
      <c r="AE399" s="7">
        <f>(AD399/AB399)*100</f>
        <v/>
      </c>
    </row>
    <row r="400">
      <c r="A400" s="14" t="n">
        <v>397</v>
      </c>
      <c r="B400" s="9" t="n">
        <v>45364</v>
      </c>
      <c r="C400" s="4" t="n">
        <v>37715421.05</v>
      </c>
      <c r="D400" s="4">
        <f>C400/E400</f>
        <v/>
      </c>
      <c r="E400" s="4" t="n">
        <v>82.81999999999999</v>
      </c>
      <c r="F400" s="4">
        <f>D400/100000</f>
        <v/>
      </c>
      <c r="G400" s="4">
        <f>($D$1-F400)/F400*100</f>
        <v/>
      </c>
      <c r="H400" s="4">
        <f>($D$2-F400)/F400*100</f>
        <v/>
      </c>
      <c r="I400" s="4">
        <f>($D$3-F400)/F400*100</f>
        <v/>
      </c>
      <c r="J400" s="4">
        <f>F400/$F$10*100</f>
        <v/>
      </c>
      <c r="K400" s="4">
        <f>N400/L400</f>
        <v/>
      </c>
      <c r="L400" s="4">
        <f>(M400/O400)*100</f>
        <v/>
      </c>
      <c r="M400" s="4">
        <f>O400/R400</f>
        <v/>
      </c>
      <c r="N400" s="4" t="n">
        <v>7.03</v>
      </c>
      <c r="O400" s="4" t="n">
        <v>21997.7</v>
      </c>
      <c r="P400" s="4" t="n">
        <v>3.85</v>
      </c>
      <c r="Q400" s="4">
        <f>N400-L400</f>
        <v/>
      </c>
      <c r="R400" s="4" t="n">
        <v>22.71</v>
      </c>
      <c r="S400" s="4" t="n">
        <v>4.18</v>
      </c>
      <c r="T400" s="7">
        <f>N400-S400</f>
        <v/>
      </c>
      <c r="U400" s="4" t="n">
        <v>102.39</v>
      </c>
      <c r="V400" s="7">
        <f>(R400*W400)</f>
        <v/>
      </c>
      <c r="W400" s="13" t="n">
        <v>0.0687</v>
      </c>
      <c r="X400" s="7" t="n">
        <v>16948.25</v>
      </c>
      <c r="Y400" s="7" t="n">
        <v>25.62</v>
      </c>
      <c r="Z400" s="7">
        <f>X400/Y400</f>
        <v/>
      </c>
      <c r="AA400" s="7">
        <f>(Z400/X400)*100</f>
        <v/>
      </c>
      <c r="AB400" s="7" t="n">
        <v>13473.2</v>
      </c>
      <c r="AC400" s="7" t="n">
        <v>25.97</v>
      </c>
      <c r="AD400" s="7">
        <f>AB400/AC400</f>
        <v/>
      </c>
      <c r="AE400" s="7">
        <f>(AD400/AB400)*100</f>
        <v/>
      </c>
    </row>
    <row r="401">
      <c r="A401" s="14" t="n">
        <v>398</v>
      </c>
      <c r="B401" s="9" t="n">
        <v>45365</v>
      </c>
      <c r="C401" s="4" t="n">
        <v>38493522.27</v>
      </c>
      <c r="D401" s="4">
        <f>C401/E401</f>
        <v/>
      </c>
      <c r="E401" s="4" t="n">
        <v>82.91</v>
      </c>
      <c r="F401" s="4">
        <f>D401/100000</f>
        <v/>
      </c>
      <c r="G401" s="4">
        <f>($D$1-F401)/F401*100</f>
        <v/>
      </c>
      <c r="H401" s="4">
        <f>($D$2-F401)/F401*100</f>
        <v/>
      </c>
      <c r="I401" s="4">
        <f>($D$3-F401)/F401*100</f>
        <v/>
      </c>
      <c r="J401" s="4">
        <f>F401/$F$10*100</f>
        <v/>
      </c>
      <c r="K401" s="4">
        <f>N401/L401</f>
        <v/>
      </c>
      <c r="L401" s="4">
        <f>(M401/O401)*100</f>
        <v/>
      </c>
      <c r="M401" s="4">
        <f>O401/R401</f>
        <v/>
      </c>
      <c r="N401" s="4" t="n">
        <v>7.04</v>
      </c>
      <c r="O401" s="4" t="n">
        <v>22146.65</v>
      </c>
      <c r="P401" s="4" t="n">
        <v>3.88</v>
      </c>
      <c r="Q401" s="4">
        <f>N401-L401</f>
        <v/>
      </c>
      <c r="R401" s="4" t="n">
        <v>22.86</v>
      </c>
      <c r="S401" s="4" t="n">
        <v>4.29</v>
      </c>
      <c r="T401" s="7">
        <f>N401-S401</f>
        <v/>
      </c>
      <c r="U401" s="4" t="n">
        <v>102.99</v>
      </c>
      <c r="V401" s="7">
        <f>(R401*W401)</f>
        <v/>
      </c>
      <c r="W401" s="13" t="n">
        <v>0.0684</v>
      </c>
      <c r="X401" s="7" t="n">
        <v>17308.75</v>
      </c>
      <c r="Y401" s="7" t="n">
        <v>26.17</v>
      </c>
      <c r="Z401" s="7">
        <f>X401/Y401</f>
        <v/>
      </c>
      <c r="AA401" s="7">
        <f>(Z401/X401)*100</f>
        <v/>
      </c>
      <c r="AB401" s="7" t="n">
        <v>13892.7</v>
      </c>
      <c r="AC401" s="7" t="n">
        <v>26.78</v>
      </c>
      <c r="AD401" s="7">
        <f>AB401/AC401</f>
        <v/>
      </c>
      <c r="AE401" s="7">
        <f>(AD401/AB401)*100</f>
        <v/>
      </c>
    </row>
    <row r="402">
      <c r="A402" s="5" t="n">
        <v>399</v>
      </c>
      <c r="B402" s="8" t="n">
        <v>45366</v>
      </c>
      <c r="C402" s="4" t="n">
        <v>38347978.08</v>
      </c>
      <c r="D402" s="4">
        <f>C402/E402</f>
        <v/>
      </c>
      <c r="E402" s="4" t="n">
        <v>82.88</v>
      </c>
      <c r="F402" s="4">
        <f>D402/100000</f>
        <v/>
      </c>
      <c r="G402" s="4">
        <f>($D$1-F402)/F402*100</f>
        <v/>
      </c>
      <c r="H402" s="4">
        <f>($D$2-F402)/F402*100</f>
        <v/>
      </c>
      <c r="I402" s="4">
        <f>($D$3-F402)/F402*100</f>
        <v/>
      </c>
      <c r="J402" s="4">
        <f>F402/$F$10*100</f>
        <v/>
      </c>
      <c r="K402" s="4">
        <f>N402/L402</f>
        <v/>
      </c>
      <c r="L402" s="4">
        <f>(M402/O402)*100</f>
        <v/>
      </c>
      <c r="M402" s="4">
        <f>O402/R402</f>
        <v/>
      </c>
      <c r="N402" s="4" t="n">
        <v>7.06</v>
      </c>
      <c r="O402" s="4" t="n">
        <v>22023.35</v>
      </c>
      <c r="P402" s="4" t="n">
        <v>3.86</v>
      </c>
      <c r="Q402" s="4">
        <f>N402-L402</f>
        <v/>
      </c>
      <c r="R402" s="4" t="n">
        <v>22.74</v>
      </c>
      <c r="S402" s="4" t="n">
        <v>4.3</v>
      </c>
      <c r="T402" s="7">
        <f>N402-S402</f>
        <v/>
      </c>
      <c r="U402" s="4" t="n">
        <v>103.06</v>
      </c>
      <c r="V402" s="7">
        <f>(R402*W402)</f>
        <v/>
      </c>
      <c r="W402" s="13" t="n">
        <v>0.06850000000000001</v>
      </c>
      <c r="X402" s="7" t="n">
        <v>17254.2</v>
      </c>
      <c r="Y402" s="7" t="n">
        <v>26.09</v>
      </c>
      <c r="Z402" s="7">
        <f>X402/Y402</f>
        <v/>
      </c>
      <c r="AA402" s="7">
        <f>(Z402/X402)*100</f>
        <v/>
      </c>
      <c r="AB402" s="7" t="n">
        <v>13922.35</v>
      </c>
      <c r="AC402" s="7" t="n">
        <v>26.84</v>
      </c>
      <c r="AD402" s="7">
        <f>AB402/AC402</f>
        <v/>
      </c>
      <c r="AE402" s="7">
        <f>(AD402/AB402)*100</f>
        <v/>
      </c>
    </row>
    <row r="403">
      <c r="A403" s="5" t="n">
        <v>402</v>
      </c>
      <c r="B403" s="9" t="n">
        <v>45369</v>
      </c>
      <c r="C403" s="4" t="n">
        <v>38383634.31</v>
      </c>
      <c r="D403" s="4">
        <f>C403/E403</f>
        <v/>
      </c>
      <c r="E403" s="4" t="n">
        <v>82.90000000000001</v>
      </c>
      <c r="F403" s="4">
        <f>D403/100000</f>
        <v/>
      </c>
      <c r="G403" s="4">
        <f>($D$1-F403)/F403*100</f>
        <v/>
      </c>
      <c r="H403" s="4">
        <f>($D$2-F403)/F403*100</f>
        <v/>
      </c>
      <c r="I403" s="4">
        <f>($D$3-F403)/F403*100</f>
        <v/>
      </c>
      <c r="J403" s="4">
        <f>F403/$F$10*100</f>
        <v/>
      </c>
      <c r="K403" s="4">
        <f>N403/L403</f>
        <v/>
      </c>
      <c r="L403" s="4">
        <f>(M403/O403)*100</f>
        <v/>
      </c>
      <c r="M403" s="4">
        <f>O403/R403</f>
        <v/>
      </c>
      <c r="N403" s="4" t="n">
        <v>7.08</v>
      </c>
      <c r="O403" s="4" t="n">
        <v>22055.7</v>
      </c>
      <c r="P403" s="4" t="n">
        <v>3.88</v>
      </c>
      <c r="Q403" s="4">
        <f>N403-L403</f>
        <v/>
      </c>
      <c r="R403" s="4" t="n">
        <v>22.77</v>
      </c>
      <c r="S403" s="4" t="n">
        <v>4.32</v>
      </c>
      <c r="T403" s="7">
        <f>N403-S403</f>
        <v/>
      </c>
      <c r="U403" s="4" t="n">
        <v>103.46</v>
      </c>
      <c r="V403" s="4">
        <f>(R403*W403)</f>
        <v/>
      </c>
      <c r="W403" s="6" t="n">
        <v>0.0687</v>
      </c>
      <c r="X403" s="4" t="n">
        <v>17215.85</v>
      </c>
      <c r="Y403" s="4" t="n">
        <v>26.03</v>
      </c>
      <c r="Z403" s="7">
        <f>X403/Y403</f>
        <v/>
      </c>
      <c r="AA403" s="7">
        <f>(Z403/X403)*100</f>
        <v/>
      </c>
      <c r="AB403" s="7" t="n">
        <v>13882.25</v>
      </c>
      <c r="AC403" s="7" t="n">
        <v>26.76</v>
      </c>
      <c r="AD403" s="7">
        <f>AB403/AC403</f>
        <v/>
      </c>
      <c r="AE403" s="7">
        <f>(AD403/AB403)*100</f>
        <v/>
      </c>
    </row>
    <row r="404">
      <c r="A404" s="5" t="n">
        <v>403</v>
      </c>
      <c r="B404" s="9" t="n">
        <v>45370</v>
      </c>
      <c r="C404" s="4" t="n">
        <v>37895639.8</v>
      </c>
      <c r="D404" s="4">
        <f>C404/E404</f>
        <v/>
      </c>
      <c r="E404" s="4" t="n">
        <v>83</v>
      </c>
      <c r="F404" s="4">
        <f>D404/100000</f>
        <v/>
      </c>
      <c r="G404" s="4">
        <f>($D$1-F404)/F404*100</f>
        <v/>
      </c>
      <c r="H404" s="4">
        <f>($D$2-F404)/F404*100</f>
        <v/>
      </c>
      <c r="I404" s="4">
        <f>($D$3-F404)/F404*100</f>
        <v/>
      </c>
      <c r="J404" s="4">
        <f>F404/$F$10*100</f>
        <v/>
      </c>
      <c r="K404" s="4">
        <f>N404/L404</f>
        <v/>
      </c>
      <c r="L404" s="4">
        <f>(M404/O404)*100</f>
        <v/>
      </c>
      <c r="M404" s="4">
        <f>O404/R404</f>
        <v/>
      </c>
      <c r="N404" s="4" t="n">
        <v>7.09</v>
      </c>
      <c r="O404" s="4" t="n">
        <v>21817.45</v>
      </c>
      <c r="P404" s="4" t="n">
        <v>3.84</v>
      </c>
      <c r="Q404" s="4">
        <f>N404-L404</f>
        <v/>
      </c>
      <c r="R404" s="4" t="n">
        <v>22.52</v>
      </c>
      <c r="S404" s="4" t="n">
        <v>4.29</v>
      </c>
      <c r="T404" s="7">
        <f>N404-S404</f>
        <v/>
      </c>
      <c r="U404" s="4" t="n">
        <v>103.48</v>
      </c>
      <c r="V404" s="4">
        <f>(R404*W404)</f>
        <v/>
      </c>
      <c r="W404" s="6" t="n">
        <v>0.0689</v>
      </c>
      <c r="X404" s="4" t="n">
        <v>17022.65</v>
      </c>
      <c r="Y404" s="4" t="n">
        <v>25.74</v>
      </c>
      <c r="Z404" s="7">
        <f>X404/Y404</f>
        <v/>
      </c>
      <c r="AA404" s="7">
        <f>(Z404/X404)*100</f>
        <v/>
      </c>
      <c r="AB404" s="7" t="n">
        <v>13718.4</v>
      </c>
      <c r="AC404" s="7" t="n">
        <v>26.44</v>
      </c>
      <c r="AD404" s="7">
        <f>AB404/AC404</f>
        <v/>
      </c>
      <c r="AE404" s="7">
        <f>(AD404/AB404)*100</f>
        <v/>
      </c>
    </row>
    <row r="405">
      <c r="A405" s="5" t="n">
        <v>404</v>
      </c>
      <c r="B405" s="8" t="n">
        <v>45371</v>
      </c>
      <c r="C405" s="4" t="n">
        <v>37923765.92</v>
      </c>
      <c r="D405" s="4">
        <f>C405/E405</f>
        <v/>
      </c>
      <c r="E405" s="4" t="n">
        <v>83.17</v>
      </c>
      <c r="F405" s="4">
        <f>D405/100000</f>
        <v/>
      </c>
      <c r="G405" s="4">
        <f>($D$1-F405)/F405*100</f>
        <v/>
      </c>
      <c r="H405" s="4">
        <f>($D$2-F405)/F405*100</f>
        <v/>
      </c>
      <c r="I405" s="4">
        <f>($D$3-F405)/F405*100</f>
        <v/>
      </c>
      <c r="J405" s="4">
        <f>F405/$F$10*100</f>
        <v/>
      </c>
      <c r="K405" s="4">
        <f>N405/L405</f>
        <v/>
      </c>
      <c r="L405" s="4">
        <f>(M405/O405)*100</f>
        <v/>
      </c>
      <c r="M405" s="4">
        <f>O405/R405</f>
        <v/>
      </c>
      <c r="N405" s="4" t="n">
        <v>7.09</v>
      </c>
      <c r="O405" s="4" t="n">
        <v>21839.1</v>
      </c>
      <c r="P405" s="4" t="n">
        <v>3.85</v>
      </c>
      <c r="Q405" s="4">
        <f>N405-L405</f>
        <v/>
      </c>
      <c r="R405" s="4" t="n">
        <v>22.55</v>
      </c>
      <c r="S405" s="4" t="n">
        <v>4.27</v>
      </c>
      <c r="T405" s="7">
        <f>N405-S405</f>
        <v/>
      </c>
      <c r="U405" s="4" t="n">
        <v>103.04</v>
      </c>
      <c r="V405" s="4">
        <f>(R405*W405)</f>
        <v/>
      </c>
      <c r="W405" s="6" t="n">
        <v>0.0692</v>
      </c>
      <c r="X405" s="4" t="n">
        <v>17011.75</v>
      </c>
      <c r="Y405" s="4" t="n">
        <v>25.72</v>
      </c>
      <c r="Z405" s="7">
        <f>X405/Y405</f>
        <v/>
      </c>
      <c r="AA405" s="7">
        <f>(Z405/X405)*100</f>
        <v/>
      </c>
      <c r="AB405" s="7" t="n">
        <v>13733.55</v>
      </c>
      <c r="AC405" s="7" t="n">
        <v>26.47</v>
      </c>
      <c r="AD405" s="7">
        <f>AB405/AC405</f>
        <v/>
      </c>
      <c r="AE405" s="7">
        <f>(AD405/AB405)*100</f>
        <v/>
      </c>
    </row>
    <row r="406">
      <c r="A406" s="5" t="n">
        <v>405</v>
      </c>
      <c r="B406" s="9" t="n">
        <v>45372</v>
      </c>
      <c r="C406" s="12" t="n">
        <v>38493731.82</v>
      </c>
      <c r="D406" s="4">
        <f>C406/E406</f>
        <v/>
      </c>
      <c r="E406" s="4" t="n">
        <v>83.17</v>
      </c>
      <c r="F406" s="4">
        <f>D406/100000</f>
        <v/>
      </c>
      <c r="G406" s="4">
        <f>($D$1-F406)/F406*100</f>
        <v/>
      </c>
      <c r="H406" s="4">
        <f>($D$2-F406)/F406*100</f>
        <v/>
      </c>
      <c r="I406" s="4">
        <f>($D$3-F406)/F406*100</f>
        <v/>
      </c>
      <c r="J406" s="4">
        <f>F406/$F$10*100</f>
        <v/>
      </c>
      <c r="K406" s="4">
        <f>N406/L406</f>
        <v/>
      </c>
      <c r="L406" s="4">
        <f>(M406/O406)*100</f>
        <v/>
      </c>
      <c r="M406" s="4">
        <f>O406/R406</f>
        <v/>
      </c>
      <c r="N406" s="4" t="n">
        <v>7.05</v>
      </c>
      <c r="O406" s="4" t="n">
        <v>22011.95</v>
      </c>
      <c r="P406" s="4" t="n">
        <v>3.88</v>
      </c>
      <c r="Q406" s="4">
        <f>N406-L406</f>
        <v/>
      </c>
      <c r="R406" s="4" t="n">
        <v>22.73</v>
      </c>
      <c r="S406" s="4" t="n">
        <v>4.26</v>
      </c>
      <c r="T406" s="7">
        <f>N406-S406</f>
        <v/>
      </c>
      <c r="U406" s="4" t="n">
        <v>103.66</v>
      </c>
      <c r="V406" s="4">
        <f>(R406*W406)</f>
        <v/>
      </c>
      <c r="W406" s="6" t="n">
        <v>0.0689</v>
      </c>
      <c r="X406" s="4" t="n">
        <v>17396.3</v>
      </c>
      <c r="Y406" s="4" t="n">
        <v>26.3</v>
      </c>
      <c r="Z406" s="7">
        <f>X406/Y406</f>
        <v/>
      </c>
      <c r="AA406" s="7">
        <f>(Z406/X406)*100</f>
        <v/>
      </c>
      <c r="AB406" s="7" t="n">
        <v>14047.3</v>
      </c>
      <c r="AC406" s="7" t="n">
        <v>27.07</v>
      </c>
      <c r="AD406" s="7">
        <f>AB406/AC406</f>
        <v/>
      </c>
      <c r="AE406" s="7">
        <f>(AD406/AB406)*100</f>
        <v/>
      </c>
    </row>
    <row r="407">
      <c r="A407" s="5" t="n">
        <v>406</v>
      </c>
      <c r="B407" s="9" t="n">
        <v>45373</v>
      </c>
      <c r="C407" s="4" t="n">
        <v>38742636.97</v>
      </c>
      <c r="D407" s="4">
        <f>C407/E407</f>
        <v/>
      </c>
      <c r="E407" s="4" t="n">
        <v>83.58</v>
      </c>
      <c r="F407" s="4">
        <f>D407/100000</f>
        <v/>
      </c>
      <c r="G407" s="4">
        <f>($D$1-F407)/F407*100</f>
        <v/>
      </c>
      <c r="H407" s="4">
        <f>($D$2-F407)/F407*100</f>
        <v/>
      </c>
      <c r="I407" s="4">
        <f>($D$3-F407)/F407*100</f>
        <v/>
      </c>
      <c r="J407" s="4">
        <f>F407/$F$10*100</f>
        <v/>
      </c>
      <c r="K407" s="4">
        <f>N407/L407</f>
        <v/>
      </c>
      <c r="L407" s="4">
        <f>(M407/O407)*100</f>
        <v/>
      </c>
      <c r="M407" s="4">
        <f>O407/R407</f>
        <v/>
      </c>
      <c r="N407" s="4" t="n">
        <v>7.08</v>
      </c>
      <c r="O407" s="4" t="n">
        <v>22096.75</v>
      </c>
      <c r="P407" s="4" t="n">
        <v>3.89</v>
      </c>
      <c r="Q407" s="4">
        <f>N407-L407</f>
        <v/>
      </c>
      <c r="R407" s="4" t="n">
        <v>22.81</v>
      </c>
      <c r="S407" s="4" t="n">
        <v>4.2</v>
      </c>
      <c r="T407" s="7">
        <f>N407-S407</f>
        <v/>
      </c>
      <c r="U407" s="4" t="n">
        <v>104.17</v>
      </c>
      <c r="V407" s="4">
        <f>(R407*W407)</f>
        <v/>
      </c>
      <c r="W407" s="6" t="n">
        <v>0.0692</v>
      </c>
      <c r="X407" s="4" t="n">
        <v>17502.8</v>
      </c>
      <c r="Y407" s="4" t="n">
        <v>26.46</v>
      </c>
      <c r="Z407" s="7">
        <f>X407/Y407</f>
        <v/>
      </c>
      <c r="AA407" s="7">
        <f>(Z407/X407)*100</f>
        <v/>
      </c>
      <c r="AB407" s="7" t="n">
        <v>14161.4</v>
      </c>
      <c r="AC407" s="7" t="n">
        <v>27.29</v>
      </c>
      <c r="AD407" s="7">
        <f>AB407/AC407</f>
        <v/>
      </c>
      <c r="AE407" s="7">
        <f>(AD407/AB407)*100</f>
        <v/>
      </c>
    </row>
    <row r="408">
      <c r="A408" s="5" t="n">
        <v>410</v>
      </c>
      <c r="B408" s="9" t="n">
        <v>45377</v>
      </c>
      <c r="C408" s="4" t="n">
        <v>38760537.56</v>
      </c>
      <c r="D408" s="4">
        <f>C408/E408</f>
        <v/>
      </c>
      <c r="E408" s="4" t="n">
        <v>83.3</v>
      </c>
      <c r="F408" s="4">
        <f>D408/100000</f>
        <v/>
      </c>
      <c r="G408" s="4">
        <f>($D$1-F408)/F408*100</f>
        <v/>
      </c>
      <c r="H408" s="4">
        <f>($D$2-F408)/F408*100</f>
        <v/>
      </c>
      <c r="I408" s="4">
        <f>($D$3-F408)/F408*100</f>
        <v/>
      </c>
      <c r="J408" s="4">
        <f>F408/$F$10*100</f>
        <v/>
      </c>
      <c r="K408" s="4">
        <f>N408/L408</f>
        <v/>
      </c>
      <c r="L408" s="4">
        <f>(M408/O408)*100</f>
        <v/>
      </c>
      <c r="M408" s="4">
        <f>O408/R408</f>
        <v/>
      </c>
      <c r="N408" s="4" t="n">
        <v>7.08</v>
      </c>
      <c r="O408" s="4" t="n">
        <v>22004.7</v>
      </c>
      <c r="P408" s="4" t="n">
        <v>3.87</v>
      </c>
      <c r="Q408" s="4">
        <f>N408-L408</f>
        <v/>
      </c>
      <c r="R408" s="4" t="n">
        <v>22.72</v>
      </c>
      <c r="S408" s="4" t="n">
        <v>4.23</v>
      </c>
      <c r="T408" s="7">
        <f>N408-S408</f>
        <v/>
      </c>
      <c r="U408" s="4" t="n">
        <v>103.99</v>
      </c>
      <c r="V408" s="4">
        <f>(R408*W408)</f>
        <v/>
      </c>
      <c r="W408" s="6" t="n">
        <v>0.0709</v>
      </c>
      <c r="X408" s="4" t="n">
        <v>17664.35</v>
      </c>
      <c r="Y408" s="4" t="n">
        <v>26.71</v>
      </c>
      <c r="Z408" s="7">
        <f>X408/Y408</f>
        <v/>
      </c>
      <c r="AA408" s="7">
        <f>(Z408/X408)*100</f>
        <v/>
      </c>
      <c r="AB408" s="7" t="n">
        <v>14167.85</v>
      </c>
      <c r="AC408" s="7" t="n">
        <v>27.3</v>
      </c>
      <c r="AD408" s="7">
        <f>AB408/AC408</f>
        <v/>
      </c>
      <c r="AE408" s="7">
        <f>(AD408/AB408)*100</f>
        <v/>
      </c>
    </row>
    <row r="409">
      <c r="A409" s="5" t="n">
        <v>411</v>
      </c>
      <c r="B409" s="9" t="n">
        <v>45378</v>
      </c>
      <c r="C409" s="4" t="n">
        <v>38870992.02</v>
      </c>
      <c r="D409" s="4">
        <f>C409/E409</f>
        <v/>
      </c>
      <c r="E409" s="4" t="n">
        <v>83.29000000000001</v>
      </c>
      <c r="F409" s="4">
        <f>D409/100000</f>
        <v/>
      </c>
      <c r="G409" s="4">
        <f>($D$1-F409)/F409*100</f>
        <v/>
      </c>
      <c r="H409" s="4">
        <f>($D$2-F409)/F409*100</f>
        <v/>
      </c>
      <c r="I409" s="4">
        <f>($D$3-F409)/F409*100</f>
        <v/>
      </c>
      <c r="J409" s="4">
        <f>F409/$F$10*100</f>
        <v/>
      </c>
      <c r="K409" s="4">
        <f>N409/L409</f>
        <v/>
      </c>
      <c r="L409" s="4">
        <f>(M409/O409)*100</f>
        <v/>
      </c>
      <c r="M409" s="4">
        <f>O409/R409</f>
        <v/>
      </c>
      <c r="N409" s="4" t="n">
        <v>7.07</v>
      </c>
      <c r="O409" s="4" t="n">
        <v>22123.65</v>
      </c>
      <c r="P409" s="4" t="n">
        <v>3.9</v>
      </c>
      <c r="Q409" s="4">
        <f>N409-L409</f>
        <v/>
      </c>
      <c r="R409" s="4" t="n">
        <v>22.84</v>
      </c>
      <c r="S409" s="4" t="n">
        <v>4.18</v>
      </c>
      <c r="T409" s="7">
        <f>N409-S409</f>
        <v/>
      </c>
      <c r="U409" s="4" t="n">
        <v>104.06</v>
      </c>
      <c r="V409" s="4">
        <f>(R409*W409)</f>
        <v/>
      </c>
      <c r="W409" s="6" t="n">
        <v>0.0702</v>
      </c>
      <c r="X409" s="4" t="n">
        <v>17685.85</v>
      </c>
      <c r="Y409" s="4" t="n">
        <v>26.74</v>
      </c>
      <c r="Z409" s="7">
        <f>X409/Y409</f>
        <v/>
      </c>
      <c r="AA409" s="7">
        <f>(Z409/X409)*100</f>
        <v/>
      </c>
      <c r="AB409" s="7" t="n">
        <v>14283.6</v>
      </c>
      <c r="AC409" s="7" t="n">
        <v>27.53</v>
      </c>
      <c r="AD409" s="7">
        <f>AB409/AC409</f>
        <v/>
      </c>
      <c r="AE409" s="7">
        <f>(AD409/AB409)*100</f>
        <v/>
      </c>
    </row>
    <row r="410">
      <c r="A410" s="5" t="n">
        <v>412</v>
      </c>
      <c r="B410" s="8" t="n">
        <v>45379</v>
      </c>
      <c r="C410" s="4" t="n">
        <v>38697657.52</v>
      </c>
      <c r="D410" s="4">
        <f>C410/E410</f>
        <v/>
      </c>
      <c r="E410" s="4" t="n">
        <v>83.34999999999999</v>
      </c>
      <c r="F410" s="4">
        <f>D410/100000</f>
        <v/>
      </c>
      <c r="G410" s="4">
        <f>($D$1-F410)/F410*100</f>
        <v/>
      </c>
      <c r="H410" s="4">
        <f>($D$2-F410)/F410*100</f>
        <v/>
      </c>
      <c r="I410" s="4">
        <f>($D$3-F410)/F410*100</f>
        <v/>
      </c>
      <c r="J410" s="4">
        <f>F410/$F$10*100</f>
        <v/>
      </c>
      <c r="K410" s="4">
        <f>N410/L410</f>
        <v/>
      </c>
      <c r="L410" s="4">
        <f>(M410/O410)*100</f>
        <v/>
      </c>
      <c r="M410" s="4">
        <f>O410/R410</f>
        <v/>
      </c>
      <c r="N410" s="4" t="n">
        <v>7.05</v>
      </c>
      <c r="O410" s="4" t="n">
        <v>22326.9</v>
      </c>
      <c r="P410" s="4" t="n">
        <v>3.94</v>
      </c>
      <c r="Q410" s="4">
        <f>N410-L410</f>
        <v/>
      </c>
      <c r="R410" s="4" t="n">
        <v>22.88</v>
      </c>
      <c r="S410" s="4" t="n">
        <v>4.2</v>
      </c>
      <c r="T410" s="7">
        <f>N410-S410</f>
        <v/>
      </c>
      <c r="U410" s="4" t="n">
        <v>104.26</v>
      </c>
      <c r="V410" s="4">
        <f>(R410*W410)</f>
        <v/>
      </c>
      <c r="W410" s="6" t="n">
        <v>0.0693</v>
      </c>
      <c r="X410" s="4" t="n">
        <v>17766</v>
      </c>
      <c r="Y410" s="4" t="n">
        <v>33.63</v>
      </c>
      <c r="Z410" s="7">
        <f>X410/Y410</f>
        <v/>
      </c>
      <c r="AA410" s="7">
        <f>(Z410/X410)*100</f>
        <v/>
      </c>
      <c r="AB410" s="7" t="n">
        <v>14330.5</v>
      </c>
      <c r="AC410" s="7" t="n">
        <v>26.6</v>
      </c>
      <c r="AD410" s="7">
        <f>AB410/AC410</f>
        <v/>
      </c>
      <c r="AE410" s="7">
        <f>(AD410/AB410)*100</f>
        <v/>
      </c>
    </row>
    <row r="411">
      <c r="A411" s="5" t="n">
        <v>416</v>
      </c>
      <c r="B411" s="8" t="n">
        <v>45383</v>
      </c>
      <c r="C411" s="4" t="n">
        <v>39320089.74</v>
      </c>
      <c r="D411" s="4">
        <f>C411/E411</f>
        <v/>
      </c>
      <c r="E411" s="4" t="n">
        <v>83.36</v>
      </c>
      <c r="F411" s="4">
        <f>D411/100000</f>
        <v/>
      </c>
      <c r="G411" s="4">
        <f>($D$1-F411)/F411*100</f>
        <v/>
      </c>
      <c r="H411" s="4">
        <f>($D$2-F411)/F411*100</f>
        <v/>
      </c>
      <c r="I411" s="4">
        <f>($D$3-F411)/F411*100</f>
        <v/>
      </c>
      <c r="J411" s="4">
        <f>F411/$F$10*100</f>
        <v/>
      </c>
      <c r="K411" s="4">
        <f>N411/L411</f>
        <v/>
      </c>
      <c r="L411" s="4">
        <f>(M411/O411)*100</f>
        <v/>
      </c>
      <c r="M411" s="4">
        <f>O411/R411</f>
        <v/>
      </c>
      <c r="N411" s="4" t="n">
        <v>7.1</v>
      </c>
      <c r="O411" s="4" t="n">
        <v>22462</v>
      </c>
      <c r="P411" s="4" t="n">
        <v>3.96</v>
      </c>
      <c r="Q411" s="4">
        <f>N411-L411</f>
        <v/>
      </c>
      <c r="R411" s="4" t="n">
        <v>23.02</v>
      </c>
      <c r="S411" s="4" t="n">
        <v>4.31</v>
      </c>
      <c r="T411" s="7">
        <f>N411-S411</f>
        <v/>
      </c>
      <c r="U411" s="4" t="n">
        <v>104.76</v>
      </c>
      <c r="V411" s="4">
        <f>(R411*W411)</f>
        <v/>
      </c>
      <c r="W411" s="6" t="n">
        <v>0.0693</v>
      </c>
      <c r="X411" s="4" t="n">
        <v>18084.7</v>
      </c>
      <c r="Y411" s="4" t="n">
        <v>34.24</v>
      </c>
      <c r="Z411" s="7">
        <f>X411/Y411</f>
        <v/>
      </c>
      <c r="AA411" s="7">
        <f>(Z411/X411)*100</f>
        <v/>
      </c>
      <c r="AB411" s="7" t="n">
        <v>14762.15</v>
      </c>
      <c r="AC411" s="7" t="n">
        <v>27.41</v>
      </c>
      <c r="AD411" s="7">
        <f>AB411/AC411</f>
        <v/>
      </c>
      <c r="AE411" s="7">
        <f>(AD411/AB411)*100</f>
        <v/>
      </c>
    </row>
    <row r="412">
      <c r="A412" s="5" t="n">
        <v>417</v>
      </c>
      <c r="B412" s="9" t="n">
        <v>45384</v>
      </c>
      <c r="C412" s="4" t="n">
        <v>39571607.96</v>
      </c>
      <c r="D412" s="4">
        <f>C412/E412</f>
        <v/>
      </c>
      <c r="E412" s="4" t="n">
        <v>83.31999999999999</v>
      </c>
      <c r="F412" s="4">
        <f>D412/100000</f>
        <v/>
      </c>
      <c r="G412" s="4">
        <f>($D$1-F412)/F412*100</f>
        <v/>
      </c>
      <c r="H412" s="4">
        <f>($D$2-F412)/F412*100</f>
        <v/>
      </c>
      <c r="I412" s="4">
        <f>($D$3-F412)/F412*100</f>
        <v/>
      </c>
      <c r="J412" s="4">
        <f>F412/$F$10*100</f>
        <v/>
      </c>
      <c r="K412" s="4">
        <f>N412/L412</f>
        <v/>
      </c>
      <c r="L412" s="4">
        <f>(M412/O412)*100</f>
        <v/>
      </c>
      <c r="M412" s="4">
        <f>O412/R412</f>
        <v/>
      </c>
      <c r="N412" s="4" t="n">
        <v>7.1</v>
      </c>
      <c r="O412" s="4" t="n">
        <v>22453.3</v>
      </c>
      <c r="P412" s="4" t="n">
        <v>3.96</v>
      </c>
      <c r="Q412" s="4">
        <f>N412-L412</f>
        <v/>
      </c>
      <c r="R412" s="4" t="n">
        <v>23.01</v>
      </c>
      <c r="S412" s="4" t="n">
        <v>4.35</v>
      </c>
      <c r="T412" s="7">
        <f>N412-S412</f>
        <v/>
      </c>
      <c r="U412" s="4" t="n">
        <v>104.56</v>
      </c>
      <c r="V412" s="4">
        <f>(R412*W412)</f>
        <v/>
      </c>
      <c r="W412" s="6" t="n">
        <v>0.0682</v>
      </c>
      <c r="X412" s="4" t="n">
        <v>18286.35</v>
      </c>
      <c r="Y412" s="4" t="n">
        <v>34.62</v>
      </c>
      <c r="Z412" s="7">
        <f>X412/Y412</f>
        <v/>
      </c>
      <c r="AA412" s="7">
        <f>(Z412/X412)*100</f>
        <v/>
      </c>
      <c r="AB412" s="7" t="n">
        <v>14908.3</v>
      </c>
      <c r="AC412" s="7" t="n">
        <v>27.68</v>
      </c>
      <c r="AD412" s="7">
        <f>AB412/AC412</f>
        <v/>
      </c>
      <c r="AE412" s="7">
        <f>(AD412/AB412)*100</f>
        <v/>
      </c>
    </row>
    <row r="413">
      <c r="A413" s="5" t="n">
        <v>418</v>
      </c>
      <c r="B413" s="9" t="n">
        <v>45385</v>
      </c>
      <c r="C413" s="4" t="n">
        <v>39749671.79</v>
      </c>
      <c r="D413" s="4">
        <f>C413/E413</f>
        <v/>
      </c>
      <c r="E413" s="4" t="n">
        <v>83.5</v>
      </c>
      <c r="F413" s="4">
        <f>D413/100000</f>
        <v/>
      </c>
      <c r="G413" s="4">
        <f>($D$1-F413)/F413*100</f>
        <v/>
      </c>
      <c r="H413" s="4">
        <f>($D$2-F413)/F413*100</f>
        <v/>
      </c>
      <c r="I413" s="4">
        <f>($D$3-F413)/F413*100</f>
        <v/>
      </c>
      <c r="J413" s="4">
        <f>F413/$F$10*100</f>
        <v/>
      </c>
      <c r="K413" s="4">
        <f>N413/L413</f>
        <v/>
      </c>
      <c r="L413" s="4">
        <f>(M413/O413)*100</f>
        <v/>
      </c>
      <c r="M413" s="4">
        <f>O413/R413</f>
        <v/>
      </c>
      <c r="N413" s="4" t="n">
        <v>7.09</v>
      </c>
      <c r="O413" s="4" t="n">
        <v>22434.65</v>
      </c>
      <c r="P413" s="4" t="n">
        <v>3.96</v>
      </c>
      <c r="Q413" s="4">
        <f>N413-L413</f>
        <v/>
      </c>
      <c r="R413" s="4" t="n">
        <v>22.99</v>
      </c>
      <c r="S413" s="4" t="n">
        <v>4.35</v>
      </c>
      <c r="T413" s="7">
        <f>N413-S413</f>
        <v/>
      </c>
      <c r="U413" s="4" t="n">
        <v>103.99</v>
      </c>
      <c r="V413" s="4">
        <f>(R413*W413)</f>
        <v/>
      </c>
      <c r="W413" s="6" t="n">
        <v>0.06809999999999999</v>
      </c>
      <c r="X413" s="4" t="n">
        <v>18378.6</v>
      </c>
      <c r="Y413" s="4" t="n">
        <v>34.78</v>
      </c>
      <c r="Z413" s="7">
        <f>X413/Y413</f>
        <v/>
      </c>
      <c r="AA413" s="7">
        <f>(Z413/X413)*100</f>
        <v/>
      </c>
      <c r="AB413" s="7" t="n">
        <v>15065.35</v>
      </c>
      <c r="AC413" s="7" t="n">
        <v>27.97</v>
      </c>
      <c r="AD413" s="7">
        <f>AB413/AC413</f>
        <v/>
      </c>
      <c r="AE413" s="7">
        <f>(AD413/AB413)*100</f>
        <v/>
      </c>
    </row>
    <row r="414">
      <c r="A414" s="5" t="n">
        <v>419</v>
      </c>
      <c r="B414" s="9" t="n">
        <v>45386</v>
      </c>
      <c r="C414" s="4" t="n">
        <v>39839596.9</v>
      </c>
      <c r="D414" s="4">
        <f>C414/E414</f>
        <v/>
      </c>
      <c r="E414" s="4" t="n">
        <v>83.34</v>
      </c>
      <c r="F414" s="4">
        <f>D414/100000</f>
        <v/>
      </c>
      <c r="G414" s="4">
        <f>($D$1-F414)/F414*100</f>
        <v/>
      </c>
      <c r="H414" s="4">
        <f>($D$2-F414)/F414*100</f>
        <v/>
      </c>
      <c r="I414" s="4">
        <f>($D$3-F414)/F414*100</f>
        <v/>
      </c>
      <c r="J414" s="4">
        <f>F414/$F$10*100</f>
        <v/>
      </c>
      <c r="K414" s="4">
        <f>N414/L414</f>
        <v/>
      </c>
      <c r="L414" s="4">
        <f>(M414/O414)*100</f>
        <v/>
      </c>
      <c r="M414" s="4">
        <f>O414/R414</f>
        <v/>
      </c>
      <c r="N414" s="4" t="n">
        <v>7.11</v>
      </c>
      <c r="O414" s="4" t="n">
        <v>22514.65</v>
      </c>
      <c r="P414" s="4" t="n">
        <v>3.97</v>
      </c>
      <c r="Q414" s="4">
        <f>N414-L414</f>
        <v/>
      </c>
      <c r="R414" s="4" t="n">
        <v>23.07</v>
      </c>
      <c r="S414" s="4" t="n">
        <v>4.3</v>
      </c>
      <c r="T414" s="7">
        <f>N414-S414</f>
        <v/>
      </c>
      <c r="U414" s="4" t="n">
        <v>103.89</v>
      </c>
      <c r="V414" s="4">
        <f>(R414*W414)</f>
        <v/>
      </c>
      <c r="W414" s="6" t="n">
        <v>0.0682</v>
      </c>
      <c r="X414" s="4" t="n">
        <v>18385.95</v>
      </c>
      <c r="Y414" s="4" t="n">
        <v>34.8</v>
      </c>
      <c r="Z414" s="7">
        <f>X414/Y414</f>
        <v/>
      </c>
      <c r="AA414" s="7">
        <f>(Z414/X414)*100</f>
        <v/>
      </c>
      <c r="AB414" s="7" t="n">
        <v>15159.25</v>
      </c>
      <c r="AC414" s="7" t="n">
        <v>28.14</v>
      </c>
      <c r="AD414" s="7">
        <f>AB414/AC414</f>
        <v/>
      </c>
      <c r="AE414" s="7">
        <f>(AD414/AB414)*100</f>
        <v/>
      </c>
    </row>
    <row r="415">
      <c r="A415" s="5" t="n">
        <v>420</v>
      </c>
      <c r="B415" s="8" t="n">
        <v>45387</v>
      </c>
      <c r="C415" s="4" t="n">
        <v>39946754.22</v>
      </c>
      <c r="D415" s="4">
        <f>C415/E415</f>
        <v/>
      </c>
      <c r="E415" s="4" t="n">
        <v>83.29000000000001</v>
      </c>
      <c r="F415" s="4">
        <f>D415/100000</f>
        <v/>
      </c>
      <c r="G415" s="4">
        <f>($D$1-F415)/F415*100</f>
        <v/>
      </c>
      <c r="H415" s="4">
        <f>($D$2-F415)/F415*100</f>
        <v/>
      </c>
      <c r="I415" s="4">
        <f>($D$3-F415)/F415*100</f>
        <v/>
      </c>
      <c r="J415" s="4">
        <f>F415/$F$10*100</f>
        <v/>
      </c>
      <c r="K415" s="4">
        <f>N415/L415</f>
        <v/>
      </c>
      <c r="L415" s="4">
        <f>(M415/O415)*100</f>
        <v/>
      </c>
      <c r="M415" s="4">
        <f>O415/R415</f>
        <v/>
      </c>
      <c r="N415" s="4" t="n">
        <v>7.15</v>
      </c>
      <c r="O415" s="4" t="n">
        <v>22513.7</v>
      </c>
      <c r="P415" s="4" t="n">
        <v>3.97</v>
      </c>
      <c r="Q415" s="4">
        <f>N415-L415</f>
        <v/>
      </c>
      <c r="R415" s="4" t="n">
        <v>23.07</v>
      </c>
      <c r="S415" s="4" t="n">
        <v>4.4</v>
      </c>
      <c r="T415" s="7">
        <f>N415-S415</f>
        <v/>
      </c>
      <c r="U415" s="4" t="n">
        <v>104.07</v>
      </c>
      <c r="V415" s="4">
        <f>(R415*W415)</f>
        <v/>
      </c>
      <c r="W415" s="6" t="n">
        <v>0.0679</v>
      </c>
      <c r="X415" s="4" t="n">
        <v>18473.25</v>
      </c>
      <c r="Y415" s="4" t="n">
        <v>34.96</v>
      </c>
      <c r="Z415" s="7">
        <f>X415/Y415</f>
        <v/>
      </c>
      <c r="AA415" s="7">
        <f>(Z415/X415)*100</f>
        <v/>
      </c>
      <c r="AB415" s="7" t="n">
        <v>15248.2</v>
      </c>
      <c r="AC415" s="7" t="n">
        <v>28.31</v>
      </c>
      <c r="AD415" s="7">
        <f>AB415/AC415</f>
        <v/>
      </c>
      <c r="AE415" s="7">
        <f>(AD415/AB415)*100</f>
        <v/>
      </c>
    </row>
    <row r="416">
      <c r="A416" s="5" t="n">
        <v>423</v>
      </c>
      <c r="B416" s="9" t="n">
        <v>45390</v>
      </c>
      <c r="C416" s="4" t="n">
        <v>40099215.37</v>
      </c>
      <c r="D416" s="4">
        <f>C416/E416</f>
        <v/>
      </c>
      <c r="E416" s="4" t="n">
        <v>83.27</v>
      </c>
      <c r="F416" s="4">
        <f>D416/100000</f>
        <v/>
      </c>
      <c r="G416" s="4">
        <f>($D$1-F416)/F416*100</f>
        <v/>
      </c>
      <c r="H416" s="4">
        <f>($D$2-F416)/F416*100</f>
        <v/>
      </c>
      <c r="I416" s="4">
        <f>($D$3-F416)/F416*100</f>
        <v/>
      </c>
      <c r="J416" s="4">
        <f>F416/$F$10*100</f>
        <v/>
      </c>
      <c r="K416" s="4">
        <f>N416/L416</f>
        <v/>
      </c>
      <c r="L416" s="4">
        <f>(M416/O416)*100</f>
        <v/>
      </c>
      <c r="M416" s="4">
        <f>O416/R416</f>
        <v/>
      </c>
      <c r="N416" s="4" t="n">
        <v>7.11</v>
      </c>
      <c r="O416" s="4" t="n">
        <v>22666.3</v>
      </c>
      <c r="P416" s="4" t="n">
        <v>4</v>
      </c>
      <c r="Q416" s="4">
        <f>N416-L416</f>
        <v/>
      </c>
      <c r="R416" s="4" t="n">
        <v>23.23</v>
      </c>
      <c r="S416" s="4" t="n">
        <v>4.42</v>
      </c>
      <c r="T416" s="7">
        <f>N416-S416</f>
        <v/>
      </c>
      <c r="U416" s="4" t="n">
        <v>103.9</v>
      </c>
      <c r="V416" s="4">
        <f>(R416*W416)</f>
        <v/>
      </c>
      <c r="W416" s="6" t="n">
        <v>0.0682</v>
      </c>
      <c r="X416" s="4" t="n">
        <v>18511.15</v>
      </c>
      <c r="Y416" s="4" t="n">
        <v>35.04</v>
      </c>
      <c r="Z416" s="7">
        <f>X416/Y416</f>
        <v/>
      </c>
      <c r="AA416" s="7">
        <f>(Z416/X416)*100</f>
        <v/>
      </c>
      <c r="AB416" s="7" t="n">
        <v>15286.55</v>
      </c>
      <c r="AC416" s="7" t="n">
        <v>28.38</v>
      </c>
      <c r="AD416" s="7">
        <f>AB416/AC416</f>
        <v/>
      </c>
      <c r="AE416" s="7">
        <f>(AD416/AB416)*100</f>
        <v/>
      </c>
    </row>
    <row r="417">
      <c r="A417" s="5" t="n">
        <v>424</v>
      </c>
      <c r="B417" s="8" t="n">
        <v>45391</v>
      </c>
      <c r="C417" s="4" t="n">
        <v>40011543.28</v>
      </c>
      <c r="D417" s="4">
        <f>C417/E417</f>
        <v/>
      </c>
      <c r="E417" s="4" t="n">
        <v>83.18000000000001</v>
      </c>
      <c r="F417" s="4">
        <f>D417/100000</f>
        <v/>
      </c>
      <c r="G417" s="4">
        <f>($D$1-F417)/F417*100</f>
        <v/>
      </c>
      <c r="H417" s="4">
        <f>($D$2-F417)/F417*100</f>
        <v/>
      </c>
      <c r="I417" s="4">
        <f>($D$3-F417)/F417*100</f>
        <v/>
      </c>
      <c r="J417" s="4">
        <f>F417/$F$10*100</f>
        <v/>
      </c>
      <c r="K417" s="4">
        <f>N417/L417</f>
        <v/>
      </c>
      <c r="L417" s="4">
        <f>(M417/O417)*100</f>
        <v/>
      </c>
      <c r="M417" s="4">
        <f>O417/R417</f>
        <v/>
      </c>
      <c r="N417" s="4" t="n">
        <v>7.15</v>
      </c>
      <c r="O417" s="4" t="n">
        <v>22642.75</v>
      </c>
      <c r="P417" s="4" t="n">
        <v>3.99</v>
      </c>
      <c r="Q417" s="4">
        <f>N417-L417</f>
        <v/>
      </c>
      <c r="R417" s="4" t="n">
        <v>23.2</v>
      </c>
      <c r="S417" s="4" t="n">
        <v>4.36</v>
      </c>
      <c r="T417" s="7">
        <f>N417-S417</f>
        <v/>
      </c>
      <c r="U417" s="4" t="n">
        <v>103.92</v>
      </c>
      <c r="V417" s="4">
        <f>(R417*W417)</f>
        <v/>
      </c>
      <c r="W417" s="6" t="n">
        <v>0.0683</v>
      </c>
      <c r="X417" s="4" t="n">
        <v>18465.55</v>
      </c>
      <c r="Y417" s="4" t="n">
        <v>34.95</v>
      </c>
      <c r="Z417" s="7">
        <f>X417/Y417</f>
        <v/>
      </c>
      <c r="AA417" s="7">
        <f>(Z417/X417)*100</f>
        <v/>
      </c>
      <c r="AB417" s="7" t="n">
        <v>15293.4</v>
      </c>
      <c r="AC417" s="7" t="n">
        <v>28.39</v>
      </c>
      <c r="AD417" s="7">
        <f>AB417/AC417</f>
        <v/>
      </c>
      <c r="AE417" s="7">
        <f>(AD417/AB417)*100</f>
        <v/>
      </c>
    </row>
    <row r="418">
      <c r="A418" s="5" t="n">
        <v>425</v>
      </c>
      <c r="B418" s="9" t="n">
        <v>45392</v>
      </c>
      <c r="C418" s="4" t="n">
        <v>40240219.26</v>
      </c>
      <c r="D418" s="4">
        <f>C418/E418</f>
        <v/>
      </c>
      <c r="E418" s="4" t="n">
        <v>83.38</v>
      </c>
      <c r="F418" s="4">
        <f>D418/100000</f>
        <v/>
      </c>
      <c r="G418" s="4">
        <f>($D$1-F418)/F418*100</f>
        <v/>
      </c>
      <c r="H418" s="4">
        <f>($D$2-F418)/F418*100</f>
        <v/>
      </c>
      <c r="I418" s="4">
        <f>($D$3-F418)/F418*100</f>
        <v/>
      </c>
      <c r="J418" s="4">
        <f>F418/$F$10*100</f>
        <v/>
      </c>
      <c r="K418" s="4">
        <f>N418/L418</f>
        <v/>
      </c>
      <c r="L418" s="4">
        <f>(M418/O418)*100</f>
        <v/>
      </c>
      <c r="M418" s="4">
        <f>O418/R418</f>
        <v/>
      </c>
      <c r="N418" s="4" t="n">
        <v>7.11</v>
      </c>
      <c r="O418" s="4" t="n">
        <v>22753.8</v>
      </c>
      <c r="P418" s="4" t="n">
        <v>4.01</v>
      </c>
      <c r="Q418" s="4">
        <f>N418-L418</f>
        <v/>
      </c>
      <c r="R418" s="4" t="n">
        <v>23.32</v>
      </c>
      <c r="S418" s="4" t="n">
        <v>4.54</v>
      </c>
      <c r="T418" s="7">
        <f>N418-S418</f>
        <v/>
      </c>
      <c r="U418" s="4" t="n">
        <v>105.03</v>
      </c>
      <c r="V418" s="4">
        <f>(R418*W418)</f>
        <v/>
      </c>
      <c r="W418" s="6" t="n">
        <v>0.0683</v>
      </c>
      <c r="X418" s="4" t="n">
        <v>18625.4</v>
      </c>
      <c r="Y418" s="4" t="n">
        <v>35.19</v>
      </c>
      <c r="Z418" s="7">
        <f>X418/Y418</f>
        <v/>
      </c>
      <c r="AA418" s="7">
        <f>(Z418/X418)*100</f>
        <v/>
      </c>
      <c r="AB418" s="7" t="n">
        <v>15384.5</v>
      </c>
      <c r="AC418" s="7" t="n">
        <v>28.56</v>
      </c>
      <c r="AD418" s="7">
        <f>AB418/AC418</f>
        <v/>
      </c>
      <c r="AE418" s="7">
        <f>(AD418/AB418)*100</f>
        <v/>
      </c>
    </row>
    <row r="419">
      <c r="A419" s="5" t="n">
        <v>427</v>
      </c>
      <c r="B419" s="9" t="n">
        <v>45394</v>
      </c>
      <c r="C419" s="4" t="n">
        <v>39989013.97</v>
      </c>
      <c r="D419" s="4">
        <f>C419/E419</f>
        <v/>
      </c>
      <c r="E419" s="4" t="n">
        <v>83.54000000000001</v>
      </c>
      <c r="F419" s="4">
        <f>D419/100000</f>
        <v/>
      </c>
      <c r="G419" s="4">
        <f>($D$1-F419)/F419*100</f>
        <v/>
      </c>
      <c r="H419" s="4">
        <f>($D$2-F419)/F419*100</f>
        <v/>
      </c>
      <c r="I419" s="4">
        <f>($D$3-F419)/F419*100</f>
        <v/>
      </c>
      <c r="J419" s="4">
        <f>F419/$F$10*100</f>
        <v/>
      </c>
      <c r="K419" s="4">
        <f>N419/L419</f>
        <v/>
      </c>
      <c r="L419" s="4">
        <f>(M419/O419)*100</f>
        <v/>
      </c>
      <c r="M419" s="4">
        <f>O419/R419</f>
        <v/>
      </c>
      <c r="N419" s="4" t="n">
        <v>7.17</v>
      </c>
      <c r="O419" s="4" t="n">
        <v>22519.4</v>
      </c>
      <c r="P419" s="4" t="n">
        <v>3.95</v>
      </c>
      <c r="Q419" s="4">
        <f>N419-L419</f>
        <v/>
      </c>
      <c r="R419" s="4" t="n">
        <v>23.08</v>
      </c>
      <c r="S419" s="4" t="n">
        <v>4.51</v>
      </c>
      <c r="T419" s="7">
        <f>N419-S419</f>
        <v/>
      </c>
      <c r="U419" s="4" t="n">
        <v>105.83</v>
      </c>
      <c r="V419" s="4">
        <f>(R419*W419)</f>
        <v/>
      </c>
      <c r="W419" s="6" t="n">
        <v>0.0684</v>
      </c>
      <c r="X419" s="4" t="n">
        <v>18534.7</v>
      </c>
      <c r="Y419" s="4" t="n">
        <v>35.02</v>
      </c>
      <c r="Z419" s="7">
        <f>X419/Y419</f>
        <v/>
      </c>
      <c r="AA419" s="7">
        <f>(Z419/X419)*100</f>
        <v/>
      </c>
      <c r="AB419" s="7" t="n">
        <v>15322.15</v>
      </c>
      <c r="AC419" s="7" t="n">
        <v>28.44</v>
      </c>
      <c r="AD419" s="7">
        <f>AB419/AC419</f>
        <v/>
      </c>
      <c r="AE419" s="7">
        <f>(AD419/AB419)*100</f>
        <v/>
      </c>
    </row>
    <row r="420">
      <c r="A420" s="5" t="n">
        <v>430</v>
      </c>
      <c r="B420" s="9" t="n">
        <v>45397</v>
      </c>
      <c r="C420" s="4" t="n">
        <v>39456548.15</v>
      </c>
      <c r="D420" s="4">
        <f>C420/E420</f>
        <v/>
      </c>
      <c r="E420" s="4" t="n">
        <v>83.48</v>
      </c>
      <c r="F420" s="4">
        <f>D420/100000</f>
        <v/>
      </c>
      <c r="G420" s="4">
        <f>($D$1-F420)/F420*100</f>
        <v/>
      </c>
      <c r="H420" s="4">
        <f>($D$2-F420)/F420*100</f>
        <v/>
      </c>
      <c r="I420" s="4">
        <f>($D$3-F420)/F420*100</f>
        <v/>
      </c>
      <c r="J420" s="4">
        <f>F420/$F$10*100</f>
        <v/>
      </c>
      <c r="K420" s="4">
        <f>N420/L420</f>
        <v/>
      </c>
      <c r="L420" s="4">
        <f>(M420/O420)*100</f>
        <v/>
      </c>
      <c r="M420" s="4">
        <f>O420/R420</f>
        <v/>
      </c>
      <c r="N420" s="4" t="n">
        <v>7.17</v>
      </c>
      <c r="O420" s="4" t="n">
        <v>22272.5</v>
      </c>
      <c r="P420" s="4" t="n">
        <v>3.91</v>
      </c>
      <c r="Q420" s="4">
        <f>N420-L420</f>
        <v/>
      </c>
      <c r="R420" s="4" t="n">
        <v>22.82</v>
      </c>
      <c r="S420" s="4" t="n">
        <v>4.61</v>
      </c>
      <c r="T420" s="7">
        <f>N420-S420</f>
        <v/>
      </c>
      <c r="U420" s="4" t="n">
        <v>105.99</v>
      </c>
      <c r="V420" s="4">
        <f>(R420*W420)</f>
        <v/>
      </c>
      <c r="W420" s="6" t="n">
        <v>0.0684</v>
      </c>
      <c r="X420" s="4" t="n">
        <v>18283.2</v>
      </c>
      <c r="Y420" s="4" t="n">
        <v>34.55</v>
      </c>
      <c r="Z420" s="7">
        <f>X420/Y420</f>
        <v/>
      </c>
      <c r="AA420" s="7">
        <f>(Z420/X420)*100</f>
        <v/>
      </c>
      <c r="AB420" s="7" t="n">
        <v>15086.65</v>
      </c>
      <c r="AC420" s="7" t="n">
        <v>28.01</v>
      </c>
      <c r="AD420" s="7">
        <f>AB420/AC420</f>
        <v/>
      </c>
      <c r="AE420" s="7">
        <f>(AD420/AB420)*100</f>
        <v/>
      </c>
    </row>
    <row r="421">
      <c r="A421" s="5" t="n">
        <v>431</v>
      </c>
      <c r="B421" s="9" t="n">
        <v>45398</v>
      </c>
      <c r="C421" s="4" t="n">
        <v>39444173.19</v>
      </c>
      <c r="D421" s="4">
        <f>C421/E421</f>
        <v/>
      </c>
      <c r="E421" s="4" t="n">
        <v>83.63</v>
      </c>
      <c r="F421" s="4">
        <f>D421/100000</f>
        <v/>
      </c>
      <c r="G421" s="4">
        <f>($D$1-F421)/F421*100</f>
        <v/>
      </c>
      <c r="H421" s="4">
        <f>($D$2-F421)/F421*100</f>
        <v/>
      </c>
      <c r="I421" s="4">
        <f>($D$3-F421)/F421*100</f>
        <v/>
      </c>
      <c r="J421" s="4">
        <f>F421/$F$10*100</f>
        <v/>
      </c>
      <c r="K421" s="4">
        <f>N421/L421</f>
        <v/>
      </c>
      <c r="L421" s="4">
        <f>(M421/O421)*100</f>
        <v/>
      </c>
      <c r="M421" s="4">
        <f>O421/R421</f>
        <v/>
      </c>
      <c r="N421" s="4" t="n">
        <v>7.19</v>
      </c>
      <c r="O421" s="4" t="n">
        <v>22147.9</v>
      </c>
      <c r="P421" s="4" t="n">
        <v>3.88</v>
      </c>
      <c r="Q421" s="4">
        <f>N421-L421</f>
        <v/>
      </c>
      <c r="R421" s="4" t="n">
        <v>22.68</v>
      </c>
      <c r="S421" s="4" t="n">
        <v>4.66</v>
      </c>
      <c r="T421" s="7">
        <f>N421-S421</f>
        <v/>
      </c>
      <c r="U421" s="4" t="n">
        <v>106.06</v>
      </c>
      <c r="V421" s="4">
        <f>(R421*W421)</f>
        <v/>
      </c>
      <c r="W421" s="6" t="n">
        <v>0.0684</v>
      </c>
      <c r="X421" s="4" t="n">
        <v>18260.6</v>
      </c>
      <c r="Y421" s="4" t="n">
        <v>34.5</v>
      </c>
      <c r="Z421" s="7">
        <f>X421/Y421</f>
        <v/>
      </c>
      <c r="AA421" s="7">
        <f>(Z421/X421)*100</f>
        <v/>
      </c>
      <c r="AB421" s="7" t="n">
        <v>15183.7</v>
      </c>
      <c r="AC421" s="7" t="n">
        <v>28.18</v>
      </c>
      <c r="AD421" s="7">
        <f>AB421/AC421</f>
        <v/>
      </c>
      <c r="AE421" s="7">
        <f>(AD421/AB421)*100</f>
        <v/>
      </c>
    </row>
    <row r="422">
      <c r="A422" s="5" t="n">
        <v>433</v>
      </c>
      <c r="B422" s="9" t="n">
        <v>45400</v>
      </c>
      <c r="C422" s="4" t="n">
        <v>39308157.05</v>
      </c>
      <c r="D422" s="4">
        <f>C422/E422</f>
        <v/>
      </c>
      <c r="E422" s="4" t="n">
        <v>83.53</v>
      </c>
      <c r="F422" s="4">
        <f>D422/100000</f>
        <v/>
      </c>
      <c r="G422" s="4">
        <f>($D$1-F422)/F422*100</f>
        <v/>
      </c>
      <c r="H422" s="4">
        <f>($D$2-F422)/F422*100</f>
        <v/>
      </c>
      <c r="I422" s="4">
        <f>($D$3-F422)/F422*100</f>
        <v/>
      </c>
      <c r="J422" s="4">
        <f>F422/$F$10*100</f>
        <v/>
      </c>
      <c r="K422" s="4">
        <f>N422/L422</f>
        <v/>
      </c>
      <c r="L422" s="4">
        <f>(M422/O422)*100</f>
        <v/>
      </c>
      <c r="M422" s="4">
        <f>O422/R422</f>
        <v/>
      </c>
      <c r="N422" s="4" t="n">
        <v>7.18</v>
      </c>
      <c r="O422" s="4" t="n">
        <v>21995.85</v>
      </c>
      <c r="P422" s="4" t="n">
        <v>3.86</v>
      </c>
      <c r="Q422" s="4">
        <f>N422-L422</f>
        <v/>
      </c>
      <c r="R422" s="4" t="n">
        <v>22.53</v>
      </c>
      <c r="S422" s="4" t="n">
        <v>4.63</v>
      </c>
      <c r="T422" s="7">
        <f>N422-S422</f>
        <v/>
      </c>
      <c r="U422" s="4" t="n">
        <v>105.98</v>
      </c>
      <c r="V422" s="4">
        <f>(R422*W422)</f>
        <v/>
      </c>
      <c r="W422" s="6" t="n">
        <v>0.0688</v>
      </c>
      <c r="X422" s="4" t="n">
        <v>18195.65</v>
      </c>
      <c r="Y422" s="4" t="n">
        <v>34.38</v>
      </c>
      <c r="Z422" s="7">
        <f>X422/Y422</f>
        <v/>
      </c>
      <c r="AA422" s="7">
        <f>(Z422/X422)*100</f>
        <v/>
      </c>
      <c r="AB422" s="7" t="n">
        <v>15180.6</v>
      </c>
      <c r="AC422" s="7" t="n">
        <v>28.18</v>
      </c>
      <c r="AD422" s="7">
        <f>AB422/AC422</f>
        <v/>
      </c>
      <c r="AE422" s="7">
        <f>(AD422/AB422)*100</f>
        <v/>
      </c>
    </row>
    <row r="423">
      <c r="A423" s="5" t="n">
        <v>434</v>
      </c>
      <c r="B423" s="9" t="n">
        <v>45401</v>
      </c>
      <c r="C423" s="4" t="n">
        <v>39361808.41</v>
      </c>
      <c r="D423" s="4">
        <f>C423/E423</f>
        <v/>
      </c>
      <c r="E423" s="4" t="n">
        <v>83.34999999999999</v>
      </c>
      <c r="F423" s="4">
        <f>D423/100000</f>
        <v/>
      </c>
      <c r="G423" s="4">
        <f>($D$1-F423)/F423*100</f>
        <v/>
      </c>
      <c r="H423" s="4">
        <f>($D$2-F423)/F423*100</f>
        <v/>
      </c>
      <c r="I423" s="4">
        <f>($D$3-F423)/F423*100</f>
        <v/>
      </c>
      <c r="J423" s="4">
        <f>F423/$F$10*100</f>
        <v/>
      </c>
      <c r="K423" s="4">
        <f>N423/L423</f>
        <v/>
      </c>
      <c r="L423" s="4">
        <f>(M423/O423)*100</f>
        <v/>
      </c>
      <c r="M423" s="4">
        <f>O423/R423</f>
        <v/>
      </c>
      <c r="N423" s="4" t="n">
        <v>7.22</v>
      </c>
      <c r="O423" s="4" t="n">
        <v>22147</v>
      </c>
      <c r="P423" s="4" t="n">
        <v>3.88</v>
      </c>
      <c r="Q423" s="4">
        <f>N423-L423</f>
        <v/>
      </c>
      <c r="R423" s="4" t="n">
        <v>22.68</v>
      </c>
      <c r="S423" s="4" t="n">
        <v>4.62</v>
      </c>
      <c r="T423" s="7">
        <f>N423-S423</f>
        <v/>
      </c>
      <c r="U423" s="4" t="n">
        <v>105.98</v>
      </c>
      <c r="V423" s="4">
        <f>(R423*W423)</f>
        <v/>
      </c>
      <c r="W423" s="6" t="n">
        <v>0.0689</v>
      </c>
      <c r="X423" s="4" t="n">
        <v>18111.25</v>
      </c>
      <c r="Y423" s="4" t="n">
        <v>34.22</v>
      </c>
      <c r="Z423" s="7">
        <f>X423/Y423</f>
        <v/>
      </c>
      <c r="AA423" s="7">
        <f>(Z423/X423)*100</f>
        <v/>
      </c>
      <c r="AB423" s="7" t="n">
        <v>15162.2</v>
      </c>
      <c r="AC423" s="7" t="n">
        <v>28.12</v>
      </c>
      <c r="AD423" s="7">
        <f>AB423/AC423</f>
        <v/>
      </c>
      <c r="AE423" s="7">
        <f>(AD423/AB423)*100</f>
        <v/>
      </c>
    </row>
    <row r="424">
      <c r="A424" s="5" t="n">
        <v>437</v>
      </c>
      <c r="B424" s="9" t="n">
        <v>45404</v>
      </c>
      <c r="C424" s="4" t="n">
        <v>39796943.29</v>
      </c>
      <c r="D424" s="4">
        <f>C424/E424</f>
        <v/>
      </c>
      <c r="E424" s="4" t="n">
        <v>83.36</v>
      </c>
      <c r="F424" s="4">
        <f>D424/100000</f>
        <v/>
      </c>
      <c r="G424" s="4">
        <f>($D$1-F424)/F424*100</f>
        <v/>
      </c>
      <c r="H424" s="4">
        <f>($D$2-F424)/F424*100</f>
        <v/>
      </c>
      <c r="I424" s="4">
        <f>($D$3-F424)/F424*100</f>
        <v/>
      </c>
      <c r="J424" s="4">
        <f>F424/$F$10*100</f>
        <v/>
      </c>
      <c r="K424" s="4">
        <f>N424/L424</f>
        <v/>
      </c>
      <c r="L424" s="4">
        <f>(M424/O424)*100</f>
        <v/>
      </c>
      <c r="M424" s="4">
        <f>O424/R424</f>
        <v/>
      </c>
      <c r="N424" s="4" t="n">
        <v>7.19</v>
      </c>
      <c r="O424" s="4" t="n">
        <v>22336.4</v>
      </c>
      <c r="P424" s="4" t="n">
        <v>3.92</v>
      </c>
      <c r="Q424" s="4">
        <f>N424-L424</f>
        <v/>
      </c>
      <c r="R424" s="4" t="n">
        <v>22.78</v>
      </c>
      <c r="S424" s="4" t="n">
        <v>4.61</v>
      </c>
      <c r="T424" s="7">
        <f>N424-S424</f>
        <v/>
      </c>
      <c r="U424" s="4" t="n">
        <v>105.91</v>
      </c>
      <c r="V424" s="4">
        <f>(R424*W424)</f>
        <v/>
      </c>
      <c r="W424" s="6" t="n">
        <v>0.0688</v>
      </c>
      <c r="X424" s="4" t="n">
        <v>18234.3</v>
      </c>
      <c r="Y424" s="4" t="n">
        <v>34.43</v>
      </c>
      <c r="Z424" s="7">
        <f>X424/Y424</f>
        <v/>
      </c>
      <c r="AA424" s="7">
        <f>(Z424/X424)*100</f>
        <v/>
      </c>
      <c r="AB424" s="7" t="n">
        <v>15338</v>
      </c>
      <c r="AC424" s="7" t="n">
        <v>28.5</v>
      </c>
      <c r="AD424" s="7">
        <f>AB424/AC424</f>
        <v/>
      </c>
      <c r="AE424" s="7">
        <f>(AD424/AB424)*100</f>
        <v/>
      </c>
    </row>
    <row r="425">
      <c r="A425" s="5" t="n">
        <v>438</v>
      </c>
      <c r="B425" s="9" t="n">
        <v>45405</v>
      </c>
      <c r="C425" s="4" t="n">
        <v>39989720.64</v>
      </c>
      <c r="D425" s="4">
        <f>C425/E425</f>
        <v/>
      </c>
      <c r="E425" s="4" t="n">
        <v>83.26000000000001</v>
      </c>
      <c r="F425" s="4">
        <f>D425/100000</f>
        <v/>
      </c>
      <c r="G425" s="4">
        <f>($D$1-F425)/F425*100</f>
        <v/>
      </c>
      <c r="H425" s="4">
        <f>($D$2-F425)/F425*100</f>
        <v/>
      </c>
      <c r="I425" s="4">
        <f>($D$3-F425)/F425*100</f>
        <v/>
      </c>
      <c r="J425" s="4">
        <f>F425/$F$10*100</f>
        <v/>
      </c>
      <c r="K425" s="4">
        <f>N425/L425</f>
        <v/>
      </c>
      <c r="L425" s="4">
        <f>(M425/O425)*100</f>
        <v/>
      </c>
      <c r="M425" s="4">
        <f>O425/R425</f>
        <v/>
      </c>
      <c r="N425" s="4" t="n">
        <v>7.16</v>
      </c>
      <c r="O425" s="4" t="n">
        <v>22368</v>
      </c>
      <c r="P425" s="4" t="n">
        <v>3.92</v>
      </c>
      <c r="Q425" s="4">
        <f>N425-L425</f>
        <v/>
      </c>
      <c r="R425" s="4" t="n">
        <v>22.54</v>
      </c>
      <c r="S425" s="4" t="n">
        <v>4.6</v>
      </c>
      <c r="T425" s="7">
        <f>N425-S425</f>
        <v/>
      </c>
      <c r="U425" s="4" t="n">
        <v>105.5</v>
      </c>
      <c r="V425" s="4">
        <f>(R425*W425)</f>
        <v/>
      </c>
      <c r="W425" s="6" t="n">
        <v>0.0688</v>
      </c>
      <c r="X425" s="4" t="n">
        <v>18417.95</v>
      </c>
      <c r="Y425" s="4" t="n">
        <v>34.75</v>
      </c>
      <c r="Z425" s="7">
        <f>X425/Y425</f>
        <v/>
      </c>
      <c r="AA425" s="7">
        <f>(Z425/X425)*100</f>
        <v/>
      </c>
      <c r="AB425" s="7" t="n">
        <v>15486</v>
      </c>
      <c r="AC425" s="7" t="n">
        <v>28.65</v>
      </c>
      <c r="AD425" s="7">
        <f>AB425/AC425</f>
        <v/>
      </c>
      <c r="AE425" s="7">
        <f>(AD425/AB425)*100</f>
        <v/>
      </c>
    </row>
    <row r="426">
      <c r="A426" s="5" t="n">
        <v>439</v>
      </c>
      <c r="B426" s="9" t="n">
        <v>45406</v>
      </c>
      <c r="C426" s="4" t="n">
        <v>40158925.94</v>
      </c>
      <c r="D426" s="4">
        <f>C426/E426</f>
        <v/>
      </c>
      <c r="E426" s="4" t="n">
        <v>83.31</v>
      </c>
      <c r="F426" s="4">
        <f>D426/100000</f>
        <v/>
      </c>
      <c r="G426" s="4">
        <f>($D$1-F426)/F426*100</f>
        <v/>
      </c>
      <c r="H426" s="4">
        <f>($D$2-F426)/F426*100</f>
        <v/>
      </c>
      <c r="I426" s="4">
        <f>($D$3-F426)/F426*100</f>
        <v/>
      </c>
      <c r="J426" s="4">
        <f>F426/$F$10*100</f>
        <v/>
      </c>
      <c r="K426" s="4">
        <f>N426/L426</f>
        <v/>
      </c>
      <c r="L426" s="4">
        <f>(M426/O426)*100</f>
        <v/>
      </c>
      <c r="M426" s="4">
        <f>O426/R426</f>
        <v/>
      </c>
      <c r="N426" s="4" t="n">
        <v>7.18</v>
      </c>
      <c r="O426" s="4" t="n">
        <v>22402.4</v>
      </c>
      <c r="P426" s="4" t="n">
        <v>3.93</v>
      </c>
      <c r="Q426" s="4">
        <f>N426-L426</f>
        <v/>
      </c>
      <c r="R426" s="4" t="n">
        <v>22.58</v>
      </c>
      <c r="S426" s="4" t="n">
        <v>4.64</v>
      </c>
      <c r="T426" s="7">
        <f>N426-S426</f>
        <v/>
      </c>
      <c r="U426" s="4" t="n">
        <v>105.7</v>
      </c>
      <c r="V426" s="4">
        <f>(R426*W426)</f>
        <v/>
      </c>
      <c r="W426" s="6" t="n">
        <v>0.06909999999999999</v>
      </c>
      <c r="X426" s="4" t="n">
        <v>18568.3</v>
      </c>
      <c r="Y426" s="4" t="n">
        <v>35.04</v>
      </c>
      <c r="Z426" s="7">
        <f>X426/Y426</f>
        <v/>
      </c>
      <c r="AA426" s="7">
        <f>(Z426/X426)*100</f>
        <v/>
      </c>
      <c r="AB426" s="7" t="n">
        <v>15609.2</v>
      </c>
      <c r="AC426" s="7" t="n">
        <v>28.83</v>
      </c>
      <c r="AD426" s="7">
        <f>AB426/AC426</f>
        <v/>
      </c>
      <c r="AE426" s="7">
        <f>(AD426/AB426)*100</f>
        <v/>
      </c>
    </row>
    <row r="427">
      <c r="A427" s="5" t="n">
        <v>440</v>
      </c>
      <c r="B427" s="8" t="n">
        <v>45407</v>
      </c>
      <c r="C427" s="4" t="n">
        <v>40328639</v>
      </c>
      <c r="D427" s="4">
        <f>C427/E427</f>
        <v/>
      </c>
      <c r="E427" s="4" t="n">
        <v>83.31</v>
      </c>
      <c r="F427" s="4">
        <f>D427/100000</f>
        <v/>
      </c>
      <c r="G427" s="4">
        <f>($D$1-F427)/F427*100</f>
        <v/>
      </c>
      <c r="H427" s="4">
        <f>($D$2-F427)/F427*100</f>
        <v/>
      </c>
      <c r="I427" s="4">
        <f>($D$3-F427)/F427*100</f>
        <v/>
      </c>
      <c r="J427" s="4">
        <f>F427/$F$10*100</f>
        <v/>
      </c>
      <c r="K427" s="4">
        <f>N427/L427</f>
        <v/>
      </c>
      <c r="L427" s="4">
        <f>(M427/O427)*100</f>
        <v/>
      </c>
      <c r="M427" s="4">
        <f>O427/R427</f>
        <v/>
      </c>
      <c r="N427" s="4" t="n">
        <v>7.2</v>
      </c>
      <c r="O427" s="4" t="n">
        <v>22570.35</v>
      </c>
      <c r="P427" s="4" t="n">
        <v>3.96</v>
      </c>
      <c r="Q427" s="4">
        <f>N427-L427</f>
        <v/>
      </c>
      <c r="R427" s="4" t="n">
        <v>22.75</v>
      </c>
      <c r="S427" s="4" t="n">
        <v>4.7</v>
      </c>
      <c r="T427" s="7">
        <f>N427-S427</f>
        <v/>
      </c>
      <c r="U427" s="4" t="n">
        <v>105.45</v>
      </c>
      <c r="V427" s="4">
        <f>(R427*W427)</f>
        <v/>
      </c>
      <c r="W427" s="6" t="n">
        <v>0.06950000000000001</v>
      </c>
      <c r="X427" s="4" t="n">
        <v>18643.25</v>
      </c>
      <c r="Y427" s="4" t="n">
        <v>35.16</v>
      </c>
      <c r="Z427" s="7">
        <f>X427/Y427</f>
        <v/>
      </c>
      <c r="AA427" s="7">
        <f>(Z427/X427)*100</f>
        <v/>
      </c>
      <c r="AB427" s="7" t="n">
        <v>15739.15</v>
      </c>
      <c r="AC427" s="7" t="n">
        <v>29.05</v>
      </c>
      <c r="AD427" s="7">
        <f>AB427/AC427</f>
        <v/>
      </c>
      <c r="AE427" s="7">
        <f>(AD427/AB427)*100</f>
        <v/>
      </c>
    </row>
    <row r="428">
      <c r="A428" s="5" t="n">
        <v>441</v>
      </c>
      <c r="B428" s="9" t="n">
        <v>45408</v>
      </c>
      <c r="C428" s="4" t="n">
        <v>40430580.53</v>
      </c>
      <c r="D428" s="4">
        <f>C428/E428</f>
        <v/>
      </c>
      <c r="E428" s="4" t="n">
        <v>83.40000000000001</v>
      </c>
      <c r="F428" s="4">
        <f>D428/100000</f>
        <v/>
      </c>
      <c r="G428" s="4">
        <f>($D$1-F428)/F428*100</f>
        <v/>
      </c>
      <c r="H428" s="4">
        <f>($D$2-F428)/F428*100</f>
        <v/>
      </c>
      <c r="I428" s="4">
        <f>($D$3-F428)/F428*100</f>
        <v/>
      </c>
      <c r="J428" s="4">
        <f>F428/$F$10*100</f>
        <v/>
      </c>
      <c r="K428" s="4">
        <f>N428/L428</f>
        <v/>
      </c>
      <c r="L428" s="4">
        <f>(M428/O428)*100</f>
        <v/>
      </c>
      <c r="M428" s="4">
        <f>O428/R428</f>
        <v/>
      </c>
      <c r="N428" s="4" t="n">
        <v>7.19</v>
      </c>
      <c r="O428" s="4" t="n">
        <v>22419.95</v>
      </c>
      <c r="P428" s="4" t="n">
        <v>3.93</v>
      </c>
      <c r="Q428" s="4">
        <f>N428-L428</f>
        <v/>
      </c>
      <c r="R428" s="4" t="n">
        <v>22</v>
      </c>
      <c r="S428" s="4" t="n">
        <v>4.66</v>
      </c>
      <c r="T428" s="7">
        <f>N428-S428</f>
        <v/>
      </c>
      <c r="U428" s="4" t="n">
        <v>105.8</v>
      </c>
      <c r="V428" s="4">
        <f>(R428*W428)</f>
        <v/>
      </c>
      <c r="W428" s="6" t="n">
        <v>0.06950000000000001</v>
      </c>
      <c r="X428" s="4" t="n">
        <v>18782.5</v>
      </c>
      <c r="Y428" s="4" t="n">
        <v>35.45</v>
      </c>
      <c r="Z428" s="7">
        <f>X428/Y428</f>
        <v/>
      </c>
      <c r="AA428" s="7">
        <f>(Z428/X428)*100</f>
        <v/>
      </c>
      <c r="AB428" s="7" t="n">
        <v>15814.5</v>
      </c>
      <c r="AC428" s="7" t="n">
        <v>29.18</v>
      </c>
      <c r="AD428" s="7">
        <f>AB428/AC428</f>
        <v/>
      </c>
      <c r="AE428" s="7">
        <f>(AD428/AB428)*100</f>
        <v/>
      </c>
    </row>
    <row r="429">
      <c r="A429" s="5" t="n">
        <v>444</v>
      </c>
      <c r="B429" s="8" t="n">
        <v>45411</v>
      </c>
      <c r="C429" s="5" t="n">
        <v>40667264.94</v>
      </c>
      <c r="D429" s="4">
        <f>C429/E429</f>
        <v/>
      </c>
      <c r="E429" s="4" t="n">
        <v>83.41</v>
      </c>
      <c r="F429" s="4">
        <f>D429/100000</f>
        <v/>
      </c>
      <c r="G429" s="4">
        <f>($D$1-F429)/F429*100</f>
        <v/>
      </c>
      <c r="H429" s="4">
        <f>($D$2-F429)/F429*100</f>
        <v/>
      </c>
      <c r="I429" s="4">
        <f>($D$3-F429)/F429*100</f>
        <v/>
      </c>
      <c r="J429" s="4">
        <f>F429/$F$10*100</f>
        <v/>
      </c>
      <c r="K429" s="4">
        <f>N429/L429</f>
        <v/>
      </c>
      <c r="L429" s="4">
        <f>(M429/O429)*100</f>
        <v/>
      </c>
      <c r="M429" s="4">
        <f>O429/R429</f>
        <v/>
      </c>
      <c r="N429" s="4" t="n">
        <v>7.19</v>
      </c>
      <c r="O429" s="4" t="n">
        <v>22643.4</v>
      </c>
      <c r="P429" s="4" t="n">
        <v>3.97</v>
      </c>
      <c r="Q429" s="4">
        <f>N429-L429</f>
        <v/>
      </c>
      <c r="R429" s="4" t="n">
        <v>22.2</v>
      </c>
      <c r="S429" s="4" t="n">
        <v>4.61</v>
      </c>
      <c r="T429" s="7">
        <f>N429-S429</f>
        <v/>
      </c>
      <c r="U429" s="4" t="n">
        <v>105.44</v>
      </c>
      <c r="V429" s="4">
        <f>(R429*W429)</f>
        <v/>
      </c>
      <c r="W429" s="6" t="n">
        <v>0.0698</v>
      </c>
      <c r="X429" s="4" t="n">
        <v>18847</v>
      </c>
      <c r="Y429" s="4" t="n">
        <v>35.48</v>
      </c>
      <c r="Z429" s="7">
        <f>X429/Y429</f>
        <v/>
      </c>
      <c r="AA429" s="7">
        <f>(Z429/X429)*100</f>
        <v/>
      </c>
      <c r="AB429" s="7" t="n">
        <v>15824.55</v>
      </c>
      <c r="AC429" s="7" t="n">
        <v>29.1</v>
      </c>
      <c r="AD429" s="7">
        <f>AB429/AC429</f>
        <v/>
      </c>
      <c r="AE429" s="7">
        <f>(AD429/AB429)*100</f>
        <v/>
      </c>
    </row>
    <row r="430">
      <c r="A430" s="5" t="n">
        <v>445</v>
      </c>
      <c r="B430" s="9" t="n">
        <v>45412</v>
      </c>
      <c r="C430" s="5" t="n">
        <v>40682160.53</v>
      </c>
      <c r="D430" s="4">
        <f>C430/E430</f>
        <v/>
      </c>
      <c r="E430" s="4" t="n">
        <v>83.45</v>
      </c>
      <c r="F430" s="4">
        <f>D430/100000</f>
        <v/>
      </c>
      <c r="G430" s="4">
        <f>($D$1-F430)/F430*100</f>
        <v/>
      </c>
      <c r="H430" s="4">
        <f>($D$2-F430)/F430*100</f>
        <v/>
      </c>
      <c r="I430" s="4">
        <f>($D$3-F430)/F430*100</f>
        <v/>
      </c>
      <c r="J430" s="4">
        <f>F430/$F$10*100</f>
        <v/>
      </c>
      <c r="K430" s="4">
        <f>N430/L430</f>
        <v/>
      </c>
      <c r="L430" s="4">
        <f>(M430/O430)*100</f>
        <v/>
      </c>
      <c r="M430" s="4">
        <f>O430/R430</f>
        <v/>
      </c>
      <c r="N430" s="4" t="n">
        <v>7.19</v>
      </c>
      <c r="O430" s="4" t="n">
        <v>22604.85</v>
      </c>
      <c r="P430" s="4" t="n">
        <v>3.96</v>
      </c>
      <c r="Q430" s="4">
        <f>N430-L430</f>
        <v/>
      </c>
      <c r="R430" s="4" t="n">
        <v>22</v>
      </c>
      <c r="S430" s="4" t="n">
        <v>4.68</v>
      </c>
      <c r="T430" s="7">
        <f>N430-S430</f>
        <v/>
      </c>
      <c r="U430" s="4" t="n">
        <v>106.1</v>
      </c>
      <c r="V430" s="4">
        <f>(R430*W430)</f>
        <v/>
      </c>
      <c r="W430" s="6" t="n">
        <v>0.0697</v>
      </c>
      <c r="X430" s="4" t="n">
        <v>18893</v>
      </c>
      <c r="Y430" s="4" t="n">
        <v>35.49</v>
      </c>
      <c r="Z430" s="7">
        <f>X430/Y430</f>
        <v/>
      </c>
      <c r="AA430" s="7">
        <f>(Z430/X430)*100</f>
        <v/>
      </c>
      <c r="AB430" s="7" t="n">
        <v>15833.4</v>
      </c>
      <c r="AC430" s="7" t="n">
        <v>28.98</v>
      </c>
      <c r="AD430" s="7">
        <f>AB430/AC430</f>
        <v/>
      </c>
      <c r="AE430" s="7">
        <f>(AD430/AB430)*100</f>
        <v/>
      </c>
    </row>
    <row r="431">
      <c r="A431" s="5" t="n">
        <v>447</v>
      </c>
      <c r="B431" s="9" t="n">
        <v>45414</v>
      </c>
      <c r="C431" s="5" t="n">
        <v>40873843.69</v>
      </c>
      <c r="D431" s="4">
        <f>C431/E431</f>
        <v/>
      </c>
      <c r="E431" s="4" t="n">
        <v>83.43000000000001</v>
      </c>
      <c r="F431" s="4">
        <f>D431/100000</f>
        <v/>
      </c>
      <c r="G431" s="4">
        <f>($D$1-F431)/F431*100</f>
        <v/>
      </c>
      <c r="H431" s="4">
        <f>($D$2-F431)/F431*100</f>
        <v/>
      </c>
      <c r="I431" s="4">
        <f>($D$3-F431)/F431*100</f>
        <v/>
      </c>
      <c r="J431" s="4">
        <f>F431/$F$10*100</f>
        <v/>
      </c>
      <c r="K431" s="4">
        <f>N431/L431</f>
        <v/>
      </c>
      <c r="L431" s="4">
        <f>(M431/O431)*100</f>
        <v/>
      </c>
      <c r="M431" s="4">
        <f>O431/R431</f>
        <v/>
      </c>
      <c r="N431" s="4" t="n">
        <v>7.16</v>
      </c>
      <c r="O431" s="4" t="n">
        <v>22648.2</v>
      </c>
      <c r="P431" s="4" t="n">
        <v>3.97</v>
      </c>
      <c r="Q431" s="4">
        <f>N431-L431</f>
        <v/>
      </c>
      <c r="R431" s="4" t="n">
        <v>22.03</v>
      </c>
      <c r="S431" s="4" t="n">
        <v>4.58</v>
      </c>
      <c r="T431" s="7">
        <f>N431-S431</f>
        <v/>
      </c>
      <c r="U431" s="4" t="n">
        <v>105.17</v>
      </c>
      <c r="V431" s="4">
        <f>(R431*W431)</f>
        <v/>
      </c>
      <c r="W431" s="6" t="n">
        <v>0.0698</v>
      </c>
      <c r="X431" s="4" t="n">
        <v>18975.25</v>
      </c>
      <c r="Y431" s="4" t="n">
        <v>35.95</v>
      </c>
      <c r="Z431" s="7">
        <f>X431/Y431</f>
        <v/>
      </c>
      <c r="AA431" s="7">
        <f>(Z431/X431)*100</f>
        <v/>
      </c>
      <c r="AB431" s="7" t="n">
        <v>15848.4</v>
      </c>
      <c r="AC431" s="7" t="n">
        <v>28.87</v>
      </c>
      <c r="AD431" s="7">
        <f>AB431/AC431</f>
        <v/>
      </c>
      <c r="AE431" s="7">
        <f>(AD431/AB431)*100</f>
        <v/>
      </c>
    </row>
    <row r="432">
      <c r="A432" s="5" t="n">
        <v>448</v>
      </c>
      <c r="B432" s="8" t="n">
        <v>45415</v>
      </c>
      <c r="C432" s="5" t="n">
        <v>40662149.85</v>
      </c>
      <c r="D432" s="4">
        <f>C432/E432</f>
        <v/>
      </c>
      <c r="E432" s="4" t="n">
        <v>83.37</v>
      </c>
      <c r="F432" s="4">
        <f>D432/100000</f>
        <v/>
      </c>
      <c r="G432" s="4">
        <f>($D$1-F432)/F432*100</f>
        <v/>
      </c>
      <c r="H432" s="4">
        <f>($D$2-F432)/F432*100</f>
        <v/>
      </c>
      <c r="I432" s="4">
        <f>($D$3-F432)/F432*100</f>
        <v/>
      </c>
      <c r="J432" s="4">
        <f>F432/$F$10*100</f>
        <v/>
      </c>
      <c r="K432" s="4">
        <f>N432/L432</f>
        <v/>
      </c>
      <c r="L432" s="4">
        <f>(M432/O432)*100</f>
        <v/>
      </c>
      <c r="M432" s="4">
        <f>O432/R432</f>
        <v/>
      </c>
      <c r="N432" s="4" t="n">
        <v>7.14</v>
      </c>
      <c r="O432" s="4" t="n">
        <v>22475.85</v>
      </c>
      <c r="P432" s="4" t="n">
        <v>3.94</v>
      </c>
      <c r="Q432" s="4">
        <f>N432-L432</f>
        <v/>
      </c>
      <c r="R432" s="4" t="n">
        <v>21.87</v>
      </c>
      <c r="S432" s="4" t="n">
        <v>4.49</v>
      </c>
      <c r="T432" s="7">
        <f>N432-S432</f>
        <v/>
      </c>
      <c r="U432" s="4" t="n">
        <v>104.91</v>
      </c>
      <c r="V432" s="4">
        <f>(R432*W432)</f>
        <v/>
      </c>
      <c r="W432" s="6" t="n">
        <v>0.0698</v>
      </c>
      <c r="X432" s="4" t="n">
        <v>18907.7</v>
      </c>
      <c r="Y432" s="4" t="n">
        <v>35.87</v>
      </c>
      <c r="Z432" s="7">
        <f>X432/Y432</f>
        <v/>
      </c>
      <c r="AA432" s="7">
        <f>(Z432/X432)*100</f>
        <v/>
      </c>
      <c r="AB432" s="7" t="n">
        <v>15793.3</v>
      </c>
      <c r="AC432" s="7" t="n">
        <v>28.51</v>
      </c>
      <c r="AD432" s="7">
        <f>AB432/AC432</f>
        <v/>
      </c>
      <c r="AE432" s="7">
        <f>(AD432/AB432)*100</f>
        <v/>
      </c>
    </row>
    <row r="433">
      <c r="A433" s="5" t="n">
        <v>451</v>
      </c>
      <c r="B433" s="9" t="n">
        <v>45418</v>
      </c>
      <c r="C433" s="5" t="n">
        <v>40366309.43</v>
      </c>
      <c r="D433" s="4">
        <f>C433/E433</f>
        <v/>
      </c>
      <c r="E433" s="4" t="n">
        <v>83.47</v>
      </c>
      <c r="F433" s="4">
        <f>D433/100000</f>
        <v/>
      </c>
      <c r="G433" s="4">
        <f>($D$1-F433)/F433*100</f>
        <v/>
      </c>
      <c r="H433" s="4">
        <f>($D$2-F433)/F433*100</f>
        <v/>
      </c>
      <c r="I433" s="4">
        <f>($D$3-F433)/F433*100</f>
        <v/>
      </c>
      <c r="J433" s="4">
        <f>F433/$F$10*100</f>
        <v/>
      </c>
      <c r="K433" s="4">
        <f>N433/L433</f>
        <v/>
      </c>
      <c r="L433" s="4">
        <f>(M433/O433)*100</f>
        <v/>
      </c>
      <c r="M433" s="4">
        <f>O433/R433</f>
        <v/>
      </c>
      <c r="N433" s="4" t="n">
        <v>7.1</v>
      </c>
      <c r="O433" s="4" t="n">
        <v>22442.7</v>
      </c>
      <c r="P433" s="4" t="n">
        <v>3.94</v>
      </c>
      <c r="Q433" s="4">
        <f>N433-L433</f>
        <v/>
      </c>
      <c r="R433" s="4" t="n">
        <v>21.77</v>
      </c>
      <c r="S433" s="4" t="n">
        <v>4.48</v>
      </c>
      <c r="T433" s="7">
        <f>N433-S433</f>
        <v/>
      </c>
      <c r="U433" s="4" t="n">
        <v>104.91</v>
      </c>
      <c r="V433" s="4">
        <f>(R433*W433)</f>
        <v/>
      </c>
      <c r="W433" s="6" t="n">
        <v>0.06950000000000001</v>
      </c>
      <c r="X433" s="4" t="n">
        <v>18821.3</v>
      </c>
      <c r="Y433" s="4" t="n">
        <v>35.64</v>
      </c>
      <c r="Z433" s="7">
        <f>X433/Y433</f>
        <v/>
      </c>
      <c r="AA433" s="7">
        <f>(Z433/X433)*100</f>
        <v/>
      </c>
      <c r="AB433" s="7" t="n">
        <v>15617.15</v>
      </c>
      <c r="AC433" s="7" t="n">
        <v>28.2</v>
      </c>
      <c r="AD433" s="7">
        <f>AB433/AC433</f>
        <v/>
      </c>
      <c r="AE433" s="7">
        <f>(AD433/AB433)*100</f>
        <v/>
      </c>
    </row>
    <row r="434">
      <c r="A434" s="5" t="n">
        <v>452</v>
      </c>
      <c r="B434" s="8" t="n">
        <v>45419</v>
      </c>
      <c r="C434" s="5" t="n">
        <v>39879565.52</v>
      </c>
      <c r="D434" s="4">
        <f>C434/E434</f>
        <v/>
      </c>
      <c r="E434" s="4" t="n">
        <v>83.45</v>
      </c>
      <c r="F434" s="4">
        <f>D434/100000</f>
        <v/>
      </c>
      <c r="G434" s="4">
        <f>($D$1-F434)/F434*100</f>
        <v/>
      </c>
      <c r="H434" s="4">
        <f>($D$2-F434)/F434*100</f>
        <v/>
      </c>
      <c r="I434" s="4">
        <f>($D$3-F434)/F434*100</f>
        <v/>
      </c>
      <c r="J434" s="4">
        <f>F434/$F$10*100</f>
        <v/>
      </c>
      <c r="K434" s="4">
        <f>N434/L434</f>
        <v/>
      </c>
      <c r="L434" s="4">
        <f>(M434/O434)*100</f>
        <v/>
      </c>
      <c r="M434" s="4">
        <f>O434/R434</f>
        <v/>
      </c>
      <c r="N434" s="4" t="n">
        <v>7.12</v>
      </c>
      <c r="O434" s="4" t="n">
        <v>22302.5</v>
      </c>
      <c r="P434" s="4" t="n">
        <v>3.91</v>
      </c>
      <c r="Q434" s="4">
        <f>N434-L434</f>
        <v/>
      </c>
      <c r="R434" s="4" t="n">
        <v>21.61</v>
      </c>
      <c r="S434" s="4" t="n">
        <v>4.46</v>
      </c>
      <c r="T434" s="7">
        <f>N434-S434</f>
        <v/>
      </c>
      <c r="U434" s="4" t="n">
        <v>105.3</v>
      </c>
      <c r="V434" s="4">
        <f>(R434*W434)</f>
        <v/>
      </c>
      <c r="W434" s="6" t="n">
        <v>0.0696</v>
      </c>
      <c r="X434" s="4" t="n">
        <v>18471.85</v>
      </c>
      <c r="Y434" s="4" t="n">
        <v>34.93</v>
      </c>
      <c r="Z434" s="7">
        <f>X434/Y434</f>
        <v/>
      </c>
      <c r="AA434" s="7">
        <f>(Z434/X434)*100</f>
        <v/>
      </c>
      <c r="AB434" s="7" t="n">
        <v>15339.25</v>
      </c>
      <c r="AC434" s="7" t="n">
        <v>27.61</v>
      </c>
      <c r="AD434" s="7">
        <f>AB434/AC434</f>
        <v/>
      </c>
      <c r="AE434" s="7">
        <f>(AD434/AB434)*100</f>
        <v/>
      </c>
    </row>
    <row r="435">
      <c r="A435" s="5" t="n">
        <v>453</v>
      </c>
      <c r="B435" s="9" t="n">
        <v>45420</v>
      </c>
      <c r="C435" s="5" t="n">
        <v>40097894.26</v>
      </c>
      <c r="D435" s="4">
        <f>C435/E435</f>
        <v/>
      </c>
      <c r="E435" s="4" t="n">
        <v>83.45999999999999</v>
      </c>
      <c r="F435" s="4">
        <f>D435/100000</f>
        <v/>
      </c>
      <c r="G435" s="4">
        <f>($D$1-F435)/F435*100</f>
        <v/>
      </c>
      <c r="H435" s="4">
        <f>($D$2-F435)/F435*100</f>
        <v/>
      </c>
      <c r="I435" s="4">
        <f>($D$3-F435)/F435*100</f>
        <v/>
      </c>
      <c r="J435" s="4">
        <f>F435/$F$10*100</f>
        <v/>
      </c>
      <c r="K435" s="4">
        <f>N435/L435</f>
        <v/>
      </c>
      <c r="L435" s="4">
        <f>(M435/O435)*100</f>
        <v/>
      </c>
      <c r="M435" s="4">
        <f>O435/R435</f>
        <v/>
      </c>
      <c r="N435" s="4" t="n">
        <v>7.13</v>
      </c>
      <c r="O435" s="4" t="n">
        <v>22302.5</v>
      </c>
      <c r="P435" s="4" t="n">
        <v>3.91</v>
      </c>
      <c r="Q435" s="4">
        <f>N435-L435</f>
        <v/>
      </c>
      <c r="R435" s="4" t="n">
        <v>21.61</v>
      </c>
      <c r="S435" s="4" t="n">
        <v>4.5</v>
      </c>
      <c r="T435" s="7">
        <f>N435-S435</f>
        <v/>
      </c>
      <c r="U435" s="4" t="n">
        <v>105.42</v>
      </c>
      <c r="V435" s="4">
        <f>(R435*W435)</f>
        <v/>
      </c>
      <c r="W435" s="6" t="n">
        <v>0.07000000000000001</v>
      </c>
      <c r="X435" s="4" t="n">
        <v>18568.7</v>
      </c>
      <c r="Y435" s="4" t="n">
        <v>35.07</v>
      </c>
      <c r="Z435" s="7">
        <f>X435/Y435</f>
        <v/>
      </c>
      <c r="AA435" s="7">
        <f>(Z435/X435)*100</f>
        <v/>
      </c>
      <c r="AB435" s="7" t="n">
        <v>15414.9</v>
      </c>
      <c r="AC435" s="7" t="n">
        <v>27.76</v>
      </c>
      <c r="AD435" s="7">
        <f>AB435/AC435</f>
        <v/>
      </c>
      <c r="AE435" s="7">
        <f>(AD435/AB435)*100</f>
        <v/>
      </c>
    </row>
    <row r="436">
      <c r="A436" s="5" t="n">
        <v>454</v>
      </c>
      <c r="B436" s="9" t="n">
        <v>45421</v>
      </c>
      <c r="C436" s="4" t="n">
        <v>39363100.48</v>
      </c>
      <c r="D436" s="4">
        <f>C436/E436</f>
        <v/>
      </c>
      <c r="E436" s="4" t="n">
        <v>83.44</v>
      </c>
      <c r="F436" s="4">
        <f>D436/100000</f>
        <v/>
      </c>
      <c r="G436" s="4">
        <f>($D$1-F436)/F436*100</f>
        <v/>
      </c>
      <c r="H436" s="4">
        <f>($D$2-F436)/F436*100</f>
        <v/>
      </c>
      <c r="I436" s="4">
        <f>($D$3-F436)/F436*100</f>
        <v/>
      </c>
      <c r="J436" s="4">
        <f>F436/$F$10*100</f>
        <v/>
      </c>
      <c r="K436" s="4">
        <f>N436/L436</f>
        <v/>
      </c>
      <c r="L436" s="4">
        <f>(M436/O436)*100</f>
        <v/>
      </c>
      <c r="M436" s="4">
        <f>O436/R436</f>
        <v/>
      </c>
      <c r="N436" s="4" t="n">
        <v>7.13</v>
      </c>
      <c r="O436" s="4" t="n">
        <v>21957.5</v>
      </c>
      <c r="P436" s="4" t="n">
        <v>3.85</v>
      </c>
      <c r="Q436" s="4">
        <f>N436-L436</f>
        <v/>
      </c>
      <c r="R436" s="4" t="n">
        <v>21.26</v>
      </c>
      <c r="S436" s="4" t="n">
        <v>4.45</v>
      </c>
      <c r="T436" s="7">
        <f>N436-S436</f>
        <v/>
      </c>
      <c r="U436" s="4" t="n">
        <v>105.1</v>
      </c>
      <c r="V436" s="4">
        <f>(R436*W436)</f>
        <v/>
      </c>
      <c r="W436" s="6" t="n">
        <v>0.07000000000000001</v>
      </c>
      <c r="X436" s="4" t="n">
        <v>18245.35</v>
      </c>
      <c r="Y436" s="4" t="n">
        <v>34.46</v>
      </c>
      <c r="Z436" s="7">
        <f>X436/Y436</f>
        <v/>
      </c>
      <c r="AA436" s="7">
        <f>(Z436/X436)*100</f>
        <v/>
      </c>
      <c r="AB436" s="7" t="n">
        <v>15006.35</v>
      </c>
      <c r="AC436" s="7" t="n">
        <v>26.82</v>
      </c>
      <c r="AD436" s="7">
        <f>AB436/AC436</f>
        <v/>
      </c>
      <c r="AE436" s="7">
        <f>(AD436/AB436)*100</f>
        <v/>
      </c>
    </row>
    <row r="437">
      <c r="A437" s="5" t="n">
        <v>455</v>
      </c>
      <c r="B437" s="9" t="n">
        <v>45422</v>
      </c>
      <c r="C437" s="4" t="n">
        <v>39666011.9</v>
      </c>
      <c r="D437" s="4">
        <f>C437/E437</f>
        <v/>
      </c>
      <c r="E437" s="4" t="n">
        <v>83.54000000000001</v>
      </c>
      <c r="F437" s="4">
        <f>D437/100000</f>
        <v/>
      </c>
      <c r="G437" s="4">
        <f>($D$1-F437)/F437*100</f>
        <v/>
      </c>
      <c r="H437" s="4">
        <f>($D$2-F437)/F437*100</f>
        <v/>
      </c>
      <c r="I437" s="4">
        <f>($D$3-F437)/F437*100</f>
        <v/>
      </c>
      <c r="J437" s="4">
        <f>F437/$F$10*100</f>
        <v/>
      </c>
      <c r="K437" s="4">
        <f>N437/L437</f>
        <v/>
      </c>
      <c r="L437" s="4">
        <f>(M437/O437)*100</f>
        <v/>
      </c>
      <c r="M437" s="4">
        <f>O437/R437</f>
        <v/>
      </c>
      <c r="N437" s="4" t="n">
        <v>7.12</v>
      </c>
      <c r="O437" s="4" t="n">
        <v>22055.2</v>
      </c>
      <c r="P437" s="4" t="n">
        <v>3.87</v>
      </c>
      <c r="Q437" s="4">
        <f>N437-L437</f>
        <v/>
      </c>
      <c r="R437" s="4" t="n">
        <v>21.33</v>
      </c>
      <c r="S437" s="4" t="n">
        <v>4.5</v>
      </c>
      <c r="T437" s="7">
        <f>N437-S437</f>
        <v/>
      </c>
      <c r="U437" s="4" t="n">
        <v>105.17</v>
      </c>
      <c r="V437" s="4">
        <f>(R437*W437)</f>
        <v/>
      </c>
      <c r="W437" s="6" t="n">
        <v>0.0702</v>
      </c>
      <c r="X437" s="4" t="n">
        <v>18423.3</v>
      </c>
      <c r="Y437" s="4" t="n">
        <v>34.67</v>
      </c>
      <c r="Z437" s="7">
        <f>X437/Y437</f>
        <v/>
      </c>
      <c r="AA437" s="7">
        <f>(Z437/X437)*100</f>
        <v/>
      </c>
      <c r="AB437" s="7" t="n">
        <v>15104.9</v>
      </c>
      <c r="AC437" s="7" t="n">
        <v>26.96</v>
      </c>
      <c r="AD437" s="7">
        <f>AB437/AC437</f>
        <v/>
      </c>
      <c r="AE437" s="7">
        <f>(AD437/AB437)*100</f>
        <v/>
      </c>
    </row>
    <row r="438">
      <c r="A438" s="5" t="n">
        <v>458</v>
      </c>
      <c r="B438" s="9" t="n">
        <v>45425</v>
      </c>
      <c r="C438" s="4" t="n">
        <v>39743403.98</v>
      </c>
      <c r="D438" s="4">
        <f>C438/E438</f>
        <v/>
      </c>
      <c r="E438" s="4" t="n">
        <v>83.45999999999999</v>
      </c>
      <c r="F438" s="4">
        <f>D438/100000</f>
        <v/>
      </c>
      <c r="G438" s="4">
        <f>($D$1-F438)/F438*100</f>
        <v/>
      </c>
      <c r="H438" s="4">
        <f>($D$2-F438)/F438*100</f>
        <v/>
      </c>
      <c r="I438" s="4">
        <f>($D$3-F438)/F438*100</f>
        <v/>
      </c>
      <c r="J438" s="4">
        <f>F438/$F$10*100</f>
        <v/>
      </c>
      <c r="K438" s="4">
        <f>N438/L438</f>
        <v/>
      </c>
      <c r="L438" s="4">
        <f>(M438/O438)*100</f>
        <v/>
      </c>
      <c r="M438" s="4">
        <f>O438/R438</f>
        <v/>
      </c>
      <c r="N438" s="4" t="n">
        <v>7.11</v>
      </c>
      <c r="O438" s="4" t="n">
        <v>22104.05</v>
      </c>
      <c r="P438" s="4" t="n">
        <v>3.88</v>
      </c>
      <c r="Q438" s="4">
        <f>N438-L438</f>
        <v/>
      </c>
      <c r="R438" s="4" t="n">
        <v>21.35</v>
      </c>
      <c r="S438" s="4" t="n">
        <v>4.49</v>
      </c>
      <c r="T438" s="7">
        <f>N438-S438</f>
        <v/>
      </c>
      <c r="U438" s="4" t="n">
        <v>105.1</v>
      </c>
      <c r="V438" s="4">
        <f>(R438*W438)</f>
        <v/>
      </c>
      <c r="W438" s="6" t="n">
        <v>0.0701</v>
      </c>
      <c r="X438" s="4" t="n">
        <v>18516.75</v>
      </c>
      <c r="Y438" s="4" t="n">
        <v>35.01</v>
      </c>
      <c r="Z438" s="7">
        <f>X438/Y438</f>
        <v/>
      </c>
      <c r="AA438" s="7">
        <f>(Z438/X438)*100</f>
        <v/>
      </c>
      <c r="AB438" s="7" t="n">
        <v>15050.75</v>
      </c>
      <c r="AC438" s="7" t="n">
        <v>26.87</v>
      </c>
      <c r="AD438" s="7">
        <f>AB438/AC438</f>
        <v/>
      </c>
      <c r="AE438" s="7">
        <f>(AD438/AB438)*100</f>
        <v/>
      </c>
    </row>
    <row r="439">
      <c r="A439" s="5" t="n">
        <v>459</v>
      </c>
      <c r="B439" s="9" t="n">
        <v>45426</v>
      </c>
      <c r="C439" s="4" t="n">
        <v>40199785.69</v>
      </c>
      <c r="D439" s="4">
        <f>C439/E439</f>
        <v/>
      </c>
      <c r="E439" s="4" t="n">
        <v>83.48</v>
      </c>
      <c r="F439" s="4">
        <f>D439/100000</f>
        <v/>
      </c>
      <c r="G439" s="4">
        <f>($D$1-F439)/F439*100</f>
        <v/>
      </c>
      <c r="H439" s="4">
        <f>($D$2-F439)/F439*100</f>
        <v/>
      </c>
      <c r="I439" s="4">
        <f>($D$3-F439)/F439*100</f>
        <v/>
      </c>
      <c r="J439" s="4">
        <f>F439/$F$10*100</f>
        <v/>
      </c>
      <c r="K439" s="4">
        <f>N439/L439</f>
        <v/>
      </c>
      <c r="L439" s="4">
        <f>(M439/O439)*100</f>
        <v/>
      </c>
      <c r="M439" s="4">
        <f>O439/R439</f>
        <v/>
      </c>
      <c r="N439" s="4" t="n">
        <v>7.1</v>
      </c>
      <c r="O439" s="4" t="n">
        <v>22217.85</v>
      </c>
      <c r="P439" s="4" t="n">
        <v>3.9</v>
      </c>
      <c r="Q439" s="4">
        <f>N439-L439</f>
        <v/>
      </c>
      <c r="R439" s="4" t="n">
        <v>21.19</v>
      </c>
      <c r="S439" s="4" t="n">
        <v>4.44</v>
      </c>
      <c r="T439" s="7">
        <f>N439-S439</f>
        <v/>
      </c>
      <c r="U439" s="4" t="n">
        <v>104.89</v>
      </c>
      <c r="V439" s="4">
        <f>(R439*W439)</f>
        <v/>
      </c>
      <c r="W439" s="6" t="n">
        <v>0.0701</v>
      </c>
      <c r="X439" s="4" t="n">
        <v>18690.1</v>
      </c>
      <c r="Y439" s="4" t="n">
        <v>35.23</v>
      </c>
      <c r="Z439" s="7">
        <f>X439/Y439</f>
        <v/>
      </c>
      <c r="AA439" s="7">
        <f>(Z439/X439)*100</f>
        <v/>
      </c>
      <c r="AB439" s="7" t="n">
        <v>15315.45</v>
      </c>
      <c r="AC439" s="7" t="n">
        <v>27.25</v>
      </c>
      <c r="AD439" s="7">
        <f>AB439/AC439</f>
        <v/>
      </c>
      <c r="AE439" s="7">
        <f>(AD439/AB439)*100</f>
        <v/>
      </c>
    </row>
    <row r="440">
      <c r="A440" s="5" t="n">
        <v>460</v>
      </c>
      <c r="B440" s="8" t="n">
        <v>45427</v>
      </c>
      <c r="C440" s="4" t="n">
        <v>40436646.87</v>
      </c>
      <c r="D440" s="4">
        <f>C440/E440</f>
        <v/>
      </c>
      <c r="E440" s="4" t="n">
        <v>83.41</v>
      </c>
      <c r="F440" s="4">
        <f>D440/100000</f>
        <v/>
      </c>
      <c r="G440" s="4">
        <f>($D$1-F440)/F440*100</f>
        <v/>
      </c>
      <c r="H440" s="4">
        <f>($D$2-F440)/F440*100</f>
        <v/>
      </c>
      <c r="I440" s="4">
        <f>($D$3-F440)/F440*100</f>
        <v/>
      </c>
      <c r="J440" s="4">
        <f>F440/$F$10*100</f>
        <v/>
      </c>
      <c r="K440" s="4">
        <f>N440/L440</f>
        <v/>
      </c>
      <c r="L440" s="4">
        <f>(M440/O440)*100</f>
        <v/>
      </c>
      <c r="M440" s="4">
        <f>O440/R440</f>
        <v/>
      </c>
      <c r="N440" s="4" t="n">
        <v>7.08</v>
      </c>
      <c r="O440" s="4" t="n">
        <v>22200.55</v>
      </c>
      <c r="P440" s="4" t="n">
        <v>3.89</v>
      </c>
      <c r="Q440" s="4">
        <f>N440-L440</f>
        <v/>
      </c>
      <c r="R440" s="4" t="n">
        <v>21.17</v>
      </c>
      <c r="S440" s="4" t="n">
        <v>4.34</v>
      </c>
      <c r="T440" s="7">
        <f>N440-S440</f>
        <v/>
      </c>
      <c r="U440" s="4" t="n">
        <v>104.21</v>
      </c>
      <c r="V440" s="4">
        <f>(R440*W440)</f>
        <v/>
      </c>
      <c r="W440" s="6" t="n">
        <v>0.0698</v>
      </c>
      <c r="X440" s="4" t="n">
        <v>18865.2</v>
      </c>
      <c r="Y440" s="4" t="n">
        <v>35.84</v>
      </c>
      <c r="Z440" s="7">
        <f>X440/Y440</f>
        <v/>
      </c>
      <c r="AA440" s="7">
        <f>(Z440/X440)*100</f>
        <v/>
      </c>
      <c r="AB440" s="7" t="n">
        <v>15431.2</v>
      </c>
      <c r="AC440" s="7" t="n">
        <v>27.4</v>
      </c>
      <c r="AD440" s="7">
        <f>AB440/AC440</f>
        <v/>
      </c>
      <c r="AE440" s="7">
        <f>(AD440/AB440)*100</f>
        <v/>
      </c>
    </row>
    <row r="441">
      <c r="A441" s="5" t="n">
        <v>461</v>
      </c>
      <c r="B441" s="9" t="n">
        <v>45428</v>
      </c>
      <c r="C441" s="4" t="n">
        <v>40749121.16</v>
      </c>
      <c r="D441" s="4">
        <f>C441/E441</f>
        <v/>
      </c>
      <c r="E441" s="4" t="n">
        <v>83.45</v>
      </c>
      <c r="F441" s="4">
        <f>D441/100000</f>
        <v/>
      </c>
      <c r="G441" s="4">
        <f>($D$1-F441)/F441*100</f>
        <v/>
      </c>
      <c r="H441" s="4">
        <f>($D$2-F441)/F441*100</f>
        <v/>
      </c>
      <c r="I441" s="4">
        <f>($D$3-F441)/F441*100</f>
        <v/>
      </c>
      <c r="J441" s="4">
        <f>F441/$F$10*100</f>
        <v/>
      </c>
      <c r="K441" s="4">
        <f>N441/L441</f>
        <v/>
      </c>
      <c r="L441" s="4">
        <f>(M441/O441)*100</f>
        <v/>
      </c>
      <c r="M441" s="4">
        <f>O441/R441</f>
        <v/>
      </c>
      <c r="N441" s="4" t="n">
        <v>7.07</v>
      </c>
      <c r="O441" s="4" t="n">
        <v>22403.85</v>
      </c>
      <c r="P441" s="4" t="n">
        <v>3.93</v>
      </c>
      <c r="Q441" s="4">
        <f>N441-L441</f>
        <v/>
      </c>
      <c r="R441" s="4" t="n">
        <v>21.41</v>
      </c>
      <c r="S441" s="4" t="n">
        <v>4.37</v>
      </c>
      <c r="T441" s="7">
        <f>N441-S441</f>
        <v/>
      </c>
      <c r="U441" s="4" t="n">
        <v>104.34</v>
      </c>
      <c r="V441" s="4">
        <f>(R441*W441)</f>
        <v/>
      </c>
      <c r="W441" s="6" t="n">
        <v>0.0698</v>
      </c>
      <c r="X441" s="4" t="n">
        <v>19048.8</v>
      </c>
      <c r="Y441" s="4" t="n">
        <v>36.18</v>
      </c>
      <c r="Z441" s="7">
        <f>X441/Y441</f>
        <v/>
      </c>
      <c r="AA441" s="7">
        <f>(Z441/X441)*100</f>
        <v/>
      </c>
      <c r="AB441" s="7" t="n">
        <v>15545.75</v>
      </c>
      <c r="AC441" s="7" t="n">
        <v>27.31</v>
      </c>
      <c r="AD441" s="7">
        <f>AB441/AC441</f>
        <v/>
      </c>
      <c r="AE441" s="7">
        <f>(AD441/AB441)*100</f>
        <v/>
      </c>
    </row>
    <row r="442">
      <c r="A442" s="5" t="n">
        <v>462</v>
      </c>
      <c r="B442" s="9" t="n">
        <v>45429</v>
      </c>
      <c r="C442" s="4" t="n">
        <v>41039455.76</v>
      </c>
      <c r="D442" s="4">
        <f>C442/E442</f>
        <v/>
      </c>
      <c r="E442" s="4" t="n">
        <v>83.28</v>
      </c>
      <c r="F442" s="4">
        <f>D442/100000</f>
        <v/>
      </c>
      <c r="G442" s="4">
        <f>($D$1-F442)/F442*100</f>
        <v/>
      </c>
      <c r="H442" s="4">
        <f>($D$2-F442)/F442*100</f>
        <v/>
      </c>
      <c r="I442" s="4">
        <f>($D$3-F442)/F442*100</f>
        <v/>
      </c>
      <c r="J442" s="4">
        <f>F442/$F$10*100</f>
        <v/>
      </c>
      <c r="K442" s="4">
        <f>N442/L442</f>
        <v/>
      </c>
      <c r="L442" s="4">
        <f>(M442/O442)*100</f>
        <v/>
      </c>
      <c r="M442" s="4">
        <f>O442/R442</f>
        <v/>
      </c>
      <c r="N442" s="4" t="n">
        <v>7.09</v>
      </c>
      <c r="O442" s="4" t="n">
        <v>22466.1</v>
      </c>
      <c r="P442" s="4" t="n">
        <v>3.94</v>
      </c>
      <c r="Q442" s="4">
        <f>N442-L442</f>
        <v/>
      </c>
      <c r="R442" s="4" t="n">
        <v>21.47</v>
      </c>
      <c r="S442" s="4" t="n">
        <v>4.42</v>
      </c>
      <c r="T442" s="7">
        <f>N442-S442</f>
        <v/>
      </c>
      <c r="U442" s="4" t="n">
        <v>104.33</v>
      </c>
      <c r="V442" s="4">
        <f>(R442*W442)</f>
        <v/>
      </c>
      <c r="W442" s="6" t="n">
        <v>0.0698</v>
      </c>
      <c r="X442" s="4" t="n">
        <v>19249.2</v>
      </c>
      <c r="Y442" s="4" t="n">
        <v>36.61</v>
      </c>
      <c r="Z442" s="7">
        <f>X442/Y442</f>
        <v/>
      </c>
      <c r="AA442" s="7">
        <f>(Z442/X442)*100</f>
        <v/>
      </c>
      <c r="AB442" s="7" t="n">
        <v>15792.9</v>
      </c>
      <c r="AC442" s="7" t="n">
        <v>27.79</v>
      </c>
      <c r="AD442" s="7">
        <f>AB442/AC442</f>
        <v/>
      </c>
      <c r="AE442" s="7">
        <f>(AD442/AB442)*100</f>
        <v/>
      </c>
    </row>
    <row r="443">
      <c r="A443" s="5" t="n">
        <v>463</v>
      </c>
      <c r="B443" s="9" t="n">
        <v>45430</v>
      </c>
      <c r="C443" s="4" t="n">
        <v>41255336.84</v>
      </c>
      <c r="D443" s="4">
        <f>C443/E443</f>
        <v/>
      </c>
      <c r="E443" s="4" t="n">
        <v>83.28</v>
      </c>
      <c r="F443" s="4">
        <f>D443/100000</f>
        <v/>
      </c>
      <c r="G443" s="4">
        <f>($D$1-F443)/F443*100</f>
        <v/>
      </c>
      <c r="H443" s="4">
        <f>($D$2-F443)/F443*100</f>
        <v/>
      </c>
      <c r="I443" s="4">
        <f>($D$3-F443)/F443*100</f>
        <v/>
      </c>
      <c r="J443" s="4">
        <f>F443/$F$10*100</f>
        <v/>
      </c>
      <c r="K443" s="4">
        <f>N443/L443</f>
        <v/>
      </c>
      <c r="L443" s="4">
        <f>(M443/O443)*100</f>
        <v/>
      </c>
      <c r="M443" s="4">
        <f>O443/R443</f>
        <v/>
      </c>
      <c r="N443" s="4" t="n">
        <v>7.07</v>
      </c>
      <c r="O443" s="4" t="n">
        <v>22502</v>
      </c>
      <c r="P443" s="4" t="n">
        <v>3.95</v>
      </c>
      <c r="Q443" s="4">
        <f>N443-L443</f>
        <v/>
      </c>
      <c r="R443" s="4" t="n">
        <v>21.5</v>
      </c>
      <c r="S443" s="4" t="n">
        <v>4.42</v>
      </c>
      <c r="T443" s="7">
        <f>N443-S443</f>
        <v/>
      </c>
      <c r="U443" s="4" t="n">
        <v>104.46</v>
      </c>
      <c r="V443" s="4">
        <f>(R443*W443)</f>
        <v/>
      </c>
      <c r="W443" s="6" t="n">
        <v>0.0698</v>
      </c>
      <c r="X443" s="4" t="n">
        <v>19352.6</v>
      </c>
      <c r="Y443" s="4" t="n">
        <v>36.8</v>
      </c>
      <c r="Z443" s="7">
        <f>X443/Y443</f>
        <v/>
      </c>
      <c r="AA443" s="7">
        <f>(Z443/X443)*100</f>
        <v/>
      </c>
      <c r="AB443" s="7" t="n">
        <v>15935.5</v>
      </c>
      <c r="AC443" s="7" t="n">
        <v>28.04</v>
      </c>
      <c r="AD443" s="7">
        <f>AB443/AC443</f>
        <v/>
      </c>
      <c r="AE443" s="7">
        <f>(AD443/AB443)*100</f>
        <v/>
      </c>
    </row>
    <row r="444">
      <c r="A444" s="5" t="n">
        <v>466</v>
      </c>
      <c r="B444" s="9" t="n">
        <v>45433</v>
      </c>
      <c r="C444" s="4" t="n">
        <v>41472492.49</v>
      </c>
      <c r="D444" s="4">
        <f>C444/E444</f>
        <v/>
      </c>
      <c r="E444" s="4" t="n">
        <v>83.25</v>
      </c>
      <c r="F444" s="4">
        <f>D444/100000</f>
        <v/>
      </c>
      <c r="G444" s="4">
        <f>($D$1-F444)/F444*100</f>
        <v/>
      </c>
      <c r="H444" s="4">
        <f>($D$2-F444)/F444*100</f>
        <v/>
      </c>
      <c r="I444" s="4">
        <f>($D$3-F444)/F444*100</f>
        <v/>
      </c>
      <c r="J444" s="4">
        <f>F444/$F$10*100</f>
        <v/>
      </c>
      <c r="K444" s="4">
        <f>N444/L444</f>
        <v/>
      </c>
      <c r="L444" s="4">
        <f>(M444/O444)*100</f>
        <v/>
      </c>
      <c r="M444" s="4">
        <f>O444/R444</f>
        <v/>
      </c>
      <c r="N444" s="4" t="n">
        <v>6.99</v>
      </c>
      <c r="O444" s="4" t="n">
        <v>22529.05</v>
      </c>
      <c r="P444" s="4" t="n">
        <v>3.95</v>
      </c>
      <c r="Q444" s="4">
        <f>N444-L444</f>
        <v/>
      </c>
      <c r="R444" s="4" t="n">
        <v>21.52</v>
      </c>
      <c r="S444" s="4" t="n">
        <v>4.41</v>
      </c>
      <c r="T444" s="7">
        <f>N444-S444</f>
        <v/>
      </c>
      <c r="U444" s="4" t="n">
        <v>104.55</v>
      </c>
      <c r="V444" s="4">
        <f>(R444*W444)</f>
        <v/>
      </c>
      <c r="W444" s="6" t="n">
        <v>0.0687</v>
      </c>
      <c r="X444" s="4" t="n">
        <v>19413.2</v>
      </c>
      <c r="Y444" s="4" t="n">
        <v>37.04</v>
      </c>
      <c r="Z444" s="7">
        <f>X444/Y444</f>
        <v/>
      </c>
      <c r="AA444" s="7">
        <f>(Z444/X444)*100</f>
        <v/>
      </c>
      <c r="AB444" s="7" t="n">
        <v>15867.75</v>
      </c>
      <c r="AC444" s="7" t="n">
        <v>27.92</v>
      </c>
      <c r="AD444" s="7">
        <f>AB444/AC444</f>
        <v/>
      </c>
      <c r="AE444" s="7">
        <f>(AD444/AB444)*100</f>
        <v/>
      </c>
    </row>
    <row r="445">
      <c r="A445" s="5" t="n">
        <v>467</v>
      </c>
      <c r="B445" s="9" t="n">
        <v>45434</v>
      </c>
      <c r="C445" s="4" t="n">
        <v>41612682.8</v>
      </c>
      <c r="D445" s="4">
        <f>C445/E445</f>
        <v/>
      </c>
      <c r="E445" s="4" t="n">
        <v>83.22</v>
      </c>
      <c r="F445" s="4">
        <f>D445/100000</f>
        <v/>
      </c>
      <c r="G445" s="4">
        <f>($D$1-F445)/F445*100</f>
        <v/>
      </c>
      <c r="H445" s="4">
        <f>($D$2-F445)/F445*100</f>
        <v/>
      </c>
      <c r="I445" s="4">
        <f>($D$3-F445)/F445*100</f>
        <v/>
      </c>
      <c r="J445" s="4">
        <f>F445/$F$10*100</f>
        <v/>
      </c>
      <c r="K445" s="4">
        <f>N445/L445</f>
        <v/>
      </c>
      <c r="L445" s="4">
        <f>(M445/O445)*100</f>
        <v/>
      </c>
      <c r="M445" s="4">
        <f>O445/R445</f>
        <v/>
      </c>
      <c r="N445" s="4" t="n">
        <v>6.99</v>
      </c>
      <c r="O445" s="4" t="n">
        <v>22597.8</v>
      </c>
      <c r="P445" s="4" t="n">
        <v>3.96</v>
      </c>
      <c r="Q445" s="4">
        <f>N445-L445</f>
        <v/>
      </c>
      <c r="R445" s="4" t="n">
        <v>21.55</v>
      </c>
      <c r="S445" s="4" t="n">
        <v>4.42</v>
      </c>
      <c r="T445" s="7">
        <f>N445-S445</f>
        <v/>
      </c>
      <c r="U445" s="4" t="n">
        <v>104.83</v>
      </c>
      <c r="V445" s="4">
        <f>(R445*W445)</f>
        <v/>
      </c>
      <c r="W445" s="6" t="n">
        <v>0.0687</v>
      </c>
      <c r="X445" s="4" t="n">
        <v>19469.35</v>
      </c>
      <c r="Y445" s="4" t="n">
        <v>37.21</v>
      </c>
      <c r="Z445" s="7">
        <f>X445/Y445</f>
        <v/>
      </c>
      <c r="AA445" s="7">
        <f>(Z445/X445)*100</f>
        <v/>
      </c>
      <c r="AB445" s="7" t="n">
        <v>15847.05</v>
      </c>
      <c r="AC445" s="7" t="n">
        <v>27.92</v>
      </c>
      <c r="AD445" s="7">
        <f>AB445/AC445</f>
        <v/>
      </c>
      <c r="AE445" s="7">
        <f>(AD445/AB445)*100</f>
        <v/>
      </c>
    </row>
    <row r="446">
      <c r="A446" s="5" t="n">
        <v>468</v>
      </c>
      <c r="B446" s="8" t="n">
        <v>45435</v>
      </c>
      <c r="C446" s="4" t="n">
        <v>42034696.43</v>
      </c>
      <c r="D446" s="4">
        <f>C446/E446</f>
        <v/>
      </c>
      <c r="E446" s="4" t="n">
        <v>83.23999999999999</v>
      </c>
      <c r="F446" s="4">
        <f>D446/100000</f>
        <v/>
      </c>
      <c r="G446" s="4">
        <f>($D$1-F446)/F446*100</f>
        <v/>
      </c>
      <c r="H446" s="4">
        <f>($D$2-F446)/F446*100</f>
        <v/>
      </c>
      <c r="I446" s="4">
        <f>($D$3-F446)/F446*100</f>
        <v/>
      </c>
      <c r="J446" s="4">
        <f>F446/$F$10*100</f>
        <v/>
      </c>
      <c r="K446" s="4">
        <f>N446/L446</f>
        <v/>
      </c>
      <c r="L446" s="4">
        <f>(M446/O446)*100</f>
        <v/>
      </c>
      <c r="M446" s="4">
        <f>O446/R446</f>
        <v/>
      </c>
      <c r="N446" s="4" t="n">
        <v>6.98</v>
      </c>
      <c r="O446" s="4" t="n">
        <v>22967.65</v>
      </c>
      <c r="P446" s="4" t="n">
        <v>4.03</v>
      </c>
      <c r="Q446" s="4">
        <f>N446-L446</f>
        <v/>
      </c>
      <c r="R446" s="4" t="n">
        <v>21.9</v>
      </c>
      <c r="S446" s="4" t="n">
        <v>4.47</v>
      </c>
      <c r="T446" s="7">
        <f>N446-S446</f>
        <v/>
      </c>
      <c r="U446" s="4" t="n">
        <v>105.03</v>
      </c>
      <c r="V446" s="4">
        <f>(R446*W446)</f>
        <v/>
      </c>
      <c r="W446" s="6" t="n">
        <v>0.0687</v>
      </c>
      <c r="X446" s="4" t="n">
        <v>19562.55</v>
      </c>
      <c r="Y446" s="4" t="n">
        <v>37.39</v>
      </c>
      <c r="Z446" s="7">
        <f>X446/Y446</f>
        <v/>
      </c>
      <c r="AA446" s="7">
        <f>(Z446/X446)*100</f>
        <v/>
      </c>
      <c r="AB446" s="7" t="n">
        <v>15885.85</v>
      </c>
      <c r="AC446" s="7" t="n">
        <v>27.99</v>
      </c>
      <c r="AD446" s="7">
        <f>AB446/AC446</f>
        <v/>
      </c>
      <c r="AE446" s="7">
        <f>(AD446/AB446)*100</f>
        <v/>
      </c>
    </row>
    <row r="447">
      <c r="A447" s="5" t="n">
        <v>469</v>
      </c>
      <c r="B447" s="9" t="n">
        <v>45436</v>
      </c>
      <c r="C447" s="4" t="n">
        <v>42012888.33</v>
      </c>
      <c r="D447" s="4">
        <f>C447/E447</f>
        <v/>
      </c>
      <c r="E447" s="4" t="n">
        <v>83.06</v>
      </c>
      <c r="F447" s="4">
        <f>D447/100000</f>
        <v/>
      </c>
      <c r="G447" s="4">
        <f>($D$1-F447)/F447*100</f>
        <v/>
      </c>
      <c r="H447" s="4">
        <f>($D$2-F447)/F447*100</f>
        <v/>
      </c>
      <c r="I447" s="4">
        <f>($D$3-F447)/F447*100</f>
        <v/>
      </c>
      <c r="J447" s="4">
        <f>F447/$F$10*100</f>
        <v/>
      </c>
      <c r="K447" s="4">
        <f>N447/L447</f>
        <v/>
      </c>
      <c r="L447" s="4">
        <f>(M447/O447)*100</f>
        <v/>
      </c>
      <c r="M447" s="4">
        <f>O447/R447</f>
        <v/>
      </c>
      <c r="N447" s="4" t="n">
        <v>6.99</v>
      </c>
      <c r="O447" s="4" t="n">
        <v>22957.1</v>
      </c>
      <c r="P447" s="4" t="n">
        <v>4.03</v>
      </c>
      <c r="Q447" s="4">
        <f>N447-L447</f>
        <v/>
      </c>
      <c r="R447" s="4" t="n">
        <v>21.88</v>
      </c>
      <c r="S447" s="4" t="n">
        <v>4.46</v>
      </c>
      <c r="T447" s="7">
        <f>N447-S447</f>
        <v/>
      </c>
      <c r="U447" s="4" t="n">
        <v>104.63</v>
      </c>
      <c r="V447" s="4">
        <f>(R447*W447)</f>
        <v/>
      </c>
      <c r="W447" s="6" t="n">
        <v>0.0688</v>
      </c>
      <c r="X447" s="4" t="n">
        <v>19553.15</v>
      </c>
      <c r="Y447" s="4" t="n">
        <v>37.33</v>
      </c>
      <c r="Z447" s="7">
        <f>X447/Y447</f>
        <v/>
      </c>
      <c r="AA447" s="7">
        <f>(Z447/X447)*100</f>
        <v/>
      </c>
      <c r="AB447" s="7" t="n">
        <v>15865.65</v>
      </c>
      <c r="AC447" s="7" t="n">
        <v>27.98</v>
      </c>
      <c r="AD447" s="7">
        <f>AB447/AC447</f>
        <v/>
      </c>
      <c r="AE447" s="7">
        <f>(AD447/AB447)*100</f>
        <v/>
      </c>
    </row>
    <row r="448">
      <c r="A448" s="5" t="n">
        <v>472</v>
      </c>
      <c r="B448" s="8" t="n">
        <v>45439</v>
      </c>
      <c r="C448" s="4" t="n">
        <v>41997745.34</v>
      </c>
      <c r="D448" s="4">
        <f>C448/E448</f>
        <v/>
      </c>
      <c r="E448" s="4" t="n">
        <v>83.09999999999999</v>
      </c>
      <c r="F448" s="4">
        <f>D448/100000</f>
        <v/>
      </c>
      <c r="G448" s="4">
        <f>($D$1-F448)/F448*100</f>
        <v/>
      </c>
      <c r="H448" s="4">
        <f>($D$2-F448)/F448*100</f>
        <v/>
      </c>
      <c r="I448" s="4">
        <f>($D$3-F448)/F448*100</f>
        <v/>
      </c>
      <c r="J448" s="4">
        <f>F448/$F$10*100</f>
        <v/>
      </c>
      <c r="K448" s="4">
        <f>N448/L448</f>
        <v/>
      </c>
      <c r="L448" s="4">
        <f>(M448/O448)*100</f>
        <v/>
      </c>
      <c r="M448" s="4">
        <f>O448/R448</f>
        <v/>
      </c>
      <c r="N448" s="4" t="n">
        <v>6.98</v>
      </c>
      <c r="O448" s="4" t="n">
        <v>22932.45</v>
      </c>
      <c r="P448" s="4" t="n">
        <v>4.02</v>
      </c>
      <c r="Q448" s="4">
        <f>N448-L448</f>
        <v/>
      </c>
      <c r="R448" s="4" t="n">
        <v>21.85</v>
      </c>
      <c r="S448" s="4" t="n">
        <v>4.46</v>
      </c>
      <c r="T448" s="7">
        <f>N448-S448</f>
        <v/>
      </c>
      <c r="U448" s="4" t="n">
        <v>104.63</v>
      </c>
      <c r="V448" s="4">
        <f>(R448*W448)</f>
        <v/>
      </c>
      <c r="W448" s="6" t="n">
        <v>0.0688</v>
      </c>
      <c r="X448" s="4" t="n">
        <v>19625.9</v>
      </c>
      <c r="Y448" s="4" t="n">
        <v>37.43</v>
      </c>
      <c r="Z448" s="7">
        <f>X448/Y448</f>
        <v/>
      </c>
      <c r="AA448" s="7">
        <f>(Z448/X448)*100</f>
        <v/>
      </c>
      <c r="AB448" s="7" t="n">
        <v>15935.55</v>
      </c>
      <c r="AC448" s="7" t="n">
        <v>28.08</v>
      </c>
      <c r="AD448" s="7">
        <f>AB448/AC448</f>
        <v/>
      </c>
      <c r="AE448" s="7">
        <f>(AD448/AB448)*100</f>
        <v/>
      </c>
    </row>
    <row r="449">
      <c r="A449" s="5" t="n">
        <v>473</v>
      </c>
      <c r="B449" s="9" t="n">
        <v>45440</v>
      </c>
      <c r="C449" s="4" t="n">
        <v>41704680.41</v>
      </c>
      <c r="D449" s="4">
        <f>C449/E449</f>
        <v/>
      </c>
      <c r="E449" s="4" t="n">
        <v>83.16</v>
      </c>
      <c r="F449" s="4">
        <f>D449/100000</f>
        <v/>
      </c>
      <c r="G449" s="4">
        <f>($D$1-F449)/F449*100</f>
        <v/>
      </c>
      <c r="H449" s="4">
        <f>($D$2-F449)/F449*100</f>
        <v/>
      </c>
      <c r="I449" s="4">
        <f>($D$3-F449)/F449*100</f>
        <v/>
      </c>
      <c r="J449" s="4">
        <f>F449/$F$10*100</f>
        <v/>
      </c>
      <c r="K449" s="4">
        <f>N449/L449</f>
        <v/>
      </c>
      <c r="L449" s="4">
        <f>(M449/O449)*100</f>
        <v/>
      </c>
      <c r="M449" s="4">
        <f>O449/R449</f>
        <v/>
      </c>
      <c r="N449" s="4" t="n">
        <v>6.99</v>
      </c>
      <c r="O449" s="4" t="n">
        <v>22888.15</v>
      </c>
      <c r="P449" s="4" t="n">
        <v>4.01</v>
      </c>
      <c r="Q449" s="4">
        <f>N449-L449</f>
        <v/>
      </c>
      <c r="R449" s="4" t="n">
        <v>21.74</v>
      </c>
      <c r="S449" s="4" t="n">
        <v>4.54</v>
      </c>
      <c r="T449" s="7">
        <f>N449-S449</f>
        <v/>
      </c>
      <c r="U449" s="4" t="n">
        <v>104.53</v>
      </c>
      <c r="V449" s="4">
        <f>(R449*W449)</f>
        <v/>
      </c>
      <c r="W449" s="6" t="n">
        <v>0.0687</v>
      </c>
      <c r="X449" s="4" t="n">
        <v>19474.95</v>
      </c>
      <c r="Y449" s="4" t="n">
        <v>37.06</v>
      </c>
      <c r="Z449" s="7">
        <f>X449/Y449</f>
        <v/>
      </c>
      <c r="AA449" s="7">
        <f>(Z449/X449)*100</f>
        <v/>
      </c>
      <c r="AB449" s="7" t="n">
        <v>15773.05</v>
      </c>
      <c r="AC449" s="7" t="n">
        <v>28.05</v>
      </c>
      <c r="AD449" s="7">
        <f>AB449/AC449</f>
        <v/>
      </c>
      <c r="AE449" s="7">
        <f>(AD449/AB449)*100</f>
        <v/>
      </c>
    </row>
    <row r="450">
      <c r="A450" s="5" t="n">
        <v>474</v>
      </c>
      <c r="B450" s="9" t="n">
        <v>45441</v>
      </c>
      <c r="C450" s="4" t="n">
        <v>41520721.83</v>
      </c>
      <c r="D450" s="4">
        <f>C450/E450</f>
        <v/>
      </c>
      <c r="E450" s="4" t="n">
        <v>83.34</v>
      </c>
      <c r="F450" s="4">
        <f>D450/100000</f>
        <v/>
      </c>
      <c r="G450" s="4">
        <f>($D$1-F450)/F450*100</f>
        <v/>
      </c>
      <c r="H450" s="4">
        <f>($D$2-F450)/F450*100</f>
        <v/>
      </c>
      <c r="I450" s="4">
        <f>($D$3-F450)/F450*100</f>
        <v/>
      </c>
      <c r="J450" s="4">
        <f>F450/$F$10*100</f>
        <v/>
      </c>
      <c r="K450" s="4">
        <f>N450/L450</f>
        <v/>
      </c>
      <c r="L450" s="4">
        <f>(M450/O450)*100</f>
        <v/>
      </c>
      <c r="M450" s="4">
        <f>O450/R450</f>
        <v/>
      </c>
      <c r="N450" s="4" t="n">
        <v>7</v>
      </c>
      <c r="O450" s="4" t="n">
        <v>22704.7</v>
      </c>
      <c r="P450" s="4" t="n">
        <v>3.98</v>
      </c>
      <c r="Q450" s="4">
        <f>N450-L450</f>
        <v/>
      </c>
      <c r="R450" s="4" t="n">
        <v>21.57</v>
      </c>
      <c r="S450" s="4" t="n">
        <v>4.61</v>
      </c>
      <c r="T450" s="7">
        <f>N450-S450</f>
        <v/>
      </c>
      <c r="U450" s="4" t="n">
        <v>105.03</v>
      </c>
      <c r="V450" s="4">
        <f>(R450*W450)</f>
        <v/>
      </c>
      <c r="W450" s="6" t="n">
        <v>0.06859999999999999</v>
      </c>
      <c r="X450" s="4" t="n">
        <v>19421.2</v>
      </c>
      <c r="Y450" s="4" t="n">
        <v>36.95</v>
      </c>
      <c r="Z450" s="7">
        <f>X450/Y450</f>
        <v/>
      </c>
      <c r="AA450" s="7">
        <f>(Z450/X450)*100</f>
        <v/>
      </c>
      <c r="AB450" s="7" t="n">
        <v>15786.2</v>
      </c>
      <c r="AC450" s="7" t="n">
        <v>27.96</v>
      </c>
      <c r="AD450" s="7">
        <f>AB450/AC450</f>
        <v/>
      </c>
      <c r="AE450" s="7">
        <f>(AD450/AB450)*100</f>
        <v/>
      </c>
    </row>
    <row r="451">
      <c r="A451" s="5" t="n">
        <v>475</v>
      </c>
      <c r="B451" s="9" t="n">
        <v>45442</v>
      </c>
      <c r="C451" s="4" t="n">
        <v>41044220.46</v>
      </c>
      <c r="D451" s="4">
        <f>C451/E451</f>
        <v/>
      </c>
      <c r="E451" s="4" t="n">
        <v>83.28</v>
      </c>
      <c r="F451" s="4">
        <f>D451/100000</f>
        <v/>
      </c>
      <c r="G451" s="4">
        <f>($D$1-F451)/F451*100</f>
        <v/>
      </c>
      <c r="H451" s="4">
        <f>($D$2-F451)/F451*100</f>
        <v/>
      </c>
      <c r="I451" s="4">
        <f>($D$3-F451)/F451*100</f>
        <v/>
      </c>
      <c r="J451" s="4">
        <f>F451/$F$10*100</f>
        <v/>
      </c>
      <c r="K451" s="4">
        <f>N451/L451</f>
        <v/>
      </c>
      <c r="L451" s="4">
        <f>(M451/O451)*100</f>
        <v/>
      </c>
      <c r="M451" s="4">
        <f>O451/R451</f>
        <v/>
      </c>
      <c r="N451" s="4" t="n">
        <v>7</v>
      </c>
      <c r="O451" s="4" t="n">
        <v>22488.65</v>
      </c>
      <c r="P451" s="4" t="n">
        <v>3.94</v>
      </c>
      <c r="Q451" s="4">
        <f>N451-L451</f>
        <v/>
      </c>
      <c r="R451" s="4" t="n">
        <v>21.36</v>
      </c>
      <c r="S451" s="4" t="n">
        <v>4.55</v>
      </c>
      <c r="T451" s="7">
        <f>N451-S451</f>
        <v/>
      </c>
      <c r="U451" s="4" t="n">
        <v>104.65</v>
      </c>
      <c r="V451" s="4">
        <f>(R451*W451)</f>
        <v/>
      </c>
      <c r="W451" s="6" t="n">
        <v>0.0687</v>
      </c>
      <c r="X451" s="4" t="n">
        <v>19196.7</v>
      </c>
      <c r="Y451" s="4" t="n">
        <v>36.65</v>
      </c>
      <c r="Z451" s="7">
        <f>X451/Y451</f>
        <v/>
      </c>
      <c r="AA451" s="7">
        <f>(Z451/X451)*100</f>
        <v/>
      </c>
      <c r="AB451" s="7" t="n">
        <v>15551.95</v>
      </c>
      <c r="AC451" s="7" t="n">
        <v>27.58</v>
      </c>
      <c r="AD451" s="7">
        <f>AB451/AC451</f>
        <v/>
      </c>
      <c r="AE451" s="7">
        <f>(AD451/AB451)*100</f>
        <v/>
      </c>
    </row>
    <row r="452">
      <c r="A452" s="5" t="n">
        <v>476</v>
      </c>
      <c r="B452" s="8" t="n">
        <v>45443</v>
      </c>
      <c r="C452" s="4" t="n">
        <v>41220552.19</v>
      </c>
      <c r="D452" s="4">
        <f>C452/E452</f>
        <v/>
      </c>
      <c r="E452" s="4" t="n">
        <v>83.42</v>
      </c>
      <c r="F452" s="4">
        <f>D452/100000</f>
        <v/>
      </c>
      <c r="G452" s="4">
        <f>($D$1-F452)/F452*100</f>
        <v/>
      </c>
      <c r="H452" s="4">
        <f>($D$2-F452)/F452*100</f>
        <v/>
      </c>
      <c r="I452" s="4">
        <f>($D$3-F452)/F452*100</f>
        <v/>
      </c>
      <c r="J452" s="4">
        <f>F452/$F$10*100</f>
        <v/>
      </c>
      <c r="K452" s="4">
        <f>N452/L452</f>
        <v/>
      </c>
      <c r="L452" s="4">
        <f>(M452/O452)*100</f>
        <v/>
      </c>
      <c r="M452" s="4">
        <f>O452/R452</f>
        <v/>
      </c>
      <c r="N452" s="4" t="n">
        <v>6.98</v>
      </c>
      <c r="O452" s="4" t="n">
        <v>22530.7</v>
      </c>
      <c r="P452" s="4" t="n">
        <v>3.95</v>
      </c>
      <c r="Q452" s="4">
        <f>N452-L452</f>
        <v/>
      </c>
      <c r="R452" s="4" t="n">
        <v>21.4</v>
      </c>
      <c r="S452" s="4" t="n">
        <v>4.5</v>
      </c>
      <c r="T452" s="7">
        <f>N452-S452</f>
        <v/>
      </c>
      <c r="U452" s="4" t="n">
        <v>104.62</v>
      </c>
      <c r="V452" s="4">
        <f>(R452*W452)</f>
        <v/>
      </c>
      <c r="W452" s="6" t="n">
        <v>0.0687</v>
      </c>
      <c r="X452" s="4" t="n">
        <v>19308.75</v>
      </c>
      <c r="Y452" s="4" t="n">
        <v>39.46</v>
      </c>
      <c r="Z452" s="7">
        <f>X452/Y452</f>
        <v/>
      </c>
      <c r="AA452" s="7">
        <f>(Z452/X452)*100</f>
        <v/>
      </c>
      <c r="AB452" s="7" t="n">
        <v>15626.65</v>
      </c>
      <c r="AC452" s="7" t="n">
        <v>27.72</v>
      </c>
      <c r="AD452" s="7">
        <f>AB452/AC452</f>
        <v/>
      </c>
      <c r="AE452" s="7">
        <f>(AD452/AB452)*100</f>
        <v/>
      </c>
    </row>
    <row r="453">
      <c r="A453" s="5" t="n">
        <v>479</v>
      </c>
      <c r="B453" s="9" t="n">
        <v>45446</v>
      </c>
      <c r="C453" s="4" t="n">
        <v>42587013.04</v>
      </c>
      <c r="D453" s="4">
        <f>C453/E453</f>
        <v/>
      </c>
      <c r="E453" s="4" t="n">
        <v>83.08</v>
      </c>
      <c r="F453" s="4">
        <f>D453/100000</f>
        <v/>
      </c>
      <c r="G453" s="4">
        <f>($D$1-F453)/F453*100</f>
        <v/>
      </c>
      <c r="H453" s="4">
        <f>($D$2-F453)/F453*100</f>
        <v/>
      </c>
      <c r="I453" s="4">
        <f>($D$3-F453)/F453*100</f>
        <v/>
      </c>
      <c r="J453" s="4">
        <f>F453/$F$10*100</f>
        <v/>
      </c>
      <c r="K453" s="4">
        <f>N453/L453</f>
        <v/>
      </c>
      <c r="L453" s="4">
        <f>(M453/O453)*100</f>
        <v/>
      </c>
      <c r="M453" s="4">
        <f>O453/R453</f>
        <v/>
      </c>
      <c r="N453" s="4" t="n">
        <v>6.94</v>
      </c>
      <c r="O453" s="4" t="n">
        <v>23263.9</v>
      </c>
      <c r="P453" s="4" t="n">
        <v>4.08</v>
      </c>
      <c r="Q453" s="4">
        <f>N453-L453</f>
        <v/>
      </c>
      <c r="R453" s="4" t="n">
        <v>22.13</v>
      </c>
      <c r="S453" s="4" t="n">
        <v>4.39</v>
      </c>
      <c r="T453" s="7">
        <f>N453-S453</f>
        <v/>
      </c>
      <c r="U453" s="4" t="n">
        <v>104.07</v>
      </c>
      <c r="V453" s="4">
        <f>(R453*W453)</f>
        <v/>
      </c>
      <c r="W453" s="6" t="n">
        <v>0.06859999999999999</v>
      </c>
      <c r="X453" s="4" t="n">
        <v>19889.85</v>
      </c>
      <c r="Y453" s="4" t="n">
        <v>40.47</v>
      </c>
      <c r="Z453" s="7">
        <f>X453/Y453</f>
        <v/>
      </c>
      <c r="AA453" s="7">
        <f>(Z453/X453)*100</f>
        <v/>
      </c>
      <c r="AB453" s="7" t="n">
        <v>15948.75</v>
      </c>
      <c r="AC453" s="7" t="n">
        <v>28.25</v>
      </c>
      <c r="AD453" s="7">
        <f>AB453/AC453</f>
        <v/>
      </c>
      <c r="AE453" s="7">
        <f>(AD453/AB453)*100</f>
        <v/>
      </c>
    </row>
    <row r="454">
      <c r="A454" s="5" t="n">
        <v>480</v>
      </c>
      <c r="B454" s="8" t="n">
        <v>45447</v>
      </c>
      <c r="C454" s="4" t="n">
        <v>39481254.77</v>
      </c>
      <c r="D454" s="4">
        <f>C454/E454</f>
        <v/>
      </c>
      <c r="E454" s="4" t="n">
        <v>83.52</v>
      </c>
      <c r="F454" s="4">
        <f>D454/100000</f>
        <v/>
      </c>
      <c r="G454" s="4">
        <f>($D$1-F454)/F454*100</f>
        <v/>
      </c>
      <c r="H454" s="4">
        <f>($D$2-F454)/F454*100</f>
        <v/>
      </c>
      <c r="I454" s="4">
        <f>($D$3-F454)/F454*100</f>
        <v/>
      </c>
      <c r="J454" s="4">
        <f>F454/$F$10*100</f>
        <v/>
      </c>
      <c r="K454" s="4">
        <f>N454/L454</f>
        <v/>
      </c>
      <c r="L454" s="4">
        <f>(M454/O454)*100</f>
        <v/>
      </c>
      <c r="M454" s="4">
        <f>O454/R454</f>
        <v/>
      </c>
      <c r="N454" s="4" t="n">
        <v>7.03</v>
      </c>
      <c r="O454" s="4" t="n">
        <v>21884.5</v>
      </c>
      <c r="P454" s="4" t="n">
        <v>3.84</v>
      </c>
      <c r="Q454" s="4">
        <f>N454-L454</f>
        <v/>
      </c>
      <c r="R454" s="4" t="n">
        <v>20.81</v>
      </c>
      <c r="S454" s="4" t="n">
        <v>4.33</v>
      </c>
      <c r="T454" s="7">
        <f>N454-S454</f>
        <v/>
      </c>
      <c r="U454" s="4" t="n">
        <v>104.05</v>
      </c>
      <c r="V454" s="4">
        <f>(R454*W454)</f>
        <v/>
      </c>
      <c r="W454" s="6" t="n">
        <v>0.0688</v>
      </c>
      <c r="X454" s="4" t="n">
        <v>18476.25</v>
      </c>
      <c r="Y454" s="4" t="n">
        <v>37.58</v>
      </c>
      <c r="Z454" s="7">
        <f>X454/Y454</f>
        <v/>
      </c>
      <c r="AA454" s="7">
        <f>(Z454/X454)*100</f>
        <v/>
      </c>
      <c r="AB454" s="7" t="n">
        <v>14761.1</v>
      </c>
      <c r="AC454" s="7" t="n">
        <v>26.36</v>
      </c>
      <c r="AD454" s="7">
        <f>AB454/AC454</f>
        <v/>
      </c>
      <c r="AE454" s="7">
        <f>(AD454/AB454)*100</f>
        <v/>
      </c>
    </row>
    <row r="455">
      <c r="A455" s="5" t="n">
        <v>481</v>
      </c>
      <c r="B455" s="9" t="n">
        <v>45448</v>
      </c>
      <c r="C455" s="4" t="n">
        <v>40808337.45</v>
      </c>
      <c r="D455" s="4">
        <f>C455/E455</f>
        <v/>
      </c>
      <c r="E455" s="4" t="n">
        <v>83.37</v>
      </c>
      <c r="F455" s="4">
        <f>D455/100000</f>
        <v/>
      </c>
      <c r="G455" s="4">
        <f>($D$1-F455)/F455*100</f>
        <v/>
      </c>
      <c r="H455" s="4">
        <f>($D$2-F455)/F455*100</f>
        <v/>
      </c>
      <c r="I455" s="4">
        <f>($D$3-F455)/F455*100</f>
        <v/>
      </c>
      <c r="J455" s="4">
        <f>F455/$F$10*100</f>
        <v/>
      </c>
      <c r="K455" s="4">
        <f>N455/L455</f>
        <v/>
      </c>
      <c r="L455" s="4">
        <f>(M455/O455)*100</f>
        <v/>
      </c>
      <c r="M455" s="4">
        <f>O455/R455</f>
        <v/>
      </c>
      <c r="N455" s="4" t="n">
        <v>7.02</v>
      </c>
      <c r="O455" s="4" t="n">
        <v>22620.35</v>
      </c>
      <c r="P455" s="4" t="n">
        <v>3.97</v>
      </c>
      <c r="Q455" s="4">
        <f>N455-L455</f>
        <v/>
      </c>
      <c r="R455" s="4" t="n">
        <v>21.51</v>
      </c>
      <c r="S455" s="4" t="n">
        <v>4.27</v>
      </c>
      <c r="T455" s="7">
        <f>N455-S455</f>
        <v/>
      </c>
      <c r="U455" s="4" t="n">
        <v>104.22</v>
      </c>
      <c r="V455" s="4">
        <f>(R455*W455)</f>
        <v/>
      </c>
      <c r="W455" s="6" t="n">
        <v>0.06859999999999999</v>
      </c>
      <c r="X455" s="4" t="n">
        <v>19189.8</v>
      </c>
      <c r="Y455" s="4" t="n">
        <v>39.03</v>
      </c>
      <c r="Z455" s="7">
        <f>X455/Y455</f>
        <v/>
      </c>
      <c r="AA455" s="7">
        <f>(Z455/X455)*100</f>
        <v/>
      </c>
      <c r="AB455" s="7" t="n">
        <v>15250</v>
      </c>
      <c r="AC455" s="7" t="n">
        <v>27.25</v>
      </c>
      <c r="AD455" s="7">
        <f>AB455/AC455</f>
        <v/>
      </c>
      <c r="AE455" s="7">
        <f>(AD455/AB455)*100</f>
        <v/>
      </c>
    </row>
    <row r="456">
      <c r="A456" s="5" t="n">
        <v>482</v>
      </c>
      <c r="B456" s="9" t="n">
        <v>45449</v>
      </c>
      <c r="C456" s="4" t="n">
        <v>41593792.43</v>
      </c>
      <c r="D456" s="4">
        <f>C456/E456</f>
        <v/>
      </c>
      <c r="E456" s="4" t="n">
        <v>83.45999999999999</v>
      </c>
      <c r="F456" s="4">
        <f>D456/100000</f>
        <v/>
      </c>
      <c r="G456" s="4">
        <f>($D$1-F456)/F456*100</f>
        <v/>
      </c>
      <c r="H456" s="4">
        <f>($D$2-F456)/F456*100</f>
        <v/>
      </c>
      <c r="I456" s="4">
        <f>($D$3-F456)/F456*100</f>
        <v/>
      </c>
      <c r="J456" s="4">
        <f>F456/$F$10*100</f>
        <v/>
      </c>
      <c r="K456" s="4">
        <f>N456/L456</f>
        <v/>
      </c>
      <c r="L456" s="4">
        <f>(M456/O456)*100</f>
        <v/>
      </c>
      <c r="M456" s="4">
        <f>O456/R456</f>
        <v/>
      </c>
      <c r="N456" s="4" t="n">
        <v>7.01</v>
      </c>
      <c r="O456" s="4" t="n">
        <v>22821.4</v>
      </c>
      <c r="P456" s="4" t="n">
        <v>4</v>
      </c>
      <c r="Q456" s="4">
        <f>N456-L456</f>
        <v/>
      </c>
      <c r="R456" s="4" t="n">
        <v>21.71</v>
      </c>
      <c r="S456" s="4" t="n">
        <v>4.28</v>
      </c>
      <c r="T456" s="7">
        <f>N456-S456</f>
        <v/>
      </c>
      <c r="U456" s="4" t="n">
        <v>104.05</v>
      </c>
      <c r="V456" s="4">
        <f>(R456*W456)</f>
        <v/>
      </c>
      <c r="W456" s="6" t="n">
        <v>0.06850000000000001</v>
      </c>
      <c r="X456" s="4" t="n">
        <v>19607.2</v>
      </c>
      <c r="Y456" s="4" t="n">
        <v>39.88</v>
      </c>
      <c r="Z456" s="7">
        <f>X456/Y456</f>
        <v/>
      </c>
      <c r="AA456" s="7">
        <f>(Z456/X456)*100</f>
        <v/>
      </c>
      <c r="AB456" s="7" t="n">
        <v>15745.9</v>
      </c>
      <c r="AC456" s="7" t="n">
        <v>28.08</v>
      </c>
      <c r="AD456" s="7">
        <f>AB456/AC456</f>
        <v/>
      </c>
      <c r="AE456" s="7">
        <f>(AD456/AB456)*100</f>
        <v/>
      </c>
    </row>
    <row r="457">
      <c r="A457" s="5" t="n">
        <v>483</v>
      </c>
      <c r="B457" s="9" t="n">
        <v>45450</v>
      </c>
      <c r="C457" s="4" t="n">
        <v>42362278.53</v>
      </c>
      <c r="D457" s="4">
        <f>C457/E457</f>
        <v/>
      </c>
      <c r="E457" s="4" t="n">
        <v>83.52</v>
      </c>
      <c r="F457" s="4">
        <f>D457/100000</f>
        <v/>
      </c>
      <c r="G457" s="4">
        <f>($D$1-F457)/F457*100</f>
        <v/>
      </c>
      <c r="H457" s="4">
        <f>($D$2-F457)/F457*100</f>
        <v/>
      </c>
      <c r="I457" s="4">
        <f>($D$3-F457)/F457*100</f>
        <v/>
      </c>
      <c r="J457" s="4">
        <f>F457/$F$10*100</f>
        <v/>
      </c>
      <c r="K457" s="4">
        <f>N457/L457</f>
        <v/>
      </c>
      <c r="L457" s="4">
        <f>(M457/O457)*100</f>
        <v/>
      </c>
      <c r="M457" s="4">
        <f>O457/R457</f>
        <v/>
      </c>
      <c r="N457" s="4" t="n">
        <v>7.01</v>
      </c>
      <c r="O457" s="4" t="n">
        <v>23290.15</v>
      </c>
      <c r="P457" s="4" t="n">
        <v>4.08</v>
      </c>
      <c r="Q457" s="4">
        <f>N457-L457</f>
        <v/>
      </c>
      <c r="R457" s="4" t="n">
        <v>22.15</v>
      </c>
      <c r="S457" s="4" t="n">
        <v>4.43</v>
      </c>
      <c r="T457" s="7">
        <f>N457-S457</f>
        <v/>
      </c>
      <c r="U457" s="4" t="n">
        <v>104.85</v>
      </c>
      <c r="V457" s="4">
        <f>(R457*W457)</f>
        <v/>
      </c>
      <c r="W457" s="6" t="n">
        <v>0.06850000000000001</v>
      </c>
      <c r="X457" s="4" t="n">
        <v>19884.25</v>
      </c>
      <c r="Y457" s="4" t="n">
        <v>40.44</v>
      </c>
      <c r="Z457" s="7">
        <f>X457/Y457</f>
        <v/>
      </c>
      <c r="AA457" s="7">
        <f>(Z457/X457)*100</f>
        <v/>
      </c>
      <c r="AB457" s="7" t="n">
        <v>16100</v>
      </c>
      <c r="AC457" s="7" t="n">
        <v>28.68</v>
      </c>
      <c r="AD457" s="7">
        <f>AB457/AC457</f>
        <v/>
      </c>
      <c r="AE457" s="7">
        <f>(AD457/AB457)*100</f>
        <v/>
      </c>
    </row>
    <row r="458">
      <c r="A458" s="5" t="n">
        <v>486</v>
      </c>
      <c r="B458" s="9" t="n">
        <v>45453</v>
      </c>
      <c r="C458" s="4" t="n">
        <v>42532403.08</v>
      </c>
      <c r="D458" s="4">
        <f>C458/E458</f>
        <v/>
      </c>
      <c r="E458" s="4" t="n">
        <v>83.5</v>
      </c>
      <c r="F458" s="4">
        <f>D458/100000</f>
        <v/>
      </c>
      <c r="G458" s="4">
        <f>($D$1-F458)/F458*100</f>
        <v/>
      </c>
      <c r="H458" s="4">
        <f>($D$2-F458)/F458*100</f>
        <v/>
      </c>
      <c r="I458" s="4">
        <f>($D$3-F458)/F458*100</f>
        <v/>
      </c>
      <c r="J458" s="4">
        <f>F458/$F$10*100</f>
        <v/>
      </c>
      <c r="K458" s="4">
        <f>N458/L458</f>
        <v/>
      </c>
      <c r="L458" s="4">
        <f>(M458/O458)*100</f>
        <v/>
      </c>
      <c r="M458" s="4">
        <f>O458/R458</f>
        <v/>
      </c>
      <c r="N458" s="4" t="n">
        <v>7.03</v>
      </c>
      <c r="O458" s="4" t="n">
        <v>23259.2</v>
      </c>
      <c r="P458" s="4" t="n">
        <v>4.08</v>
      </c>
      <c r="Q458" s="4">
        <f>N458-L458</f>
        <v/>
      </c>
      <c r="R458" s="4" t="n">
        <v>22.12</v>
      </c>
      <c r="S458" s="4" t="n">
        <v>4.47</v>
      </c>
      <c r="T458" s="7">
        <f>N458-S458</f>
        <v/>
      </c>
      <c r="U458" s="4" t="n">
        <v>105.11</v>
      </c>
      <c r="V458" s="4">
        <f>(R458*W458)</f>
        <v/>
      </c>
      <c r="W458" s="6" t="n">
        <v>0.0684</v>
      </c>
      <c r="X458" s="4" t="n">
        <v>19956.65</v>
      </c>
      <c r="Y458" s="4" t="n">
        <v>40.55</v>
      </c>
      <c r="Z458" s="7">
        <f>X458/Y458</f>
        <v/>
      </c>
      <c r="AA458" s="7">
        <f>(Z458/X458)*100</f>
        <v/>
      </c>
      <c r="AB458" s="7" t="n">
        <v>16312.5</v>
      </c>
      <c r="AC458" s="7" t="n">
        <v>29.06</v>
      </c>
      <c r="AD458" s="7">
        <f>AB458/AC458</f>
        <v/>
      </c>
      <c r="AE458" s="7">
        <f>(AD458/AB458)*100</f>
        <v/>
      </c>
    </row>
    <row r="459">
      <c r="A459" s="5" t="n">
        <v>487</v>
      </c>
      <c r="B459" s="9" t="n">
        <v>45454</v>
      </c>
      <c r="C459" s="4" t="n">
        <v>42707122.5</v>
      </c>
      <c r="D459" s="4">
        <f>C459/E459</f>
        <v/>
      </c>
      <c r="E459" s="4" t="n">
        <v>83.59999999999999</v>
      </c>
      <c r="F459" s="4">
        <f>D459/100000</f>
        <v/>
      </c>
      <c r="G459" s="4">
        <f>($D$1-F459)/F459*100</f>
        <v/>
      </c>
      <c r="H459" s="4">
        <f>($D$2-F459)/F459*100</f>
        <v/>
      </c>
      <c r="I459" s="4">
        <f>($D$3-F459)/F459*100</f>
        <v/>
      </c>
      <c r="J459" s="4">
        <f>F459/$F$10*100</f>
        <v/>
      </c>
      <c r="K459" s="4">
        <f>N459/L459</f>
        <v/>
      </c>
      <c r="L459" s="4">
        <f>(M459/O459)*100</f>
        <v/>
      </c>
      <c r="M459" s="4">
        <f>O459/R459</f>
        <v/>
      </c>
      <c r="N459" s="4" t="n">
        <v>7.01</v>
      </c>
      <c r="O459" s="4" t="n">
        <v>23264.85</v>
      </c>
      <c r="P459" s="4" t="n">
        <v>4.08</v>
      </c>
      <c r="Q459" s="4">
        <f>N459-L459</f>
        <v/>
      </c>
      <c r="R459" s="4" t="n">
        <v>22.13</v>
      </c>
      <c r="S459" s="4" t="n">
        <v>4.4</v>
      </c>
      <c r="T459" s="7">
        <f>N459-S459</f>
        <v/>
      </c>
      <c r="U459" s="4" t="n">
        <v>105.19</v>
      </c>
      <c r="V459" s="4">
        <f>(R459*W459)</f>
        <v/>
      </c>
      <c r="W459" s="6" t="n">
        <v>0.0684</v>
      </c>
      <c r="X459" s="4" t="n">
        <v>20119.55</v>
      </c>
      <c r="Y459" s="4" t="n">
        <v>40.88</v>
      </c>
      <c r="Z459" s="7">
        <f>X459/Y459</f>
        <v/>
      </c>
      <c r="AA459" s="7">
        <f>(Z459/X459)*100</f>
        <v/>
      </c>
      <c r="AB459" s="7" t="n">
        <v>16413.65</v>
      </c>
      <c r="AC459" s="7" t="n">
        <v>29.24</v>
      </c>
      <c r="AD459" s="7">
        <f>AB459/AC459</f>
        <v/>
      </c>
      <c r="AE459" s="7">
        <f>(AD459/AB459)*100</f>
        <v/>
      </c>
    </row>
    <row r="460">
      <c r="A460" s="5" t="n">
        <v>488</v>
      </c>
      <c r="B460" s="8" t="n">
        <v>45455</v>
      </c>
      <c r="C460" s="4" t="n">
        <v>42951615.61</v>
      </c>
      <c r="D460" s="4">
        <f>C460/E460</f>
        <v/>
      </c>
      <c r="E460" s="4" t="n">
        <v>83.43000000000001</v>
      </c>
      <c r="F460" s="4">
        <f>D460/100000</f>
        <v/>
      </c>
      <c r="G460" s="4">
        <f>($D$1-F460)/F460*100</f>
        <v/>
      </c>
      <c r="H460" s="4">
        <f>($D$2-F460)/F460*100</f>
        <v/>
      </c>
      <c r="I460" s="4">
        <f>($D$3-F460)/F460*100</f>
        <v/>
      </c>
      <c r="J460" s="4">
        <f>F460/$F$10*100</f>
        <v/>
      </c>
      <c r="K460" s="4">
        <f>N460/L460</f>
        <v/>
      </c>
      <c r="L460" s="4">
        <f>(M460/O460)*100</f>
        <v/>
      </c>
      <c r="M460" s="4">
        <f>O460/R460</f>
        <v/>
      </c>
      <c r="N460" s="4" t="n">
        <v>6.98</v>
      </c>
      <c r="O460" s="4" t="n">
        <v>23322.95</v>
      </c>
      <c r="P460" s="4" t="n">
        <v>4.09</v>
      </c>
      <c r="Q460" s="4">
        <f>N460-L460</f>
        <v/>
      </c>
      <c r="R460" s="4" t="n">
        <v>22.18</v>
      </c>
      <c r="S460" s="4" t="n">
        <v>4.31</v>
      </c>
      <c r="T460" s="7">
        <f>N460-S460</f>
        <v/>
      </c>
      <c r="U460" s="4" t="n">
        <v>104.61</v>
      </c>
      <c r="V460" s="4">
        <f>(R460*W460)</f>
        <v/>
      </c>
      <c r="W460" s="6" t="n">
        <v>0.0683</v>
      </c>
      <c r="X460" s="4" t="n">
        <v>20321.2</v>
      </c>
      <c r="Y460" s="4" t="n">
        <v>41.29</v>
      </c>
      <c r="Z460" s="7">
        <f>X460/Y460</f>
        <v/>
      </c>
      <c r="AA460" s="7">
        <f>(Z460/X460)*100</f>
        <v/>
      </c>
      <c r="AB460" s="7" t="n">
        <v>16567.7</v>
      </c>
      <c r="AC460" s="7" t="n">
        <v>29.52</v>
      </c>
      <c r="AD460" s="7">
        <f>AB460/AC460</f>
        <v/>
      </c>
      <c r="AE460" s="7">
        <f>(AD460/AB460)*100</f>
        <v/>
      </c>
    </row>
    <row r="461">
      <c r="A461" s="5" t="n">
        <v>489</v>
      </c>
      <c r="B461" s="9" t="n">
        <v>45456</v>
      </c>
      <c r="C461" s="4" t="n">
        <v>43190115.96</v>
      </c>
      <c r="D461" s="4">
        <f>C461/E461</f>
        <v/>
      </c>
      <c r="E461" s="4" t="n">
        <v>83.54000000000001</v>
      </c>
      <c r="F461" s="4">
        <f>D461/100000</f>
        <v/>
      </c>
      <c r="G461" s="4">
        <f>($D$1-F461)/F461*100</f>
        <v/>
      </c>
      <c r="H461" s="4">
        <f>($D$2-F461)/F461*100</f>
        <v/>
      </c>
      <c r="I461" s="4">
        <f>($D$3-F461)/F461*100</f>
        <v/>
      </c>
      <c r="J461" s="4">
        <f>F461/$F$10*100</f>
        <v/>
      </c>
      <c r="K461" s="4">
        <f>N461/L461</f>
        <v/>
      </c>
      <c r="L461" s="4">
        <f>(M461/O461)*100</f>
        <v/>
      </c>
      <c r="M461" s="4">
        <f>O461/R461</f>
        <v/>
      </c>
      <c r="N461" s="4" t="n">
        <v>6.98</v>
      </c>
      <c r="O461" s="4" t="n">
        <v>23398.9</v>
      </c>
      <c r="P461" s="4" t="n">
        <v>4.06</v>
      </c>
      <c r="Q461" s="4">
        <f>N461-L461</f>
        <v/>
      </c>
      <c r="R461" s="4" t="n">
        <v>22.25</v>
      </c>
      <c r="S461" s="4" t="n">
        <v>4.24</v>
      </c>
      <c r="T461" s="7">
        <f>N461-S461</f>
        <v/>
      </c>
      <c r="U461" s="4" t="n">
        <v>105.18</v>
      </c>
      <c r="V461" s="4">
        <f>(R461*W461)</f>
        <v/>
      </c>
      <c r="W461" s="6" t="n">
        <v>0.0682</v>
      </c>
      <c r="X461" s="4" t="n">
        <v>20480.05</v>
      </c>
      <c r="Y461" s="4" t="n">
        <v>41.6</v>
      </c>
      <c r="Z461" s="7">
        <f>X461/Y461</f>
        <v/>
      </c>
      <c r="AA461" s="7">
        <f>(Z461/X461)*100</f>
        <v/>
      </c>
      <c r="AB461" s="7" t="n">
        <v>16701.65</v>
      </c>
      <c r="AC461" s="7" t="n">
        <v>29.76</v>
      </c>
      <c r="AD461" s="7">
        <f>AB461/AC461</f>
        <v/>
      </c>
      <c r="AE461" s="7">
        <f>(AD461/AB461)*100</f>
        <v/>
      </c>
    </row>
    <row r="462">
      <c r="A462" s="5" t="n">
        <v>490</v>
      </c>
      <c r="B462" s="9" t="n">
        <v>45457</v>
      </c>
      <c r="C462" s="4" t="n">
        <v>43513560.25</v>
      </c>
      <c r="D462" s="4">
        <f>C462/E462</f>
        <v/>
      </c>
      <c r="E462" s="4" t="n">
        <v>83.54000000000001</v>
      </c>
      <c r="F462" s="4">
        <f>D462/100000</f>
        <v/>
      </c>
      <c r="G462" s="4">
        <f>($D$1-F462)/F462*100</f>
        <v/>
      </c>
      <c r="H462" s="4">
        <f>($D$2-F462)/F462*100</f>
        <v/>
      </c>
      <c r="I462" s="4">
        <f>($D$3-F462)/F462*100</f>
        <v/>
      </c>
      <c r="J462" s="4">
        <f>F462/$F$10*100</f>
        <v/>
      </c>
      <c r="K462" s="4">
        <f>N462/L462</f>
        <v/>
      </c>
      <c r="L462" s="4">
        <f>(M462/O462)*100</f>
        <v/>
      </c>
      <c r="M462" s="4">
        <f>O462/R462</f>
        <v/>
      </c>
      <c r="N462" s="4" t="n">
        <v>6.98</v>
      </c>
      <c r="O462" s="4" t="n">
        <v>23465.6</v>
      </c>
      <c r="P462" s="4" t="n">
        <v>4.07</v>
      </c>
      <c r="Q462" s="4">
        <f>N462-L462</f>
        <v/>
      </c>
      <c r="R462" s="4" t="n">
        <v>22.32</v>
      </c>
      <c r="S462" s="4" t="n">
        <v>4.22</v>
      </c>
      <c r="T462" s="7">
        <f>N462-S462</f>
        <v/>
      </c>
      <c r="U462" s="4" t="n">
        <v>105.54</v>
      </c>
      <c r="V462" s="4">
        <f>(R462*W462)</f>
        <v/>
      </c>
      <c r="W462" s="6" t="n">
        <v>0.0684</v>
      </c>
      <c r="X462" s="4" t="n">
        <v>20698.25</v>
      </c>
      <c r="Y462" s="4" t="n">
        <v>42.04</v>
      </c>
      <c r="Z462" s="7">
        <f>X462/Y462</f>
        <v/>
      </c>
      <c r="AA462" s="7">
        <f>(Z462/X462)*100</f>
        <v/>
      </c>
      <c r="AB462" s="7" t="n">
        <v>16845.55</v>
      </c>
      <c r="AC462" s="7" t="n">
        <v>30.01</v>
      </c>
      <c r="AD462" s="7">
        <f>AB462/AC462</f>
        <v/>
      </c>
      <c r="AE462" s="7">
        <f>(AD462/AB462)*100</f>
        <v/>
      </c>
    </row>
    <row r="463">
      <c r="A463" s="5" t="n">
        <v>494</v>
      </c>
      <c r="B463" s="9" t="n">
        <v>45461</v>
      </c>
      <c r="C463" s="4" t="n">
        <v>43742181.18</v>
      </c>
      <c r="D463" s="4">
        <f>C463/E463</f>
        <v/>
      </c>
      <c r="E463" s="4" t="n">
        <v>83.33</v>
      </c>
      <c r="F463" s="4">
        <f>D463/100000</f>
        <v/>
      </c>
      <c r="G463" s="4">
        <f>($D$1-F463)/F463*100</f>
        <v/>
      </c>
      <c r="H463" s="4">
        <f>($D$2-F463)/F463*100</f>
        <v/>
      </c>
      <c r="I463" s="4">
        <f>($D$3-F463)/F463*100</f>
        <v/>
      </c>
      <c r="J463" s="4">
        <f>F463/$F$10*100</f>
        <v/>
      </c>
      <c r="K463" s="4">
        <f>N463/L463</f>
        <v/>
      </c>
      <c r="L463" s="4">
        <f>(M463/O463)*100</f>
        <v/>
      </c>
      <c r="M463" s="4">
        <f>O463/R463</f>
        <v/>
      </c>
      <c r="N463" s="4" t="n">
        <v>6.98</v>
      </c>
      <c r="O463" s="4" t="n">
        <v>23557.9</v>
      </c>
      <c r="P463" s="4" t="n">
        <v>4.08</v>
      </c>
      <c r="Q463" s="4">
        <f>N463-L463</f>
        <v/>
      </c>
      <c r="R463" s="4" t="n">
        <v>22.4</v>
      </c>
      <c r="S463" s="4" t="n">
        <v>4.21</v>
      </c>
      <c r="T463" s="7">
        <f>N463-S463</f>
        <v/>
      </c>
      <c r="U463" s="4" t="n">
        <v>104.87</v>
      </c>
      <c r="V463" s="4">
        <f>(R463*W463)</f>
        <v/>
      </c>
      <c r="W463" s="6" t="n">
        <v>0.0682</v>
      </c>
      <c r="X463" s="4" t="n">
        <v>20809.75</v>
      </c>
      <c r="Y463" s="4" t="n">
        <v>42.27</v>
      </c>
      <c r="Z463" s="7">
        <f>X463/Y463</f>
        <v/>
      </c>
      <c r="AA463" s="7">
        <f>(Z463/X463)*100</f>
        <v/>
      </c>
      <c r="AB463" s="7" t="n">
        <v>17007.85</v>
      </c>
      <c r="AC463" s="7" t="n">
        <v>30.31</v>
      </c>
      <c r="AD463" s="7">
        <f>AB463/AC463</f>
        <v/>
      </c>
      <c r="AE463" s="7">
        <f>(AD463/AB463)*100</f>
        <v/>
      </c>
    </row>
    <row r="464">
      <c r="A464" s="5" t="n">
        <v>495</v>
      </c>
      <c r="B464" s="9" t="n">
        <v>45462</v>
      </c>
      <c r="C464" s="4" t="n">
        <v>43423245.43</v>
      </c>
      <c r="D464" s="4">
        <f>C464/E464</f>
        <v/>
      </c>
      <c r="E464" s="4" t="n">
        <v>83.45999999999999</v>
      </c>
      <c r="F464" s="4">
        <f>D464/100000</f>
        <v/>
      </c>
      <c r="G464" s="4">
        <f>($D$1-F464)/F464*100</f>
        <v/>
      </c>
      <c r="H464" s="4">
        <f>($D$2-F464)/F464*100</f>
        <v/>
      </c>
      <c r="I464" s="4">
        <f>($D$3-F464)/F464*100</f>
        <v/>
      </c>
      <c r="J464" s="4">
        <f>F464/$F$10*100</f>
        <v/>
      </c>
      <c r="K464" s="4">
        <f>N464/L464</f>
        <v/>
      </c>
      <c r="L464" s="4">
        <f>(M464/O464)*100</f>
        <v/>
      </c>
      <c r="M464" s="4">
        <f>O464/R464</f>
        <v/>
      </c>
      <c r="N464" s="4" t="n">
        <v>6.97</v>
      </c>
      <c r="O464" s="4" t="n">
        <v>23516</v>
      </c>
      <c r="P464" s="4" t="n">
        <v>4.08</v>
      </c>
      <c r="Q464" s="4">
        <f>N464-L464</f>
        <v/>
      </c>
      <c r="R464" s="4" t="n">
        <v>22.36</v>
      </c>
      <c r="S464" s="4" t="n">
        <v>4.23</v>
      </c>
      <c r="T464" s="7">
        <f>N464-S464</f>
        <v/>
      </c>
      <c r="U464" s="4" t="n">
        <v>104.87</v>
      </c>
      <c r="V464" s="4">
        <f>(R464*W464)</f>
        <v/>
      </c>
      <c r="W464" s="6" t="n">
        <v>0.0683</v>
      </c>
      <c r="X464" s="4" t="n">
        <v>20591.65</v>
      </c>
      <c r="Y464" s="4" t="n">
        <v>41.82</v>
      </c>
      <c r="Z464" s="7">
        <f>X464/Y464</f>
        <v/>
      </c>
      <c r="AA464" s="7">
        <f>(Z464/X464)*100</f>
        <v/>
      </c>
      <c r="AB464" s="7" t="n">
        <v>16942.8</v>
      </c>
      <c r="AC464" s="7" t="n">
        <v>30.15</v>
      </c>
      <c r="AD464" s="7">
        <f>AB464/AC464</f>
        <v/>
      </c>
      <c r="AE464" s="7">
        <f>(AD464/AB464)*100</f>
        <v/>
      </c>
    </row>
    <row r="465">
      <c r="A465" s="5" t="n">
        <v>496</v>
      </c>
      <c r="B465" s="8" t="n">
        <v>45463</v>
      </c>
      <c r="C465" s="4" t="n">
        <v>43602241.6</v>
      </c>
      <c r="D465" s="4">
        <f>C465/E465</f>
        <v/>
      </c>
      <c r="E465" s="4" t="n">
        <v>83.62</v>
      </c>
      <c r="F465" s="4">
        <f>D465/100000</f>
        <v/>
      </c>
      <c r="G465" s="4">
        <f>($D$1-F465)/F465*100</f>
        <v/>
      </c>
      <c r="H465" s="4">
        <f>($D$2-F465)/F465*100</f>
        <v/>
      </c>
      <c r="I465" s="4">
        <f>($D$3-F465)/F465*100</f>
        <v/>
      </c>
      <c r="J465" s="4">
        <f>F465/$F$10*100</f>
        <v/>
      </c>
      <c r="K465" s="4">
        <f>N465/L465</f>
        <v/>
      </c>
      <c r="L465" s="4">
        <f>(M465/O465)*100</f>
        <v/>
      </c>
      <c r="M465" s="4">
        <f>O465/R465</f>
        <v/>
      </c>
      <c r="N465" s="4" t="n">
        <v>6.97</v>
      </c>
      <c r="O465" s="4" t="n">
        <v>23567</v>
      </c>
      <c r="P465" s="4" t="n">
        <v>4.05</v>
      </c>
      <c r="Q465" s="4">
        <f>N465-L465</f>
        <v/>
      </c>
      <c r="R465" s="4" t="n">
        <v>22.41</v>
      </c>
      <c r="S465" s="4" t="n">
        <v>4.26</v>
      </c>
      <c r="T465" s="7">
        <f>N465-S465</f>
        <v/>
      </c>
      <c r="U465" s="4" t="n">
        <v>105.22</v>
      </c>
      <c r="V465" s="4">
        <f>(R465*W465)</f>
        <v/>
      </c>
      <c r="W465" s="6" t="n">
        <v>0.06809999999999999</v>
      </c>
      <c r="X465" s="4" t="n">
        <v>20766.7</v>
      </c>
      <c r="Y465" s="4" t="n">
        <v>42.18</v>
      </c>
      <c r="Z465" s="7">
        <f>X465/Y465</f>
        <v/>
      </c>
      <c r="AA465" s="7">
        <f>(Z465/X465)*100</f>
        <v/>
      </c>
      <c r="AB465" s="7" t="n">
        <v>17054</v>
      </c>
      <c r="AC465" s="7" t="n">
        <v>30.35</v>
      </c>
      <c r="AD465" s="7">
        <f>AB465/AC465</f>
        <v/>
      </c>
      <c r="AE465" s="7">
        <f>(AD465/AB465)*100</f>
        <v/>
      </c>
    </row>
    <row r="466">
      <c r="A466" s="5" t="n">
        <v>497</v>
      </c>
      <c r="B466" s="9" t="n">
        <v>45464</v>
      </c>
      <c r="C466" s="4" t="n">
        <v>43480399.44</v>
      </c>
      <c r="D466" s="4">
        <f>C466/E466</f>
        <v/>
      </c>
      <c r="E466" s="4" t="n">
        <v>83.55</v>
      </c>
      <c r="F466" s="4">
        <f>D466/100000</f>
        <v/>
      </c>
      <c r="G466" s="4">
        <f>($D$1-F466)/F466*100</f>
        <v/>
      </c>
      <c r="H466" s="4">
        <f>($D$2-F466)/F466*100</f>
        <v/>
      </c>
      <c r="I466" s="4">
        <f>($D$3-F466)/F466*100</f>
        <v/>
      </c>
      <c r="J466" s="4">
        <f>F466/$F$10*100</f>
        <v/>
      </c>
      <c r="K466" s="4">
        <f>N466/L466</f>
        <v/>
      </c>
      <c r="L466" s="4">
        <f>(M466/O466)*100</f>
        <v/>
      </c>
      <c r="M466" s="4">
        <f>O466/R466</f>
        <v/>
      </c>
      <c r="N466" s="4" t="n">
        <v>6.97</v>
      </c>
      <c r="O466" s="4" t="n">
        <v>23501.1</v>
      </c>
      <c r="P466" s="4" t="n">
        <v>4.04</v>
      </c>
      <c r="Q466" s="4">
        <f>N466-L466</f>
        <v/>
      </c>
      <c r="R466" s="4" t="n">
        <v>22.34</v>
      </c>
      <c r="S466" s="4" t="n">
        <v>4.25</v>
      </c>
      <c r="T466" s="7">
        <f>N466-S466</f>
        <v/>
      </c>
      <c r="U466" s="4" t="n">
        <v>105.44</v>
      </c>
      <c r="V466" s="4">
        <f>(R466*W466)</f>
        <v/>
      </c>
      <c r="W466" s="6" t="n">
        <v>0.068</v>
      </c>
      <c r="X466" s="4" t="n">
        <v>20735.25</v>
      </c>
      <c r="Y466" s="4" t="n">
        <v>42.11</v>
      </c>
      <c r="Z466" s="7">
        <f>X466/Y466</f>
        <v/>
      </c>
      <c r="AA466" s="7">
        <f>(Z466/X466)*100</f>
        <v/>
      </c>
      <c r="AB466" s="7" t="n">
        <v>17046.55</v>
      </c>
      <c r="AC466" s="7" t="n">
        <v>30.33</v>
      </c>
      <c r="AD466" s="7">
        <f>AB466/AC466</f>
        <v/>
      </c>
      <c r="AE466" s="7">
        <f>(AD466/AB466)*100</f>
        <v/>
      </c>
    </row>
    <row r="467">
      <c r="A467" s="5" t="n">
        <v>500</v>
      </c>
      <c r="B467" s="8" t="n">
        <v>45467</v>
      </c>
      <c r="C467" s="4" t="n">
        <v>43580375.93</v>
      </c>
      <c r="D467" s="4">
        <f>C467/E467</f>
        <v/>
      </c>
      <c r="E467" s="4" t="n">
        <v>83.45</v>
      </c>
      <c r="F467" s="4">
        <f>D467/100000</f>
        <v/>
      </c>
      <c r="G467" s="4">
        <f>($D$1-F467)/F467*100</f>
        <v/>
      </c>
      <c r="H467" s="4">
        <f>($D$2-F467)/F467*100</f>
        <v/>
      </c>
      <c r="I467" s="4">
        <f>($D$3-F467)/F467*100</f>
        <v/>
      </c>
      <c r="J467" s="4">
        <f>F467/$F$10*100</f>
        <v/>
      </c>
      <c r="K467" s="4">
        <f>N467/L467</f>
        <v/>
      </c>
      <c r="L467" s="4">
        <f>(M467/O467)*100</f>
        <v/>
      </c>
      <c r="M467" s="4">
        <f>O467/R467</f>
        <v/>
      </c>
      <c r="N467" s="4" t="n">
        <v>6.97</v>
      </c>
      <c r="O467" s="4" t="n">
        <v>23537.85</v>
      </c>
      <c r="P467" s="4" t="n">
        <v>4.05</v>
      </c>
      <c r="Q467" s="4">
        <f>N467-L467</f>
        <v/>
      </c>
      <c r="R467" s="4" t="n">
        <v>22.38</v>
      </c>
      <c r="S467" s="4" t="n">
        <v>4.23</v>
      </c>
      <c r="T467" s="7">
        <f>N467-S467</f>
        <v/>
      </c>
      <c r="U467" s="4" t="n">
        <v>105.12</v>
      </c>
      <c r="V467" s="4">
        <f>(R467*W467)</f>
        <v/>
      </c>
      <c r="W467" s="6" t="n">
        <v>0.06809999999999999</v>
      </c>
      <c r="X467" s="4" t="n">
        <v>20784</v>
      </c>
      <c r="Y467" s="4" t="n">
        <v>42.21</v>
      </c>
      <c r="Z467" s="7">
        <f>X467/Y467</f>
        <v/>
      </c>
      <c r="AA467" s="7">
        <f>(Z467/X467)*100</f>
        <v/>
      </c>
      <c r="AB467" s="7" t="n">
        <v>17048.15</v>
      </c>
      <c r="AC467" s="7" t="n">
        <v>30.34</v>
      </c>
      <c r="AD467" s="7">
        <f>AB467/AC467</f>
        <v/>
      </c>
      <c r="AE467" s="7">
        <f>(AD467/AB467)*100</f>
        <v/>
      </c>
    </row>
    <row r="468">
      <c r="A468" s="5" t="n">
        <v>501</v>
      </c>
      <c r="B468" s="9" t="n">
        <v>45468</v>
      </c>
      <c r="C468" s="4" t="n">
        <v>43606749.49</v>
      </c>
      <c r="D468" s="4">
        <f>C468/E468</f>
        <v/>
      </c>
      <c r="E468" s="4" t="n">
        <v>83.40000000000001</v>
      </c>
      <c r="F468" s="4">
        <f>D468/100000</f>
        <v/>
      </c>
      <c r="G468" s="4">
        <f>($D$1-F468)/F468*100</f>
        <v/>
      </c>
      <c r="H468" s="4">
        <f>($D$2-F468)/F468*100</f>
        <v/>
      </c>
      <c r="I468" s="4">
        <f>($D$3-F468)/F468*100</f>
        <v/>
      </c>
      <c r="J468" s="4">
        <f>F468/$F$10*100</f>
        <v/>
      </c>
      <c r="K468" s="4">
        <f>N468/L468</f>
        <v/>
      </c>
      <c r="L468" s="4">
        <f>(M468/O468)*100</f>
        <v/>
      </c>
      <c r="M468" s="4">
        <f>O468/R468</f>
        <v/>
      </c>
      <c r="N468" s="4" t="n">
        <v>6.98</v>
      </c>
      <c r="O468" s="4" t="n">
        <v>23721.3</v>
      </c>
      <c r="P468" s="4" t="n">
        <v>4.08</v>
      </c>
      <c r="Q468" s="4">
        <f>N468-L468</f>
        <v/>
      </c>
      <c r="R468" s="4" t="n">
        <v>22.55</v>
      </c>
      <c r="S468" s="4" t="n">
        <v>4.24</v>
      </c>
      <c r="T468" s="7">
        <f>N468-S468</f>
        <v/>
      </c>
      <c r="U468" s="4" t="n">
        <v>105.25</v>
      </c>
      <c r="V468" s="4">
        <f>(R468*W468)</f>
        <v/>
      </c>
      <c r="W468" s="6" t="n">
        <v>0.0682</v>
      </c>
      <c r="X468" s="4" t="n">
        <v>20734.55</v>
      </c>
      <c r="Y468" s="4" t="n">
        <v>42.11</v>
      </c>
      <c r="Z468" s="7">
        <f>X468/Y468</f>
        <v/>
      </c>
      <c r="AA468" s="7">
        <f>(Z468/X468)*100</f>
        <v/>
      </c>
      <c r="AB468" s="7" t="n">
        <v>17059.7</v>
      </c>
      <c r="AC468" s="7" t="n">
        <v>30.36</v>
      </c>
      <c r="AD468" s="7">
        <f>AB468/AC468</f>
        <v/>
      </c>
      <c r="AE468" s="7">
        <f>(AD468/AB468)*100</f>
        <v/>
      </c>
    </row>
    <row r="469">
      <c r="A469" s="5" t="n">
        <v>502</v>
      </c>
      <c r="B469" s="9" t="n">
        <v>45469</v>
      </c>
      <c r="C469" s="4" t="n">
        <v>43733308.06</v>
      </c>
      <c r="D469" s="4">
        <f>C469/E469</f>
        <v/>
      </c>
      <c r="E469" s="4" t="n">
        <v>83.56</v>
      </c>
      <c r="F469" s="4">
        <f>D469/100000</f>
        <v/>
      </c>
      <c r="G469" s="4">
        <f>($D$1-F469)/F469*100</f>
        <v/>
      </c>
      <c r="H469" s="4">
        <f>($D$2-F469)/F469*100</f>
        <v/>
      </c>
      <c r="I469" s="4">
        <f>($D$3-F469)/F469*100</f>
        <v/>
      </c>
      <c r="J469" s="4">
        <f>F469/$F$10*100</f>
        <v/>
      </c>
      <c r="K469" s="4">
        <f>N469/L469</f>
        <v/>
      </c>
      <c r="L469" s="4">
        <f>(M469/O469)*100</f>
        <v/>
      </c>
      <c r="M469" s="4">
        <f>O469/R469</f>
        <v/>
      </c>
      <c r="N469" s="4" t="n">
        <v>6.99</v>
      </c>
      <c r="O469" s="4" t="n">
        <v>23868.8</v>
      </c>
      <c r="P469" s="4" t="n">
        <v>4.1</v>
      </c>
      <c r="Q469" s="4">
        <f>N469-L469</f>
        <v/>
      </c>
      <c r="R469" s="4" t="n">
        <v>22.69</v>
      </c>
      <c r="S469" s="4" t="n">
        <v>4.32</v>
      </c>
      <c r="T469" s="7">
        <f>N469-S469</f>
        <v/>
      </c>
      <c r="U469" s="4" t="n">
        <v>105.71</v>
      </c>
      <c r="V469" s="4">
        <f>(R469*W469)</f>
        <v/>
      </c>
      <c r="W469" s="6" t="n">
        <v>0.0683</v>
      </c>
      <c r="X469" s="4" t="n">
        <v>20680.7</v>
      </c>
      <c r="Y469" s="4" t="n">
        <v>42</v>
      </c>
      <c r="Z469" s="7">
        <f>X469/Y469</f>
        <v/>
      </c>
      <c r="AA469" s="7">
        <f>(Z469/X469)*100</f>
        <v/>
      </c>
      <c r="AB469" s="7" t="n">
        <v>17095.7</v>
      </c>
      <c r="AC469" s="7" t="n">
        <v>30.42</v>
      </c>
      <c r="AD469" s="7">
        <f>AB469/AC469</f>
        <v/>
      </c>
      <c r="AE469" s="7">
        <f>(AD469/AB469)*100</f>
        <v/>
      </c>
    </row>
    <row r="470">
      <c r="A470" s="5" t="n">
        <v>503</v>
      </c>
      <c r="B470" s="9" t="n">
        <v>45470</v>
      </c>
      <c r="C470" s="4" t="n">
        <v>43871681.82</v>
      </c>
      <c r="D470" s="4">
        <f>C470/E470</f>
        <v/>
      </c>
      <c r="E470" s="4" t="n">
        <v>83.43000000000001</v>
      </c>
      <c r="F470" s="4">
        <f>D470/100000</f>
        <v/>
      </c>
      <c r="G470" s="4">
        <f>($D$1-F470)/F470*100</f>
        <v/>
      </c>
      <c r="H470" s="4">
        <f>($D$2-F470)/F470*100</f>
        <v/>
      </c>
      <c r="I470" s="4">
        <f>($D$3-F470)/F470*100</f>
        <v/>
      </c>
      <c r="J470" s="4">
        <f>F470/$F$10*100</f>
        <v/>
      </c>
      <c r="K470" s="4">
        <f>N470/L470</f>
        <v/>
      </c>
      <c r="L470" s="4">
        <f>(M470/O470)*100</f>
        <v/>
      </c>
      <c r="M470" s="4">
        <f>O470/R470</f>
        <v/>
      </c>
      <c r="N470" s="4" t="n">
        <v>7</v>
      </c>
      <c r="O470" s="4" t="n">
        <v>24044.5</v>
      </c>
      <c r="P470" s="4" t="n">
        <v>4.13</v>
      </c>
      <c r="Q470" s="4">
        <f>N470-L470</f>
        <v/>
      </c>
      <c r="R470" s="4" t="n">
        <v>22.86</v>
      </c>
      <c r="S470" s="4" t="n">
        <v>4.28</v>
      </c>
      <c r="T470" s="7">
        <f>N470-S470</f>
        <v/>
      </c>
      <c r="U470" s="4" t="n">
        <v>105.57</v>
      </c>
      <c r="V470" s="4">
        <f>(R470*W470)</f>
        <v/>
      </c>
      <c r="W470" s="6" t="n">
        <v>0.0683</v>
      </c>
      <c r="X470" s="4" t="n">
        <v>20723.15</v>
      </c>
      <c r="Y470" s="4" t="n">
        <v>42.09</v>
      </c>
      <c r="Z470" s="7">
        <f>X470/Y470</f>
        <v/>
      </c>
      <c r="AA470" s="7">
        <f>(Z470/X470)*100</f>
        <v/>
      </c>
      <c r="AB470" s="7" t="n">
        <v>16999.55</v>
      </c>
      <c r="AC470" s="7" t="n">
        <v>30.25</v>
      </c>
      <c r="AD470" s="7">
        <f>AB470/AC470</f>
        <v/>
      </c>
      <c r="AE470" s="7">
        <f>(AD470/AB470)*100</f>
        <v/>
      </c>
    </row>
    <row r="471">
      <c r="A471" s="5" t="n">
        <v>504</v>
      </c>
      <c r="B471" s="8" t="n">
        <v>45471</v>
      </c>
      <c r="C471" s="4" t="n">
        <v>43967789.06</v>
      </c>
      <c r="D471" s="4">
        <f>C471/E471</f>
        <v/>
      </c>
      <c r="E471" s="4" t="n">
        <v>83.34999999999999</v>
      </c>
      <c r="F471" s="4">
        <f>D471/100000</f>
        <v/>
      </c>
      <c r="G471" s="4">
        <f>($D$1-F471)/F471*100</f>
        <v/>
      </c>
      <c r="H471" s="4">
        <f>($D$2-F471)/F471*100</f>
        <v/>
      </c>
      <c r="I471" s="4">
        <f>($D$3-F471)/F471*100</f>
        <v/>
      </c>
      <c r="J471" s="4">
        <f>F471/$F$10*100</f>
        <v/>
      </c>
      <c r="K471" s="4">
        <f>N471/L471</f>
        <v/>
      </c>
      <c r="L471" s="4">
        <f>(M471/O471)*100</f>
        <v/>
      </c>
      <c r="M471" s="4">
        <f>O471/R471</f>
        <v/>
      </c>
      <c r="N471" s="4" t="n">
        <v>7</v>
      </c>
      <c r="O471" s="4" t="n">
        <v>24010.6</v>
      </c>
      <c r="P471" s="4" t="n">
        <v>4.14</v>
      </c>
      <c r="Q471" s="4">
        <f>N471-L471</f>
        <v/>
      </c>
      <c r="R471" s="4" t="n">
        <v>22.85</v>
      </c>
      <c r="S471" s="4" t="n">
        <v>4.39</v>
      </c>
      <c r="T471" s="7">
        <f>N471-S471</f>
        <v/>
      </c>
      <c r="U471" s="4" t="n">
        <v>105.54</v>
      </c>
      <c r="V471" s="4">
        <f>(R471*W471)</f>
        <v/>
      </c>
      <c r="W471" s="6" t="n">
        <v>0.068</v>
      </c>
      <c r="X471" s="4" t="n">
        <v>20831.95</v>
      </c>
      <c r="Y471" s="4" t="n">
        <v>42.33</v>
      </c>
      <c r="Z471" s="7">
        <f>X471/Y471</f>
        <v/>
      </c>
      <c r="AA471" s="7">
        <f>(Z471/X471)*100</f>
        <v/>
      </c>
      <c r="AB471" s="7" t="n">
        <v>17111.05</v>
      </c>
      <c r="AC471" s="7" t="n">
        <v>30.7</v>
      </c>
      <c r="AD471" s="7">
        <f>AB471/AC471</f>
        <v/>
      </c>
      <c r="AE471" s="7">
        <f>(AD471/AB471)*100</f>
        <v/>
      </c>
    </row>
    <row r="472">
      <c r="A472" s="5" t="n">
        <v>507</v>
      </c>
      <c r="B472" s="9" t="n">
        <v>45474</v>
      </c>
      <c r="C472" s="4" t="n">
        <v>44341027</v>
      </c>
      <c r="D472" s="4">
        <f>C472/E472</f>
        <v/>
      </c>
      <c r="E472" s="4" t="n">
        <v>83.43000000000001</v>
      </c>
      <c r="F472" s="4">
        <f>D472/100000</f>
        <v/>
      </c>
      <c r="G472" s="4">
        <f>($D$1-F472)/F472*100</f>
        <v/>
      </c>
      <c r="H472" s="4">
        <f>($D$2-F472)/F472*100</f>
        <v/>
      </c>
      <c r="I472" s="4">
        <f>($D$3-F472)/F472*100</f>
        <v/>
      </c>
      <c r="J472" s="4">
        <f>F472/$F$10*100</f>
        <v/>
      </c>
      <c r="K472" s="4">
        <f>N472/L472</f>
        <v/>
      </c>
      <c r="L472" s="4">
        <f>(M472/O472)*100</f>
        <v/>
      </c>
      <c r="M472" s="4">
        <f>O472/R472</f>
        <v/>
      </c>
      <c r="N472" s="4" t="n">
        <v>7.01</v>
      </c>
      <c r="O472" s="4" t="n">
        <v>24141.95</v>
      </c>
      <c r="P472" s="4" t="n">
        <v>4.16</v>
      </c>
      <c r="Q472" s="4">
        <f>N472-L472</f>
        <v/>
      </c>
      <c r="R472" s="4" t="n">
        <v>22.97</v>
      </c>
      <c r="S472" s="4" t="n">
        <v>4.47</v>
      </c>
      <c r="T472" s="7">
        <f>N472-S472</f>
        <v/>
      </c>
      <c r="U472" s="4" t="n">
        <v>105.63</v>
      </c>
      <c r="V472" s="4">
        <f>(R472*W472)</f>
        <v/>
      </c>
      <c r="W472" s="6" t="n">
        <v>0.068</v>
      </c>
      <c r="X472" s="4" t="n">
        <v>21029.9</v>
      </c>
      <c r="Y472" s="4" t="n">
        <v>42.73</v>
      </c>
      <c r="Z472" s="7">
        <f>X472/Y472</f>
        <v/>
      </c>
      <c r="AA472" s="7">
        <f>(Z472/X472)*100</f>
        <v/>
      </c>
      <c r="AB472" s="7" t="n">
        <v>17367.65</v>
      </c>
      <c r="AC472" s="7" t="n">
        <v>31.16</v>
      </c>
      <c r="AD472" s="7">
        <f>AB472/AC472</f>
        <v/>
      </c>
      <c r="AE472" s="7">
        <f>(AD472/AB472)*100</f>
        <v/>
      </c>
    </row>
    <row r="473">
      <c r="A473" s="5" t="n">
        <v>508</v>
      </c>
      <c r="B473" s="8" t="n">
        <v>45475</v>
      </c>
      <c r="C473" s="4" t="n">
        <v>44271573.34</v>
      </c>
      <c r="D473" s="7">
        <f>C473/E473</f>
        <v/>
      </c>
      <c r="E473" s="7" t="n">
        <v>83.5</v>
      </c>
      <c r="F473" s="7">
        <f>D473/100000</f>
        <v/>
      </c>
      <c r="G473" s="7">
        <f>($D$1-F473)/F473*100</f>
        <v/>
      </c>
      <c r="H473" s="7">
        <f>($D$2-F473)/F473*100</f>
        <v/>
      </c>
      <c r="I473" s="7">
        <f>($D$3-F473)/F473*100</f>
        <v/>
      </c>
      <c r="J473" s="7">
        <f>F473/$F$10*100</f>
        <v/>
      </c>
      <c r="K473" s="4">
        <f>N473/L473</f>
        <v/>
      </c>
      <c r="L473" s="4">
        <f>(M473/O473)*100</f>
        <v/>
      </c>
      <c r="M473" s="4">
        <f>O473/R473</f>
        <v/>
      </c>
      <c r="N473" s="4" t="n">
        <v>7</v>
      </c>
      <c r="O473" s="11" t="n">
        <v>24123.85</v>
      </c>
      <c r="P473" s="4" t="n">
        <v>4.16</v>
      </c>
      <c r="Q473" s="4">
        <f>N473-L473</f>
        <v/>
      </c>
      <c r="R473" s="4" t="n">
        <v>22.96</v>
      </c>
      <c r="S473" s="4" t="n">
        <v>4.43</v>
      </c>
      <c r="T473" s="7">
        <f>N473-S473</f>
        <v/>
      </c>
      <c r="U473" s="4" t="n">
        <v>105.72</v>
      </c>
      <c r="V473" s="4">
        <f>(R473*W473)</f>
        <v/>
      </c>
      <c r="W473" s="6" t="n">
        <v>0.06759999999999999</v>
      </c>
      <c r="X473" s="4" t="n">
        <v>20909.9</v>
      </c>
      <c r="Y473" s="4" t="n">
        <v>42.49</v>
      </c>
      <c r="Z473" s="4">
        <f>X473/Y473</f>
        <v/>
      </c>
      <c r="AA473" s="4">
        <f>(Z473/X473)*100</f>
        <v/>
      </c>
      <c r="AB473" s="4" t="n">
        <v>17339.35</v>
      </c>
      <c r="AC473" s="4" t="n">
        <v>31.11</v>
      </c>
      <c r="AD473" s="4">
        <f>AB473/AC473</f>
        <v/>
      </c>
      <c r="AE473" s="4">
        <f>(AD473/AB473)*100</f>
        <v/>
      </c>
    </row>
    <row r="474">
      <c r="A474" s="5" t="n">
        <v>509</v>
      </c>
      <c r="B474" s="9" t="n">
        <v>45476</v>
      </c>
      <c r="C474" s="4" t="n">
        <v>44602042.92</v>
      </c>
      <c r="D474" s="7">
        <f>C474/E474</f>
        <v/>
      </c>
      <c r="E474" s="7" t="n">
        <v>83.52</v>
      </c>
      <c r="F474" s="7">
        <f>D474/100000</f>
        <v/>
      </c>
      <c r="G474" s="7">
        <f>($D$1-F474)/F474*100</f>
        <v/>
      </c>
      <c r="H474" s="7">
        <f>($D$2-F474)/F474*100</f>
        <v/>
      </c>
      <c r="I474" s="7">
        <f>($D$3-F474)/F474*100</f>
        <v/>
      </c>
      <c r="J474" s="7">
        <f>F474/$F$10*100</f>
        <v/>
      </c>
      <c r="K474" s="4">
        <f>N474/L474</f>
        <v/>
      </c>
      <c r="L474" s="4">
        <f>(M474/O474)*100</f>
        <v/>
      </c>
      <c r="M474" s="4">
        <f>O474/R474</f>
        <v/>
      </c>
      <c r="N474" s="4" t="n">
        <v>7</v>
      </c>
      <c r="O474" s="4" t="n">
        <v>24286.5</v>
      </c>
      <c r="P474" s="4" t="n">
        <v>4.18</v>
      </c>
      <c r="Q474" s="4">
        <f>N474-L474</f>
        <v/>
      </c>
      <c r="R474" s="4" t="n">
        <v>23.11</v>
      </c>
      <c r="S474" s="4" t="n">
        <v>4.35</v>
      </c>
      <c r="T474" s="7">
        <f>N474-S474</f>
        <v/>
      </c>
      <c r="U474" s="4" t="n">
        <v>105.4</v>
      </c>
      <c r="V474" s="4">
        <f>(R474*W474)</f>
        <v/>
      </c>
      <c r="W474" s="6" t="n">
        <v>0.0674</v>
      </c>
      <c r="X474" s="4" t="n">
        <v>21072.75</v>
      </c>
      <c r="Y474" s="4" t="n">
        <v>42.82</v>
      </c>
      <c r="Z474" s="4">
        <f>X474/Y474</f>
        <v/>
      </c>
      <c r="AA474" s="4">
        <f>(Z474/X474)*100</f>
        <v/>
      </c>
      <c r="AB474" s="4" t="n">
        <v>17494.7</v>
      </c>
      <c r="AC474" s="4" t="n">
        <v>31.39</v>
      </c>
      <c r="AD474" s="4">
        <f>AB474/AC474</f>
        <v/>
      </c>
      <c r="AE474" s="4">
        <f>(AD474/AB474)*100</f>
        <v/>
      </c>
    </row>
    <row r="475">
      <c r="A475" s="5" t="n">
        <v>510</v>
      </c>
      <c r="B475" s="9" t="n">
        <v>45477</v>
      </c>
      <c r="C475" s="4" t="n">
        <v>44787012.68</v>
      </c>
      <c r="D475" s="7">
        <f>C475/E475</f>
        <v/>
      </c>
      <c r="E475" s="7" t="n">
        <v>83.47</v>
      </c>
      <c r="F475" s="7">
        <f>D475/100000</f>
        <v/>
      </c>
      <c r="G475" s="7">
        <f>($D$1-F475)/F475*100</f>
        <v/>
      </c>
      <c r="H475" s="7">
        <f>($D$2-F475)/F475*100</f>
        <v/>
      </c>
      <c r="I475" s="7">
        <f>($D$3-F475)/F475*100</f>
        <v/>
      </c>
      <c r="J475" s="7">
        <f>F475/$F$10*100</f>
        <v/>
      </c>
      <c r="K475" s="4">
        <f>N475/L475</f>
        <v/>
      </c>
      <c r="L475" s="4">
        <f>(M475/O475)*100</f>
        <v/>
      </c>
      <c r="M475" s="4">
        <f>O475/R475</f>
        <v/>
      </c>
      <c r="N475" s="4" t="n">
        <v>6.99</v>
      </c>
      <c r="O475" s="4" t="n">
        <v>24302.15</v>
      </c>
      <c r="P475" s="4" t="n">
        <v>4.19</v>
      </c>
      <c r="Q475" s="4">
        <f>N475-L475</f>
        <v/>
      </c>
      <c r="R475" s="4" t="n">
        <v>23.13</v>
      </c>
      <c r="S475" s="4" t="n">
        <v>4.37</v>
      </c>
      <c r="T475" s="7">
        <f>N475-S475</f>
        <v/>
      </c>
      <c r="U475" s="4" t="n">
        <v>105.13</v>
      </c>
      <c r="V475" s="4">
        <f>(R475*W475)</f>
        <v/>
      </c>
      <c r="W475" s="6" t="n">
        <v>0.0673</v>
      </c>
      <c r="X475" s="4" t="n">
        <v>21215.3</v>
      </c>
      <c r="Y475" s="4" t="n">
        <v>43.1</v>
      </c>
      <c r="Z475" s="4">
        <f>X475/Y475</f>
        <v/>
      </c>
      <c r="AA475" s="4">
        <f>(Z475/X475)*100</f>
        <v/>
      </c>
      <c r="AB475" s="4" t="n">
        <v>17591.95</v>
      </c>
      <c r="AC475" s="4" t="n">
        <v>31.56</v>
      </c>
      <c r="AD475" s="4">
        <f>AB475/AC475</f>
        <v/>
      </c>
      <c r="AE475" s="4">
        <f>(AD475/AB475)*100</f>
        <v/>
      </c>
    </row>
    <row r="476">
      <c r="A476" s="5" t="n">
        <v>511</v>
      </c>
      <c r="B476" s="9" t="n">
        <v>45478</v>
      </c>
      <c r="C476" s="4" t="n">
        <v>45043956.25</v>
      </c>
      <c r="D476" s="7">
        <f>C476/E476</f>
        <v/>
      </c>
      <c r="E476" s="7" t="n">
        <v>83.5</v>
      </c>
      <c r="F476" s="7">
        <f>D476/100000</f>
        <v/>
      </c>
      <c r="G476" s="7">
        <f>($D$1-F476)/F476*100</f>
        <v/>
      </c>
      <c r="H476" s="7">
        <f>($D$2-F476)/F476*100</f>
        <v/>
      </c>
      <c r="I476" s="7">
        <f>($D$3-F476)/F476*100</f>
        <v/>
      </c>
      <c r="J476" s="7">
        <f>F476/$F$10*100</f>
        <v/>
      </c>
      <c r="K476" s="4">
        <f>N476/L476</f>
        <v/>
      </c>
      <c r="L476" s="4">
        <f>(M476/O476)*100</f>
        <v/>
      </c>
      <c r="M476" s="4">
        <f>O476/R476</f>
        <v/>
      </c>
      <c r="N476" s="4" t="n">
        <v>6.99</v>
      </c>
      <c r="O476" s="4" t="n">
        <v>24323.85</v>
      </c>
      <c r="P476" s="4" t="n">
        <v>4.19</v>
      </c>
      <c r="Q476" s="4">
        <f>N476-L476</f>
        <v/>
      </c>
      <c r="R476" s="4" t="n">
        <v>23.15</v>
      </c>
      <c r="S476" s="4" t="n">
        <v>4.27</v>
      </c>
      <c r="T476" s="7">
        <f>N476-S476</f>
        <v/>
      </c>
      <c r="U476" s="4" t="n">
        <v>104.88</v>
      </c>
      <c r="V476" s="4">
        <f>(R476*W476)</f>
        <v/>
      </c>
      <c r="W476" s="6" t="n">
        <v>0.0672</v>
      </c>
      <c r="X476" s="4" t="n">
        <v>21352.5</v>
      </c>
      <c r="Y476" s="4" t="n">
        <v>43.38</v>
      </c>
      <c r="Z476" s="4">
        <f>X476/Y476</f>
        <v/>
      </c>
      <c r="AA476" s="4">
        <f>(Z476/X476)*100</f>
        <v/>
      </c>
      <c r="AB476" s="4" t="n">
        <v>17712.3</v>
      </c>
      <c r="AC476" s="4" t="n">
        <v>31.77</v>
      </c>
      <c r="AD476" s="4">
        <f>AB476/AC476</f>
        <v/>
      </c>
      <c r="AE476" s="4">
        <f>(AD476/AB476)*100</f>
        <v/>
      </c>
    </row>
    <row r="477">
      <c r="A477" s="5" t="n">
        <v>514</v>
      </c>
      <c r="B477" s="9" t="n">
        <v>45481</v>
      </c>
      <c r="C477" s="4" t="n">
        <v>45018897.51</v>
      </c>
      <c r="D477" s="7">
        <f>C477/E477</f>
        <v/>
      </c>
      <c r="E477" s="7" t="n">
        <v>83.5</v>
      </c>
      <c r="F477" s="7">
        <f>D477/100000</f>
        <v/>
      </c>
      <c r="G477" s="7">
        <f>($D$1-F477)/F477*100</f>
        <v/>
      </c>
      <c r="H477" s="7">
        <f>($D$2-F477)/F477*100</f>
        <v/>
      </c>
      <c r="I477" s="7">
        <f>($D$3-F477)/F477*100</f>
        <v/>
      </c>
      <c r="J477" s="7">
        <f>F477/$F$10*100</f>
        <v/>
      </c>
      <c r="K477" s="4">
        <f>N477/L477</f>
        <v/>
      </c>
      <c r="L477" s="4">
        <f>(M477/O477)*100</f>
        <v/>
      </c>
      <c r="M477" s="4">
        <f>O477/R477</f>
        <v/>
      </c>
      <c r="N477" s="4" t="n">
        <v>6.98</v>
      </c>
      <c r="O477" s="4" t="n">
        <v>24320.55</v>
      </c>
      <c r="P477" s="4" t="n">
        <v>4.19</v>
      </c>
      <c r="Q477" s="4">
        <f>N477-L477</f>
        <v/>
      </c>
      <c r="R477" s="4" t="n">
        <v>23.14</v>
      </c>
      <c r="S477" s="4" t="n">
        <v>4.28</v>
      </c>
      <c r="T477" s="7">
        <f>N477-S477</f>
        <v/>
      </c>
      <c r="U477" s="4" t="n">
        <v>105</v>
      </c>
      <c r="V477" s="4">
        <f>(R477*W477)</f>
        <v/>
      </c>
      <c r="W477" s="6" t="n">
        <v>0.0673</v>
      </c>
      <c r="X477" s="4" t="n">
        <v>21289.35</v>
      </c>
      <c r="Y477" s="4" t="n">
        <v>43.25</v>
      </c>
      <c r="Z477" s="4">
        <f>X477/Y477</f>
        <v/>
      </c>
      <c r="AA477" s="4">
        <f>(Z477/X477)*100</f>
        <v/>
      </c>
      <c r="AB477" s="4" t="n">
        <v>17665.75</v>
      </c>
      <c r="AC477" s="4" t="n">
        <v>31.69</v>
      </c>
      <c r="AD477" s="4">
        <f>AB477/AC477</f>
        <v/>
      </c>
      <c r="AE477" s="4">
        <f>(AD477/AB477)*100</f>
        <v/>
      </c>
    </row>
    <row r="478">
      <c r="A478" s="5" t="n">
        <v>515</v>
      </c>
      <c r="B478" s="9" t="n">
        <v>45482</v>
      </c>
      <c r="C478" s="4" t="n">
        <v>45179204.66</v>
      </c>
      <c r="D478" s="7">
        <f>C478/E478</f>
        <v/>
      </c>
      <c r="E478" s="7" t="n">
        <v>83.45999999999999</v>
      </c>
      <c r="F478" s="7">
        <f>D478/100000</f>
        <v/>
      </c>
      <c r="G478" s="7">
        <f>($D$1-F478)/F478*100</f>
        <v/>
      </c>
      <c r="H478" s="7">
        <f>($D$2-F478)/F478*100</f>
        <v/>
      </c>
      <c r="I478" s="7">
        <f>($D$3-F478)/F478*100</f>
        <v/>
      </c>
      <c r="J478" s="7">
        <f>F478/$F$10*100</f>
        <v/>
      </c>
      <c r="K478" s="4">
        <f>N478/L478</f>
        <v/>
      </c>
      <c r="L478" s="4">
        <f>(M478/O478)*100</f>
        <v/>
      </c>
      <c r="M478" s="4">
        <f>O478/R478</f>
        <v/>
      </c>
      <c r="N478" s="4" t="n">
        <v>6.98</v>
      </c>
      <c r="O478" s="4" t="n">
        <v>24433.2</v>
      </c>
      <c r="P478" s="4" t="n">
        <v>4.21</v>
      </c>
      <c r="Q478" s="4">
        <f>N478-L478</f>
        <v/>
      </c>
      <c r="R478" s="4" t="n">
        <v>23.25</v>
      </c>
      <c r="S478" s="4" t="n">
        <v>4.29</v>
      </c>
      <c r="T478" s="7">
        <f>N478-S478</f>
        <v/>
      </c>
      <c r="U478" s="4" t="n">
        <v>105.13</v>
      </c>
      <c r="V478" s="4">
        <f>(R478*W478)</f>
        <v/>
      </c>
      <c r="W478" s="6" t="n">
        <v>0.0673</v>
      </c>
      <c r="X478" s="4" t="n">
        <v>21347.5</v>
      </c>
      <c r="Y478" s="4" t="n">
        <v>43.37</v>
      </c>
      <c r="Z478" s="4">
        <f>X478/Y478</f>
        <v/>
      </c>
      <c r="AA478" s="4">
        <f>(Z478/X478)*100</f>
        <v/>
      </c>
      <c r="AB478" s="4" t="n">
        <v>17707.65</v>
      </c>
      <c r="AC478" s="4" t="n">
        <v>31.76</v>
      </c>
      <c r="AD478" s="4">
        <f>AB478/AC478</f>
        <v/>
      </c>
      <c r="AE478" s="4">
        <f>(AD478/AB478)*100</f>
        <v/>
      </c>
    </row>
    <row r="479">
      <c r="A479" s="5" t="n">
        <v>516</v>
      </c>
      <c r="B479" s="8" t="n">
        <v>45483</v>
      </c>
      <c r="C479" s="4" t="n">
        <v>45055469.66</v>
      </c>
      <c r="D479" s="7">
        <f>C479/E479</f>
        <v/>
      </c>
      <c r="E479" s="7" t="n">
        <v>83.51000000000001</v>
      </c>
      <c r="F479" s="7">
        <f>D479/100000</f>
        <v/>
      </c>
      <c r="G479" s="7">
        <f>($D$1-F479)/F479*100</f>
        <v/>
      </c>
      <c r="H479" s="7">
        <f>($D$2-F479)/F479*100</f>
        <v/>
      </c>
      <c r="I479" s="7">
        <f>($D$3-F479)/F479*100</f>
        <v/>
      </c>
      <c r="J479" s="7">
        <f>F479/$F$10*100</f>
        <v/>
      </c>
      <c r="K479" s="4">
        <f>N479/L479</f>
        <v/>
      </c>
      <c r="L479" s="4">
        <f>(M479/O479)*100</f>
        <v/>
      </c>
      <c r="M479" s="4">
        <f>O479/R479</f>
        <v/>
      </c>
      <c r="N479" s="4" t="n">
        <v>6.97</v>
      </c>
      <c r="O479" s="4" t="n">
        <v>24324.45</v>
      </c>
      <c r="P479" s="4" t="n">
        <v>4.19</v>
      </c>
      <c r="Q479" s="4">
        <f>N479-L479</f>
        <v/>
      </c>
      <c r="R479" s="4" t="n">
        <v>23.15</v>
      </c>
      <c r="S479" s="4" t="n">
        <v>4.28</v>
      </c>
      <c r="T479" s="7">
        <f>N479-S479</f>
        <v/>
      </c>
      <c r="U479" s="4" t="n">
        <v>105.05</v>
      </c>
      <c r="V479" s="4">
        <f>(R479*W479)</f>
        <v/>
      </c>
      <c r="W479" s="6" t="n">
        <v>0.0673</v>
      </c>
      <c r="X479" s="4" t="n">
        <v>21266.6</v>
      </c>
      <c r="Y479" s="4" t="n">
        <v>43.2</v>
      </c>
      <c r="Z479" s="4">
        <f>X479/Y479</f>
        <v/>
      </c>
      <c r="AA479" s="4">
        <f>(Z479/X479)*100</f>
        <v/>
      </c>
      <c r="AB479" s="4" t="n">
        <v>17585.7</v>
      </c>
      <c r="AC479" s="4" t="n">
        <v>31.55</v>
      </c>
      <c r="AD479" s="4">
        <f>AB479/AC479</f>
        <v/>
      </c>
      <c r="AE479" s="4">
        <f>(AD479/AB479)*100</f>
        <v/>
      </c>
    </row>
    <row r="480">
      <c r="A480" s="5" t="n">
        <v>517</v>
      </c>
      <c r="B480" s="9" t="n">
        <v>45484</v>
      </c>
      <c r="C480" s="4" t="n">
        <v>45170277.05</v>
      </c>
      <c r="D480" s="7">
        <f>C480/E480</f>
        <v/>
      </c>
      <c r="E480" s="7" t="n">
        <v>83.5</v>
      </c>
      <c r="F480" s="7">
        <f>D480/100000</f>
        <v/>
      </c>
      <c r="G480" s="7">
        <f>($D$1-F480)/F480*100</f>
        <v/>
      </c>
      <c r="H480" s="7">
        <f>($D$2-F480)/F480*100</f>
        <v/>
      </c>
      <c r="I480" s="7">
        <f>($D$3-F480)/F480*100</f>
        <v/>
      </c>
      <c r="J480" s="7">
        <f>F480/$F$10*100</f>
        <v/>
      </c>
      <c r="K480" s="4">
        <f>N480/L480</f>
        <v/>
      </c>
      <c r="L480" s="4">
        <f>(M480/O480)*100</f>
        <v/>
      </c>
      <c r="M480" s="4">
        <f>O480/R480</f>
        <v/>
      </c>
      <c r="N480" s="4" t="n">
        <v>6.98</v>
      </c>
      <c r="O480" s="4" t="n">
        <v>24315.95</v>
      </c>
      <c r="P480" s="4" t="n">
        <v>4.19</v>
      </c>
      <c r="Q480" s="4">
        <f>N480-L480</f>
        <v/>
      </c>
      <c r="R480" s="4" t="n">
        <v>23.14</v>
      </c>
      <c r="S480" s="4" t="n">
        <v>4.21</v>
      </c>
      <c r="T480" s="7">
        <f>N480-S480</f>
        <v/>
      </c>
      <c r="U480" s="4" t="n">
        <v>104.44</v>
      </c>
      <c r="V480" s="4">
        <f>(R480*W480)</f>
        <v/>
      </c>
      <c r="W480" s="6" t="n">
        <v>0.0672</v>
      </c>
      <c r="X480" s="4" t="n">
        <v>21312.15</v>
      </c>
      <c r="Y480" s="4" t="n">
        <v>43.29</v>
      </c>
      <c r="Z480" s="4">
        <f>X480/Y480</f>
        <v/>
      </c>
      <c r="AA480" s="4">
        <f>(Z480/X480)*100</f>
        <v/>
      </c>
      <c r="AB480" s="4" t="n">
        <v>17692.15</v>
      </c>
      <c r="AC480" s="4" t="n">
        <v>31.74</v>
      </c>
      <c r="AD480" s="4">
        <f>AB480/AC480</f>
        <v/>
      </c>
      <c r="AE480" s="4">
        <f>(AD480/AB480)*100</f>
        <v/>
      </c>
    </row>
    <row r="481">
      <c r="A481" s="5" t="n">
        <v>518</v>
      </c>
      <c r="B481" s="9" t="n">
        <v>45485</v>
      </c>
      <c r="C481" s="4" t="n">
        <v>45290317.48</v>
      </c>
      <c r="D481" s="7">
        <f>C481/E481</f>
        <v/>
      </c>
      <c r="E481" s="7" t="n">
        <v>83.51000000000001</v>
      </c>
      <c r="F481" s="7">
        <f>D481/100000</f>
        <v/>
      </c>
      <c r="G481" s="7">
        <f>($D$1-F481)/F481*100</f>
        <v/>
      </c>
      <c r="H481" s="7">
        <f>($D$2-F481)/F481*100</f>
        <v/>
      </c>
      <c r="I481" s="7">
        <f>($D$3-F481)/F481*100</f>
        <v/>
      </c>
      <c r="J481" s="7">
        <f>F481/$F$10*100</f>
        <v/>
      </c>
      <c r="K481" s="4">
        <f>N481/L481</f>
        <v/>
      </c>
      <c r="L481" s="4">
        <f>(M481/O481)*100</f>
        <v/>
      </c>
      <c r="M481" s="4">
        <f>O481/R481</f>
        <v/>
      </c>
      <c r="N481" s="4" t="n">
        <v>6.98</v>
      </c>
      <c r="O481" s="4" t="n">
        <v>24502.15</v>
      </c>
      <c r="P481" s="4" t="n">
        <v>4.22</v>
      </c>
      <c r="Q481" s="4">
        <f>N481-L481</f>
        <v/>
      </c>
      <c r="R481" s="4" t="n">
        <v>23.32</v>
      </c>
      <c r="S481" s="4" t="n">
        <v>4.18</v>
      </c>
      <c r="T481" s="7">
        <f>N481-S481</f>
        <v/>
      </c>
      <c r="U481" s="4" t="n">
        <v>104.09</v>
      </c>
      <c r="V481" s="4">
        <f>(R481*W481)</f>
        <v/>
      </c>
      <c r="W481" s="6" t="n">
        <v>0.0673</v>
      </c>
      <c r="X481" s="4" t="n">
        <v>21300.25</v>
      </c>
      <c r="Y481" s="4" t="n">
        <v>43.27</v>
      </c>
      <c r="Z481" s="4">
        <f>X481/Y481</f>
        <v/>
      </c>
      <c r="AA481" s="4">
        <f>(Z481/X481)*100</f>
        <v/>
      </c>
      <c r="AB481" s="4" t="n">
        <v>17679.2</v>
      </c>
      <c r="AC481" s="4" t="n">
        <v>31.71</v>
      </c>
      <c r="AD481" s="4">
        <f>AB481/AC481</f>
        <v/>
      </c>
      <c r="AE481" s="4">
        <f>(AD481/AB481)*100</f>
        <v/>
      </c>
    </row>
    <row r="482">
      <c r="A482" s="5" t="n">
        <v>521</v>
      </c>
      <c r="B482" s="9" t="n">
        <v>45488</v>
      </c>
      <c r="C482" s="4" t="n">
        <v>45550695.16</v>
      </c>
      <c r="D482" s="7">
        <f>C482/E482</f>
        <v/>
      </c>
      <c r="E482" s="7" t="n">
        <v>83.55</v>
      </c>
      <c r="F482" s="7">
        <f>D482/100000</f>
        <v/>
      </c>
      <c r="G482" s="7">
        <f>($D$1-F482)/F482*100</f>
        <v/>
      </c>
      <c r="H482" s="7">
        <f>($D$2-F482)/F482*100</f>
        <v/>
      </c>
      <c r="I482" s="7">
        <f>($D$3-F482)/F482*100</f>
        <v/>
      </c>
      <c r="J482" s="7">
        <f>F482/$F$10*100</f>
        <v/>
      </c>
      <c r="K482" s="4">
        <f>N482/L482</f>
        <v/>
      </c>
      <c r="L482" s="4">
        <f>(M482/O482)*100</f>
        <v/>
      </c>
      <c r="M482" s="4">
        <f>O482/R482</f>
        <v/>
      </c>
      <c r="N482" s="4" t="n">
        <v>6.98</v>
      </c>
      <c r="O482" s="4" t="n">
        <v>24586.7</v>
      </c>
      <c r="P482" s="4" t="n">
        <v>4.16</v>
      </c>
      <c r="Q482" s="4">
        <f>N482-L482</f>
        <v/>
      </c>
      <c r="R482" s="4" t="n">
        <v>23.38</v>
      </c>
      <c r="S482" s="4" t="n">
        <v>4.23</v>
      </c>
      <c r="T482" s="7">
        <f>N482-S482</f>
        <v/>
      </c>
      <c r="U482" s="4" t="n">
        <v>104.19</v>
      </c>
      <c r="V482" s="4">
        <f>(R482*W482)</f>
        <v/>
      </c>
      <c r="W482" s="6" t="n">
        <v>0.0674</v>
      </c>
      <c r="X482" s="4" t="n">
        <v>21448.85</v>
      </c>
      <c r="Y482" s="4" t="n">
        <v>43.57</v>
      </c>
      <c r="Z482" s="4">
        <f>X482/Y482</f>
        <v/>
      </c>
      <c r="AA482" s="4">
        <f>(Z482/X482)*100</f>
        <v/>
      </c>
      <c r="AB482" s="4" t="n">
        <v>17743.15</v>
      </c>
      <c r="AC482" s="4" t="n">
        <v>31.82</v>
      </c>
      <c r="AD482" s="4">
        <f>AB482/AC482</f>
        <v/>
      </c>
      <c r="AE482" s="4">
        <f>(AD482/AB482)*100</f>
        <v/>
      </c>
    </row>
    <row r="483">
      <c r="A483" s="5" t="n">
        <v>522</v>
      </c>
      <c r="B483" s="9" t="n">
        <v>45489</v>
      </c>
      <c r="C483" s="4" t="n">
        <v>45577615.32</v>
      </c>
      <c r="D483" s="7">
        <f>C483/E483</f>
        <v/>
      </c>
      <c r="E483" s="7" t="n">
        <v>83.52</v>
      </c>
      <c r="F483" s="7">
        <f>D483/100000</f>
        <v/>
      </c>
      <c r="G483" s="7">
        <f>($D$1-F483)/F483*100</f>
        <v/>
      </c>
      <c r="H483" s="7">
        <f>($D$2-F483)/F483*100</f>
        <v/>
      </c>
      <c r="I483" s="7">
        <f>($D$3-F483)/F483*100</f>
        <v/>
      </c>
      <c r="J483" s="7">
        <f>F483/$F$10*100</f>
        <v/>
      </c>
      <c r="K483" s="4">
        <f>N483/L483</f>
        <v/>
      </c>
      <c r="L483" s="4">
        <f>(M483/O483)*100</f>
        <v/>
      </c>
      <c r="M483" s="4">
        <f>O483/R483</f>
        <v/>
      </c>
      <c r="N483" s="4" t="n">
        <v>6.96</v>
      </c>
      <c r="O483" s="4" t="n">
        <v>24613</v>
      </c>
      <c r="P483" s="4" t="n">
        <v>4.17</v>
      </c>
      <c r="Q483" s="4">
        <f>N483-L483</f>
        <v/>
      </c>
      <c r="R483" s="4" t="n">
        <v>23.39</v>
      </c>
      <c r="S483" s="4" t="n">
        <v>4.16</v>
      </c>
      <c r="T483" s="7">
        <f>N483-S483</f>
        <v/>
      </c>
      <c r="U483" s="4" t="n">
        <v>104.27</v>
      </c>
      <c r="V483" s="4">
        <f>(R483*W483)</f>
        <v/>
      </c>
      <c r="W483" s="6" t="n">
        <v>0.0673</v>
      </c>
      <c r="X483" s="4" t="n">
        <v>21456.5</v>
      </c>
      <c r="Y483" s="4" t="n">
        <v>43.58</v>
      </c>
      <c r="Z483" s="4">
        <f>X483/Y483</f>
        <v/>
      </c>
      <c r="AA483" s="4">
        <f>(Z483/X483)*100</f>
        <v/>
      </c>
      <c r="AB483" s="4" t="n">
        <v>17774.9</v>
      </c>
      <c r="AC483" s="4" t="n">
        <v>31.88</v>
      </c>
      <c r="AD483" s="4">
        <f>AB483/AC483</f>
        <v/>
      </c>
      <c r="AE483" s="4">
        <f>(AD483/AB483)*100</f>
        <v/>
      </c>
    </row>
    <row r="484">
      <c r="A484" s="5" t="n">
        <v>524</v>
      </c>
      <c r="B484" s="8" t="n">
        <v>45491</v>
      </c>
      <c r="C484" s="4" t="n">
        <v>45484159.17</v>
      </c>
      <c r="D484" s="7">
        <f>C484/E484</f>
        <v/>
      </c>
      <c r="E484" s="7" t="n">
        <v>83.58</v>
      </c>
      <c r="F484" s="7">
        <f>D484/100000</f>
        <v/>
      </c>
      <c r="G484" s="7">
        <f>($D$1-F484)/F484*100</f>
        <v/>
      </c>
      <c r="H484" s="7">
        <f>($D$2-F484)/F484*100</f>
        <v/>
      </c>
      <c r="I484" s="7">
        <f>($D$3-F484)/F484*100</f>
        <v/>
      </c>
      <c r="J484" s="7">
        <f>F484/$F$10*100</f>
        <v/>
      </c>
      <c r="K484" s="4">
        <f>N484/L484</f>
        <v/>
      </c>
      <c r="L484" s="4">
        <f>(M484/O484)*100</f>
        <v/>
      </c>
      <c r="M484" s="4">
        <f>O484/R484</f>
        <v/>
      </c>
      <c r="N484" s="4" t="n">
        <v>6.96</v>
      </c>
      <c r="O484" s="4" t="n">
        <v>24800.85</v>
      </c>
      <c r="P484" s="4" t="n">
        <v>4.19</v>
      </c>
      <c r="Q484" s="4">
        <f>N484-L484</f>
        <v/>
      </c>
      <c r="R484" s="4" t="n">
        <v>23.57</v>
      </c>
      <c r="S484" s="4" t="n">
        <v>4.2</v>
      </c>
      <c r="T484" s="7">
        <f>N484-S484</f>
        <v/>
      </c>
      <c r="U484" s="4" t="n">
        <v>104.17</v>
      </c>
      <c r="V484" s="4">
        <f>(R484*W484)</f>
        <v/>
      </c>
      <c r="W484" s="6" t="n">
        <v>0.0672</v>
      </c>
      <c r="X484" s="4" t="n">
        <v>21255.6</v>
      </c>
      <c r="Y484" s="4" t="n">
        <v>43.11</v>
      </c>
      <c r="Z484" s="4">
        <f>X484/Y484</f>
        <v/>
      </c>
      <c r="AA484" s="4">
        <f>(Z484/X484)*100</f>
        <v/>
      </c>
      <c r="AB484" s="4" t="n">
        <v>17577.65</v>
      </c>
      <c r="AC484" s="4" t="n">
        <v>31.49</v>
      </c>
      <c r="AD484" s="4">
        <f>AB484/AC484</f>
        <v/>
      </c>
      <c r="AE484" s="4">
        <f>(AD484/AB484)*100</f>
        <v/>
      </c>
    </row>
    <row r="485">
      <c r="A485" s="5" t="n">
        <v>525</v>
      </c>
      <c r="B485" s="9" t="n">
        <v>45492</v>
      </c>
      <c r="C485" s="4" t="n">
        <v>44491920.21</v>
      </c>
      <c r="D485" s="7">
        <f>C485/E485</f>
        <v/>
      </c>
      <c r="E485" s="7" t="n">
        <v>83.72</v>
      </c>
      <c r="F485" s="7">
        <f>D485/100000</f>
        <v/>
      </c>
      <c r="G485" s="7">
        <f>($D$1-F485)/F485*100</f>
        <v/>
      </c>
      <c r="H485" s="7">
        <f>($D$2-F485)/F485*100</f>
        <v/>
      </c>
      <c r="I485" s="7">
        <f>($D$3-F485)/F485*100</f>
        <v/>
      </c>
      <c r="J485" s="7">
        <f>F485/$F$10*100</f>
        <v/>
      </c>
      <c r="K485" s="4">
        <f>N485/L485</f>
        <v/>
      </c>
      <c r="L485" s="4">
        <f>(M485/O485)*100</f>
        <v/>
      </c>
      <c r="M485" s="4">
        <f>O485/R485</f>
        <v/>
      </c>
      <c r="N485" s="4" t="n">
        <v>6.96</v>
      </c>
      <c r="O485" s="4" t="n">
        <v>24530.9</v>
      </c>
      <c r="P485" s="4" t="n">
        <v>4.16</v>
      </c>
      <c r="Q485" s="4">
        <f>N485-L485</f>
        <v/>
      </c>
      <c r="R485" s="4" t="n">
        <v>23.31</v>
      </c>
      <c r="S485" s="4" t="n">
        <v>4.24</v>
      </c>
      <c r="T485" s="7">
        <f>N485-S485</f>
        <v/>
      </c>
      <c r="U485" s="4" t="n">
        <v>104.4</v>
      </c>
      <c r="V485" s="4">
        <f>(R485*W485)</f>
        <v/>
      </c>
      <c r="W485" s="6" t="n">
        <v>0.06710000000000001</v>
      </c>
      <c r="X485" s="4" t="n">
        <v>20812.25</v>
      </c>
      <c r="Y485" s="4" t="n">
        <v>42.17</v>
      </c>
      <c r="Z485" s="4">
        <f>X485/Y485</f>
        <v/>
      </c>
      <c r="AA485" s="4">
        <f>(Z485/X485)*100</f>
        <v/>
      </c>
      <c r="AB485" s="4" t="n">
        <v>17163.4</v>
      </c>
      <c r="AC485" s="4" t="n">
        <v>30.8</v>
      </c>
      <c r="AD485" s="4">
        <f>AB485/AC485</f>
        <v/>
      </c>
      <c r="AE485" s="4">
        <f>(AD485/AB485)*100</f>
        <v/>
      </c>
    </row>
    <row r="486">
      <c r="A486" s="5" t="n">
        <v>528</v>
      </c>
      <c r="B486" s="8" t="n">
        <v>45495</v>
      </c>
      <c r="C486" s="4" t="n">
        <v>44868754.27</v>
      </c>
      <c r="D486" s="7">
        <f>C486/E486</f>
        <v/>
      </c>
      <c r="E486" s="7" t="n">
        <v>83.65000000000001</v>
      </c>
      <c r="F486" s="7">
        <f>D486/100000</f>
        <v/>
      </c>
      <c r="G486" s="7">
        <f>($D$1-F486)/F486*100</f>
        <v/>
      </c>
      <c r="H486" s="7">
        <f>($D$2-F486)/F486*100</f>
        <v/>
      </c>
      <c r="I486" s="7">
        <f>($D$3-F486)/F486*100</f>
        <v/>
      </c>
      <c r="J486" s="7">
        <f>F486/$F$10*100</f>
        <v/>
      </c>
      <c r="K486" s="4">
        <f>N486/L486</f>
        <v/>
      </c>
      <c r="L486" s="4">
        <f>(M486/O486)*100</f>
        <v/>
      </c>
      <c r="M486" s="4">
        <f>O486/R486</f>
        <v/>
      </c>
      <c r="N486" s="4" t="n">
        <v>6.96</v>
      </c>
      <c r="O486" s="4" t="n">
        <v>24509.25</v>
      </c>
      <c r="P486" s="4" t="n">
        <v>4.15</v>
      </c>
      <c r="Q486" s="4">
        <f>N486-L486</f>
        <v/>
      </c>
      <c r="R486" s="4" t="n">
        <v>23.28</v>
      </c>
      <c r="S486" s="4" t="n">
        <v>4.25</v>
      </c>
      <c r="T486" s="7">
        <f>N486-S486</f>
        <v/>
      </c>
      <c r="U486" s="4" t="n">
        <v>104.31</v>
      </c>
      <c r="V486" s="4">
        <f>(R486*W486)</f>
        <v/>
      </c>
      <c r="W486" s="6" t="n">
        <v>0.0672</v>
      </c>
      <c r="X486" s="4" t="n">
        <v>21040.35</v>
      </c>
      <c r="Y486" s="4" t="n">
        <v>42.61</v>
      </c>
      <c r="Z486" s="4">
        <f>X486/Y486</f>
        <v/>
      </c>
      <c r="AA486" s="4">
        <f>(Z486/X486)*100</f>
        <v/>
      </c>
      <c r="AB486" s="4" t="n">
        <v>17317</v>
      </c>
      <c r="AC486" s="4" t="n">
        <v>30.98</v>
      </c>
      <c r="AD486" s="4">
        <f>AB486/AC486</f>
        <v/>
      </c>
      <c r="AE486" s="4">
        <f>(AD486/AB486)*100</f>
        <v/>
      </c>
    </row>
    <row r="487">
      <c r="A487" s="5" t="n">
        <v>529</v>
      </c>
      <c r="B487" s="9" t="n">
        <v>45496</v>
      </c>
      <c r="C487" s="4" t="n">
        <v>44685467.37</v>
      </c>
      <c r="D487" s="7">
        <f>C487/E487</f>
        <v/>
      </c>
      <c r="E487" s="7" t="n">
        <v>83.67</v>
      </c>
      <c r="F487" s="7">
        <f>D487/100000</f>
        <v/>
      </c>
      <c r="G487" s="7">
        <f>($D$1-F487)/F487*100</f>
        <v/>
      </c>
      <c r="H487" s="7">
        <f>($D$2-F487)/F487*100</f>
        <v/>
      </c>
      <c r="I487" s="7">
        <f>($D$3-F487)/F487*100</f>
        <v/>
      </c>
      <c r="J487" s="7">
        <f>F487/$F$10*100</f>
        <v/>
      </c>
      <c r="K487" s="4">
        <f>N487/L487</f>
        <v/>
      </c>
      <c r="L487" s="4">
        <f>(M487/O487)*100</f>
        <v/>
      </c>
      <c r="M487" s="4">
        <f>O487/R487</f>
        <v/>
      </c>
      <c r="N487" s="4" t="n">
        <v>6.97</v>
      </c>
      <c r="O487" s="4" t="n">
        <v>24479.05</v>
      </c>
      <c r="P487" s="4" t="n">
        <v>4.12</v>
      </c>
      <c r="Q487" s="4">
        <f>N487-L487</f>
        <v/>
      </c>
      <c r="R487" s="4" t="n">
        <v>23.11</v>
      </c>
      <c r="S487" s="4" t="n">
        <v>4.25</v>
      </c>
      <c r="T487" s="7">
        <f>N487-S487</f>
        <v/>
      </c>
      <c r="U487" s="4" t="n">
        <v>104.45</v>
      </c>
      <c r="V487" s="4">
        <f>(R487*W487)</f>
        <v/>
      </c>
      <c r="W487" s="6" t="n">
        <v>0.0672</v>
      </c>
      <c r="X487" s="4" t="n">
        <v>20947.8</v>
      </c>
      <c r="Y487" s="4" t="n">
        <v>42.28</v>
      </c>
      <c r="Z487" s="4">
        <f>X487/Y487</f>
        <v/>
      </c>
      <c r="AA487" s="4">
        <f>(Z487/X487)*100</f>
        <v/>
      </c>
      <c r="AB487" s="4" t="n">
        <v>17212.15</v>
      </c>
      <c r="AC487" s="4" t="n">
        <v>30.64</v>
      </c>
      <c r="AD487" s="4">
        <f>AB487/AC487</f>
        <v/>
      </c>
      <c r="AE487" s="4">
        <f>(AD487/AB487)*100</f>
        <v/>
      </c>
    </row>
    <row r="488">
      <c r="A488" s="5" t="n">
        <v>530</v>
      </c>
      <c r="B488" s="9" t="n">
        <v>45497</v>
      </c>
      <c r="C488" s="4" t="n">
        <v>44997221.17</v>
      </c>
      <c r="D488" s="7">
        <f>C488/E488</f>
        <v/>
      </c>
      <c r="E488" s="7" t="n">
        <v>83.70999999999999</v>
      </c>
      <c r="F488" s="7">
        <f>D488/100000</f>
        <v/>
      </c>
      <c r="G488" s="7">
        <f>($D$1-F488)/F488*100</f>
        <v/>
      </c>
      <c r="H488" s="7">
        <f>($D$2-F488)/F488*100</f>
        <v/>
      </c>
      <c r="I488" s="7">
        <f>($D$3-F488)/F488*100</f>
        <v/>
      </c>
      <c r="J488" s="7">
        <f>F488/$F$10*100</f>
        <v/>
      </c>
      <c r="K488" s="4">
        <f>N488/L488</f>
        <v/>
      </c>
      <c r="L488" s="4">
        <f>(M488/O488)*100</f>
        <v/>
      </c>
      <c r="M488" s="4">
        <f>O488/R488</f>
        <v/>
      </c>
      <c r="N488" s="4" t="n">
        <v>6.96</v>
      </c>
      <c r="O488" s="4" t="n">
        <v>24413.5</v>
      </c>
      <c r="P488" s="4" t="n">
        <v>4.11</v>
      </c>
      <c r="Q488" s="4">
        <f>N488-L488</f>
        <v/>
      </c>
      <c r="R488" s="4" t="n">
        <v>23.05</v>
      </c>
      <c r="S488" s="4" t="n">
        <v>4.28</v>
      </c>
      <c r="T488" s="7">
        <f>N488-S488</f>
        <v/>
      </c>
      <c r="U488" s="4" t="n">
        <v>104.39</v>
      </c>
      <c r="V488" s="4">
        <f>(R488*W488)</f>
        <v/>
      </c>
      <c r="W488" s="6" t="n">
        <v>0.0669</v>
      </c>
      <c r="X488" s="4" t="n">
        <v>21133.35</v>
      </c>
      <c r="Y488" s="4" t="n">
        <v>42.54</v>
      </c>
      <c r="Z488" s="4">
        <f>X488/Y488</f>
        <v/>
      </c>
      <c r="AA488" s="4">
        <f>(Z488/X488)*100</f>
        <v/>
      </c>
      <c r="AB488" s="4" t="n">
        <v>17532.7</v>
      </c>
      <c r="AC488" s="4" t="n">
        <v>31.25</v>
      </c>
      <c r="AD488" s="4">
        <f>AB488/AC488</f>
        <v/>
      </c>
      <c r="AE488" s="4">
        <f>(AD488/AB488)*100</f>
        <v/>
      </c>
    </row>
    <row r="489">
      <c r="A489" s="5" t="n">
        <v>531</v>
      </c>
      <c r="B489" s="9" t="n">
        <v>45498</v>
      </c>
      <c r="C489" s="4" t="n">
        <v>45031398.62</v>
      </c>
      <c r="D489" s="7">
        <f>C489/E489</f>
        <v/>
      </c>
      <c r="E489" s="7" t="n">
        <v>83.72</v>
      </c>
      <c r="F489" s="7">
        <f>D489/100000</f>
        <v/>
      </c>
      <c r="G489" s="7">
        <f>($D$1-F489)/F489*100</f>
        <v/>
      </c>
      <c r="H489" s="7">
        <f>($D$2-F489)/F489*100</f>
        <v/>
      </c>
      <c r="I489" s="7">
        <f>($D$3-F489)/F489*100</f>
        <v/>
      </c>
      <c r="J489" s="7">
        <f>F489/$F$10*100</f>
        <v/>
      </c>
      <c r="K489" s="4">
        <f>N489/L489</f>
        <v/>
      </c>
      <c r="L489" s="4">
        <f>(M489/O489)*100</f>
        <v/>
      </c>
      <c r="M489" s="4">
        <f>O489/R489</f>
        <v/>
      </c>
      <c r="N489" s="4" t="n">
        <v>6.95</v>
      </c>
      <c r="O489" s="4" t="n">
        <v>24406.1</v>
      </c>
      <c r="P489" s="4" t="n">
        <v>4.11</v>
      </c>
      <c r="Q489" s="4">
        <f>N489-L489</f>
        <v/>
      </c>
      <c r="R489" s="4" t="n">
        <v>23.03</v>
      </c>
      <c r="S489" s="4" t="n">
        <v>4.24</v>
      </c>
      <c r="T489" s="7">
        <f>N489-S489</f>
        <v/>
      </c>
      <c r="U489" s="4" t="n">
        <v>104.36</v>
      </c>
      <c r="V489" s="4">
        <f>(R489*W489)</f>
        <v/>
      </c>
      <c r="W489" s="6" t="n">
        <v>0.0667</v>
      </c>
      <c r="X489" s="4" t="n">
        <v>21080.45</v>
      </c>
      <c r="Y489" s="4" t="n">
        <v>42.42</v>
      </c>
      <c r="Z489" s="4">
        <f>X489/Y489</f>
        <v/>
      </c>
      <c r="AA489" s="4">
        <f>(Z489/X489)*100</f>
        <v/>
      </c>
      <c r="AB489" s="4" t="n">
        <v>17483.8</v>
      </c>
      <c r="AC489" s="4" t="n">
        <v>31.16</v>
      </c>
      <c r="AD489" s="4">
        <f>AB489/AC489</f>
        <v/>
      </c>
      <c r="AE489" s="4">
        <f>(AD489/AB489)*100</f>
        <v/>
      </c>
    </row>
    <row r="490">
      <c r="A490" s="5" t="n">
        <v>532</v>
      </c>
      <c r="B490" s="8" t="n">
        <v>45499</v>
      </c>
      <c r="C490" s="4" t="n">
        <v>45739890.28</v>
      </c>
      <c r="D490" s="7">
        <f>C490/E490</f>
        <v/>
      </c>
      <c r="E490" s="7" t="n">
        <v>83.72</v>
      </c>
      <c r="F490" s="7">
        <f>D490/100000</f>
        <v/>
      </c>
      <c r="G490" s="7">
        <f>($D$1-F490)/F490*100</f>
        <v/>
      </c>
      <c r="H490" s="7">
        <f>($D$2-F490)/F490*100</f>
        <v/>
      </c>
      <c r="I490" s="7">
        <f>($D$3-F490)/F490*100</f>
        <v/>
      </c>
      <c r="J490" s="7">
        <f>F490/$F$10*100</f>
        <v/>
      </c>
      <c r="K490" s="4">
        <f>N490/L490</f>
        <v/>
      </c>
      <c r="L490" s="4">
        <f>(M490/O490)*100</f>
        <v/>
      </c>
      <c r="M490" s="4">
        <f>O490/R490</f>
        <v/>
      </c>
      <c r="N490" s="4" t="n">
        <v>6.94</v>
      </c>
      <c r="O490" s="4" t="n">
        <v>24834.85</v>
      </c>
      <c r="P490" s="4" t="n">
        <v>4.19</v>
      </c>
      <c r="Q490" s="4">
        <f>N490-L490</f>
        <v/>
      </c>
      <c r="R490" s="4" t="n">
        <v>23.4</v>
      </c>
      <c r="S490" s="4" t="n">
        <v>4.23</v>
      </c>
      <c r="T490" s="7">
        <f>N490-S490</f>
        <v/>
      </c>
      <c r="U490" s="4" t="n">
        <v>104.39</v>
      </c>
      <c r="V490" s="4">
        <f>(R490*W490)</f>
        <v/>
      </c>
      <c r="W490" s="6" t="n">
        <v>0.06619999999999999</v>
      </c>
      <c r="X490" s="4" t="n">
        <v>21442.4</v>
      </c>
      <c r="Y490" s="4" t="n">
        <v>42.9</v>
      </c>
      <c r="Z490" s="4">
        <f>X490/Y490</f>
        <v/>
      </c>
      <c r="AA490" s="4">
        <f>(Z490/X490)*100</f>
        <v/>
      </c>
      <c r="AB490" s="4" t="n">
        <v>17647.4</v>
      </c>
      <c r="AC490" s="4" t="n">
        <v>31.46</v>
      </c>
      <c r="AD490" s="4">
        <f>AB490/AC490</f>
        <v/>
      </c>
      <c r="AE490" s="4">
        <f>(AD490/AB490)*100</f>
        <v/>
      </c>
    </row>
    <row r="491">
      <c r="A491" s="5" t="n">
        <v>535</v>
      </c>
      <c r="B491" s="9" t="n">
        <v>45502</v>
      </c>
      <c r="C491" s="4" t="n">
        <v>46023211.2</v>
      </c>
      <c r="D491" s="7">
        <f>C491/E491</f>
        <v/>
      </c>
      <c r="E491" s="7" t="n">
        <v>83.73999999999999</v>
      </c>
      <c r="F491" s="7">
        <f>D491/100000</f>
        <v/>
      </c>
      <c r="G491" s="7">
        <f>($D$1-F491)/F491*100</f>
        <v/>
      </c>
      <c r="H491" s="7">
        <f>($D$2-F491)/F491*100</f>
        <v/>
      </c>
      <c r="I491" s="7">
        <f>($D$3-F491)/F491*100</f>
        <v/>
      </c>
      <c r="J491" s="7">
        <f>F491/$F$10*100</f>
        <v/>
      </c>
      <c r="K491" s="4">
        <f>N491/L491</f>
        <v/>
      </c>
      <c r="L491" s="4">
        <f>(M491/O491)*100</f>
        <v/>
      </c>
      <c r="M491" s="4">
        <f>O491/R491</f>
        <v/>
      </c>
      <c r="N491" s="4" t="n">
        <v>6.91</v>
      </c>
      <c r="O491" s="4" t="n">
        <v>24836.1</v>
      </c>
      <c r="P491" s="4" t="n">
        <v>4.19</v>
      </c>
      <c r="Q491" s="4">
        <f>N491-L491</f>
        <v/>
      </c>
      <c r="R491" s="4" t="n">
        <v>23.4</v>
      </c>
      <c r="S491" s="4" t="n">
        <v>4.18</v>
      </c>
      <c r="T491" s="7">
        <f>N491-S491</f>
        <v/>
      </c>
      <c r="U491" s="4" t="n">
        <v>104.56</v>
      </c>
      <c r="V491" s="4">
        <f>(R491*W491)</f>
        <v/>
      </c>
      <c r="W491" s="6" t="n">
        <v>0.06619999999999999</v>
      </c>
      <c r="X491" s="4" t="n">
        <v>21644.85</v>
      </c>
      <c r="Y491" s="4" t="n">
        <v>43.28</v>
      </c>
      <c r="Z491" s="4">
        <f>X491/Y491</f>
        <v/>
      </c>
      <c r="AA491" s="4">
        <f>(Z491/X491)*100</f>
        <v/>
      </c>
      <c r="AB491" s="4" t="n">
        <v>17836.55</v>
      </c>
      <c r="AC491" s="4" t="n">
        <v>31.78</v>
      </c>
      <c r="AD491" s="4">
        <f>AB491/AC491</f>
        <v/>
      </c>
      <c r="AE491" s="4">
        <f>(AD491/AB491)*100</f>
        <v/>
      </c>
    </row>
    <row r="492">
      <c r="A492" s="5" t="n">
        <v>536</v>
      </c>
      <c r="B492" s="8" t="n">
        <v>45503</v>
      </c>
      <c r="C492" s="4" t="n">
        <v>46138219.93</v>
      </c>
      <c r="D492" s="7">
        <f>C492/E492</f>
        <v/>
      </c>
      <c r="E492" s="7" t="n">
        <v>83.72</v>
      </c>
      <c r="F492" s="7">
        <f>D492/100000</f>
        <v/>
      </c>
      <c r="G492" s="7">
        <f>($D$1-F492)/F492*100</f>
        <v/>
      </c>
      <c r="H492" s="7">
        <f>($D$2-F492)/F492*100</f>
        <v/>
      </c>
      <c r="I492" s="7">
        <f>($D$3-F492)/F492*100</f>
        <v/>
      </c>
      <c r="J492" s="7">
        <f>F492/$F$10*100</f>
        <v/>
      </c>
      <c r="K492" s="4">
        <f>N492/L492</f>
        <v/>
      </c>
      <c r="L492" s="4">
        <f>(M492/O492)*100</f>
        <v/>
      </c>
      <c r="M492" s="4">
        <f>O492/R492</f>
        <v/>
      </c>
      <c r="N492" s="4" t="n">
        <v>6.93</v>
      </c>
      <c r="O492" s="4" t="n">
        <v>24857.3</v>
      </c>
      <c r="P492" s="4" t="n">
        <v>4.19</v>
      </c>
      <c r="Q492" s="4">
        <f>N492-L492</f>
        <v/>
      </c>
      <c r="R492" s="4" t="n">
        <v>23.31</v>
      </c>
      <c r="S492" s="4" t="n">
        <v>4.14</v>
      </c>
      <c r="T492" s="7">
        <f>N492-S492</f>
        <v/>
      </c>
      <c r="U492" s="4" t="n">
        <v>104.55</v>
      </c>
      <c r="V492" s="4">
        <f>(R492*W492)</f>
        <v/>
      </c>
      <c r="W492" s="6" t="n">
        <v>0.06619999999999999</v>
      </c>
      <c r="X492" s="4" t="n">
        <v>21749.5</v>
      </c>
      <c r="Y492" s="4" t="n">
        <v>44.97</v>
      </c>
      <c r="Z492" s="4">
        <f>X492/Y492</f>
        <v/>
      </c>
      <c r="AA492" s="4">
        <f>(Z492/X492)*100</f>
        <v/>
      </c>
      <c r="AB492" s="4" t="n">
        <v>17983.3</v>
      </c>
      <c r="AC492" s="4" t="n">
        <v>31.91</v>
      </c>
      <c r="AD492" s="4">
        <f>AB492/AC492</f>
        <v/>
      </c>
      <c r="AE492" s="4">
        <f>(AD492/AB492)*100</f>
        <v/>
      </c>
    </row>
    <row r="493">
      <c r="A493" s="5" t="n">
        <v>537</v>
      </c>
      <c r="B493" s="9" t="n">
        <v>45504</v>
      </c>
      <c r="C493" s="4" t="n">
        <v>46287184.13</v>
      </c>
      <c r="D493" s="7">
        <f>C493/E493</f>
        <v/>
      </c>
      <c r="E493" s="7" t="n">
        <v>83.69</v>
      </c>
      <c r="F493" s="7">
        <f>D493/100000</f>
        <v/>
      </c>
      <c r="G493" s="7">
        <f>($D$1-F493)/F493*100</f>
        <v/>
      </c>
      <c r="H493" s="7">
        <f>($D$2-F493)/F493*100</f>
        <v/>
      </c>
      <c r="I493" s="7">
        <f>($D$3-F493)/F493*100</f>
        <v/>
      </c>
      <c r="J493" s="7">
        <f>F493/$F$10*100</f>
        <v/>
      </c>
      <c r="K493" s="4">
        <f>N493/L493</f>
        <v/>
      </c>
      <c r="L493" s="4">
        <f>(M493/O493)*100</f>
        <v/>
      </c>
      <c r="M493" s="4">
        <f>O493/R493</f>
        <v/>
      </c>
      <c r="N493" s="4" t="n">
        <v>6.92</v>
      </c>
      <c r="O493" s="4" t="n">
        <v>24951.15</v>
      </c>
      <c r="P493" s="4" t="n">
        <v>4.21</v>
      </c>
      <c r="Q493" s="4">
        <f>N493-L493</f>
        <v/>
      </c>
      <c r="R493" s="4" t="n">
        <v>23.4</v>
      </c>
      <c r="S493" s="4" t="n">
        <v>4.03</v>
      </c>
      <c r="T493" s="7">
        <f>N493-S493</f>
        <v/>
      </c>
      <c r="U493" s="4" t="n">
        <v>104.1</v>
      </c>
      <c r="V493" s="4">
        <f>(R493*W493)</f>
        <v/>
      </c>
      <c r="W493" s="6" t="n">
        <v>0.06610000000000001</v>
      </c>
      <c r="X493" s="4" t="n">
        <v>21860.95</v>
      </c>
      <c r="Y493" s="4" t="n">
        <v>45.37</v>
      </c>
      <c r="Z493" s="4">
        <f>X493/Y493</f>
        <v/>
      </c>
      <c r="AA493" s="4">
        <f>(Z493/X493)*100</f>
        <v/>
      </c>
      <c r="AB493" s="4" t="n">
        <v>17948</v>
      </c>
      <c r="AC493" s="4" t="n">
        <v>31.81</v>
      </c>
      <c r="AD493" s="4">
        <f>AB493/AC493</f>
        <v/>
      </c>
      <c r="AE493" s="4">
        <f>(AD493/AB493)*100</f>
        <v/>
      </c>
    </row>
    <row r="494">
      <c r="A494" s="5" t="n">
        <v>538</v>
      </c>
      <c r="B494" s="9" t="n">
        <v>45505</v>
      </c>
      <c r="C494" s="4" t="n">
        <v>46206138.76</v>
      </c>
      <c r="D494" s="7">
        <f>C494/E494</f>
        <v/>
      </c>
      <c r="E494" s="7" t="n">
        <v>83.70999999999999</v>
      </c>
      <c r="F494" s="7">
        <f>D494/100000</f>
        <v/>
      </c>
      <c r="G494" s="7">
        <f>($D$1-F494)/F494*100</f>
        <v/>
      </c>
      <c r="H494" s="7">
        <f>($D$2-F494)/F494*100</f>
        <v/>
      </c>
      <c r="I494" s="7">
        <f>($D$3-F494)/F494*100</f>
        <v/>
      </c>
      <c r="J494" s="7">
        <f>F494/$F$10*100</f>
        <v/>
      </c>
      <c r="K494" s="4">
        <f>N494/L494</f>
        <v/>
      </c>
      <c r="L494" s="4">
        <f>(M494/O494)*100</f>
        <v/>
      </c>
      <c r="M494" s="4">
        <f>O494/R494</f>
        <v/>
      </c>
      <c r="N494" s="4" t="n">
        <v>6.91</v>
      </c>
      <c r="O494" s="4" t="n">
        <v>25010.9</v>
      </c>
      <c r="P494" s="4" t="n">
        <v>4.22</v>
      </c>
      <c r="Q494" s="4">
        <f>N494-L494</f>
        <v/>
      </c>
      <c r="R494" s="4" t="n">
        <v>23.45</v>
      </c>
      <c r="S494" s="4" t="n">
        <v>3.98</v>
      </c>
      <c r="T494" s="7">
        <f>N494-S494</f>
        <v/>
      </c>
      <c r="U494" s="4" t="n">
        <v>104.42</v>
      </c>
      <c r="V494" s="4">
        <f>(R494*W494)</f>
        <v/>
      </c>
      <c r="W494" s="6" t="n">
        <v>0.0667</v>
      </c>
      <c r="X494" s="4" t="n">
        <v>21706.45</v>
      </c>
      <c r="Y494" s="4" t="n">
        <v>44.87</v>
      </c>
      <c r="Z494" s="4">
        <f>X494/Y494</f>
        <v/>
      </c>
      <c r="AA494" s="4">
        <f>(Z494/X494)*100</f>
        <v/>
      </c>
      <c r="AB494" s="4" t="n">
        <v>17825.05</v>
      </c>
      <c r="AC494" s="4" t="n">
        <v>31.54</v>
      </c>
      <c r="AD494" s="4">
        <f>AB494/AC494</f>
        <v/>
      </c>
      <c r="AE494" s="4">
        <f>(AD494/AB494)*100</f>
        <v/>
      </c>
    </row>
    <row r="495">
      <c r="A495" s="5" t="n">
        <v>539</v>
      </c>
      <c r="B495" s="9" t="n">
        <v>45506</v>
      </c>
      <c r="C495" s="4" t="n">
        <v>45764272.12</v>
      </c>
      <c r="D495" s="7">
        <f>C495/E495</f>
        <v/>
      </c>
      <c r="E495" s="7" t="n">
        <v>83.79000000000001</v>
      </c>
      <c r="F495" s="7">
        <f>D495/100000</f>
        <v/>
      </c>
      <c r="G495" s="7">
        <f>($D$1-F495)/F495*100</f>
        <v/>
      </c>
      <c r="H495" s="7">
        <f>($D$2-F495)/F495*100</f>
        <v/>
      </c>
      <c r="I495" s="7">
        <f>($D$3-F495)/F495*100</f>
        <v/>
      </c>
      <c r="J495" s="7">
        <f>F495/$F$10*100</f>
        <v/>
      </c>
      <c r="K495" s="4">
        <f>N495/L495</f>
        <v/>
      </c>
      <c r="L495" s="4">
        <f>(M495/O495)*100</f>
        <v/>
      </c>
      <c r="M495" s="4">
        <f>O495/R495</f>
        <v/>
      </c>
      <c r="N495" s="4" t="n">
        <v>6.9</v>
      </c>
      <c r="O495" s="4" t="n">
        <v>24717.7</v>
      </c>
      <c r="P495" s="4" t="n">
        <v>4.17</v>
      </c>
      <c r="Q495" s="4">
        <f>N495-L495</f>
        <v/>
      </c>
      <c r="R495" s="4" t="n">
        <v>23.09</v>
      </c>
      <c r="S495" s="4" t="n">
        <v>3.79</v>
      </c>
      <c r="T495" s="7">
        <f>N495-S495</f>
        <v/>
      </c>
      <c r="U495" s="4" t="n">
        <v>103.21</v>
      </c>
      <c r="V495" s="4">
        <f>(R495*W495)</f>
        <v/>
      </c>
      <c r="W495" s="6" t="n">
        <v>0.0663</v>
      </c>
      <c r="X495" s="4" t="n">
        <v>21492.25</v>
      </c>
      <c r="Y495" s="4" t="n">
        <v>44.12</v>
      </c>
      <c r="Z495" s="4">
        <f>X495/Y495</f>
        <v/>
      </c>
      <c r="AA495" s="4">
        <f>(Z495/X495)*100</f>
        <v/>
      </c>
      <c r="AB495" s="4" t="n">
        <v>17677.65</v>
      </c>
      <c r="AC495" s="4" t="n">
        <v>31.25</v>
      </c>
      <c r="AD495" s="4">
        <f>AB495/AC495</f>
        <v/>
      </c>
      <c r="AE495" s="4">
        <f>(AD495/AB495)*100</f>
        <v/>
      </c>
    </row>
    <row r="496">
      <c r="A496" s="5" t="n">
        <v>542</v>
      </c>
      <c r="B496" s="9" t="n">
        <v>45509</v>
      </c>
      <c r="C496" s="4" t="n">
        <v>44223258.27</v>
      </c>
      <c r="D496" s="7">
        <f>C496/E496</f>
        <v/>
      </c>
      <c r="E496" s="7" t="n">
        <v>84.01000000000001</v>
      </c>
      <c r="F496" s="7">
        <f>D496/100000</f>
        <v/>
      </c>
      <c r="G496" s="7">
        <f>($D$1-F496)/F496*100</f>
        <v/>
      </c>
      <c r="H496" s="7">
        <f>($D$2-F496)/F496*100</f>
        <v/>
      </c>
      <c r="I496" s="7">
        <f>($D$3-F496)/F496*100</f>
        <v/>
      </c>
      <c r="J496" s="7">
        <f>F496/$F$10*100</f>
        <v/>
      </c>
      <c r="K496" s="4">
        <f>N496/L496</f>
        <v/>
      </c>
      <c r="L496" s="4">
        <f>(M496/O496)*100</f>
        <v/>
      </c>
      <c r="M496" s="4">
        <f>O496/R496</f>
        <v/>
      </c>
      <c r="N496" s="4" t="n">
        <v>6.86</v>
      </c>
      <c r="O496" s="4" t="n">
        <v>24055.6</v>
      </c>
      <c r="P496" s="4" t="n">
        <v>4.05</v>
      </c>
      <c r="Q496" s="4">
        <f>N496-L496</f>
        <v/>
      </c>
      <c r="R496" s="4" t="n">
        <v>22.38</v>
      </c>
      <c r="S496" s="4" t="n">
        <v>3.77</v>
      </c>
      <c r="T496" s="7">
        <f>N496-S496</f>
        <v/>
      </c>
      <c r="U496" s="4" t="n">
        <v>102.48</v>
      </c>
      <c r="V496" s="4">
        <f>(R496*W496)</f>
        <v/>
      </c>
      <c r="W496" s="6" t="n">
        <v>0.06619999999999999</v>
      </c>
      <c r="X496" s="4" t="n">
        <v>20734.85</v>
      </c>
      <c r="Y496" s="4" t="n">
        <v>42.52</v>
      </c>
      <c r="Z496" s="4">
        <f>X496/Y496</f>
        <v/>
      </c>
      <c r="AA496" s="4">
        <f>(Z496/X496)*100</f>
        <v/>
      </c>
      <c r="AB496" s="4" t="n">
        <v>16937.9</v>
      </c>
      <c r="AC496" s="4" t="n">
        <v>29.86</v>
      </c>
      <c r="AD496" s="4">
        <f>AB496/AC496</f>
        <v/>
      </c>
      <c r="AE496" s="4">
        <f>(AD496/AB496)*100</f>
        <v/>
      </c>
    </row>
    <row r="497">
      <c r="A497" s="5" t="n">
        <v>543</v>
      </c>
      <c r="B497" s="9" t="n">
        <v>45510</v>
      </c>
      <c r="C497" s="4" t="n">
        <v>44011151.82</v>
      </c>
      <c r="D497" s="7">
        <f>C497/E497</f>
        <v/>
      </c>
      <c r="E497" s="7" t="n">
        <v>83.93000000000001</v>
      </c>
      <c r="F497" s="7">
        <f>D497/100000</f>
        <v/>
      </c>
      <c r="G497" s="7">
        <f>($D$1-F497)/F497*100</f>
        <v/>
      </c>
      <c r="H497" s="7">
        <f>($D$2-F497)/F497*100</f>
        <v/>
      </c>
      <c r="I497" s="7">
        <f>($D$3-F497)/F497*100</f>
        <v/>
      </c>
      <c r="J497" s="7">
        <f>F497/$F$10*100</f>
        <v/>
      </c>
      <c r="K497" s="4">
        <f>N497/L497</f>
        <v/>
      </c>
      <c r="L497" s="4">
        <f>(M497/O497)*100</f>
        <v/>
      </c>
      <c r="M497" s="4">
        <f>O497/R497</f>
        <v/>
      </c>
      <c r="N497" s="4" t="n">
        <v>6.87</v>
      </c>
      <c r="O497" s="4" t="n">
        <v>23992.55</v>
      </c>
      <c r="P497" s="4" t="n">
        <v>4.04</v>
      </c>
      <c r="Q497" s="4">
        <f>N497-L497</f>
        <v/>
      </c>
      <c r="R497" s="4" t="n">
        <v>22.3</v>
      </c>
      <c r="S497" s="4" t="n">
        <v>3.88</v>
      </c>
      <c r="T497" s="7">
        <f>N497-S497</f>
        <v/>
      </c>
      <c r="U497" s="4" t="n">
        <v>102.75</v>
      </c>
      <c r="V497" s="4">
        <f>(R497*W497)</f>
        <v/>
      </c>
      <c r="W497" s="6" t="n">
        <v>0.06610000000000001</v>
      </c>
      <c r="X497" s="4" t="n">
        <v>20611.15</v>
      </c>
      <c r="Y497" s="4" t="n">
        <v>42.39</v>
      </c>
      <c r="Z497" s="4">
        <f>X497/Y497</f>
        <v/>
      </c>
      <c r="AA497" s="4">
        <f>(Z497/X497)*100</f>
        <v/>
      </c>
      <c r="AB497" s="4" t="n">
        <v>16871.85</v>
      </c>
      <c r="AC497" s="4" t="n">
        <v>29.68</v>
      </c>
      <c r="AD497" s="4">
        <f>AB497/AC497</f>
        <v/>
      </c>
      <c r="AE497" s="4">
        <f>(AD497/AB497)*100</f>
        <v/>
      </c>
    </row>
    <row r="498">
      <c r="A498" s="5" t="n">
        <v>544</v>
      </c>
      <c r="B498" s="8" t="n">
        <v>45511</v>
      </c>
      <c r="C498" s="4" t="n">
        <v>44905295.76</v>
      </c>
      <c r="D498" s="7">
        <f>C498/E498</f>
        <v/>
      </c>
      <c r="E498" s="7" t="n">
        <v>83.88</v>
      </c>
      <c r="F498" s="7">
        <f>D498/100000</f>
        <v/>
      </c>
      <c r="G498" s="7">
        <f>($D$1-F498)/F498*100</f>
        <v/>
      </c>
      <c r="H498" s="7">
        <f>($D$2-F498)/F498*100</f>
        <v/>
      </c>
      <c r="I498" s="7">
        <f>($D$3-F498)/F498*100</f>
        <v/>
      </c>
      <c r="J498" s="7">
        <f>F498/$F$10*100</f>
        <v/>
      </c>
      <c r="K498" s="4">
        <f>N498/L498</f>
        <v/>
      </c>
      <c r="L498" s="4">
        <f>(M498/O498)*100</f>
        <v/>
      </c>
      <c r="M498" s="4">
        <f>O498/R498</f>
        <v/>
      </c>
      <c r="N498" s="4" t="n">
        <v>6.86</v>
      </c>
      <c r="O498" s="4" t="n">
        <v>24297.5</v>
      </c>
      <c r="P498" s="4" t="n">
        <v>4.09</v>
      </c>
      <c r="Q498" s="4">
        <f>N498-L498</f>
        <v/>
      </c>
      <c r="R498" s="4" t="n">
        <v>22.61</v>
      </c>
      <c r="S498" s="4" t="n">
        <v>3.92</v>
      </c>
      <c r="T498" s="7">
        <f>N498-S498</f>
        <v/>
      </c>
      <c r="U498" s="4" t="n">
        <v>102.99</v>
      </c>
      <c r="V498" s="4">
        <f>(R498*W498)</f>
        <v/>
      </c>
      <c r="W498" s="6" t="n">
        <v>0.06619999999999999</v>
      </c>
      <c r="X498" s="4" t="n">
        <v>21063.7</v>
      </c>
      <c r="Y498" s="4" t="n">
        <v>43.43</v>
      </c>
      <c r="Z498" s="4">
        <f>X498/Y498</f>
        <v/>
      </c>
      <c r="AA498" s="4">
        <f>(Z498/X498)*100</f>
        <v/>
      </c>
      <c r="AB498" s="4" t="n">
        <v>17274.9</v>
      </c>
      <c r="AC498" s="4" t="n">
        <v>30.45</v>
      </c>
      <c r="AD498" s="4">
        <f>AB498/AC498</f>
        <v/>
      </c>
      <c r="AE498" s="4">
        <f>(AD498/AB498)*100</f>
        <v/>
      </c>
    </row>
    <row r="499">
      <c r="A499" s="5" t="n">
        <v>545</v>
      </c>
      <c r="B499" s="9" t="n">
        <v>45512</v>
      </c>
      <c r="C499" s="4" t="n">
        <v>44637476.84</v>
      </c>
      <c r="D499" s="7">
        <f>C499/E499</f>
        <v/>
      </c>
      <c r="E499" s="7" t="n">
        <v>83.98999999999999</v>
      </c>
      <c r="F499" s="7">
        <f>D499/100000</f>
        <v/>
      </c>
      <c r="G499" s="7">
        <f>($D$1-F499)/F499*100</f>
        <v/>
      </c>
      <c r="H499" s="7">
        <f>($D$2-F499)/F499*100</f>
        <v/>
      </c>
      <c r="I499" s="7">
        <f>($D$3-F499)/F499*100</f>
        <v/>
      </c>
      <c r="J499" s="7">
        <f>F499/$F$10*100</f>
        <v/>
      </c>
      <c r="K499" s="4">
        <f>N499/L499</f>
        <v/>
      </c>
      <c r="L499" s="4">
        <f>(M499/O499)*100</f>
        <v/>
      </c>
      <c r="M499" s="4">
        <f>O499/R499</f>
        <v/>
      </c>
      <c r="N499" s="4" t="n">
        <v>6.87</v>
      </c>
      <c r="O499" s="4" t="n">
        <v>24117</v>
      </c>
      <c r="P499" s="4" t="n">
        <v>4.06</v>
      </c>
      <c r="Q499" s="4">
        <f>N499-L499</f>
        <v/>
      </c>
      <c r="R499" s="4" t="n">
        <v>22.44</v>
      </c>
      <c r="S499" s="4" t="n">
        <v>3.99</v>
      </c>
      <c r="T499" s="7">
        <f>N499-S499</f>
        <v/>
      </c>
      <c r="U499" s="4" t="n">
        <v>103.02</v>
      </c>
      <c r="V499" s="4">
        <f>(R499*W499)</f>
        <v/>
      </c>
      <c r="W499" s="6" t="n">
        <v>0.06610000000000001</v>
      </c>
      <c r="X499" s="4" t="n">
        <v>20991</v>
      </c>
      <c r="Y499" s="4" t="n">
        <v>43.14</v>
      </c>
      <c r="Z499" s="4">
        <f>X499/Y499</f>
        <v/>
      </c>
      <c r="AA499" s="4">
        <f>(Z499/X499)*100</f>
        <v/>
      </c>
      <c r="AB499" s="4" t="n">
        <v>17226.15</v>
      </c>
      <c r="AC499" s="4" t="n">
        <v>30.57</v>
      </c>
      <c r="AD499" s="4">
        <f>AB499/AC499</f>
        <v/>
      </c>
      <c r="AE499" s="4">
        <f>(AD499/AB499)*100</f>
        <v/>
      </c>
    </row>
    <row r="500">
      <c r="A500" s="5" t="n">
        <v>546</v>
      </c>
      <c r="B500" s="9" t="n">
        <v>45513</v>
      </c>
      <c r="C500" s="4" t="n">
        <v>45087644.26</v>
      </c>
      <c r="D500" s="4">
        <f>C500/E500</f>
        <v/>
      </c>
      <c r="E500" s="4" t="n">
        <v>83.94</v>
      </c>
      <c r="F500" s="4">
        <f>D500/100000</f>
        <v/>
      </c>
      <c r="G500" s="4">
        <f>($D$1-F500)/F500*100</f>
        <v/>
      </c>
      <c r="H500" s="4">
        <f>($D$2-F500)/F500*100</f>
        <v/>
      </c>
      <c r="I500" s="4">
        <f>($D$3-F500)/F500*100</f>
        <v/>
      </c>
      <c r="J500" s="4">
        <f>F500/$F$10*100</f>
        <v/>
      </c>
      <c r="K500" s="4">
        <f>N500/L500</f>
        <v/>
      </c>
      <c r="L500" s="4">
        <f>(M500/O500)*100</f>
        <v/>
      </c>
      <c r="M500" s="4">
        <f>O500/R500</f>
        <v/>
      </c>
      <c r="N500" s="4" t="n">
        <v>6.88</v>
      </c>
      <c r="O500" s="4" t="n">
        <v>24367.5</v>
      </c>
      <c r="P500" s="4" t="n">
        <v>4.11</v>
      </c>
      <c r="Q500" s="4">
        <f>N500-L500</f>
        <v/>
      </c>
      <c r="R500" s="4" t="n">
        <v>22.67</v>
      </c>
      <c r="S500" s="4" t="n">
        <v>3.94</v>
      </c>
      <c r="T500" s="7">
        <f>N500-S500</f>
        <v/>
      </c>
      <c r="U500" s="4" t="n">
        <v>102.95</v>
      </c>
      <c r="V500" s="4">
        <f>(R500*W500)</f>
        <v/>
      </c>
      <c r="W500" s="6" t="n">
        <v>0.0663</v>
      </c>
      <c r="X500" s="4" t="n">
        <v>21151.35</v>
      </c>
      <c r="Y500" s="4" t="n">
        <v>43.51</v>
      </c>
      <c r="Z500" s="4">
        <f>X500/Y500</f>
        <v/>
      </c>
      <c r="AA500" s="4">
        <f>(Z500/X500)*100</f>
        <v/>
      </c>
      <c r="AB500" s="4" t="n">
        <v>17335.9</v>
      </c>
      <c r="AC500" s="4" t="n">
        <v>30.68</v>
      </c>
      <c r="AD500" s="4">
        <f>AB500/AC500</f>
        <v/>
      </c>
      <c r="AE500" s="4">
        <f>(AD500/AB500)*100</f>
        <v/>
      </c>
    </row>
    <row r="501">
      <c r="A501" s="5" t="n">
        <v>549</v>
      </c>
      <c r="B501" s="9" t="n">
        <v>45516</v>
      </c>
      <c r="C501" s="4" t="n">
        <v>45030066.12</v>
      </c>
      <c r="D501" s="4">
        <f>C501/E501</f>
        <v/>
      </c>
      <c r="E501" s="7" t="n">
        <v>83.93000000000001</v>
      </c>
      <c r="F501" s="4">
        <f>D501/100000</f>
        <v/>
      </c>
      <c r="G501" s="4">
        <f>($D$1-F501)/F501*100</f>
        <v/>
      </c>
      <c r="H501" s="4">
        <f>($D$2-F501)/F501*100</f>
        <v/>
      </c>
      <c r="I501" s="4">
        <f>($D$3-F501)/F501*100</f>
        <v/>
      </c>
      <c r="J501" s="4">
        <f>F501/$F$10*100</f>
        <v/>
      </c>
      <c r="K501" s="4">
        <f>N501/L501</f>
        <v/>
      </c>
      <c r="L501" s="4">
        <f>(M501/O501)*100</f>
        <v/>
      </c>
      <c r="M501" s="4">
        <f>O501/R501</f>
        <v/>
      </c>
      <c r="N501" s="4" t="n">
        <v>6.879</v>
      </c>
      <c r="O501" s="4" t="n">
        <v>24347</v>
      </c>
      <c r="P501" s="4" t="n">
        <v>4.1</v>
      </c>
      <c r="Q501" s="4">
        <f>N501-L501</f>
        <v/>
      </c>
      <c r="R501" s="4" t="n">
        <v>22.65</v>
      </c>
      <c r="S501" s="4" t="n">
        <v>3.907</v>
      </c>
      <c r="T501" s="7">
        <f>N501-S501</f>
        <v/>
      </c>
      <c r="U501" s="4" t="n">
        <v>103.14</v>
      </c>
      <c r="V501" s="4" t="n"/>
      <c r="W501" s="6" t="n"/>
      <c r="X501" s="4" t="n">
        <v>21208.7</v>
      </c>
      <c r="Y501" s="7" t="n">
        <v>43.41</v>
      </c>
      <c r="Z501" s="4">
        <f>X501/Y501</f>
        <v/>
      </c>
      <c r="AA501" s="4">
        <f>(Z501/X501)*100</f>
        <v/>
      </c>
      <c r="AB501" s="4" t="n">
        <v>22379.75</v>
      </c>
      <c r="AC501" s="4" t="n">
        <v>30.67</v>
      </c>
      <c r="AD501" s="4">
        <f>AB501/AC501</f>
        <v/>
      </c>
      <c r="AE501" s="4">
        <f>(AD501/AB501)*100</f>
        <v/>
      </c>
    </row>
    <row r="502">
      <c r="A502" s="5" t="n">
        <v>550</v>
      </c>
      <c r="B502" s="9" t="n">
        <v>45517</v>
      </c>
      <c r="C502" s="4" t="n">
        <v>44597885.12</v>
      </c>
      <c r="D502" s="4">
        <f>C502/E502</f>
        <v/>
      </c>
      <c r="E502" s="7" t="n">
        <v>83.91</v>
      </c>
      <c r="F502" s="4">
        <f>D502/100000</f>
        <v/>
      </c>
      <c r="G502" s="4">
        <f>($D$1-F502)/F502*100</f>
        <v/>
      </c>
      <c r="H502" s="4">
        <f>($D$2-F502)/F502*100</f>
        <v/>
      </c>
      <c r="I502" s="4">
        <f>($D$3-F502)/F502*100</f>
        <v/>
      </c>
      <c r="J502" s="4">
        <f>F502/$F$10*100</f>
        <v/>
      </c>
      <c r="K502" s="4">
        <f>N502/L502</f>
        <v/>
      </c>
      <c r="L502" s="4">
        <f>(M502/O502)*100</f>
        <v/>
      </c>
      <c r="M502" s="4">
        <f>O502/R502</f>
        <v/>
      </c>
      <c r="N502" s="4" t="n">
        <v>6.88</v>
      </c>
      <c r="O502" s="4" t="n">
        <v>24139</v>
      </c>
      <c r="P502" s="4" t="n">
        <v>4.07</v>
      </c>
      <c r="Q502" s="4">
        <f>N502-L502</f>
        <v/>
      </c>
      <c r="R502" s="4" t="n">
        <v>22.46</v>
      </c>
      <c r="S502" s="4" t="n">
        <v>3.846</v>
      </c>
      <c r="T502" s="7">
        <f>N502-S502</f>
        <v/>
      </c>
      <c r="U502" s="4" t="n">
        <v>102.56</v>
      </c>
      <c r="V502" s="4" t="n"/>
      <c r="W502" s="6" t="n"/>
      <c r="X502" s="4" t="n">
        <v>21044.95</v>
      </c>
      <c r="Y502" s="7" t="n">
        <v>42.89</v>
      </c>
      <c r="Z502" s="4">
        <f>X502/Y502</f>
        <v/>
      </c>
      <c r="AA502" s="4">
        <f>(Z502/X502)*100</f>
        <v/>
      </c>
      <c r="AB502" s="4" t="n">
        <v>22311.95</v>
      </c>
      <c r="AC502" s="4" t="n">
        <v>30.03</v>
      </c>
      <c r="AD502" s="4">
        <f>AB502/AC502</f>
        <v/>
      </c>
      <c r="AE502" s="4">
        <f>(AD502/AB502)*100</f>
        <v/>
      </c>
    </row>
    <row r="503">
      <c r="A503" s="5" t="n">
        <v>551</v>
      </c>
      <c r="B503" s="9" t="n">
        <v>45518</v>
      </c>
      <c r="C503" s="4" t="n">
        <v>44492637.03</v>
      </c>
      <c r="D503" s="4">
        <f>C503/E503</f>
        <v/>
      </c>
      <c r="E503" s="7" t="n">
        <v>83.95999999999999</v>
      </c>
      <c r="F503" s="4">
        <f>D503/100000</f>
        <v/>
      </c>
      <c r="G503" s="4">
        <f>($D$1-F503)/F503*100</f>
        <v/>
      </c>
      <c r="H503" s="4">
        <f>($D$2-F503)/F503*100</f>
        <v/>
      </c>
      <c r="I503" s="4">
        <f>($D$3-F503)/F503*100</f>
        <v/>
      </c>
      <c r="J503" s="4">
        <f>F503/$F$10*100</f>
        <v/>
      </c>
      <c r="K503" s="4">
        <f>N503/L503</f>
        <v/>
      </c>
      <c r="L503" s="4">
        <f>(M503/O503)*100</f>
        <v/>
      </c>
      <c r="M503" s="4">
        <f>O503/R503</f>
        <v/>
      </c>
      <c r="N503" s="4" t="n">
        <v>6.858</v>
      </c>
      <c r="O503" s="4" t="n">
        <v>24143.75</v>
      </c>
      <c r="P503" s="4" t="n">
        <v>4.07</v>
      </c>
      <c r="Q503" s="4">
        <f>N503-L503</f>
        <v/>
      </c>
      <c r="R503" s="4" t="n">
        <v>22.47</v>
      </c>
      <c r="S503" s="4" t="n">
        <v>3.839</v>
      </c>
      <c r="T503" s="7">
        <f>N503-S503</f>
        <v/>
      </c>
      <c r="U503" s="4" t="n">
        <v>102.57</v>
      </c>
      <c r="V503" s="4" t="n"/>
      <c r="W503" s="6" t="n"/>
      <c r="X503" s="4" t="n">
        <v>20917.75</v>
      </c>
      <c r="Y503" s="7" t="n">
        <v>42.56</v>
      </c>
      <c r="Z503" s="4">
        <f>X503/Y503</f>
        <v/>
      </c>
      <c r="AA503" s="4">
        <f>(Z503/X503)*100</f>
        <v/>
      </c>
      <c r="AB503" s="4" t="n">
        <v>22360.85</v>
      </c>
      <c r="AC503" s="4" t="n">
        <v>29.65</v>
      </c>
      <c r="AD503" s="4">
        <f>AB503/AC503</f>
        <v/>
      </c>
      <c r="AE503" s="4">
        <f>(AD503/AB503)*100</f>
        <v/>
      </c>
    </row>
    <row r="504">
      <c r="A504" s="5" t="n">
        <v>553</v>
      </c>
      <c r="B504" s="9" t="n">
        <v>45520</v>
      </c>
      <c r="C504" s="4" t="n">
        <v>45222585.44</v>
      </c>
      <c r="D504" s="4">
        <f>C504/E504</f>
        <v/>
      </c>
      <c r="E504" s="7" t="n">
        <v>83.88</v>
      </c>
      <c r="F504" s="4">
        <f>D504/100000</f>
        <v/>
      </c>
      <c r="G504" s="4">
        <f>($D$1-F504)/F504*100</f>
        <v/>
      </c>
      <c r="H504" s="4">
        <f>($D$2-F504)/F504*100</f>
        <v/>
      </c>
      <c r="I504" s="4">
        <f>($D$3-F504)/F504*100</f>
        <v/>
      </c>
      <c r="J504" s="4">
        <f>F504/$F$10*100</f>
        <v/>
      </c>
      <c r="K504" s="4">
        <f>N504/L504</f>
        <v/>
      </c>
      <c r="L504" s="4">
        <f>(M504/O504)*100</f>
        <v/>
      </c>
      <c r="M504" s="4">
        <f>O504/R504</f>
        <v/>
      </c>
      <c r="N504" s="4" t="n">
        <v>6.867</v>
      </c>
      <c r="O504" s="4" t="n">
        <v>24541.15</v>
      </c>
      <c r="P504" s="4" t="n">
        <v>4.14</v>
      </c>
      <c r="Q504" s="4">
        <f>N504-L504</f>
        <v/>
      </c>
      <c r="R504" s="4" t="n">
        <v>22.8</v>
      </c>
      <c r="S504" s="4" t="n">
        <v>3.883</v>
      </c>
      <c r="T504" s="7">
        <f>N504-S504</f>
        <v/>
      </c>
      <c r="U504" s="4" t="n">
        <v>102.46</v>
      </c>
      <c r="V504" s="4" t="n"/>
      <c r="W504" s="6" t="n"/>
      <c r="X504" s="4" t="n">
        <v>21298.35</v>
      </c>
      <c r="Y504" s="7" t="n">
        <v>43.09</v>
      </c>
      <c r="Z504" s="4">
        <f>X504/Y504</f>
        <v/>
      </c>
      <c r="AA504" s="4">
        <f>(Z504/X504)*100</f>
        <v/>
      </c>
      <c r="AB504" s="4" t="n">
        <v>22367.85</v>
      </c>
      <c r="AC504" s="4" t="n">
        <v>30.21</v>
      </c>
      <c r="AD504" s="4">
        <f>AB504/AC504</f>
        <v/>
      </c>
      <c r="AE504" s="4">
        <f>(AD504/AB504)*100</f>
        <v/>
      </c>
    </row>
    <row r="505">
      <c r="A505" s="5" t="n">
        <v>556</v>
      </c>
      <c r="B505" s="8" t="n">
        <v>45523</v>
      </c>
      <c r="C505" s="4" t="n">
        <v>45495630.17</v>
      </c>
      <c r="D505" s="4">
        <f>C505/E505</f>
        <v/>
      </c>
      <c r="E505" s="7" t="n">
        <v>83.84999999999999</v>
      </c>
      <c r="F505" s="4">
        <f>D505/100000</f>
        <v/>
      </c>
      <c r="G505" s="4">
        <f>($D$1-F505)/F505*100</f>
        <v/>
      </c>
      <c r="H505" s="4">
        <f>($D$2-F505)/F505*100</f>
        <v/>
      </c>
      <c r="I505" s="4">
        <f>($D$3-F505)/F505*100</f>
        <v/>
      </c>
      <c r="J505" s="4">
        <f>F505/$F$10*100</f>
        <v/>
      </c>
      <c r="K505" s="4">
        <f>N505/L505</f>
        <v/>
      </c>
      <c r="L505" s="4">
        <f>(M505/O505)*100</f>
        <v/>
      </c>
      <c r="M505" s="4">
        <f>O505/R505</f>
        <v/>
      </c>
      <c r="N505" s="4" t="n">
        <v>6.864</v>
      </c>
      <c r="O505" s="4" t="n">
        <v>24572.65</v>
      </c>
      <c r="P505" s="4" t="n">
        <v>4.14</v>
      </c>
      <c r="Q505" s="4">
        <f>N505-L505</f>
        <v/>
      </c>
      <c r="R505" s="4" t="n">
        <v>22.83</v>
      </c>
      <c r="S505" s="4" t="n">
        <v>3.875</v>
      </c>
      <c r="T505" s="7">
        <f>N505-S505</f>
        <v/>
      </c>
      <c r="U505" s="4" t="n">
        <v>101.89</v>
      </c>
      <c r="V505" s="4" t="n"/>
      <c r="W505" s="6" t="n"/>
      <c r="X505" s="4" t="n">
        <v>21351.4</v>
      </c>
      <c r="Y505" s="7" t="n">
        <v>43.16</v>
      </c>
      <c r="Z505" s="4">
        <f>X505/Y505</f>
        <v/>
      </c>
      <c r="AA505" s="4">
        <f>(Z505/X505)*100</f>
        <v/>
      </c>
      <c r="AB505" s="4" t="n">
        <v>22357.4</v>
      </c>
      <c r="AC505" s="4" t="n">
        <v>30.65</v>
      </c>
      <c r="AD505" s="4">
        <f>AB505/AC505</f>
        <v/>
      </c>
      <c r="AE505" s="4">
        <f>(AD505/AB505)*100</f>
        <v/>
      </c>
    </row>
    <row r="506">
      <c r="A506" s="5" t="n">
        <v>557</v>
      </c>
      <c r="B506" s="9" t="n">
        <v>45524</v>
      </c>
      <c r="C506" s="4" t="n">
        <v>45757953.43</v>
      </c>
      <c r="D506" s="4">
        <f>C506/E506</f>
        <v/>
      </c>
      <c r="E506" s="7" t="n">
        <v>83.75</v>
      </c>
      <c r="F506" s="4">
        <f>D506/100000</f>
        <v/>
      </c>
      <c r="G506" s="4">
        <f>($D$1-F506)/F506*100</f>
        <v/>
      </c>
      <c r="H506" s="4">
        <f>($D$2-F506)/F506*100</f>
        <v/>
      </c>
      <c r="I506" s="4">
        <f>($D$3-F506)/F506*100</f>
        <v/>
      </c>
      <c r="J506" s="4">
        <f>F506/$F$10*100</f>
        <v/>
      </c>
      <c r="K506" s="4">
        <f>N506/L506</f>
        <v/>
      </c>
      <c r="L506" s="4">
        <f>(M506/O506)*100</f>
        <v/>
      </c>
      <c r="M506" s="4">
        <f>O506/R506</f>
        <v/>
      </c>
      <c r="N506" s="4" t="n">
        <v>6.856</v>
      </c>
      <c r="O506" s="4" t="n">
        <v>24698.85</v>
      </c>
      <c r="P506" s="4" t="n">
        <v>4.16</v>
      </c>
      <c r="Q506" s="4">
        <f>N506-L506</f>
        <v/>
      </c>
      <c r="R506" s="4" t="n">
        <v>22.95</v>
      </c>
      <c r="S506" s="4" t="n">
        <v>3.81</v>
      </c>
      <c r="T506" s="7">
        <f>N506-S506</f>
        <v/>
      </c>
      <c r="U506" s="4" t="n">
        <v>101.44</v>
      </c>
      <c r="V506" s="4" t="n"/>
      <c r="W506" s="6" t="n"/>
      <c r="X506" s="4" t="n">
        <v>21529.05</v>
      </c>
      <c r="Y506" s="7" t="n">
        <v>43.52</v>
      </c>
      <c r="Z506" s="4">
        <f>X506/Y506</f>
        <v/>
      </c>
      <c r="AA506" s="4">
        <f>(Z506/X506)*100</f>
        <v/>
      </c>
      <c r="AB506" s="4" t="n">
        <v>22493.5</v>
      </c>
      <c r="AC506" s="4" t="n">
        <v>30.82</v>
      </c>
      <c r="AD506" s="4">
        <f>AB506/AC506</f>
        <v/>
      </c>
      <c r="AE506" s="4">
        <f>(AD506/AB506)*100</f>
        <v/>
      </c>
    </row>
    <row r="507">
      <c r="A507" s="5" t="n">
        <v>558</v>
      </c>
      <c r="B507" s="9" t="n">
        <v>45525</v>
      </c>
      <c r="C507" s="4" t="n">
        <v>46003536.94</v>
      </c>
      <c r="D507" s="4">
        <f>C507/E507</f>
        <v/>
      </c>
      <c r="E507" s="7" t="n">
        <v>83.87</v>
      </c>
      <c r="F507" s="4">
        <f>D507/100000</f>
        <v/>
      </c>
      <c r="G507" s="4">
        <f>($D$1-F507)/F507*100</f>
        <v/>
      </c>
      <c r="H507" s="4">
        <f>($D$2-F507)/F507*100</f>
        <v/>
      </c>
      <c r="I507" s="4">
        <f>($D$3-F507)/F507*100</f>
        <v/>
      </c>
      <c r="J507" s="4">
        <f>F507/$F$10*100</f>
        <v/>
      </c>
      <c r="K507" s="4">
        <f>N507/L507</f>
        <v/>
      </c>
      <c r="L507" s="4">
        <f>(M507/O507)*100</f>
        <v/>
      </c>
      <c r="M507" s="4">
        <f>O507/R507</f>
        <v/>
      </c>
      <c r="N507" s="4" t="n">
        <v>6.853</v>
      </c>
      <c r="O507" s="4" t="n">
        <v>24770.2</v>
      </c>
      <c r="P507" s="4" t="n">
        <v>4.17</v>
      </c>
      <c r="Q507" s="4">
        <f>N507-L507</f>
        <v/>
      </c>
      <c r="R507" s="4" t="n">
        <v>23.01</v>
      </c>
      <c r="S507" s="4" t="n">
        <v>3.799</v>
      </c>
      <c r="T507" s="7">
        <f>N507-S507</f>
        <v/>
      </c>
      <c r="U507" s="4" t="n">
        <v>101.04</v>
      </c>
      <c r="V507" s="4" t="n"/>
      <c r="W507" s="6" t="n"/>
      <c r="X507" s="4" t="n">
        <v>21617.7</v>
      </c>
      <c r="Y507" s="7" t="n">
        <v>43.7</v>
      </c>
      <c r="Z507" s="4">
        <f>X507/Y507</f>
        <v/>
      </c>
      <c r="AA507" s="4">
        <f>(Z507/X507)*100</f>
        <v/>
      </c>
      <c r="AB507" s="4" t="n">
        <v>22423.7</v>
      </c>
      <c r="AC507" s="4" t="n">
        <v>31.16</v>
      </c>
      <c r="AD507" s="4">
        <f>AB507/AC507</f>
        <v/>
      </c>
      <c r="AE507" s="4">
        <f>(AD507/AB507)*100</f>
        <v/>
      </c>
    </row>
    <row r="508">
      <c r="A508" s="5" t="n">
        <v>559</v>
      </c>
      <c r="B508" s="9" t="n">
        <v>45526</v>
      </c>
      <c r="C508" s="4" t="n">
        <v>46134977.4</v>
      </c>
      <c r="D508" s="4">
        <f>C508/E508</f>
        <v/>
      </c>
      <c r="E508" s="7" t="n">
        <v>83.93000000000001</v>
      </c>
      <c r="F508" s="4">
        <f>D508/100000</f>
        <v/>
      </c>
      <c r="G508" s="4">
        <f>($D$1-F508)/F508*100</f>
        <v/>
      </c>
      <c r="H508" s="4">
        <f>($D$2-F508)/F508*100</f>
        <v/>
      </c>
      <c r="I508" s="4">
        <f>($D$3-F508)/F508*100</f>
        <v/>
      </c>
      <c r="J508" s="4">
        <f>F508/$F$10*100</f>
        <v/>
      </c>
      <c r="K508" s="4">
        <f>N508/L508</f>
        <v/>
      </c>
      <c r="L508" s="4">
        <f>(M508/O508)*100</f>
        <v/>
      </c>
      <c r="M508" s="4">
        <f>O508/R508</f>
        <v/>
      </c>
      <c r="N508" s="4" t="n">
        <v>6.852</v>
      </c>
      <c r="O508" s="4" t="n">
        <v>24811.5</v>
      </c>
      <c r="P508" s="4" t="n">
        <v>4.18</v>
      </c>
      <c r="Q508" s="4">
        <f>N508-L508</f>
        <v/>
      </c>
      <c r="R508" s="4" t="n">
        <v>23.05</v>
      </c>
      <c r="S508" s="4" t="n">
        <v>3.858</v>
      </c>
      <c r="T508" s="7">
        <f>N508-S508</f>
        <v/>
      </c>
      <c r="U508" s="4" t="n">
        <v>101.51</v>
      </c>
      <c r="V508" s="4" t="n"/>
      <c r="W508" s="6" t="n"/>
      <c r="X508" s="4" t="n">
        <v>21760.35</v>
      </c>
      <c r="Y508" s="7" t="n">
        <v>43.99</v>
      </c>
      <c r="Z508" s="4">
        <f>X508/Y508</f>
        <v/>
      </c>
      <c r="AA508" s="4">
        <f>(Z508/X508)*100</f>
        <v/>
      </c>
      <c r="AB508" s="4" t="n">
        <v>22256.1</v>
      </c>
      <c r="AC508" s="4" t="n">
        <v>31.25</v>
      </c>
      <c r="AD508" s="4">
        <f>AB508/AC508</f>
        <v/>
      </c>
      <c r="AE508" s="4">
        <f>(AD508/AB508)*100</f>
        <v/>
      </c>
    </row>
    <row r="509">
      <c r="A509" s="5" t="n">
        <v>560</v>
      </c>
      <c r="B509" s="8" t="n">
        <v>45527</v>
      </c>
      <c r="C509" s="4" t="n">
        <v>46076227.7</v>
      </c>
      <c r="D509" s="4">
        <f>C509/E509</f>
        <v/>
      </c>
      <c r="E509" s="7" t="n">
        <v>83.809</v>
      </c>
      <c r="F509" s="4">
        <f>D509/100000</f>
        <v/>
      </c>
      <c r="G509" s="4">
        <f>($D$1-F509)/F509*100</f>
        <v/>
      </c>
      <c r="H509" s="4">
        <f>($D$2-F509)/F509*100</f>
        <v/>
      </c>
      <c r="I509" s="4">
        <f>($D$3-F509)/F509*100</f>
        <v/>
      </c>
      <c r="J509" s="4">
        <f>F509/$F$10*100</f>
        <v/>
      </c>
      <c r="K509" s="4">
        <f>N509/L509</f>
        <v/>
      </c>
      <c r="L509" s="4">
        <f>(M509/O509)*100</f>
        <v/>
      </c>
      <c r="M509" s="4">
        <f>O509/R509</f>
        <v/>
      </c>
      <c r="N509" s="4" t="n">
        <v>6.859</v>
      </c>
      <c r="O509" s="4" t="n">
        <v>24823.15</v>
      </c>
      <c r="P509" s="4" t="n">
        <v>4.18</v>
      </c>
      <c r="Q509" s="4">
        <f>N509-L509</f>
        <v/>
      </c>
      <c r="R509" s="4" t="n">
        <v>23.06</v>
      </c>
      <c r="S509" s="4" t="n">
        <v>3.795</v>
      </c>
      <c r="T509" s="7">
        <f>N509-S509</f>
        <v/>
      </c>
      <c r="U509" s="4" t="n">
        <v>100.72</v>
      </c>
      <c r="V509" s="4" t="n"/>
      <c r="W509" s="6" t="n"/>
      <c r="X509" s="4" t="n">
        <v>21645.65</v>
      </c>
      <c r="Y509" s="7" t="n">
        <v>43.76</v>
      </c>
      <c r="Z509" s="4">
        <f>X509/Y509</f>
        <v/>
      </c>
      <c r="AA509" s="4">
        <f>(Z509/X509)*100</f>
        <v/>
      </c>
      <c r="AB509" s="4" t="n">
        <v>21965.15</v>
      </c>
      <c r="AC509" s="4" t="n">
        <v>31.29</v>
      </c>
      <c r="AD509" s="4">
        <f>AB509/AC509</f>
        <v/>
      </c>
      <c r="AE509" s="4">
        <f>(AD509/AB509)*100</f>
        <v/>
      </c>
    </row>
    <row r="510">
      <c r="A510" s="5" t="n">
        <v>563</v>
      </c>
      <c r="B510" s="9" t="n">
        <v>45530</v>
      </c>
      <c r="C510" s="4" t="n">
        <v>46295933.68</v>
      </c>
      <c r="D510" s="4">
        <f>C510/E510</f>
        <v/>
      </c>
      <c r="E510" s="7" t="n">
        <v>83.84</v>
      </c>
      <c r="F510" s="4">
        <f>D510/100000</f>
        <v/>
      </c>
      <c r="G510" s="4">
        <f>($D$1-F510)/F510*100</f>
        <v/>
      </c>
      <c r="H510" s="4">
        <f>($D$2-F510)/F510*100</f>
        <v/>
      </c>
      <c r="I510" s="4">
        <f>($D$3-F510)/F510*100</f>
        <v/>
      </c>
      <c r="J510" s="4">
        <f>F510/$F$10*100</f>
        <v/>
      </c>
      <c r="K510" s="4">
        <f>N510/L510</f>
        <v/>
      </c>
      <c r="L510" s="4">
        <f>(M510/O510)*100</f>
        <v/>
      </c>
      <c r="M510" s="4">
        <f>O510/R510</f>
        <v/>
      </c>
      <c r="N510" s="4" t="n">
        <v>6.851</v>
      </c>
      <c r="O510" s="4" t="n">
        <v>25010.6</v>
      </c>
      <c r="P510" s="4" t="n">
        <v>4.21</v>
      </c>
      <c r="Q510" s="4">
        <f>N510-L510</f>
        <v/>
      </c>
      <c r="R510" s="4" t="n">
        <v>23.24</v>
      </c>
      <c r="S510" s="4" t="n">
        <v>3.82</v>
      </c>
      <c r="T510" s="7">
        <f>N510-S510</f>
        <v/>
      </c>
      <c r="U510" s="4" t="n">
        <v>100.85</v>
      </c>
      <c r="V510" s="4" t="n"/>
      <c r="W510" s="6" t="n"/>
      <c r="X510" s="4" t="n">
        <v>21758.45</v>
      </c>
      <c r="Y510" s="7" t="n">
        <v>43.99</v>
      </c>
      <c r="Z510" s="4">
        <f>X510/Y510</f>
        <v/>
      </c>
      <c r="AA510" s="4">
        <f>(Z510/X510)*100</f>
        <v/>
      </c>
      <c r="AB510" s="4" t="n">
        <v>22079.9</v>
      </c>
      <c r="AC510" s="4" t="n">
        <v>31.42</v>
      </c>
      <c r="AD510" s="4">
        <f>AB510/AC510</f>
        <v/>
      </c>
      <c r="AE510" s="4">
        <f>(AD510/AB510)*100</f>
        <v/>
      </c>
    </row>
    <row r="511">
      <c r="A511" s="5" t="n">
        <v>564</v>
      </c>
      <c r="B511" s="8" t="n">
        <v>45531</v>
      </c>
      <c r="C511" s="4" t="n">
        <v>46401936.54</v>
      </c>
      <c r="D511" s="4">
        <f>C511/E511</f>
        <v/>
      </c>
      <c r="E511" s="7" t="n">
        <v>83.91</v>
      </c>
      <c r="F511" s="4">
        <f>D511/100000</f>
        <v/>
      </c>
      <c r="G511" s="4">
        <f>($D$1-F511)/F511*100</f>
        <v/>
      </c>
      <c r="H511" s="4">
        <f>($D$2-F511)/F511*100</f>
        <v/>
      </c>
      <c r="I511" s="4">
        <f>($D$3-F511)/F511*100</f>
        <v/>
      </c>
      <c r="J511" s="4">
        <f>F511/$F$10*100</f>
        <v/>
      </c>
      <c r="K511" s="4">
        <f>N511/L511</f>
        <v/>
      </c>
      <c r="L511" s="4">
        <f>(M511/O511)*100</f>
        <v/>
      </c>
      <c r="M511" s="4">
        <f>O511/R511</f>
        <v/>
      </c>
      <c r="N511" s="4" t="n">
        <v>6.861</v>
      </c>
      <c r="O511" s="4" t="n">
        <v>25017.75</v>
      </c>
      <c r="P511" s="4" t="n">
        <v>4.22</v>
      </c>
      <c r="Q511" s="4">
        <f>N511-L511</f>
        <v/>
      </c>
      <c r="R511" s="4" t="n">
        <v>23.24</v>
      </c>
      <c r="S511" s="4" t="n">
        <v>3.829</v>
      </c>
      <c r="T511" s="7">
        <f>N511-S511</f>
        <v/>
      </c>
      <c r="U511" s="4" t="n">
        <v>100.55</v>
      </c>
      <c r="V511" s="4" t="n"/>
      <c r="W511" s="6" t="n"/>
      <c r="X511" s="4" t="n">
        <v>21869.75</v>
      </c>
      <c r="Y511" s="7" t="n">
        <v>44.21</v>
      </c>
      <c r="Z511" s="4">
        <f>X511/Y511</f>
        <v/>
      </c>
      <c r="AA511" s="4">
        <f>(Z511/X511)*100</f>
        <v/>
      </c>
      <c r="AB511" s="4" t="n">
        <v>22235.35</v>
      </c>
      <c r="AC511" s="4" t="n">
        <v>31.66</v>
      </c>
      <c r="AD511" s="4">
        <f>AB511/AC511</f>
        <v/>
      </c>
      <c r="AE511" s="4">
        <f>(AD511/AB511)*100</f>
        <v/>
      </c>
    </row>
    <row r="512">
      <c r="A512" s="5" t="n">
        <v>565</v>
      </c>
      <c r="B512" s="8" t="n">
        <v>45532</v>
      </c>
      <c r="C512" s="4" t="n">
        <v>46387121.74</v>
      </c>
      <c r="D512" s="4">
        <f>C512/E512</f>
        <v/>
      </c>
      <c r="E512" s="7" t="n">
        <v>83.90000000000001</v>
      </c>
      <c r="F512" s="4">
        <f>D512/100000</f>
        <v/>
      </c>
      <c r="G512" s="4">
        <f>($D$1-F512)/F512*100</f>
        <v/>
      </c>
      <c r="H512" s="4">
        <f>($D$2-F512)/F512*100</f>
        <v/>
      </c>
      <c r="I512" s="4">
        <f>($D$3-F512)/F512*100</f>
        <v/>
      </c>
      <c r="J512" s="4">
        <f>F512/$F$10*100</f>
        <v/>
      </c>
      <c r="K512" s="4">
        <f>N512/L512</f>
        <v/>
      </c>
      <c r="L512" s="4">
        <f>(M512/O512)*100</f>
        <v/>
      </c>
      <c r="M512" s="4">
        <f>O512/R512</f>
        <v/>
      </c>
      <c r="N512" s="4" t="n">
        <v>6.861</v>
      </c>
      <c r="O512" s="4" t="n">
        <v>25052.35</v>
      </c>
      <c r="P512" s="4" t="n">
        <v>4.22</v>
      </c>
      <c r="Q512" s="4">
        <f>N512-L512</f>
        <v/>
      </c>
      <c r="R512" s="4" t="n">
        <v>23.28</v>
      </c>
      <c r="S512" s="4" t="n">
        <v>3.839</v>
      </c>
      <c r="T512" s="7">
        <f>N512-S512</f>
        <v/>
      </c>
      <c r="U512" s="4" t="n">
        <v>101.09</v>
      </c>
      <c r="V512" s="4" t="n"/>
      <c r="W512" s="6" t="n"/>
      <c r="X512" s="4" t="n">
        <v>21838.7</v>
      </c>
      <c r="Y512" s="7" t="n">
        <v>44.14</v>
      </c>
      <c r="Z512" s="4">
        <f>X512/Y512</f>
        <v/>
      </c>
      <c r="AA512" s="4">
        <f>(Z512/X512)*100</f>
        <v/>
      </c>
      <c r="AB512" s="4" t="n">
        <v>22264.7</v>
      </c>
      <c r="AC512" s="4" t="n">
        <v>31.6</v>
      </c>
      <c r="AD512" s="4">
        <f>AB512/AC512</f>
        <v/>
      </c>
      <c r="AE512" s="4">
        <f>(AD512/AB512)*100</f>
        <v/>
      </c>
    </row>
    <row r="513">
      <c r="A513" s="5" t="n">
        <v>566</v>
      </c>
      <c r="B513" s="9" t="n">
        <v>45533</v>
      </c>
      <c r="C513" s="4" t="n">
        <v>46332157.79</v>
      </c>
      <c r="D513" s="4">
        <f>C513/E513</f>
        <v/>
      </c>
      <c r="E513" s="7" t="n">
        <v>83.88</v>
      </c>
      <c r="F513" s="4">
        <f>D513/100000</f>
        <v/>
      </c>
      <c r="G513" s="4">
        <f>($D$1-F513)/F513*100</f>
        <v/>
      </c>
      <c r="H513" s="4">
        <f>($D$2-F513)/F513*100</f>
        <v/>
      </c>
      <c r="I513" s="4">
        <f>($D$3-F513)/F513*100</f>
        <v/>
      </c>
      <c r="J513" s="4">
        <f>F513/$F$10*100</f>
        <v/>
      </c>
      <c r="K513" s="4">
        <f>N513/L513</f>
        <v/>
      </c>
      <c r="L513" s="4">
        <f>(M513/O513)*100</f>
        <v/>
      </c>
      <c r="M513" s="4">
        <f>O513/R513</f>
        <v/>
      </c>
      <c r="N513" s="4" t="n">
        <v>6.864</v>
      </c>
      <c r="O513" s="4" t="n">
        <v>25151.95</v>
      </c>
      <c r="P513" s="4" t="n">
        <v>4.24</v>
      </c>
      <c r="Q513" s="4">
        <f>N513-L513</f>
        <v/>
      </c>
      <c r="R513" s="4" t="n">
        <v>23.37</v>
      </c>
      <c r="S513" s="4" t="n">
        <v>3.863</v>
      </c>
      <c r="T513" s="7">
        <f>N513-S513</f>
        <v/>
      </c>
      <c r="U513" s="4" t="n">
        <v>101.34</v>
      </c>
      <c r="V513" s="4" t="n"/>
      <c r="W513" s="6" t="n"/>
      <c r="X513" s="4" t="n">
        <v>21741.35</v>
      </c>
      <c r="Y513" s="7" t="n">
        <v>43.95</v>
      </c>
      <c r="Z513" s="4">
        <f>X513/Y513</f>
        <v/>
      </c>
      <c r="AA513" s="4">
        <f>(Z513/X513)*100</f>
        <v/>
      </c>
      <c r="AB513" s="4" t="n">
        <v>22190.35</v>
      </c>
      <c r="AC513" s="4" t="n">
        <v>31.42</v>
      </c>
      <c r="AD513" s="4">
        <f>AB513/AC513</f>
        <v/>
      </c>
      <c r="AE513" s="4">
        <f>(AD513/AB513)*100</f>
        <v/>
      </c>
    </row>
    <row r="514">
      <c r="A514" s="5" t="n">
        <v>567</v>
      </c>
      <c r="B514" s="9" t="n">
        <v>45534</v>
      </c>
      <c r="C514" s="4" t="n">
        <v>46557196.97</v>
      </c>
      <c r="D514" s="4">
        <f>C514/E514</f>
        <v/>
      </c>
      <c r="E514" s="7" t="n">
        <v>83.867</v>
      </c>
      <c r="F514" s="4">
        <f>D514/100000</f>
        <v/>
      </c>
      <c r="G514" s="4">
        <f>($D$1-F514)/F514*100</f>
        <v/>
      </c>
      <c r="H514" s="4">
        <f>($D$2-F514)/F514*100</f>
        <v/>
      </c>
      <c r="I514" s="4">
        <f>($D$3-F514)/F514*100</f>
        <v/>
      </c>
      <c r="J514" s="4">
        <f>F514/$F$10*100</f>
        <v/>
      </c>
      <c r="K514" s="4">
        <f>N514/L514</f>
        <v/>
      </c>
      <c r="L514" s="4">
        <f>(M514/O514)*100</f>
        <v/>
      </c>
      <c r="M514" s="4">
        <f>O514/R514</f>
        <v/>
      </c>
      <c r="N514" s="4" t="n">
        <v>6.863</v>
      </c>
      <c r="O514" s="4" t="n">
        <v>25235.9</v>
      </c>
      <c r="P514" s="4" t="n">
        <v>4.26</v>
      </c>
      <c r="Q514" s="4">
        <f>N514-L514</f>
        <v/>
      </c>
      <c r="R514" s="4" t="n">
        <v>23.47</v>
      </c>
      <c r="S514" s="4" t="n">
        <v>3.909</v>
      </c>
      <c r="T514" s="7">
        <f>N514-S514</f>
        <v/>
      </c>
      <c r="U514" s="4" t="n">
        <v>101.7</v>
      </c>
      <c r="V514" s="4" t="n"/>
      <c r="W514" s="6" t="n"/>
      <c r="X514" s="4" t="n">
        <v>21925.45</v>
      </c>
      <c r="Y514" s="7" t="n">
        <v>44.22</v>
      </c>
      <c r="Z514" s="4">
        <f>X514/Y514</f>
        <v/>
      </c>
      <c r="AA514" s="4">
        <f>(Z514/X514)*100</f>
        <v/>
      </c>
      <c r="AB514" s="4" t="n">
        <v>22047.7</v>
      </c>
      <c r="AC514" s="4" t="n">
        <v>31.58</v>
      </c>
      <c r="AD514" s="4">
        <f>AB514/AC514</f>
        <v/>
      </c>
      <c r="AE514" s="4">
        <f>(AD514/AB514)*100</f>
        <v/>
      </c>
    </row>
    <row r="515">
      <c r="A515" s="5" t="n">
        <v>568</v>
      </c>
      <c r="B515" s="9" t="n">
        <v>45537</v>
      </c>
      <c r="C515" s="4" t="n">
        <v>46587149.18</v>
      </c>
      <c r="D515" s="4">
        <f>C515/E515</f>
        <v/>
      </c>
      <c r="E515" s="7" t="n">
        <v>83.88</v>
      </c>
      <c r="F515" s="4">
        <f>D515/100000</f>
        <v/>
      </c>
      <c r="G515" s="4">
        <f>($D$1-F515)/F515*100</f>
        <v/>
      </c>
      <c r="H515" s="4">
        <f>($D$2-F515)/F515*100</f>
        <v/>
      </c>
      <c r="I515" s="4">
        <f>($D$3-F515)/F515*100</f>
        <v/>
      </c>
      <c r="J515" s="4">
        <f>F515/$F$10*100</f>
        <v/>
      </c>
      <c r="K515" s="4">
        <f>N515/L515</f>
        <v/>
      </c>
      <c r="L515" s="4">
        <f>(M515/O515)*100</f>
        <v/>
      </c>
      <c r="M515" s="4">
        <f>O515/R515</f>
        <v/>
      </c>
      <c r="N515" s="4" t="n">
        <v>6.876</v>
      </c>
      <c r="O515" s="4" t="n">
        <v>25278.7</v>
      </c>
      <c r="P515" s="4" t="n">
        <v>4.27</v>
      </c>
      <c r="Q515" s="4">
        <f>N515-L515</f>
        <v/>
      </c>
      <c r="R515" s="4" t="n">
        <v>23.51</v>
      </c>
      <c r="S515" s="4" t="n">
        <v>3.926</v>
      </c>
      <c r="T515" s="7">
        <f>N515-S515</f>
        <v/>
      </c>
      <c r="U515" s="4" t="n">
        <v>101.65</v>
      </c>
      <c r="V515" s="4" t="n"/>
      <c r="W515" s="6" t="n"/>
      <c r="X515" s="4" t="n">
        <v>21862.85</v>
      </c>
      <c r="Y515" s="7" t="n">
        <v>44.1</v>
      </c>
      <c r="Z515" s="4">
        <f>X515/Y515</f>
        <v/>
      </c>
      <c r="AA515" s="4">
        <f>(Z515/X515)*100</f>
        <v/>
      </c>
      <c r="AB515" s="4" t="n">
        <v>21798.95</v>
      </c>
      <c r="AC515" s="4" t="n">
        <v>31.55</v>
      </c>
      <c r="AD515" s="4">
        <f>AB515/AC515</f>
        <v/>
      </c>
      <c r="AE515" s="4">
        <f>(AD515/AB515)*100</f>
        <v/>
      </c>
    </row>
    <row r="516">
      <c r="A516" s="5" t="n">
        <v>569</v>
      </c>
      <c r="B516" s="8" t="n">
        <v>45538</v>
      </c>
      <c r="C516" s="4" t="n">
        <v>46678436.06</v>
      </c>
      <c r="D516" s="4">
        <f>C516/E516</f>
        <v/>
      </c>
      <c r="E516" s="7" t="n">
        <v>83.95</v>
      </c>
      <c r="F516" s="4">
        <f>D516/100000</f>
        <v/>
      </c>
      <c r="G516" s="4">
        <f>($D$1-F516)/F516*100</f>
        <v/>
      </c>
      <c r="H516" s="4">
        <f>($D$2-F516)/F516*100</f>
        <v/>
      </c>
      <c r="I516" s="4">
        <f>($D$3-F516)/F516*100</f>
        <v/>
      </c>
      <c r="J516" s="4">
        <f>F516/$F$10*100</f>
        <v/>
      </c>
      <c r="K516" s="4">
        <f>N516/L516</f>
        <v/>
      </c>
      <c r="L516" s="4">
        <f>(M516/O516)*100</f>
        <v/>
      </c>
      <c r="M516" s="4">
        <f>O516/R516</f>
        <v/>
      </c>
      <c r="N516" s="4" t="n">
        <v>6.87</v>
      </c>
      <c r="O516" s="4" t="n">
        <v>25279.85</v>
      </c>
      <c r="P516" s="4" t="n">
        <v>4.27</v>
      </c>
      <c r="Q516" s="4">
        <f>N516-L516</f>
        <v/>
      </c>
      <c r="R516" s="4" t="n">
        <v>23.51</v>
      </c>
      <c r="S516" s="4" t="n">
        <v>3.831</v>
      </c>
      <c r="T516" s="7">
        <f>N516-S516</f>
        <v/>
      </c>
      <c r="U516" s="4" t="n">
        <v>101.82</v>
      </c>
      <c r="V516" s="4" t="n"/>
      <c r="W516" s="6" t="n"/>
      <c r="X516" s="4" t="n">
        <v>21913.8</v>
      </c>
      <c r="Y516" s="7" t="n">
        <v>44.23</v>
      </c>
      <c r="Z516" s="4">
        <f>X516/Y516</f>
        <v/>
      </c>
      <c r="AA516" s="4">
        <f>(Z516/X516)*100</f>
        <v/>
      </c>
      <c r="AB516" s="4" t="n">
        <v>21853.55</v>
      </c>
      <c r="AC516" s="4" t="n">
        <v>31.74</v>
      </c>
      <c r="AD516" s="4">
        <f>AB516/AC516</f>
        <v/>
      </c>
      <c r="AE516" s="4">
        <f>(AD516/AB516)*100</f>
        <v/>
      </c>
    </row>
    <row r="517">
      <c r="A517" s="5" t="n">
        <v>570</v>
      </c>
      <c r="B517" s="9" t="n">
        <v>45539</v>
      </c>
      <c r="C517" s="4" t="n">
        <v>46636960.47</v>
      </c>
      <c r="D517" s="4">
        <f>C517/E517</f>
        <v/>
      </c>
      <c r="E517" s="7" t="n">
        <v>83.95999999999999</v>
      </c>
      <c r="F517" s="4">
        <f>D517/100000</f>
        <v/>
      </c>
      <c r="G517" s="4">
        <f>($D$1-F517)/F517*100</f>
        <v/>
      </c>
      <c r="H517" s="4">
        <f>($D$2-F517)/F517*100</f>
        <v/>
      </c>
      <c r="I517" s="4">
        <f>($D$3-F517)/F517*100</f>
        <v/>
      </c>
      <c r="J517" s="4">
        <f>F517/$F$10*100</f>
        <v/>
      </c>
      <c r="K517" s="4">
        <f>N517/L517</f>
        <v/>
      </c>
      <c r="L517" s="4">
        <f>(M517/O517)*100</f>
        <v/>
      </c>
      <c r="M517" s="4">
        <f>O517/R517</f>
        <v/>
      </c>
      <c r="N517" s="4" t="n">
        <v>6.859</v>
      </c>
      <c r="O517" s="4" t="n">
        <v>25198.7</v>
      </c>
      <c r="P517" s="4" t="n">
        <v>4.26</v>
      </c>
      <c r="Q517" s="4">
        <f>N517-L517</f>
        <v/>
      </c>
      <c r="R517" s="4" t="n">
        <v>23.43</v>
      </c>
      <c r="S517" s="4" t="n">
        <v>3.757</v>
      </c>
      <c r="T517" s="7">
        <f>N517-S517</f>
        <v/>
      </c>
      <c r="U517" s="4" t="n">
        <v>101.36</v>
      </c>
      <c r="V517" s="4" t="n"/>
      <c r="W517" s="6" t="n"/>
      <c r="X517" s="4" t="n">
        <v>21895.35</v>
      </c>
      <c r="Y517" s="7" t="n">
        <v>44.2</v>
      </c>
      <c r="Z517" s="4">
        <f>X517/Y517</f>
        <v/>
      </c>
      <c r="AA517" s="4">
        <f>(Z517/X517)*100</f>
        <v/>
      </c>
      <c r="AB517" s="4" t="n">
        <v>21621.4</v>
      </c>
      <c r="AC517" s="4" t="n">
        <v>31.84</v>
      </c>
      <c r="AD517" s="4">
        <f>AB517/AC517</f>
        <v/>
      </c>
      <c r="AE517" s="4">
        <f>(AD517/AB517)*100</f>
        <v/>
      </c>
    </row>
    <row r="518">
      <c r="A518" s="5" t="n">
        <v>571</v>
      </c>
      <c r="B518" s="9" t="n">
        <v>45540</v>
      </c>
      <c r="C518" s="4" t="n">
        <v>46693528.88</v>
      </c>
      <c r="D518" s="4">
        <f>C518/E518</f>
        <v/>
      </c>
      <c r="E518" s="7" t="n">
        <v>83.961</v>
      </c>
      <c r="F518" s="4">
        <f>D518/100000</f>
        <v/>
      </c>
      <c r="G518" s="4">
        <f>($D$1-F518)/F518*100</f>
        <v/>
      </c>
      <c r="H518" s="4">
        <f>($D$2-F518)/F518*100</f>
        <v/>
      </c>
      <c r="I518" s="4">
        <f>($D$3-F518)/F518*100</f>
        <v/>
      </c>
      <c r="J518" s="4">
        <f>F518/$F$10*100</f>
        <v/>
      </c>
      <c r="K518" s="4">
        <f>N518/L518</f>
        <v/>
      </c>
      <c r="L518" s="4">
        <f>(M518/O518)*100</f>
        <v/>
      </c>
      <c r="M518" s="4">
        <f>O518/R518</f>
        <v/>
      </c>
      <c r="N518" s="4" t="n">
        <v>6.855</v>
      </c>
      <c r="O518" s="4" t="n">
        <v>25145.1</v>
      </c>
      <c r="P518" s="4" t="n">
        <v>4.25</v>
      </c>
      <c r="Q518" s="4">
        <f>N518-L518</f>
        <v/>
      </c>
      <c r="R518" s="4" t="n">
        <v>23.38</v>
      </c>
      <c r="S518" s="4" t="n">
        <v>3.725</v>
      </c>
      <c r="T518" s="7">
        <f>N518-S518</f>
        <v/>
      </c>
      <c r="U518" s="4" t="n">
        <v>101.11</v>
      </c>
      <c r="V518" s="4" t="n"/>
      <c r="W518" s="6" t="n"/>
      <c r="X518" s="4" t="n">
        <v>21976.9</v>
      </c>
      <c r="Y518" s="7" t="n">
        <v>44.36</v>
      </c>
      <c r="Z518" s="4">
        <f>X518/Y518</f>
        <v/>
      </c>
      <c r="AA518" s="4">
        <f>(Z518/X518)*100</f>
        <v/>
      </c>
      <c r="AB518" s="4" t="n">
        <v>21675.8</v>
      </c>
      <c r="AC518" s="4" t="n">
        <v>32.14</v>
      </c>
      <c r="AD518" s="4">
        <f>AB518/AC518</f>
        <v/>
      </c>
      <c r="AE518" s="4">
        <f>(AD518/AB518)*100</f>
        <v/>
      </c>
    </row>
    <row r="519">
      <c r="A519" s="5" t="n">
        <v>572</v>
      </c>
      <c r="B519" s="9" t="n">
        <v>45541</v>
      </c>
      <c r="C519" s="4" t="n">
        <v>46139779.52</v>
      </c>
      <c r="D519" s="4">
        <f>C519/E519</f>
        <v/>
      </c>
      <c r="E519" s="7" t="n">
        <v>83.985</v>
      </c>
      <c r="F519" s="4">
        <f>D519/100000</f>
        <v/>
      </c>
      <c r="G519" s="4">
        <f>($D$1-F519)/F519*100</f>
        <v/>
      </c>
      <c r="H519" s="4">
        <f>($D$2-F519)/F519*100</f>
        <v/>
      </c>
      <c r="I519" s="4">
        <f>($D$3-F519)/F519*100</f>
        <v/>
      </c>
      <c r="J519" s="4">
        <f>F519/$F$10*100</f>
        <v/>
      </c>
      <c r="K519" s="4">
        <f>N519/L519</f>
        <v/>
      </c>
      <c r="L519" s="4">
        <f>(M519/O519)*100</f>
        <v/>
      </c>
      <c r="M519" s="4">
        <f>O519/R519</f>
        <v/>
      </c>
      <c r="N519" s="4" t="n">
        <v>6.854</v>
      </c>
      <c r="O519" s="4" t="n">
        <v>24852.15</v>
      </c>
      <c r="P519" s="4" t="n">
        <v>4.2</v>
      </c>
      <c r="Q519" s="4">
        <f>N519-L519</f>
        <v/>
      </c>
      <c r="R519" s="4" t="n">
        <v>23.11</v>
      </c>
      <c r="S519" s="4" t="n">
        <v>3.716</v>
      </c>
      <c r="T519" s="7">
        <f>N519-S519</f>
        <v/>
      </c>
      <c r="U519" s="4" t="n">
        <v>101.18</v>
      </c>
      <c r="V519" s="4" t="n"/>
      <c r="W519" s="6" t="n"/>
      <c r="X519" s="4" t="n">
        <v>21675.8</v>
      </c>
      <c r="Y519" s="7" t="n">
        <v>43.75</v>
      </c>
      <c r="Z519" s="4">
        <f>X519/Y519</f>
        <v/>
      </c>
      <c r="AA519" s="4">
        <f>(Z519/X519)*100</f>
        <v/>
      </c>
      <c r="AB519" s="4" t="n">
        <v>21976.9</v>
      </c>
      <c r="AC519" s="4" t="n">
        <v>31.81</v>
      </c>
      <c r="AD519" s="4">
        <f>AB519/AC519</f>
        <v/>
      </c>
      <c r="AE519" s="4">
        <f>(AD519/AB519)*100</f>
        <v/>
      </c>
    </row>
    <row r="520">
      <c r="A520" s="5" t="n">
        <v>573</v>
      </c>
      <c r="B520" s="9" t="n">
        <v>45544</v>
      </c>
      <c r="C520" s="4" t="n">
        <v>46111648.47</v>
      </c>
      <c r="D520" s="4">
        <f>C520/E520</f>
        <v/>
      </c>
      <c r="E520" s="7" t="n">
        <v>83.928</v>
      </c>
      <c r="F520" s="4">
        <f>D520/100000</f>
        <v/>
      </c>
      <c r="G520" s="4">
        <f>($D$1-F520)/F520*100</f>
        <v/>
      </c>
      <c r="H520" s="4">
        <f>($D$2-F520)/F520*100</f>
        <v/>
      </c>
      <c r="I520" s="4">
        <f>($D$3-F520)/F520*100</f>
        <v/>
      </c>
      <c r="J520" s="4">
        <f>F520/$F$10*100</f>
        <v/>
      </c>
      <c r="K520" s="4">
        <f>N520/L520</f>
        <v/>
      </c>
      <c r="L520" s="4">
        <f>(M520/O520)*100</f>
        <v/>
      </c>
      <c r="M520" s="4">
        <f>O520/R520</f>
        <v/>
      </c>
      <c r="N520" s="4" t="n">
        <v>6.854</v>
      </c>
      <c r="O520" s="4" t="n">
        <v>24936.4</v>
      </c>
      <c r="P520" s="4" t="n">
        <v>4.21</v>
      </c>
      <c r="Q520" s="4">
        <f>N520-L520</f>
        <v/>
      </c>
      <c r="R520" s="4" t="n">
        <v>23.19</v>
      </c>
      <c r="S520" s="4" t="n">
        <v>3.702</v>
      </c>
      <c r="T520" s="7">
        <f>N520-S520</f>
        <v/>
      </c>
      <c r="U520" s="4" t="n">
        <v>101.55</v>
      </c>
      <c r="V520" s="4" t="n"/>
      <c r="W520" s="6" t="n"/>
      <c r="X520" s="4" t="n">
        <v>21621.4</v>
      </c>
      <c r="Y520" s="7" t="n">
        <v>43.64</v>
      </c>
      <c r="Z520" s="4">
        <f>X520/Y520</f>
        <v/>
      </c>
      <c r="AA520" s="4">
        <f>(Z520/X520)*100</f>
        <v/>
      </c>
      <c r="AB520" s="4" t="n">
        <v>21895.35</v>
      </c>
      <c r="AC520" s="4" t="n">
        <v>31.55</v>
      </c>
      <c r="AD520" s="4">
        <f>AB520/AC520</f>
        <v/>
      </c>
      <c r="AE520" s="4">
        <f>(AD520/AB520)*100</f>
        <v/>
      </c>
    </row>
    <row r="521">
      <c r="A521" s="5" t="n">
        <v>574</v>
      </c>
      <c r="B521" s="9" t="n">
        <v>45545</v>
      </c>
      <c r="C521" s="4" t="n">
        <v>46464366.6</v>
      </c>
      <c r="D521" s="4">
        <f>C521/E521</f>
        <v/>
      </c>
      <c r="E521" s="7" t="n">
        <v>83.949</v>
      </c>
      <c r="F521" s="4">
        <f>D521/100000</f>
        <v/>
      </c>
      <c r="G521" s="4">
        <f>($D$1-F521)/F521*100</f>
        <v/>
      </c>
      <c r="H521" s="4">
        <f>($D$2-F521)/F521*100</f>
        <v/>
      </c>
      <c r="I521" s="4">
        <f>($D$3-F521)/F521*100</f>
        <v/>
      </c>
      <c r="J521" s="4">
        <f>F521/$F$10*100</f>
        <v/>
      </c>
      <c r="K521" s="4">
        <f>N521/L521</f>
        <v/>
      </c>
      <c r="L521" s="4">
        <f>(M521/O521)*100</f>
        <v/>
      </c>
      <c r="M521" s="4">
        <f>O521/R521</f>
        <v/>
      </c>
      <c r="N521" s="4" t="n">
        <v>6.851</v>
      </c>
      <c r="O521" s="4" t="n">
        <v>25041.1</v>
      </c>
      <c r="P521" s="4" t="n">
        <v>4.15</v>
      </c>
      <c r="Q521" s="4">
        <f>N521-L521</f>
        <v/>
      </c>
      <c r="R521" s="4" t="n">
        <v>23.29</v>
      </c>
      <c r="S521" s="4" t="n">
        <v>3.64</v>
      </c>
      <c r="T521" s="7">
        <f>N521-S521</f>
        <v/>
      </c>
      <c r="U521" s="4" t="n">
        <v>101.63</v>
      </c>
      <c r="V521" s="4" t="n"/>
      <c r="W521" s="6" t="n"/>
      <c r="X521" s="4" t="n">
        <v>21853.55</v>
      </c>
      <c r="Y521" s="7" t="n">
        <v>44.11</v>
      </c>
      <c r="Z521" s="4">
        <f>X521/Y521</f>
        <v/>
      </c>
      <c r="AA521" s="4">
        <f>(Z521/X521)*100</f>
        <v/>
      </c>
      <c r="AB521" s="4" t="n">
        <v>21913.8</v>
      </c>
      <c r="AC521" s="4" t="n">
        <v>31.94</v>
      </c>
      <c r="AD521" s="4">
        <f>AB521/AC521</f>
        <v/>
      </c>
      <c r="AE521" s="4">
        <f>(AD521/AB521)*100</f>
        <v/>
      </c>
    </row>
    <row r="522">
      <c r="A522" s="5" t="n">
        <v>575</v>
      </c>
      <c r="B522" s="9" t="n">
        <v>45546</v>
      </c>
      <c r="C522" s="4" t="n">
        <v>46188514.38</v>
      </c>
      <c r="D522" s="4">
        <f>C522/E522</f>
        <v/>
      </c>
      <c r="E522" s="7" t="n">
        <v>83.95999999999999</v>
      </c>
      <c r="F522" s="4">
        <f>D522/100000</f>
        <v/>
      </c>
      <c r="G522" s="4">
        <f>($D$1-F522)/F522*100</f>
        <v/>
      </c>
      <c r="H522" s="4">
        <f>($D$2-F522)/F522*100</f>
        <v/>
      </c>
      <c r="I522" s="4">
        <f>($D$3-F522)/F522*100</f>
        <v/>
      </c>
      <c r="J522" s="4">
        <f>F522/$F$10*100</f>
        <v/>
      </c>
      <c r="K522" s="4">
        <f>N522/L522</f>
        <v/>
      </c>
      <c r="L522" s="4">
        <f>(M522/O522)*100</f>
        <v/>
      </c>
      <c r="M522" s="4">
        <f>O522/R522</f>
        <v/>
      </c>
      <c r="N522" s="4" t="n">
        <v>6.83</v>
      </c>
      <c r="O522" s="4" t="n">
        <v>24918.45</v>
      </c>
      <c r="P522" s="4" t="n">
        <v>4.11</v>
      </c>
      <c r="Q522" s="4">
        <f>N522-L522</f>
        <v/>
      </c>
      <c r="R522" s="4" t="n">
        <v>23.17</v>
      </c>
      <c r="S522" s="4" t="n">
        <v>3.661</v>
      </c>
      <c r="T522" s="7">
        <f>N522-S522</f>
        <v/>
      </c>
      <c r="U522" s="4" t="n">
        <v>101.68</v>
      </c>
      <c r="V522" s="4" t="n"/>
      <c r="W522" s="6" t="n"/>
      <c r="X522" s="4" t="n">
        <v>21798.95</v>
      </c>
      <c r="Y522" s="7" t="n">
        <v>44</v>
      </c>
      <c r="Z522" s="4">
        <f>X522/Y522</f>
        <v/>
      </c>
      <c r="AA522" s="4">
        <f>(Z522/X522)*100</f>
        <v/>
      </c>
      <c r="AB522" s="4" t="n">
        <v>21862.85</v>
      </c>
      <c r="AC522" s="4" t="n">
        <v>31.69</v>
      </c>
      <c r="AD522" s="4">
        <f>AB522/AC522</f>
        <v/>
      </c>
      <c r="AE522" s="4">
        <f>(AD522/AB522)*100</f>
        <v/>
      </c>
    </row>
    <row r="523">
      <c r="A523" s="5" t="n">
        <v>576</v>
      </c>
      <c r="B523" s="8" t="n">
        <v>45547</v>
      </c>
      <c r="C523" s="4" t="n">
        <v>46855202.83</v>
      </c>
      <c r="D523" s="4">
        <f>C523/E523</f>
        <v/>
      </c>
      <c r="E523" s="7" t="n">
        <v>83.92</v>
      </c>
      <c r="F523" s="4">
        <f>D523/100000</f>
        <v/>
      </c>
      <c r="G523" s="4">
        <f>($D$1-F523)/F523*100</f>
        <v/>
      </c>
      <c r="H523" s="4">
        <f>($D$2-F523)/F523*100</f>
        <v/>
      </c>
      <c r="I523" s="4">
        <f>($D$3-F523)/F523*100</f>
        <v/>
      </c>
      <c r="J523" s="4">
        <f>F523/$F$10*100</f>
        <v/>
      </c>
      <c r="K523" s="4">
        <f>N523/L523</f>
        <v/>
      </c>
      <c r="L523" s="4">
        <f>(M523/O523)*100</f>
        <v/>
      </c>
      <c r="M523" s="4">
        <f>O523/R523</f>
        <v/>
      </c>
      <c r="N523" s="4" t="n">
        <v>6.811</v>
      </c>
      <c r="O523" s="4" t="n">
        <v>25388.9</v>
      </c>
      <c r="P523" s="4" t="n">
        <v>4.18</v>
      </c>
      <c r="Q523" s="4">
        <f>N523-L523</f>
        <v/>
      </c>
      <c r="R523" s="4" t="n">
        <v>23.61</v>
      </c>
      <c r="S523" s="4" t="n">
        <v>3.68</v>
      </c>
      <c r="T523" s="7">
        <f>N523-S523</f>
        <v/>
      </c>
      <c r="U523" s="4" t="n">
        <v>101.37</v>
      </c>
      <c r="V523" s="4" t="n"/>
      <c r="W523" s="6" t="n"/>
      <c r="X523" s="4" t="n">
        <v>22047.7</v>
      </c>
      <c r="Y523" s="7" t="n">
        <v>44.5</v>
      </c>
      <c r="Z523" s="4">
        <f>X523/Y523</f>
        <v/>
      </c>
      <c r="AA523" s="4">
        <f>(Z523/X523)*100</f>
        <v/>
      </c>
      <c r="AB523" s="4" t="n">
        <v>21925.45</v>
      </c>
      <c r="AC523" s="4" t="n">
        <v>31.94</v>
      </c>
      <c r="AD523" s="4">
        <f>AB523/AC523</f>
        <v/>
      </c>
      <c r="AE523" s="4">
        <f>(AD523/AB523)*100</f>
        <v/>
      </c>
    </row>
    <row r="524">
      <c r="A524" s="5" t="n">
        <v>577</v>
      </c>
      <c r="B524" s="9" t="n">
        <v>45548</v>
      </c>
      <c r="C524" s="4" t="n">
        <v>46991524.25</v>
      </c>
      <c r="D524" s="4">
        <f>C524/E524</f>
        <v/>
      </c>
      <c r="E524" s="7" t="n">
        <v>83.88</v>
      </c>
      <c r="F524" s="4">
        <f>D524/100000</f>
        <v/>
      </c>
      <c r="G524" s="4">
        <f>($D$1-F524)/F524*100</f>
        <v/>
      </c>
      <c r="H524" s="4">
        <f>($D$2-F524)/F524*100</f>
        <v/>
      </c>
      <c r="I524" s="4">
        <f>($D$3-F524)/F524*100</f>
        <v/>
      </c>
      <c r="J524" s="4">
        <f>F524/$F$10*100</f>
        <v/>
      </c>
      <c r="K524" s="4">
        <f>N524/L524</f>
        <v/>
      </c>
      <c r="L524" s="4">
        <f>(M524/O524)*100</f>
        <v/>
      </c>
      <c r="M524" s="4">
        <f>O524/R524</f>
        <v/>
      </c>
      <c r="N524" s="4" t="n">
        <v>6.792</v>
      </c>
      <c r="O524" s="4" t="n">
        <v>25356.5</v>
      </c>
      <c r="P524" s="4" t="n">
        <v>4.07</v>
      </c>
      <c r="Q524" s="4">
        <f>N524-L524</f>
        <v/>
      </c>
      <c r="R524" s="4" t="n">
        <v>23.58</v>
      </c>
      <c r="S524" s="4" t="n">
        <v>3.657</v>
      </c>
      <c r="T524" s="7">
        <f>N524-S524</f>
        <v/>
      </c>
      <c r="U524" s="4" t="n">
        <v>101.11</v>
      </c>
      <c r="V524" s="4" t="n"/>
      <c r="W524" s="6" t="n"/>
      <c r="X524" s="4" t="n">
        <v>22190.35</v>
      </c>
      <c r="Y524" s="7" t="n">
        <v>44.79</v>
      </c>
      <c r="Z524" s="4">
        <f>X524/Y524</f>
        <v/>
      </c>
      <c r="AA524" s="4">
        <f>(Z524/X524)*100</f>
        <v/>
      </c>
      <c r="AB524" s="4" t="n">
        <v>21741.35</v>
      </c>
      <c r="AC524" s="4" t="n">
        <v>32.22</v>
      </c>
      <c r="AD524" s="4">
        <f>AB524/AC524</f>
        <v/>
      </c>
      <c r="AE524" s="4">
        <f>(AD524/AB524)*100</f>
        <v/>
      </c>
    </row>
    <row r="525">
      <c r="A525" s="5" t="n">
        <v>578</v>
      </c>
      <c r="B525" s="9" t="n">
        <v>45551</v>
      </c>
      <c r="C525" s="4" t="n">
        <v>47147099.85</v>
      </c>
      <c r="D525" s="4">
        <f>C525/E525</f>
        <v/>
      </c>
      <c r="E525" s="7" t="n">
        <v>83.84</v>
      </c>
      <c r="F525" s="4">
        <f>D525/100000</f>
        <v/>
      </c>
      <c r="G525" s="4">
        <f>($D$1-F525)/F525*100</f>
        <v/>
      </c>
      <c r="H525" s="4">
        <f>($D$2-F525)/F525*100</f>
        <v/>
      </c>
      <c r="I525" s="4">
        <f>($D$3-F525)/F525*100</f>
        <v/>
      </c>
      <c r="J525" s="4">
        <f>F525/$F$10*100</f>
        <v/>
      </c>
      <c r="K525" s="4">
        <f>N525/L525</f>
        <v/>
      </c>
      <c r="L525" s="4">
        <f>(M525/O525)*100</f>
        <v/>
      </c>
      <c r="M525" s="4">
        <f>O525/R525</f>
        <v/>
      </c>
      <c r="N525" s="4" t="n">
        <v>6.762</v>
      </c>
      <c r="O525" s="4" t="n">
        <v>25383.75</v>
      </c>
      <c r="P525" s="4" t="n">
        <v>4.07</v>
      </c>
      <c r="Q525" s="4">
        <f>N525-L525</f>
        <v/>
      </c>
      <c r="R525" s="4" t="n">
        <v>23.61</v>
      </c>
      <c r="S525" s="4" t="n">
        <v>3.618</v>
      </c>
      <c r="T525" s="7">
        <f>N525-S525</f>
        <v/>
      </c>
      <c r="U525" s="4" t="n">
        <v>100.76</v>
      </c>
      <c r="V525" s="4" t="n"/>
      <c r="W525" s="6" t="n"/>
      <c r="X525" s="4" t="n">
        <v>22264.7</v>
      </c>
      <c r="Y525" s="7" t="n">
        <v>44.94</v>
      </c>
      <c r="Z525" s="4">
        <f>X525/Y525</f>
        <v/>
      </c>
      <c r="AA525" s="4">
        <f>(Z525/X525)*100</f>
        <v/>
      </c>
      <c r="AB525" s="4" t="n">
        <v>21838.7</v>
      </c>
      <c r="AC525" s="4" t="n">
        <v>32.27</v>
      </c>
      <c r="AD525" s="4">
        <f>AB525/AC525</f>
        <v/>
      </c>
      <c r="AE525" s="4">
        <f>(AD525/AB525)*100</f>
        <v/>
      </c>
    </row>
    <row r="526">
      <c r="A526" s="5" t="n">
        <v>579</v>
      </c>
      <c r="B526" s="9" t="n">
        <v>45552</v>
      </c>
      <c r="C526" s="4" t="n">
        <v>47145940.77</v>
      </c>
      <c r="D526" s="4">
        <f>C526/E526</f>
        <v/>
      </c>
      <c r="E526" s="7" t="n">
        <v>83.747</v>
      </c>
      <c r="F526" s="4">
        <f>D526/100000</f>
        <v/>
      </c>
      <c r="G526" s="4">
        <f>($D$1-F526)/F526*100</f>
        <v/>
      </c>
      <c r="H526" s="4">
        <f>($D$2-F526)/F526*100</f>
        <v/>
      </c>
      <c r="I526" s="4">
        <f>($D$3-F526)/F526*100</f>
        <v/>
      </c>
      <c r="J526" s="4">
        <f>F526/$F$10*100</f>
        <v/>
      </c>
      <c r="K526" s="4">
        <f>N526/L526</f>
        <v/>
      </c>
      <c r="L526" s="4">
        <f>(M526/O526)*100</f>
        <v/>
      </c>
      <c r="M526" s="4">
        <f>O526/R526</f>
        <v/>
      </c>
      <c r="N526" s="4" t="n">
        <v>6.779</v>
      </c>
      <c r="O526" s="4" t="n">
        <v>25418.55</v>
      </c>
      <c r="P526" s="4" t="n">
        <v>4.05</v>
      </c>
      <c r="Q526" s="4">
        <f>N526-L526</f>
        <v/>
      </c>
      <c r="R526" s="4" t="n">
        <v>23.64</v>
      </c>
      <c r="S526" s="4" t="n">
        <v>3.648</v>
      </c>
      <c r="T526" s="7">
        <f>N526-S526</f>
        <v/>
      </c>
      <c r="U526" s="4" t="n">
        <v>100.89</v>
      </c>
      <c r="V526" s="4" t="n"/>
      <c r="W526" s="6" t="n"/>
      <c r="X526" s="4" t="n">
        <v>22235.35</v>
      </c>
      <c r="Y526" s="7" t="n">
        <v>44.88</v>
      </c>
      <c r="Z526" s="4">
        <f>X526/Y526</f>
        <v/>
      </c>
      <c r="AA526" s="4">
        <f>(Z526/X526)*100</f>
        <v/>
      </c>
      <c r="AB526" s="4" t="n">
        <v>21869.75</v>
      </c>
      <c r="AC526" s="4" t="n">
        <v>32.05</v>
      </c>
      <c r="AD526" s="4">
        <f>AB526/AC526</f>
        <v/>
      </c>
      <c r="AE526" s="4">
        <f>(AD526/AB526)*100</f>
        <v/>
      </c>
    </row>
    <row r="527">
      <c r="A527" s="5" t="n">
        <v>580</v>
      </c>
      <c r="B527" s="8" t="n">
        <v>45553</v>
      </c>
      <c r="C527" s="4" t="n">
        <v>46894452.2</v>
      </c>
      <c r="D527" s="4">
        <f>C527/E527</f>
        <v/>
      </c>
      <c r="E527" s="7" t="n">
        <v>83.65000000000001</v>
      </c>
      <c r="F527" s="4">
        <f>D527/100000</f>
        <v/>
      </c>
      <c r="G527" s="4">
        <f>($D$1-F527)/F527*100</f>
        <v/>
      </c>
      <c r="H527" s="4">
        <f>($D$2-F527)/F527*100</f>
        <v/>
      </c>
      <c r="I527" s="4">
        <f>($D$3-F527)/F527*100</f>
        <v/>
      </c>
      <c r="J527" s="4">
        <f>F527/$F$10*100</f>
        <v/>
      </c>
      <c r="K527" s="4">
        <f>N527/L527</f>
        <v/>
      </c>
      <c r="L527" s="4">
        <f>(M527/O527)*100</f>
        <v/>
      </c>
      <c r="M527" s="4">
        <f>O527/R527</f>
        <v/>
      </c>
      <c r="N527" s="10" t="n">
        <v>6.78</v>
      </c>
      <c r="O527" s="4" t="n">
        <v>25377.55</v>
      </c>
      <c r="P527" s="4" t="n">
        <v>4.04</v>
      </c>
      <c r="Q527" s="4">
        <f>N527-L527</f>
        <v/>
      </c>
      <c r="R527" s="4" t="n">
        <v>23.6</v>
      </c>
      <c r="S527" s="4" t="n">
        <v>3.713</v>
      </c>
      <c r="T527" s="7">
        <f>N527-S527</f>
        <v/>
      </c>
      <c r="U527" s="4" t="n">
        <v>100.6</v>
      </c>
      <c r="V527" s="4" t="n"/>
      <c r="W527" s="6" t="n"/>
      <c r="X527" s="4" t="n">
        <v>22079.9</v>
      </c>
      <c r="Y527" s="7" t="n">
        <v>44.57</v>
      </c>
      <c r="Z527" s="4">
        <f>X527/Y527</f>
        <v/>
      </c>
      <c r="AA527" s="4">
        <f>(Z527/X527)*100</f>
        <v/>
      </c>
      <c r="AB527" s="4" t="n">
        <v>21758.45</v>
      </c>
      <c r="AC527" s="4" t="n">
        <v>31.94</v>
      </c>
      <c r="AD527" s="4">
        <f>AB527/AC527</f>
        <v/>
      </c>
      <c r="AE527" s="4">
        <f>(AD527/AB527)*100</f>
        <v/>
      </c>
    </row>
    <row r="528">
      <c r="A528" s="5" t="n">
        <v>581</v>
      </c>
      <c r="B528" s="9" t="n">
        <v>45554</v>
      </c>
      <c r="C528" s="4" t="n">
        <v>46652803.38</v>
      </c>
      <c r="D528" s="4">
        <f>C528/E528</f>
        <v/>
      </c>
      <c r="E528" s="7" t="n">
        <v>83.62</v>
      </c>
      <c r="F528" s="4">
        <f>D528/100000</f>
        <v/>
      </c>
      <c r="G528" s="4">
        <f>($D$1-F528)/F528*100</f>
        <v/>
      </c>
      <c r="H528" s="4">
        <f>($D$2-F528)/F528*100</f>
        <v/>
      </c>
      <c r="I528" s="4">
        <f>($D$3-F528)/F528*100</f>
        <v/>
      </c>
      <c r="J528" s="4">
        <f>F528/$F$10*100</f>
        <v/>
      </c>
      <c r="K528" s="4">
        <f>N528/L528</f>
        <v/>
      </c>
      <c r="L528" s="4">
        <f>(M528/O528)*100</f>
        <v/>
      </c>
      <c r="M528" s="4">
        <f>O528/R528</f>
        <v/>
      </c>
      <c r="N528" s="4" t="n">
        <v>6.758</v>
      </c>
      <c r="O528" s="4" t="n">
        <v>25415.8</v>
      </c>
      <c r="P528" s="4" t="n">
        <v>4.04</v>
      </c>
      <c r="Q528" s="4">
        <f>N528-L528</f>
        <v/>
      </c>
      <c r="R528" s="4" t="n">
        <v>23.64</v>
      </c>
      <c r="S528" s="4" t="n">
        <v>3.719</v>
      </c>
      <c r="T528" s="7">
        <f>N528-S528</f>
        <v/>
      </c>
      <c r="U528" s="4" t="n">
        <v>100.61</v>
      </c>
      <c r="V528" s="4" t="n"/>
      <c r="W528" s="6" t="n"/>
      <c r="X528" s="4" t="n">
        <v>21965.15</v>
      </c>
      <c r="Y528" s="7" t="n">
        <v>44.33</v>
      </c>
      <c r="Z528" s="4">
        <f>X528/Y528</f>
        <v/>
      </c>
      <c r="AA528" s="4">
        <f>(Z528/X528)*100</f>
        <v/>
      </c>
      <c r="AB528" s="4" t="n">
        <v>21645.65</v>
      </c>
      <c r="AC528" s="4" t="n">
        <v>31.58</v>
      </c>
      <c r="AD528" s="4">
        <f>AB528/AC528</f>
        <v/>
      </c>
      <c r="AE528" s="4">
        <f>(AD528/AB528)*100</f>
        <v/>
      </c>
    </row>
    <row r="529">
      <c r="A529" s="5" t="n">
        <v>582</v>
      </c>
      <c r="B529" s="8" t="n">
        <v>45555</v>
      </c>
      <c r="C529" s="4" t="n">
        <v>47278138.28</v>
      </c>
      <c r="D529" s="4">
        <f>C529/E529</f>
        <v/>
      </c>
      <c r="E529" s="7" t="n">
        <v>83.485</v>
      </c>
      <c r="F529" s="4">
        <f>D529/100000</f>
        <v/>
      </c>
      <c r="G529" s="4">
        <f>($D$1-F529)/F529*100</f>
        <v/>
      </c>
      <c r="H529" s="4">
        <f>($D$2-F529)/F529*100</f>
        <v/>
      </c>
      <c r="I529" s="4">
        <f>($D$3-F529)/F529*100</f>
        <v/>
      </c>
      <c r="J529" s="4">
        <f>F529/$F$10*100</f>
        <v/>
      </c>
      <c r="K529" s="4">
        <f>N529/L529</f>
        <v/>
      </c>
      <c r="L529" s="4">
        <f>(M529/O529)*100</f>
        <v/>
      </c>
      <c r="M529" s="4">
        <f>O529/R529</f>
        <v/>
      </c>
      <c r="N529" s="4" t="n">
        <v>6.761</v>
      </c>
      <c r="O529" s="4" t="n">
        <v>25790.95</v>
      </c>
      <c r="P529" s="4" t="n">
        <v>4.08</v>
      </c>
      <c r="Q529" s="4">
        <f>N529-L529</f>
        <v/>
      </c>
      <c r="R529" s="4" t="n">
        <v>23.98</v>
      </c>
      <c r="S529" s="4" t="n">
        <v>3.741</v>
      </c>
      <c r="T529" s="7">
        <f>N529-S529</f>
        <v/>
      </c>
      <c r="U529" s="4" t="n">
        <v>100.72</v>
      </c>
      <c r="V529" s="4" t="n"/>
      <c r="W529" s="6" t="n"/>
      <c r="X529" s="4" t="n">
        <v>22256.1</v>
      </c>
      <c r="Y529" s="7" t="n">
        <v>44.92</v>
      </c>
      <c r="Z529" s="4">
        <f>X529/Y529</f>
        <v/>
      </c>
      <c r="AA529" s="4">
        <f>(Z529/X529)*100</f>
        <v/>
      </c>
      <c r="AB529" s="4" t="n">
        <v>21760.35</v>
      </c>
      <c r="AC529" s="4" t="n">
        <v>31.91</v>
      </c>
      <c r="AD529" s="4">
        <f>AB529/AC529</f>
        <v/>
      </c>
      <c r="AE529" s="4">
        <f>(AD529/AB529)*100</f>
        <v/>
      </c>
    </row>
    <row r="530">
      <c r="A530" s="5" t="n">
        <v>583</v>
      </c>
      <c r="B530" s="8" t="n">
        <v>45558</v>
      </c>
      <c r="C530" s="4" t="n">
        <v>47701059.95</v>
      </c>
      <c r="D530" s="4">
        <f>C530/E530</f>
        <v/>
      </c>
      <c r="E530" s="7" t="n">
        <v>83.53</v>
      </c>
      <c r="F530" s="4">
        <f>D530/100000</f>
        <v/>
      </c>
      <c r="G530" s="4">
        <f>($D$1-F530)/F530*100</f>
        <v/>
      </c>
      <c r="H530" s="4">
        <f>($D$2-F530)/F530*100</f>
        <v/>
      </c>
      <c r="I530" s="4">
        <f>($D$3-F530)/F530*100</f>
        <v/>
      </c>
      <c r="J530" s="4">
        <f>F530/$F$10*100</f>
        <v/>
      </c>
      <c r="K530" s="4">
        <f>N530/L530</f>
        <v/>
      </c>
      <c r="L530" s="4">
        <f>(M530/O530)*100</f>
        <v/>
      </c>
      <c r="M530" s="4">
        <f>O530/R530</f>
        <v/>
      </c>
      <c r="N530" s="4" t="n">
        <v>6.767</v>
      </c>
      <c r="O530" s="4" t="n">
        <v>25939.05</v>
      </c>
      <c r="P530" s="4" t="n">
        <v>3.83</v>
      </c>
      <c r="Q530" s="4">
        <f>N530-L530</f>
        <v/>
      </c>
      <c r="R530" s="4" t="n">
        <v>24.12</v>
      </c>
      <c r="S530" s="4" t="n">
        <v>3.751</v>
      </c>
      <c r="T530" s="7">
        <f>N530-S530</f>
        <v/>
      </c>
      <c r="U530" s="4" t="n">
        <v>100.93</v>
      </c>
      <c r="V530" s="4" t="n"/>
      <c r="W530" s="6" t="n"/>
      <c r="X530" s="4" t="n">
        <v>22423.7</v>
      </c>
      <c r="Y530" s="7" t="n">
        <v>45.26</v>
      </c>
      <c r="Z530" s="4">
        <f>X530/Y530</f>
        <v/>
      </c>
      <c r="AA530" s="4">
        <f>(Z530/X530)*100</f>
        <v/>
      </c>
      <c r="AB530" s="4" t="n">
        <v>21617.7</v>
      </c>
      <c r="AC530" s="4" t="n">
        <v>32.15</v>
      </c>
      <c r="AD530" s="4">
        <f>AB530/AC530</f>
        <v/>
      </c>
      <c r="AE530" s="4">
        <f>(AD530/AB530)*100</f>
        <v/>
      </c>
    </row>
    <row r="531">
      <c r="A531" s="5" t="n">
        <v>584</v>
      </c>
      <c r="B531" s="9" t="n">
        <v>45559</v>
      </c>
      <c r="C531" s="4" t="n">
        <v>47725000.13</v>
      </c>
      <c r="D531" s="4">
        <f>C531/E531</f>
        <v/>
      </c>
      <c r="E531" s="7" t="n">
        <v>83.59999999999999</v>
      </c>
      <c r="F531" s="4">
        <f>D531/100000</f>
        <v/>
      </c>
      <c r="G531" s="4">
        <f>($D$1-F531)/F531*100</f>
        <v/>
      </c>
      <c r="H531" s="4">
        <f>($D$2-F531)/F531*100</f>
        <v/>
      </c>
      <c r="I531" s="4">
        <f>($D$3-F531)/F531*100</f>
        <v/>
      </c>
      <c r="J531" s="4">
        <f>F531/$F$10*100</f>
        <v/>
      </c>
      <c r="K531" s="4">
        <f>N531/L531</f>
        <v/>
      </c>
      <c r="L531" s="4">
        <f>(M531/O531)*100</f>
        <v/>
      </c>
      <c r="M531" s="4">
        <f>O531/R531</f>
        <v/>
      </c>
      <c r="N531" s="4" t="n">
        <v>6.761</v>
      </c>
      <c r="O531" s="4" t="n">
        <v>25940.4</v>
      </c>
      <c r="P531" s="4" t="n">
        <v>3.83</v>
      </c>
      <c r="Q531" s="4">
        <f>N531-L531</f>
        <v/>
      </c>
      <c r="R531" s="4" t="n">
        <v>24.12</v>
      </c>
      <c r="S531" s="4" t="n">
        <v>3.732</v>
      </c>
      <c r="T531" s="7">
        <f>N531-S531</f>
        <v/>
      </c>
      <c r="U531" s="4" t="n">
        <v>100.24</v>
      </c>
      <c r="V531" s="4" t="n"/>
      <c r="W531" s="6" t="n"/>
      <c r="X531" s="4" t="n">
        <v>22493.5</v>
      </c>
      <c r="Y531" s="7" t="n">
        <v>45.4</v>
      </c>
      <c r="Z531" s="4">
        <f>X531/Y531</f>
        <v/>
      </c>
      <c r="AA531" s="4">
        <f>(Z531/X531)*100</f>
        <v/>
      </c>
      <c r="AB531" s="4" t="n">
        <v>21529.05</v>
      </c>
      <c r="AC531" s="4" t="n">
        <v>32.08</v>
      </c>
      <c r="AD531" s="4">
        <f>AB531/AC531</f>
        <v/>
      </c>
      <c r="AE531" s="4">
        <f>(AD531/AB531)*100</f>
        <v/>
      </c>
    </row>
    <row r="532">
      <c r="A532" s="5" t="n">
        <v>585</v>
      </c>
      <c r="B532" s="9" t="n">
        <v>45560</v>
      </c>
      <c r="C532" s="4" t="n">
        <v>47647270.41</v>
      </c>
      <c r="D532" s="4">
        <f>C532/E532</f>
        <v/>
      </c>
      <c r="E532" s="7" t="n">
        <v>83.59999999999999</v>
      </c>
      <c r="F532" s="4">
        <f>D532/100000</f>
        <v/>
      </c>
      <c r="G532" s="4">
        <f>($D$1-F532)/F532*100</f>
        <v/>
      </c>
      <c r="H532" s="4">
        <f>($D$2-F532)/F532*100</f>
        <v/>
      </c>
      <c r="I532" s="4">
        <f>($D$3-F532)/F532*100</f>
        <v/>
      </c>
      <c r="J532" s="4">
        <f>F532/$F$10*100</f>
        <v/>
      </c>
      <c r="K532" s="4">
        <f>N532/L532</f>
        <v/>
      </c>
      <c r="L532" s="4">
        <f>(M532/O532)*100</f>
        <v/>
      </c>
      <c r="M532" s="4">
        <f>O532/R532</f>
        <v/>
      </c>
      <c r="N532" s="4" t="n">
        <v>6.738</v>
      </c>
      <c r="O532" s="4" t="n">
        <v>26004.15</v>
      </c>
      <c r="P532" s="4" t="n">
        <v>3.84</v>
      </c>
      <c r="Q532" s="4">
        <f>N532-L532</f>
        <v/>
      </c>
      <c r="R532" s="4" t="n">
        <v>24.18</v>
      </c>
      <c r="S532" s="4" t="n">
        <v>3.791</v>
      </c>
      <c r="T532" s="7">
        <f>N532-S532</f>
        <v/>
      </c>
      <c r="U532" s="4" t="n">
        <v>100.91</v>
      </c>
      <c r="V532" s="4" t="n"/>
      <c r="W532" s="6" t="n"/>
      <c r="X532" s="4" t="n">
        <v>22357.4</v>
      </c>
      <c r="Y532" s="7" t="n">
        <v>45.13</v>
      </c>
      <c r="Z532" s="4">
        <f>X532/Y532</f>
        <v/>
      </c>
      <c r="AA532" s="4">
        <f>(Z532/X532)*100</f>
        <v/>
      </c>
      <c r="AB532" s="4" t="n">
        <v>21351.4</v>
      </c>
      <c r="AC532" s="4" t="n">
        <v>31.97</v>
      </c>
      <c r="AD532" s="4">
        <f>AB532/AC532</f>
        <v/>
      </c>
      <c r="AE532" s="4">
        <f>(AD532/AB532)*100</f>
        <v/>
      </c>
    </row>
    <row r="533">
      <c r="A533" s="5" t="n">
        <v>586</v>
      </c>
      <c r="B533" s="8" t="n">
        <v>45561</v>
      </c>
      <c r="C533" s="4" t="n">
        <v>47834255.1</v>
      </c>
      <c r="D533" s="4">
        <f>C533/E533</f>
        <v/>
      </c>
      <c r="E533" s="7" t="n">
        <v>83.601</v>
      </c>
      <c r="F533" s="4">
        <f>D533/100000</f>
        <v/>
      </c>
      <c r="G533" s="4">
        <f>($D$1-F533)/F533*100</f>
        <v/>
      </c>
      <c r="H533" s="4">
        <f>($D$2-F533)/F533*100</f>
        <v/>
      </c>
      <c r="I533" s="4">
        <f>($D$3-F533)/F533*100</f>
        <v/>
      </c>
      <c r="J533" s="4">
        <f>F533/$F$10*100</f>
        <v/>
      </c>
      <c r="K533" s="4">
        <f>N533/L533</f>
        <v/>
      </c>
      <c r="L533" s="4">
        <f>(M533/O533)*100</f>
        <v/>
      </c>
      <c r="M533" s="4">
        <f>O533/R533</f>
        <v/>
      </c>
      <c r="N533" s="4" t="n">
        <v>6.718</v>
      </c>
      <c r="O533" s="4" t="n">
        <v>26216.05</v>
      </c>
      <c r="P533" s="4" t="n">
        <v>3.87</v>
      </c>
      <c r="Q533" s="4">
        <f>N533-L533</f>
        <v/>
      </c>
      <c r="R533" s="4" t="n">
        <v>24.38</v>
      </c>
      <c r="S533" s="4" t="n">
        <v>3.796</v>
      </c>
      <c r="T533" s="7">
        <f>N533-S533</f>
        <v/>
      </c>
      <c r="U533" s="4" t="n">
        <v>100.52</v>
      </c>
      <c r="V533" s="4" t="n"/>
      <c r="W533" s="6" t="n"/>
      <c r="X533" s="4" t="n">
        <v>22367.85</v>
      </c>
      <c r="Y533" s="7" t="n">
        <v>45.15</v>
      </c>
      <c r="Z533" s="4">
        <f>X533/Y533</f>
        <v/>
      </c>
      <c r="AA533" s="4">
        <f>(Z533/X533)*100</f>
        <v/>
      </c>
      <c r="AB533" s="4" t="n">
        <v>21298.35</v>
      </c>
      <c r="AC533" s="4" t="n">
        <v>31.82</v>
      </c>
      <c r="AD533" s="4">
        <f>AB533/AC533</f>
        <v/>
      </c>
      <c r="AE533" s="4">
        <f>(AD533/AB533)*100</f>
        <v/>
      </c>
    </row>
    <row r="534">
      <c r="A534" s="5" t="n">
        <v>587</v>
      </c>
      <c r="B534" s="9" t="n">
        <v>45562</v>
      </c>
      <c r="C534" s="4" t="n">
        <v>47910402.02</v>
      </c>
      <c r="D534" s="4">
        <f>C534/E534</f>
        <v/>
      </c>
      <c r="E534" s="7" t="n">
        <v>83.70999999999999</v>
      </c>
      <c r="F534" s="4">
        <f>D534/100000</f>
        <v/>
      </c>
      <c r="G534" s="4">
        <f>($D$1-F534)/F534*100</f>
        <v/>
      </c>
      <c r="H534" s="4">
        <f>($D$2-F534)/F534*100</f>
        <v/>
      </c>
      <c r="I534" s="4">
        <f>($D$3-F534)/F534*100</f>
        <v/>
      </c>
      <c r="J534" s="4">
        <f>F534/$F$10*100</f>
        <v/>
      </c>
      <c r="K534" s="4">
        <f>N534/L534</f>
        <v/>
      </c>
      <c r="L534" s="4">
        <f>(M534/O534)*100</f>
        <v/>
      </c>
      <c r="M534" s="4">
        <f>O534/R534</f>
        <v/>
      </c>
      <c r="N534" s="4" t="n">
        <v>6.759</v>
      </c>
      <c r="O534" s="4" t="n">
        <v>26178.95</v>
      </c>
      <c r="P534" s="4" t="n">
        <v>3.87</v>
      </c>
      <c r="Q534" s="4">
        <f>N534-L534</f>
        <v/>
      </c>
      <c r="R534" s="4" t="n">
        <v>24.34</v>
      </c>
      <c r="S534" s="4" t="n">
        <v>3.751</v>
      </c>
      <c r="T534" s="7">
        <f>N534-S534</f>
        <v/>
      </c>
      <c r="U534" s="4" t="n">
        <v>100.38</v>
      </c>
      <c r="V534" s="4" t="n"/>
      <c r="W534" s="6" t="n"/>
      <c r="X534" s="4" t="n">
        <v>22360.85</v>
      </c>
      <c r="Y534" s="7" t="n">
        <v>45.13</v>
      </c>
      <c r="Z534" s="4">
        <f>X534/Y534</f>
        <v/>
      </c>
      <c r="AA534" s="4">
        <f>(Z534/X534)*100</f>
        <v/>
      </c>
      <c r="AB534" s="4" t="n">
        <v>20917.75</v>
      </c>
      <c r="AC534" s="4" t="n">
        <v>31.76</v>
      </c>
      <c r="AD534" s="4">
        <f>AB534/AC534</f>
        <v/>
      </c>
      <c r="AE534" s="4">
        <f>(AD534/AB534)*100</f>
        <v/>
      </c>
    </row>
    <row r="535">
      <c r="A535" s="5" t="n">
        <v>588</v>
      </c>
      <c r="B535" s="9" t="n">
        <v>45565</v>
      </c>
      <c r="C535" s="4" t="n">
        <v>47531851.61</v>
      </c>
      <c r="D535" s="4">
        <f>C535/E535</f>
        <v/>
      </c>
      <c r="E535" s="7" t="n">
        <v>83.755</v>
      </c>
      <c r="F535" s="4">
        <f>D535/100000</f>
        <v/>
      </c>
      <c r="G535" s="4">
        <f>($D$1-F535)/F535*100</f>
        <v/>
      </c>
      <c r="H535" s="4">
        <f>($D$2-F535)/F535*100</f>
        <v/>
      </c>
      <c r="I535" s="4">
        <f>($D$3-F535)/F535*100</f>
        <v/>
      </c>
      <c r="J535" s="4">
        <f>F535/$F$10*100</f>
        <v/>
      </c>
      <c r="K535" s="4">
        <f>N535/L535</f>
        <v/>
      </c>
      <c r="L535" s="4">
        <f>(M535/O535)*100</f>
        <v/>
      </c>
      <c r="M535" s="4">
        <f>O535/R535</f>
        <v/>
      </c>
      <c r="N535" s="4" t="n">
        <v>6.75</v>
      </c>
      <c r="O535" s="4" t="n">
        <v>25810.85</v>
      </c>
      <c r="P535" s="4" t="n">
        <v>3.87</v>
      </c>
      <c r="Q535" s="4">
        <f>N535-L535</f>
        <v/>
      </c>
      <c r="R535" s="4" t="n">
        <v>24.26</v>
      </c>
      <c r="S535" s="4" t="n">
        <v>3.787</v>
      </c>
      <c r="T535" s="7">
        <f>N535-S535</f>
        <v/>
      </c>
      <c r="U535" s="4" t="n">
        <v>100.78</v>
      </c>
      <c r="V535" s="4" t="n"/>
      <c r="W535" s="6" t="n"/>
      <c r="X535" s="4" t="n">
        <v>22311.95</v>
      </c>
      <c r="Y535" s="7" t="n">
        <v>45.66</v>
      </c>
      <c r="Z535" s="4">
        <f>X535/Y535</f>
        <v/>
      </c>
      <c r="AA535" s="4">
        <f>(Z535/X535)*100</f>
        <v/>
      </c>
      <c r="AB535" s="4" t="n">
        <v>21044.95</v>
      </c>
      <c r="AC535" s="4" t="n">
        <v>33.49</v>
      </c>
      <c r="AD535" s="4">
        <f>AB535/AC535</f>
        <v/>
      </c>
      <c r="AE535" s="4">
        <f>(AD535/AB535)*100</f>
        <v/>
      </c>
    </row>
    <row r="536">
      <c r="A536" s="5" t="n">
        <v>589</v>
      </c>
      <c r="B536" s="9" t="n">
        <v>45566</v>
      </c>
      <c r="C536" s="4" t="n">
        <v>47596283.68</v>
      </c>
      <c r="D536" s="4">
        <f>C536/E536</f>
        <v/>
      </c>
      <c r="E536" s="7" t="n">
        <v>83.90000000000001</v>
      </c>
      <c r="F536" s="4">
        <f>D536/100000</f>
        <v/>
      </c>
      <c r="G536" s="4">
        <f>($D$1-F536)/F536*100</f>
        <v/>
      </c>
      <c r="H536" s="4">
        <f>($D$2-F536)/F536*100</f>
        <v/>
      </c>
      <c r="I536" s="4">
        <f>($D$3-F536)/F536*100</f>
        <v/>
      </c>
      <c r="J536" s="4">
        <f>F536/$F$10*100</f>
        <v/>
      </c>
      <c r="K536" s="4">
        <f>N536/L536</f>
        <v/>
      </c>
      <c r="L536" s="4">
        <f>(M536/O536)*100</f>
        <v/>
      </c>
      <c r="M536" s="4">
        <f>O536/R536</f>
        <v/>
      </c>
      <c r="N536" s="4" t="n">
        <v>6.732</v>
      </c>
      <c r="O536" s="4" t="n">
        <v>25796.9</v>
      </c>
      <c r="P536" s="4" t="n">
        <v>3.86</v>
      </c>
      <c r="Q536" s="4">
        <f>N536-L536</f>
        <v/>
      </c>
      <c r="R536" s="4" t="n">
        <v>24.25</v>
      </c>
      <c r="S536" s="4" t="n">
        <v>3.731</v>
      </c>
      <c r="T536" s="7">
        <f>N536-S536</f>
        <v/>
      </c>
      <c r="U536" s="4" t="n">
        <v>101.19</v>
      </c>
      <c r="V536" s="4" t="n"/>
      <c r="W536" s="6" t="n"/>
      <c r="X536" s="4" t="n">
        <v>22379.75</v>
      </c>
      <c r="Y536" s="7" t="n">
        <v>45.8</v>
      </c>
      <c r="Z536" s="4">
        <f>X536/Y536</f>
        <v/>
      </c>
      <c r="AA536" s="4">
        <f>(Z536/X536)*100</f>
        <v/>
      </c>
      <c r="AB536" s="4" t="n">
        <v>21208.7</v>
      </c>
      <c r="AC536" s="4" t="n">
        <v>33.71</v>
      </c>
      <c r="AD536" s="4">
        <f>AB536/AC536</f>
        <v/>
      </c>
      <c r="AE536" s="4">
        <f>(AD536/AB536)*100</f>
        <v/>
      </c>
    </row>
    <row r="537">
      <c r="A537" s="5" t="n">
        <v>591</v>
      </c>
      <c r="B537" s="45" t="n">
        <v>45568</v>
      </c>
      <c r="C537" s="21" t="n">
        <v>46608996.76</v>
      </c>
      <c r="D537" s="4">
        <f>C537/E537</f>
        <v/>
      </c>
      <c r="E537" s="21" t="n">
        <v>83.98999999999999</v>
      </c>
      <c r="F537" s="4">
        <f>D537/100000</f>
        <v/>
      </c>
      <c r="G537" s="4">
        <f>($D$1-F537)/F537*100</f>
        <v/>
      </c>
      <c r="H537" s="4">
        <f>($D$2-F537)/F537*100</f>
        <v/>
      </c>
      <c r="I537" s="4">
        <f>($D$3-F537)/F537*100</f>
        <v/>
      </c>
      <c r="J537" s="4">
        <f>F537/$F$10*100</f>
        <v/>
      </c>
      <c r="K537" s="4">
        <f>N537/L537</f>
        <v/>
      </c>
      <c r="L537" s="4">
        <f>(M537/O537)*100</f>
        <v/>
      </c>
      <c r="M537" s="4">
        <f>O537/R537</f>
        <v/>
      </c>
      <c r="N537" s="21" t="n">
        <v>6.777</v>
      </c>
      <c r="O537" s="21" t="n">
        <v>25250.1</v>
      </c>
      <c r="P537" s="21" t="n">
        <v>3.78</v>
      </c>
      <c r="Q537" s="4">
        <f>N537-L537</f>
        <v/>
      </c>
      <c r="R537" s="21" t="n">
        <v>23.74</v>
      </c>
      <c r="S537" s="21" t="n">
        <v>3.846</v>
      </c>
      <c r="T537" s="7">
        <f>N537-S537</f>
        <v/>
      </c>
      <c r="U537" s="21" t="n">
        <v>101.75</v>
      </c>
      <c r="V537" s="4" t="n"/>
      <c r="W537" s="46" t="n"/>
      <c r="X537" s="21" t="n">
        <v>21904.7</v>
      </c>
      <c r="Y537" s="21" t="n">
        <v>44.83</v>
      </c>
      <c r="Z537" s="4">
        <f>X537/Y537</f>
        <v/>
      </c>
      <c r="AA537" s="4">
        <f>(Z537/X537)*100</f>
        <v/>
      </c>
      <c r="AB537" s="21" t="n">
        <v>18179.2</v>
      </c>
      <c r="AC537" s="23" t="n">
        <v>33.07</v>
      </c>
      <c r="AD537" s="4">
        <f>AB537/AC537</f>
        <v/>
      </c>
      <c r="AE537" s="4">
        <f>(AD537/AB537)*100</f>
        <v/>
      </c>
    </row>
    <row r="538">
      <c r="A538" s="5" t="n">
        <v>592</v>
      </c>
      <c r="B538" s="45" t="n">
        <v>45569</v>
      </c>
      <c r="C538" s="21" t="n">
        <v>46192308.53</v>
      </c>
      <c r="D538" s="4">
        <f>C538/E538</f>
        <v/>
      </c>
      <c r="E538" s="21" t="n">
        <v>84.023</v>
      </c>
      <c r="F538" s="4">
        <f>D538/100000</f>
        <v/>
      </c>
      <c r="G538" s="4">
        <f>($D$1-F538)/F538*100</f>
        <v/>
      </c>
      <c r="H538" s="4">
        <f>($D$2-F538)/F538*100</f>
        <v/>
      </c>
      <c r="I538" s="4">
        <f>($D$3-F538)/F538*100</f>
        <v/>
      </c>
      <c r="J538" s="4">
        <f>F538/$F$10*100</f>
        <v/>
      </c>
      <c r="K538" s="4">
        <f>N538/L538</f>
        <v/>
      </c>
      <c r="L538" s="4">
        <f>(M538/O538)*100</f>
        <v/>
      </c>
      <c r="M538" s="4">
        <f>O538/R538</f>
        <v/>
      </c>
      <c r="N538" s="21" t="n">
        <v>6.829</v>
      </c>
      <c r="O538" s="21" t="n">
        <v>25014.6</v>
      </c>
      <c r="P538" s="21" t="n">
        <v>3.75</v>
      </c>
      <c r="Q538" s="4">
        <f>N538-L538</f>
        <v/>
      </c>
      <c r="R538" s="21" t="n">
        <v>23.52</v>
      </c>
      <c r="S538" s="21" t="n">
        <v>3.981</v>
      </c>
      <c r="T538" s="7">
        <f>N538-S538</f>
        <v/>
      </c>
      <c r="U538" s="21" t="n">
        <v>102.275</v>
      </c>
      <c r="V538" s="4" t="n"/>
      <c r="W538" s="46" t="n"/>
      <c r="X538" s="21" t="n">
        <v>21710.6</v>
      </c>
      <c r="Y538" s="21" t="n">
        <v>44.43</v>
      </c>
      <c r="Z538" s="4">
        <f>X538/Y538</f>
        <v/>
      </c>
      <c r="AA538" s="4">
        <f>(Z538/X538)*100</f>
        <v/>
      </c>
      <c r="AB538" s="21" t="n">
        <v>18021.65</v>
      </c>
      <c r="AC538" s="23" t="n">
        <v>32.78</v>
      </c>
      <c r="AD538" s="4">
        <f>AB538/AC538</f>
        <v/>
      </c>
      <c r="AE538" s="4">
        <f>(AD538/AB538)*100</f>
        <v/>
      </c>
    </row>
    <row r="539">
      <c r="A539" s="5" t="n">
        <v>593</v>
      </c>
      <c r="B539" s="45" t="n">
        <v>45572</v>
      </c>
      <c r="C539" s="21" t="n">
        <v>45284402.49</v>
      </c>
      <c r="D539" s="4">
        <f>C539/E539</f>
        <v/>
      </c>
      <c r="E539" s="21" t="n">
        <v>83.98</v>
      </c>
      <c r="F539" s="4">
        <f>D539/100000</f>
        <v/>
      </c>
      <c r="G539" s="4">
        <f>($D$1-F539)/F539*100</f>
        <v/>
      </c>
      <c r="H539" s="4">
        <f>($D$2-F539)/F539*100</f>
        <v/>
      </c>
      <c r="I539" s="4">
        <f>($D$3-F539)/F539*100</f>
        <v/>
      </c>
      <c r="J539" s="4">
        <f>F539/$F$10*100</f>
        <v/>
      </c>
      <c r="K539" s="4">
        <f>N539/L539</f>
        <v/>
      </c>
      <c r="L539" s="4">
        <f>(M539/O539)*100</f>
        <v/>
      </c>
      <c r="M539" s="4">
        <f>O539/R539</f>
        <v/>
      </c>
      <c r="N539" s="21" t="n">
        <v>6.846</v>
      </c>
      <c r="O539" s="21" t="n">
        <v>24795.75</v>
      </c>
      <c r="P539" s="21" t="n">
        <v>3.71</v>
      </c>
      <c r="Q539" s="4">
        <f>N539-L539</f>
        <v/>
      </c>
      <c r="R539" s="21" t="n">
        <v>23.31</v>
      </c>
      <c r="S539" s="21" t="n">
        <v>4.026</v>
      </c>
      <c r="T539" s="7">
        <f>N539-S539</f>
        <v/>
      </c>
      <c r="U539" s="21" t="n">
        <v>102.301</v>
      </c>
      <c r="V539" s="4" t="n"/>
      <c r="W539" s="46" t="n"/>
      <c r="X539" s="21" t="n">
        <v>21264.5</v>
      </c>
      <c r="Y539" s="21" t="n">
        <v>43.52</v>
      </c>
      <c r="Z539" s="4">
        <f>X539/Y539</f>
        <v/>
      </c>
      <c r="AA539" s="4">
        <f>(Z539/X539)*100</f>
        <v/>
      </c>
      <c r="AB539" s="21" t="n">
        <v>17514.5</v>
      </c>
      <c r="AC539" s="23" t="n">
        <v>31.86</v>
      </c>
      <c r="AD539" s="4">
        <f>AB539/AC539</f>
        <v/>
      </c>
      <c r="AE539" s="4">
        <f>(AD539/AB539)*100</f>
        <v/>
      </c>
    </row>
    <row r="540">
      <c r="A540" s="5" t="n">
        <v>594</v>
      </c>
      <c r="B540" s="45" t="n">
        <v>45573</v>
      </c>
      <c r="C540" s="21" t="n">
        <v>46043124.44</v>
      </c>
      <c r="D540" s="4">
        <f>C540/E540</f>
        <v/>
      </c>
      <c r="E540" s="21" t="n">
        <v>83.94499999999999</v>
      </c>
      <c r="F540" s="4">
        <f>D540/100000</f>
        <v/>
      </c>
      <c r="G540" s="4">
        <f>($D$1-F540)/F540*100</f>
        <v/>
      </c>
      <c r="H540" s="4">
        <f>($D$2-F540)/F540*100</f>
        <v/>
      </c>
      <c r="I540" s="4">
        <f>($D$3-F540)/F540*100</f>
        <v/>
      </c>
      <c r="J540" s="4">
        <f>F540/$F$10*100</f>
        <v/>
      </c>
      <c r="K540" s="4">
        <f>N540/L540</f>
        <v/>
      </c>
      <c r="L540" s="4">
        <f>(M540/O540)*100</f>
        <v/>
      </c>
      <c r="M540" s="4">
        <f>O540/R540</f>
        <v/>
      </c>
      <c r="N540" s="21" t="n">
        <v>6.806</v>
      </c>
      <c r="O540" s="21" t="n">
        <v>25013.15</v>
      </c>
      <c r="P540" s="21" t="n">
        <v>3.75</v>
      </c>
      <c r="Q540" s="4">
        <f>N540-L540</f>
        <v/>
      </c>
      <c r="R540" s="21" t="n">
        <v>23.51</v>
      </c>
      <c r="S540" s="21" t="n">
        <v>4.035</v>
      </c>
      <c r="T540" s="7">
        <f>N540-S540</f>
        <v/>
      </c>
      <c r="U540" s="21" t="n">
        <v>102.303</v>
      </c>
      <c r="V540" s="4" t="n"/>
      <c r="W540" s="46" t="n"/>
      <c r="X540" s="21" t="n">
        <v>21685.65</v>
      </c>
      <c r="Y540" s="21" t="n">
        <v>44.38</v>
      </c>
      <c r="Z540" s="4">
        <f>X540/Y540</f>
        <v/>
      </c>
      <c r="AA540" s="4">
        <f>(Z540/X540)*100</f>
        <v/>
      </c>
      <c r="AB540" s="21" t="n">
        <v>17882.85</v>
      </c>
      <c r="AC540" s="23" t="n">
        <v>32.53</v>
      </c>
      <c r="AD540" s="4">
        <f>AB540/AC540</f>
        <v/>
      </c>
      <c r="AE540" s="4">
        <f>(AD540/AB540)*100</f>
        <v/>
      </c>
    </row>
    <row r="541">
      <c r="A541" s="5" t="n">
        <v>595</v>
      </c>
      <c r="B541" s="45" t="n">
        <v>45574</v>
      </c>
      <c r="C541" s="21" t="n">
        <v>46321835.9</v>
      </c>
      <c r="D541" s="4">
        <f>C541/E541</f>
        <v/>
      </c>
      <c r="E541" s="21" t="n">
        <v>83.95</v>
      </c>
      <c r="F541" s="4">
        <f>D541/100000</f>
        <v/>
      </c>
      <c r="G541" s="4">
        <f>($D$1-F541)/F541*100</f>
        <v/>
      </c>
      <c r="H541" s="4">
        <f>($D$2-F541)/F541*100</f>
        <v/>
      </c>
      <c r="I541" s="4">
        <f>($D$3-F541)/F541*100</f>
        <v/>
      </c>
      <c r="J541" s="4">
        <f>F541/$F$10*100</f>
        <v/>
      </c>
      <c r="K541" s="4">
        <f>N541/L541</f>
        <v/>
      </c>
      <c r="L541" s="4">
        <f>(M541/O541)*100</f>
        <v/>
      </c>
      <c r="M541" s="4">
        <f>O541/R541</f>
        <v/>
      </c>
      <c r="N541" s="21" t="n">
        <v>6.766</v>
      </c>
      <c r="O541" s="21" t="n">
        <v>24981.95</v>
      </c>
      <c r="P541" s="21" t="n">
        <v>3.74</v>
      </c>
      <c r="Q541" s="4">
        <f>N541-L541</f>
        <v/>
      </c>
      <c r="R541" s="21" t="n">
        <v>23.48</v>
      </c>
      <c r="S541" s="21" t="n">
        <v>4.067</v>
      </c>
      <c r="T541" s="7">
        <f>N541-S541</f>
        <v/>
      </c>
      <c r="U541" s="21" t="n">
        <v>102.695</v>
      </c>
      <c r="V541" s="4" t="n"/>
      <c r="W541" s="46" t="n"/>
      <c r="X541" s="21" t="n">
        <v>21918.3</v>
      </c>
      <c r="Y541" s="21" t="n">
        <v>44.85</v>
      </c>
      <c r="Z541" s="4">
        <f>X541/Y541</f>
        <v/>
      </c>
      <c r="AA541" s="4">
        <f>(Z541/X541)*100</f>
        <v/>
      </c>
      <c r="AB541" s="21" t="n">
        <v>18103.95</v>
      </c>
      <c r="AC541" s="23" t="n">
        <v>32.93</v>
      </c>
      <c r="AD541" s="4">
        <f>AB541/AC541</f>
        <v/>
      </c>
      <c r="AE541" s="4">
        <f>(AD541/AB541)*100</f>
        <v/>
      </c>
    </row>
    <row r="542">
      <c r="A542" s="5" t="n">
        <v>596</v>
      </c>
      <c r="B542" s="45" t="n">
        <v>45575</v>
      </c>
      <c r="C542" s="21" t="n">
        <v>46325701.41</v>
      </c>
      <c r="D542" s="4">
        <f>C542/E542</f>
        <v/>
      </c>
      <c r="E542" s="21" t="n">
        <v>83.94</v>
      </c>
      <c r="F542" s="4">
        <f>D542/100000</f>
        <v/>
      </c>
      <c r="G542" s="4">
        <f>($D$1-F542)/F542*100</f>
        <v/>
      </c>
      <c r="H542" s="4">
        <f>($D$2-F542)/F542*100</f>
        <v/>
      </c>
      <c r="I542" s="4">
        <f>($D$3-F542)/F542*100</f>
        <v/>
      </c>
      <c r="J542" s="4">
        <f>F542/$F$10*100</f>
        <v/>
      </c>
      <c r="K542" s="4">
        <f>N542/L542</f>
        <v/>
      </c>
      <c r="L542" s="4">
        <f>(M542/O542)*100</f>
        <v/>
      </c>
      <c r="M542" s="4">
        <f>O542/R542</f>
        <v/>
      </c>
      <c r="N542" s="21" t="n">
        <v>6.776</v>
      </c>
      <c r="O542" s="21" t="n">
        <v>24998.45</v>
      </c>
      <c r="P542" s="21" t="n">
        <v>3.74</v>
      </c>
      <c r="Q542" s="4">
        <f>N542-L542</f>
        <v/>
      </c>
      <c r="R542" s="21" t="n">
        <v>23.5</v>
      </c>
      <c r="S542" s="21" t="n">
        <v>4.094</v>
      </c>
      <c r="T542" s="7">
        <f>N542-S542</f>
        <v/>
      </c>
      <c r="U542" s="21" t="n">
        <v>102.773</v>
      </c>
      <c r="V542" s="4" t="n"/>
      <c r="W542" s="46" t="n"/>
      <c r="X542" s="21" t="n">
        <v>21885.65</v>
      </c>
      <c r="Y542" s="21" t="n">
        <v>44.49</v>
      </c>
      <c r="Z542" s="4">
        <f>X542/Y542</f>
        <v/>
      </c>
      <c r="AA542" s="4">
        <f>(Z542/X542)*100</f>
        <v/>
      </c>
      <c r="AB542" s="21" t="n">
        <v>18127.35</v>
      </c>
      <c r="AC542" s="23" t="n">
        <v>33.15</v>
      </c>
      <c r="AD542" s="4">
        <f>AB542/AC542</f>
        <v/>
      </c>
      <c r="AE542" s="4">
        <f>(AD542/AB542)*100</f>
        <v/>
      </c>
    </row>
    <row r="543">
      <c r="A543" s="5" t="n">
        <v>597</v>
      </c>
      <c r="B543" s="45" t="n">
        <v>45576</v>
      </c>
      <c r="C543" s="21" t="n">
        <v>46357374.2</v>
      </c>
      <c r="D543" s="4">
        <f>C543/E543</f>
        <v/>
      </c>
      <c r="E543" s="21" t="n">
        <v>84.101</v>
      </c>
      <c r="F543" s="4">
        <f>D543/100000</f>
        <v/>
      </c>
      <c r="G543" s="4">
        <f>($D$1-F543)/F543*100</f>
        <v/>
      </c>
      <c r="H543" s="4">
        <f>($D$2-F543)/F543*100</f>
        <v/>
      </c>
      <c r="I543" s="4">
        <f>($D$3-F543)/F543*100</f>
        <v/>
      </c>
      <c r="J543" s="4">
        <f>F543/$F$10*100</f>
        <v/>
      </c>
      <c r="K543" s="4">
        <f>N543/L543</f>
        <v/>
      </c>
      <c r="L543" s="4">
        <f>(M543/O543)*100</f>
        <v/>
      </c>
      <c r="M543" s="4">
        <f>O543/R543</f>
        <v/>
      </c>
      <c r="N543" s="21" t="n">
        <v>6.788</v>
      </c>
      <c r="O543" s="21" t="n">
        <v>24964.25</v>
      </c>
      <c r="P543" s="21" t="n">
        <v>3.74</v>
      </c>
      <c r="Q543" s="4">
        <f>N543-L543</f>
        <v/>
      </c>
      <c r="R543" s="21" t="n">
        <v>23.47</v>
      </c>
      <c r="S543" s="21" t="n">
        <v>4.073</v>
      </c>
      <c r="T543" s="7">
        <f>N543-S543</f>
        <v/>
      </c>
      <c r="U543" s="21" t="n">
        <v>102.677</v>
      </c>
      <c r="V543" s="4" t="n"/>
      <c r="W543" s="46" t="n"/>
      <c r="X543" s="21" t="n">
        <v>21979.15</v>
      </c>
      <c r="Y543" s="21" t="n">
        <v>44.69</v>
      </c>
      <c r="Z543" s="4">
        <f>X543/Y543</f>
        <v/>
      </c>
      <c r="AA543" s="4">
        <f>(Z543/X543)*100</f>
        <v/>
      </c>
      <c r="AB543" s="21" t="n">
        <v>18213</v>
      </c>
      <c r="AC543" s="23" t="n">
        <v>33.3</v>
      </c>
      <c r="AD543" s="4">
        <f>AB543/AC543</f>
        <v/>
      </c>
      <c r="AE543" s="4">
        <f>(AD543/AB543)*100</f>
        <v/>
      </c>
    </row>
    <row r="544">
      <c r="A544" s="5" t="n">
        <v>598</v>
      </c>
      <c r="B544" s="45" t="n">
        <v>45579</v>
      </c>
      <c r="C544" s="21" t="n">
        <v>46474654.68</v>
      </c>
      <c r="D544" s="4">
        <f>C544/E544</f>
        <v/>
      </c>
      <c r="E544" s="21" t="n">
        <v>84.045</v>
      </c>
      <c r="F544" s="4">
        <f>D544/100000</f>
        <v/>
      </c>
      <c r="G544" s="4">
        <f>($D$1-F544)/F544*100</f>
        <v/>
      </c>
      <c r="H544" s="4">
        <f>($D$2-F544)/F544*100</f>
        <v/>
      </c>
      <c r="I544" s="4">
        <f>($D$3-F544)/F544*100</f>
        <v/>
      </c>
      <c r="J544" s="4">
        <f>F544/$F$10*100</f>
        <v/>
      </c>
      <c r="K544" s="4">
        <f>N544/L544</f>
        <v/>
      </c>
      <c r="L544" s="4">
        <f>(M544/O544)*100</f>
        <v/>
      </c>
      <c r="M544" s="4">
        <f>O544/R544</f>
        <v/>
      </c>
      <c r="N544" s="21" t="n">
        <v>6.782</v>
      </c>
      <c r="O544" s="21" t="n">
        <v>25127.95</v>
      </c>
      <c r="P544" s="21" t="n">
        <v>3.76</v>
      </c>
      <c r="Q544" s="4">
        <f>N544-L544</f>
        <v/>
      </c>
      <c r="R544" s="21" t="n">
        <v>23.62</v>
      </c>
      <c r="S544" s="21" t="n">
        <v>4.073</v>
      </c>
      <c r="T544" s="7">
        <f>N544-S544</f>
        <v/>
      </c>
      <c r="U544" s="21" t="n">
        <v>103.082</v>
      </c>
      <c r="V544" s="4" t="n"/>
      <c r="W544" s="46" t="n"/>
      <c r="X544" s="21" t="n">
        <v>22058.8</v>
      </c>
      <c r="Y544" s="21" t="n">
        <v>44.85</v>
      </c>
      <c r="Z544" s="4">
        <f>X544/Y544</f>
        <v/>
      </c>
      <c r="AA544" s="4">
        <f>(Z544/X544)*100</f>
        <v/>
      </c>
      <c r="AB544" s="21" t="n">
        <v>18265.1</v>
      </c>
      <c r="AC544" s="23" t="n">
        <v>33.4</v>
      </c>
      <c r="AD544" s="4">
        <f>AB544/AC544</f>
        <v/>
      </c>
      <c r="AE544" s="4">
        <f>(AD544/AB544)*100</f>
        <v/>
      </c>
    </row>
    <row r="545">
      <c r="A545" s="5" t="n">
        <v>599</v>
      </c>
      <c r="B545" s="45" t="n">
        <v>45580</v>
      </c>
      <c r="C545" s="21" t="n">
        <v>46501803.76</v>
      </c>
      <c r="D545" s="4">
        <f>C545/E545</f>
        <v/>
      </c>
      <c r="E545" s="21" t="n">
        <v>84.04000000000001</v>
      </c>
      <c r="F545" s="4">
        <f>D545/100000</f>
        <v/>
      </c>
      <c r="G545" s="4">
        <f>($D$1-F545)/F545*100</f>
        <v/>
      </c>
      <c r="H545" s="4">
        <f>($D$2-F545)/F545*100</f>
        <v/>
      </c>
      <c r="I545" s="4">
        <f>($D$3-F545)/F545*100</f>
        <v/>
      </c>
      <c r="J545" s="4">
        <f>F545/$F$10*100</f>
        <v/>
      </c>
      <c r="K545" s="4">
        <f>N545/L545</f>
        <v/>
      </c>
      <c r="L545" s="4">
        <f>(M545/O545)*100</f>
        <v/>
      </c>
      <c r="M545" s="4">
        <f>O545/R545</f>
        <v/>
      </c>
      <c r="N545" s="21" t="n">
        <v>6.769</v>
      </c>
      <c r="O545" s="21" t="n">
        <v>25057.35</v>
      </c>
      <c r="P545" s="21" t="n">
        <v>3.75</v>
      </c>
      <c r="Q545" s="4">
        <f>N545-L545</f>
        <v/>
      </c>
      <c r="R545" s="21" t="n">
        <v>23.55</v>
      </c>
      <c r="S545" s="21" t="n">
        <v>4.038</v>
      </c>
      <c r="T545" s="7">
        <f>N545-S545</f>
        <v/>
      </c>
      <c r="U545" s="21" t="n">
        <v>103.055</v>
      </c>
      <c r="V545" s="4" t="n"/>
      <c r="W545" s="46" t="n"/>
      <c r="X545" s="21" t="n">
        <v>22128.65</v>
      </c>
      <c r="Y545" s="21" t="n">
        <v>44.96</v>
      </c>
      <c r="Z545" s="4">
        <f>X545/Y545</f>
        <v/>
      </c>
      <c r="AA545" s="4">
        <f>(Z545/X545)*100</f>
        <v/>
      </c>
      <c r="AB545" s="21" t="n">
        <v>18467.65</v>
      </c>
      <c r="AC545" s="23" t="n">
        <v>33.77</v>
      </c>
      <c r="AD545" s="4">
        <f>AB545/AC545</f>
        <v/>
      </c>
      <c r="AE545" s="4">
        <f>(AD545/AB545)*100</f>
        <v/>
      </c>
    </row>
    <row r="546">
      <c r="A546" s="5" t="n">
        <v>600</v>
      </c>
      <c r="B546" s="45" t="n">
        <v>45581</v>
      </c>
      <c r="C546" s="21" t="n">
        <v>46455987.05</v>
      </c>
      <c r="D546" s="4">
        <f>C546/E546</f>
        <v/>
      </c>
      <c r="E546" s="21" t="n">
        <v>84.03</v>
      </c>
      <c r="F546" s="4">
        <f>D546/100000</f>
        <v/>
      </c>
      <c r="G546" s="4">
        <f>($D$1-F546)/F546*100</f>
        <v/>
      </c>
      <c r="H546" s="4">
        <f>($D$2-F546)/F546*100</f>
        <v/>
      </c>
      <c r="I546" s="4">
        <f>($D$3-F546)/F546*100</f>
        <v/>
      </c>
      <c r="J546" s="4">
        <f>F546/$F$10*100</f>
        <v/>
      </c>
      <c r="K546" s="4">
        <f>N546/L546</f>
        <v/>
      </c>
      <c r="L546" s="4">
        <f>(M546/O546)*100</f>
        <v/>
      </c>
      <c r="M546" s="4">
        <f>O546/R546</f>
        <v/>
      </c>
      <c r="N546" s="21" t="n">
        <v>6.773</v>
      </c>
      <c r="O546" s="21" t="n">
        <v>24971.3</v>
      </c>
      <c r="P546" s="21" t="n">
        <v>3.74</v>
      </c>
      <c r="Q546" s="4">
        <f>N546-L546</f>
        <v/>
      </c>
      <c r="R546" s="21" t="n">
        <v>23.47</v>
      </c>
      <c r="S546" s="21" t="n">
        <v>4.016</v>
      </c>
      <c r="T546" s="7">
        <f>N546-S546</f>
        <v/>
      </c>
      <c r="U546" s="21" t="n">
        <v>103.4</v>
      </c>
      <c r="V546" s="4" t="n"/>
      <c r="W546" s="46" t="n"/>
      <c r="X546" s="21" t="n">
        <v>22085.1</v>
      </c>
      <c r="Y546" s="21" t="n">
        <v>44.88</v>
      </c>
      <c r="Z546" s="4">
        <f>X546/Y546</f>
        <v/>
      </c>
      <c r="AA546" s="4">
        <f>(Z546/X546)*100</f>
        <v/>
      </c>
      <c r="AB546" s="21" t="n">
        <v>18505.95</v>
      </c>
      <c r="AC546" s="23" t="n">
        <v>33.85</v>
      </c>
      <c r="AD546" s="4">
        <f>AB546/AC546</f>
        <v/>
      </c>
      <c r="AE546" s="4">
        <f>(AD546/AB546)*100</f>
        <v/>
      </c>
    </row>
    <row r="547">
      <c r="A547" s="5" t="n">
        <v>601</v>
      </c>
      <c r="B547" s="45" t="n">
        <v>45582</v>
      </c>
      <c r="C547" s="21" t="n">
        <v>45847349.3</v>
      </c>
      <c r="D547" s="4">
        <f>C547/E547</f>
        <v/>
      </c>
      <c r="E547" s="21" t="n">
        <v>84.035</v>
      </c>
      <c r="F547" s="4">
        <f>D547/100000</f>
        <v/>
      </c>
      <c r="G547" s="4">
        <f>($D$1-F547)/F547*100</f>
        <v/>
      </c>
      <c r="H547" s="4">
        <f>($D$2-F547)/F547*100</f>
        <v/>
      </c>
      <c r="I547" s="4">
        <f>($D$3-F547)/F547*100</f>
        <v/>
      </c>
      <c r="J547" s="4">
        <f>F547/$F$10*100</f>
        <v/>
      </c>
      <c r="K547" s="4">
        <f>N547/L547</f>
        <v/>
      </c>
      <c r="L547" s="4">
        <f>(M547/O547)*100</f>
        <v/>
      </c>
      <c r="M547" s="4">
        <f>O547/R547</f>
        <v/>
      </c>
      <c r="N547" s="21" t="n">
        <v>6.784</v>
      </c>
      <c r="O547" s="21" t="n">
        <v>24749.85</v>
      </c>
      <c r="P547" s="21" t="n">
        <v>3.71</v>
      </c>
      <c r="Q547" s="4">
        <f>N547-L547</f>
        <v/>
      </c>
      <c r="R547" s="21" t="n">
        <v>23.26</v>
      </c>
      <c r="S547" s="21" t="n">
        <v>4.096</v>
      </c>
      <c r="T547" s="7">
        <f>N547-S547</f>
        <v/>
      </c>
      <c r="U547" s="21" t="n">
        <v>103.652</v>
      </c>
      <c r="V547" s="4" t="n"/>
      <c r="W547" s="46" t="n"/>
      <c r="X547" s="21" t="n">
        <v>21718.5</v>
      </c>
      <c r="Y547" s="21" t="n">
        <v>44.06</v>
      </c>
      <c r="Z547" s="4">
        <f>X547/Y547</f>
        <v/>
      </c>
      <c r="AA547" s="4">
        <f>(Z547/X547)*100</f>
        <v/>
      </c>
      <c r="AB547" s="21" t="n">
        <v>18244.3</v>
      </c>
      <c r="AC547" s="23" t="n">
        <v>33.39</v>
      </c>
      <c r="AD547" s="4">
        <f>AB547/AC547</f>
        <v/>
      </c>
      <c r="AE547" s="4">
        <f>(AD547/AB547)*100</f>
        <v/>
      </c>
    </row>
    <row r="548">
      <c r="A548" s="5" t="n">
        <v>602</v>
      </c>
      <c r="B548" s="45" t="n">
        <v>45583</v>
      </c>
      <c r="C548" s="21" t="n">
        <v>45941908.24</v>
      </c>
      <c r="D548" s="4">
        <f>C548/E548</f>
        <v/>
      </c>
      <c r="E548" s="21" t="n">
        <v>84.065</v>
      </c>
      <c r="F548" s="4">
        <f>D548/100000</f>
        <v/>
      </c>
      <c r="G548" s="4">
        <f>($D$1-F548)/F548*100</f>
        <v/>
      </c>
      <c r="H548" s="4">
        <f>($D$2-F548)/F548*100</f>
        <v/>
      </c>
      <c r="I548" s="4">
        <f>($D$3-F548)/F548*100</f>
        <v/>
      </c>
      <c r="J548" s="4">
        <f>F548/$F$10*100</f>
        <v/>
      </c>
      <c r="K548" s="4">
        <f>N548/L548</f>
        <v/>
      </c>
      <c r="L548" s="4">
        <f>(M548/O548)*100</f>
        <v/>
      </c>
      <c r="M548" s="4">
        <f>O548/R548</f>
        <v/>
      </c>
      <c r="N548" s="21" t="n">
        <v>6.809</v>
      </c>
      <c r="O548" s="21" t="n">
        <v>24854.05</v>
      </c>
      <c r="P548" s="21" t="n">
        <v>3.72</v>
      </c>
      <c r="Q548" s="4">
        <f>N548-L548</f>
        <v/>
      </c>
      <c r="R548" s="21" t="n">
        <v>23.38</v>
      </c>
      <c r="S548" s="21" t="n">
        <v>4.075</v>
      </c>
      <c r="T548" s="7">
        <f>N548-S548</f>
        <v/>
      </c>
      <c r="U548" s="21" t="n">
        <v>103.307</v>
      </c>
      <c r="V548" s="4" t="n"/>
      <c r="W548" s="46" t="n"/>
      <c r="X548" s="21" t="n">
        <v>21755.65</v>
      </c>
      <c r="Y548" s="21" t="n">
        <v>44.13</v>
      </c>
      <c r="Z548" s="4">
        <f>X548/Y548</f>
        <v/>
      </c>
      <c r="AA548" s="4">
        <f>(Z548/X548)*100</f>
        <v/>
      </c>
      <c r="AB548" s="21" t="n">
        <v>18236.8</v>
      </c>
      <c r="AC548" s="23" t="n">
        <v>33.37</v>
      </c>
      <c r="AD548" s="4">
        <f>AB548/AC548</f>
        <v/>
      </c>
      <c r="AE548" s="4">
        <f>(AD548/AB548)*100</f>
        <v/>
      </c>
    </row>
    <row r="549">
      <c r="A549" s="5" t="n">
        <v>603</v>
      </c>
      <c r="B549" s="45" t="n">
        <v>45586</v>
      </c>
      <c r="C549" s="21" t="n">
        <v>45465368.23</v>
      </c>
      <c r="D549" s="4">
        <f>C549/E549</f>
        <v/>
      </c>
      <c r="E549" s="21" t="n">
        <v>84.06999999999999</v>
      </c>
      <c r="F549" s="4">
        <f>D549/100000</f>
        <v/>
      </c>
      <c r="G549" s="4">
        <f>($D$1-F549)/F549*100</f>
        <v/>
      </c>
      <c r="H549" s="4">
        <f>($D$2-F549)/F549*100</f>
        <v/>
      </c>
      <c r="I549" s="4">
        <f>($D$3-F549)/F549*100</f>
        <v/>
      </c>
      <c r="J549" s="4">
        <f>F549/$F$10*100</f>
        <v/>
      </c>
      <c r="K549" s="4">
        <f>N549/L549</f>
        <v/>
      </c>
      <c r="L549" s="4">
        <f>(M549/O549)*100</f>
        <v/>
      </c>
      <c r="M549" s="4">
        <f>O549/R549</f>
        <v/>
      </c>
      <c r="N549" s="21" t="n">
        <v>6.837</v>
      </c>
      <c r="O549" s="21" t="n">
        <v>24781.1</v>
      </c>
      <c r="P549" s="21" t="n">
        <v>3.71</v>
      </c>
      <c r="Q549" s="4">
        <f>N549-L549</f>
        <v/>
      </c>
      <c r="R549" s="21" t="n">
        <v>23.23</v>
      </c>
      <c r="S549" s="21" t="n">
        <v>4.182</v>
      </c>
      <c r="T549" s="7">
        <f>N549-S549</f>
        <v/>
      </c>
      <c r="U549" s="21" t="n">
        <v>103.834</v>
      </c>
      <c r="V549" s="4" t="n"/>
      <c r="W549" s="46" t="n"/>
      <c r="X549" s="21" t="n">
        <v>21429.9</v>
      </c>
      <c r="Y549" s="21" t="n">
        <v>43.56</v>
      </c>
      <c r="Z549" s="4">
        <f>X549/Y549</f>
        <v/>
      </c>
      <c r="AA549" s="4">
        <f>(Z549/X549)*100</f>
        <v/>
      </c>
      <c r="AB549" s="21" t="n">
        <v>17936.3</v>
      </c>
      <c r="AC549" s="23" t="n">
        <v>32.79</v>
      </c>
      <c r="AD549" s="4">
        <f>AB549/AC549</f>
        <v/>
      </c>
      <c r="AE549" s="4">
        <f>(AD549/AB549)*100</f>
        <v/>
      </c>
    </row>
    <row r="550">
      <c r="A550" s="5" t="n">
        <v>604</v>
      </c>
      <c r="B550" s="45" t="n">
        <v>45587</v>
      </c>
      <c r="C550" s="21" t="n">
        <v>44555854.43</v>
      </c>
      <c r="D550" s="4">
        <f>C550/E550</f>
        <v/>
      </c>
      <c r="E550" s="21" t="n">
        <v>84.06999999999999</v>
      </c>
      <c r="F550" s="4">
        <f>D550/100000</f>
        <v/>
      </c>
      <c r="G550" s="4">
        <f>($D$1-F550)/F550*100</f>
        <v/>
      </c>
      <c r="H550" s="4">
        <f>($D$2-F550)/F550*100</f>
        <v/>
      </c>
      <c r="I550" s="4">
        <f>($D$3-F550)/F550*100</f>
        <v/>
      </c>
      <c r="J550" s="4">
        <f>F550/$F$10*100</f>
        <v/>
      </c>
      <c r="K550" s="4">
        <f>N550/L550</f>
        <v/>
      </c>
      <c r="L550" s="4">
        <f>(M550/O550)*100</f>
        <v/>
      </c>
      <c r="M550" s="4">
        <f>O550/R550</f>
        <v/>
      </c>
      <c r="N550" s="21" t="n">
        <v>6.832</v>
      </c>
      <c r="O550" s="21" t="n">
        <v>24472.1</v>
      </c>
      <c r="P550" s="21" t="n">
        <v>3.67</v>
      </c>
      <c r="Q550" s="4">
        <f>N550-L550</f>
        <v/>
      </c>
      <c r="R550" s="21" t="n">
        <v>22.83</v>
      </c>
      <c r="S550" s="21" t="n">
        <v>4.206</v>
      </c>
      <c r="T550" s="7">
        <f>N550-S550</f>
        <v/>
      </c>
      <c r="U550" s="21" t="n">
        <v>103.909</v>
      </c>
      <c r="V550" s="4" t="n"/>
      <c r="W550" s="46" t="n"/>
      <c r="X550" s="21" t="n">
        <v>20879.45</v>
      </c>
      <c r="Y550" s="21" t="n">
        <v>42.5</v>
      </c>
      <c r="Z550" s="4">
        <f>X550/Y550</f>
        <v/>
      </c>
      <c r="AA550" s="4">
        <f>(Z550/X550)*100</f>
        <v/>
      </c>
      <c r="AB550" s="21" t="n">
        <v>17275.7</v>
      </c>
      <c r="AC550" s="23" t="n">
        <v>31.37</v>
      </c>
      <c r="AD550" s="4">
        <f>AB550/AC550</f>
        <v/>
      </c>
      <c r="AE550" s="4">
        <f>(AD550/AB550)*100</f>
        <v/>
      </c>
    </row>
    <row r="551">
      <c r="A551" s="5" t="n">
        <v>605</v>
      </c>
      <c r="B551" s="45" t="n">
        <v>45588</v>
      </c>
      <c r="C551" s="21" t="n">
        <v>44640430.04</v>
      </c>
      <c r="D551" s="4">
        <f>C551/E551</f>
        <v/>
      </c>
      <c r="E551" s="21" t="n">
        <v>84.056</v>
      </c>
      <c r="F551" s="4">
        <f>D551/100000</f>
        <v/>
      </c>
      <c r="G551" s="4">
        <f>($D$1-F551)/F551*100</f>
        <v/>
      </c>
      <c r="H551" s="4">
        <f>($D$2-F551)/F551*100</f>
        <v/>
      </c>
      <c r="I551" s="4">
        <f>($D$3-F551)/F551*100</f>
        <v/>
      </c>
      <c r="J551" s="4">
        <f>F551/$F$10*100</f>
        <v/>
      </c>
      <c r="K551" s="4">
        <f>N551/L551</f>
        <v/>
      </c>
      <c r="L551" s="4">
        <f>(M551/O551)*100</f>
        <v/>
      </c>
      <c r="M551" s="4">
        <f>O551/R551</f>
        <v/>
      </c>
      <c r="N551" s="21" t="n">
        <v>6.818</v>
      </c>
      <c r="O551" s="21" t="n">
        <v>24435.5</v>
      </c>
      <c r="P551" s="21" t="n">
        <v>3.66</v>
      </c>
      <c r="Q551" s="4">
        <f>N551-L551</f>
        <v/>
      </c>
      <c r="R551" s="21" t="n">
        <v>22.81</v>
      </c>
      <c r="S551" s="21" t="n">
        <v>4.242</v>
      </c>
      <c r="T551" s="7">
        <f>N551-S551</f>
        <v/>
      </c>
      <c r="U551" s="21" t="n">
        <v>104.277</v>
      </c>
      <c r="V551" s="4" t="n"/>
      <c r="W551" s="46" t="n"/>
      <c r="X551" s="21" t="n">
        <v>20985.25</v>
      </c>
      <c r="Y551" s="21" t="n">
        <v>42.72</v>
      </c>
      <c r="Z551" s="4">
        <f>X551/Y551</f>
        <v/>
      </c>
      <c r="AA551" s="4">
        <f>(Z551/X551)*100</f>
        <v/>
      </c>
      <c r="AB551" s="21" t="n">
        <v>17456.2</v>
      </c>
      <c r="AC551" s="23" t="n">
        <v>31.65</v>
      </c>
      <c r="AD551" s="4">
        <f>AB551/AC551</f>
        <v/>
      </c>
      <c r="AE551" s="4">
        <f>(AD551/AB551)*100</f>
        <v/>
      </c>
    </row>
    <row r="552">
      <c r="A552" s="5" t="n">
        <v>606</v>
      </c>
      <c r="B552" s="45" t="n">
        <v>45589</v>
      </c>
      <c r="C552" s="21" t="n">
        <v>44487806.63</v>
      </c>
      <c r="D552" s="4">
        <f>C552/E552</f>
        <v/>
      </c>
      <c r="E552" s="21" t="n">
        <v>84.05</v>
      </c>
      <c r="F552" s="4">
        <f>D552/100000</f>
        <v/>
      </c>
      <c r="G552" s="4">
        <f>($D$1-F552)/F552*100</f>
        <v/>
      </c>
      <c r="H552" s="4">
        <f>($D$2-F552)/F552*100</f>
        <v/>
      </c>
      <c r="I552" s="4">
        <f>($D$3-F552)/F552*100</f>
        <v/>
      </c>
      <c r="J552" s="4">
        <f>F552/$F$10*100</f>
        <v/>
      </c>
      <c r="K552" s="4">
        <f>N552/L552</f>
        <v/>
      </c>
      <c r="L552" s="4">
        <f>(M552/O552)*100</f>
        <v/>
      </c>
      <c r="M552" s="4">
        <f>O552/R552</f>
        <v/>
      </c>
      <c r="N552" s="21" t="n">
        <v>6.822</v>
      </c>
      <c r="O552" s="21" t="n">
        <v>24399.4</v>
      </c>
      <c r="P552" s="21" t="n">
        <v>3.65</v>
      </c>
      <c r="Q552" s="4">
        <f>N552-L552</f>
        <v/>
      </c>
      <c r="R552" s="21" t="n">
        <v>22.76</v>
      </c>
      <c r="S552" s="21" t="n">
        <v>4.202</v>
      </c>
      <c r="T552" s="7">
        <f>N552-S552</f>
        <v/>
      </c>
      <c r="U552" s="21" t="n">
        <v>103.919</v>
      </c>
      <c r="V552" s="4" t="n"/>
      <c r="W552" s="46" t="n"/>
      <c r="X552" s="21" t="n">
        <v>20932.75</v>
      </c>
      <c r="Y552" s="21" t="n">
        <v>42.03</v>
      </c>
      <c r="Z552" s="4">
        <f>X552/Y552</f>
        <v/>
      </c>
      <c r="AA552" s="4">
        <f>(Z552/X552)*100</f>
        <v/>
      </c>
      <c r="AB552" s="21" t="n">
        <v>17352.2</v>
      </c>
      <c r="AC552" s="23" t="n">
        <v>31.72</v>
      </c>
      <c r="AD552" s="4">
        <f>AB552/AC552</f>
        <v/>
      </c>
      <c r="AE552" s="4">
        <f>(AD552/AB552)*100</f>
        <v/>
      </c>
    </row>
    <row r="553">
      <c r="A553" s="5" t="n">
        <v>607</v>
      </c>
      <c r="B553" s="45" t="n">
        <v>45590</v>
      </c>
      <c r="C553" s="21" t="n">
        <v>43809112.52</v>
      </c>
      <c r="D553" s="4">
        <f>C553/E553</f>
        <v/>
      </c>
      <c r="E553" s="21" t="n">
        <v>84.095</v>
      </c>
      <c r="F553" s="4">
        <f>D553/100000</f>
        <v/>
      </c>
      <c r="G553" s="4">
        <f>($D$1-F553)/F553*100</f>
        <v/>
      </c>
      <c r="H553" s="4">
        <f>($D$2-F553)/F553*100</f>
        <v/>
      </c>
      <c r="I553" s="4">
        <f>($D$3-F553)/F553*100</f>
        <v/>
      </c>
      <c r="J553" s="4">
        <f>F553/$F$10*100</f>
        <v/>
      </c>
      <c r="K553" s="4">
        <f>N553/L553</f>
        <v/>
      </c>
      <c r="L553" s="4">
        <f>(M553/O553)*100</f>
        <v/>
      </c>
      <c r="M553" s="4">
        <f>O553/R553</f>
        <v/>
      </c>
      <c r="N553" s="21" t="n">
        <v>6.845</v>
      </c>
      <c r="O553" s="21" t="n">
        <v>24180.8</v>
      </c>
      <c r="P553" s="21" t="n">
        <v>3.62</v>
      </c>
      <c r="Q553" s="4">
        <f>N553-L553</f>
        <v/>
      </c>
      <c r="R553" s="21" t="n">
        <v>22.56</v>
      </c>
      <c r="S553" s="21" t="n">
        <v>4.232</v>
      </c>
      <c r="T553" s="7">
        <f>N553-S553</f>
        <v/>
      </c>
      <c r="U553" s="21" t="n">
        <v>104.132</v>
      </c>
      <c r="V553" s="4" t="n"/>
      <c r="W553" s="46" t="n"/>
      <c r="X553" s="21" t="n">
        <v>20563.7</v>
      </c>
      <c r="Y553" s="21" t="n">
        <v>41.11</v>
      </c>
      <c r="Z553" s="4">
        <f>X553/Y553</f>
        <v/>
      </c>
      <c r="AA553" s="4">
        <f>(Z553/X553)*100</f>
        <v/>
      </c>
      <c r="AB553" s="21" t="n">
        <v>16956.05</v>
      </c>
      <c r="AC553" s="23" t="n">
        <v>31.01</v>
      </c>
      <c r="AD553" s="4">
        <f>AB553/AC553</f>
        <v/>
      </c>
      <c r="AE553" s="4">
        <f>(AD553/AB553)*100</f>
        <v/>
      </c>
    </row>
    <row r="554">
      <c r="A554" s="5" t="n">
        <v>608</v>
      </c>
      <c r="B554" s="45" t="n">
        <v>45593</v>
      </c>
      <c r="C554" s="21" t="n">
        <v>44207998.7</v>
      </c>
      <c r="D554" s="4">
        <f>C554/E554</f>
        <v/>
      </c>
      <c r="E554" s="21" t="n">
        <v>84.06</v>
      </c>
      <c r="F554" s="4">
        <f>D554/100000</f>
        <v/>
      </c>
      <c r="G554" s="4">
        <f>($D$1-F554)/F554*100</f>
        <v/>
      </c>
      <c r="H554" s="4">
        <f>($D$2-F554)/F554*100</f>
        <v/>
      </c>
      <c r="I554" s="4">
        <f>($D$3-F554)/F554*100</f>
        <v/>
      </c>
      <c r="J554" s="4">
        <f>F554/$F$10*100</f>
        <v/>
      </c>
      <c r="K554" s="4">
        <f>N554/L554</f>
        <v/>
      </c>
      <c r="L554" s="4">
        <f>(M554/O554)*100</f>
        <v/>
      </c>
      <c r="M554" s="4">
        <f>O554/R554</f>
        <v/>
      </c>
      <c r="N554" s="21" t="n">
        <v>6.861</v>
      </c>
      <c r="O554" s="21" t="n">
        <v>24339.15</v>
      </c>
      <c r="P554" s="21" t="n">
        <v>3.65</v>
      </c>
      <c r="Q554" s="4">
        <f>N554-L554</f>
        <v/>
      </c>
      <c r="R554" s="21" t="n">
        <v>22.74</v>
      </c>
      <c r="S554" s="21" t="n">
        <v>4.278</v>
      </c>
      <c r="T554" s="7">
        <f>N554-S554</f>
        <v/>
      </c>
      <c r="U554" s="21" t="n">
        <v>104.183</v>
      </c>
      <c r="V554" s="4" t="n"/>
      <c r="W554" s="46" t="n"/>
      <c r="X554" s="21" t="n">
        <v>20695.55</v>
      </c>
      <c r="Y554" s="21" t="n">
        <v>41.23</v>
      </c>
      <c r="Z554" s="4">
        <f>X554/Y554</f>
        <v/>
      </c>
      <c r="AA554" s="4">
        <f>(Z554/X554)*100</f>
        <v/>
      </c>
      <c r="AB554" s="21" t="n">
        <v>17151.6</v>
      </c>
      <c r="AC554" s="23" t="n">
        <v>31.58</v>
      </c>
      <c r="AD554" s="4">
        <f>AB554/AC554</f>
        <v/>
      </c>
      <c r="AE554" s="4">
        <f>(AD554/AB554)*100</f>
        <v/>
      </c>
    </row>
    <row r="555">
      <c r="A555" s="5" t="n">
        <v>609</v>
      </c>
      <c r="B555" s="45" t="n">
        <v>45594</v>
      </c>
      <c r="C555" s="21" t="n">
        <v>43593789.77</v>
      </c>
      <c r="D555" s="4">
        <f>C555/E555</f>
        <v/>
      </c>
      <c r="E555" s="21" t="n">
        <v>84.05</v>
      </c>
      <c r="F555" s="4">
        <f>D555/100000</f>
        <v/>
      </c>
      <c r="G555" s="4">
        <f>($D$1-F555)/F555*100</f>
        <v/>
      </c>
      <c r="H555" s="4">
        <f>($D$2-F555)/F555*100</f>
        <v/>
      </c>
      <c r="I555" s="4">
        <f>($D$3-F555)/F555*100</f>
        <v/>
      </c>
      <c r="J555" s="4">
        <f>F555/$F$10*100</f>
        <v/>
      </c>
      <c r="K555" s="4">
        <f>N555/L555</f>
        <v/>
      </c>
      <c r="L555" s="4">
        <f>(M555/O555)*100</f>
        <v/>
      </c>
      <c r="M555" s="4">
        <f>O555/R555</f>
        <v/>
      </c>
      <c r="N555" s="21" t="n">
        <v>6.847</v>
      </c>
      <c r="O555" s="21" t="n">
        <v>24466.85</v>
      </c>
      <c r="P555" s="21" t="n">
        <v>3.67</v>
      </c>
      <c r="Q555" s="4">
        <f>N555-L555</f>
        <v/>
      </c>
      <c r="R555" s="21" t="n">
        <v>23.02</v>
      </c>
      <c r="S555" s="21" t="n">
        <v>4.274</v>
      </c>
      <c r="T555" s="7">
        <f>N555-S555</f>
        <v/>
      </c>
      <c r="U555" s="21" t="n">
        <v>104.191</v>
      </c>
      <c r="V555" s="4" t="n"/>
      <c r="W555" s="46" t="n"/>
      <c r="X555" s="21" t="n">
        <v>20867.4</v>
      </c>
      <c r="Y555" s="21" t="n">
        <v>43.39</v>
      </c>
      <c r="Z555" s="4">
        <f>X555/Y555</f>
        <v/>
      </c>
      <c r="AA555" s="4">
        <f>(Z555/X555)*100</f>
        <v/>
      </c>
      <c r="AB555" s="21" t="n">
        <v>17278.2</v>
      </c>
      <c r="AC555" s="23" t="n">
        <v>31.75</v>
      </c>
      <c r="AD555" s="4">
        <f>AB555/AC555</f>
        <v/>
      </c>
      <c r="AE555" s="4">
        <f>(AD555/AB555)*100</f>
        <v/>
      </c>
    </row>
    <row r="556">
      <c r="A556" s="5" t="n">
        <v>610</v>
      </c>
      <c r="B556" s="45" t="n">
        <v>45595</v>
      </c>
      <c r="C556" s="21" t="n">
        <v>43720643.55</v>
      </c>
      <c r="D556" s="4">
        <f>C556/E556</f>
        <v/>
      </c>
      <c r="E556" s="21" t="n">
        <v>84.08</v>
      </c>
      <c r="F556" s="4">
        <f>D556/100000</f>
        <v/>
      </c>
      <c r="G556" s="4">
        <f>($D$1-F556)/F556*100</f>
        <v/>
      </c>
      <c r="H556" s="4">
        <f>($D$2-F556)/F556*100</f>
        <v/>
      </c>
      <c r="I556" s="4">
        <f>($D$3-F556)/F556*100</f>
        <v/>
      </c>
      <c r="J556" s="4">
        <f>F556/$F$10*100</f>
        <v/>
      </c>
      <c r="K556" s="4">
        <f>N556/L556</f>
        <v/>
      </c>
      <c r="L556" s="4">
        <f>(M556/O556)*100</f>
        <v/>
      </c>
      <c r="M556" s="4">
        <f>O556/R556</f>
        <v/>
      </c>
      <c r="N556" s="21" t="n">
        <v>6.827</v>
      </c>
      <c r="O556" s="21" t="n">
        <v>24340.85</v>
      </c>
      <c r="P556" s="21" t="n">
        <v>3.65</v>
      </c>
      <c r="Q556" s="4">
        <f>N556-L556</f>
        <v/>
      </c>
      <c r="R556" s="21" t="n">
        <v>22.9</v>
      </c>
      <c r="S556" s="21" t="n">
        <v>4.299</v>
      </c>
      <c r="T556" s="7">
        <f>N556-S556</f>
        <v/>
      </c>
      <c r="U556" s="21" t="n">
        <v>103.862</v>
      </c>
      <c r="V556" s="4" t="n"/>
      <c r="W556" s="46" t="n"/>
      <c r="X556" s="21" t="n">
        <v>20916.7</v>
      </c>
      <c r="Y556" s="21" t="n">
        <v>43.5</v>
      </c>
      <c r="Z556" s="4">
        <f>X556/Y556</f>
        <v/>
      </c>
      <c r="AA556" s="4">
        <f>(Z556/X556)*100</f>
        <v/>
      </c>
      <c r="AB556" s="21" t="n">
        <v>17483.4</v>
      </c>
      <c r="AC556" s="23" t="n">
        <v>32.13</v>
      </c>
      <c r="AD556" s="4">
        <f>AB556/AC556</f>
        <v/>
      </c>
      <c r="AE556" s="4">
        <f>(AD556/AB556)*100</f>
        <v/>
      </c>
    </row>
    <row r="557">
      <c r="A557" s="5" t="n">
        <v>611</v>
      </c>
      <c r="B557" s="45" t="n">
        <v>45596</v>
      </c>
      <c r="C557" s="21" t="n">
        <v>44590580.8</v>
      </c>
      <c r="D557" s="4">
        <f>C557/E557</f>
        <v/>
      </c>
      <c r="E557" s="21" t="n">
        <v>84.06100000000001</v>
      </c>
      <c r="F557" s="4">
        <f>D557/100000</f>
        <v/>
      </c>
      <c r="G557" s="4">
        <f>($D$1-F557)/F557*100</f>
        <v/>
      </c>
      <c r="H557" s="4">
        <f>($D$2-F557)/F557*100</f>
        <v/>
      </c>
      <c r="I557" s="4">
        <f>($D$3-F557)/F557*100</f>
        <v/>
      </c>
      <c r="J557" s="4">
        <f>F557/$F$10*100</f>
        <v/>
      </c>
      <c r="K557" s="4">
        <f>N557/L557</f>
        <v/>
      </c>
      <c r="L557" s="4">
        <f>(M557/O557)*100</f>
        <v/>
      </c>
      <c r="M557" s="4">
        <f>O557/R557</f>
        <v/>
      </c>
      <c r="N557" s="21" t="n">
        <v>6.841</v>
      </c>
      <c r="O557" s="21" t="n">
        <v>24205.35</v>
      </c>
      <c r="P557" s="21" t="n">
        <v>3.63</v>
      </c>
      <c r="Q557" s="4">
        <f>N557-L557</f>
        <v/>
      </c>
      <c r="R557" s="21" t="n">
        <v>22.58</v>
      </c>
      <c r="S557" s="21" t="n">
        <v>4.281</v>
      </c>
      <c r="T557" s="7">
        <f>N557-S557</f>
        <v/>
      </c>
      <c r="U557" s="21" t="n">
        <v>103.878</v>
      </c>
      <c r="V557" s="4" t="n"/>
      <c r="W557" s="46" t="n"/>
      <c r="X557" s="21" t="n">
        <v>20876.7</v>
      </c>
      <c r="Y557" s="21" t="n">
        <v>42.98</v>
      </c>
      <c r="Z557" s="4">
        <f>X557/Y557</f>
        <v/>
      </c>
      <c r="AA557" s="4">
        <f>(Z557/X557)*100</f>
        <v/>
      </c>
      <c r="AB557" s="21" t="n">
        <v>17751.2</v>
      </c>
      <c r="AC557" s="23" t="n">
        <v>32.37</v>
      </c>
      <c r="AD557" s="4">
        <f>AB557/AC557</f>
        <v/>
      </c>
      <c r="AE557" s="4">
        <f>(AD557/AB557)*100</f>
        <v/>
      </c>
    </row>
    <row r="558">
      <c r="A558" s="5" t="n">
        <v>612</v>
      </c>
      <c r="B558" s="45" t="n">
        <v>45597</v>
      </c>
      <c r="C558" s="21" t="n">
        <v>44932167.74</v>
      </c>
      <c r="D558" s="4">
        <f>C558/E558</f>
        <v/>
      </c>
      <c r="E558" s="21" t="n">
        <v>84.08</v>
      </c>
      <c r="F558" s="4">
        <f>D558/100000</f>
        <v/>
      </c>
      <c r="G558" s="4">
        <f>($D$1-F558)/F558*100</f>
        <v/>
      </c>
      <c r="H558" s="4">
        <f>($D$2-F558)/F558*100</f>
        <v/>
      </c>
      <c r="I558" s="4">
        <f>($D$3-F558)/F558*100</f>
        <v/>
      </c>
      <c r="J558" s="4">
        <f>F558/$F$10*100</f>
        <v/>
      </c>
      <c r="K558" s="4">
        <f>N558/L558</f>
        <v/>
      </c>
      <c r="L558" s="4">
        <f>(M558/O558)*100</f>
        <v/>
      </c>
      <c r="M558" s="4">
        <f>O558/R558</f>
        <v/>
      </c>
      <c r="N558" s="21" t="n">
        <v>6.841</v>
      </c>
      <c r="O558" s="21" t="n">
        <v>24304.35</v>
      </c>
      <c r="P558" s="21" t="n">
        <v>3.64</v>
      </c>
      <c r="Q558" s="4">
        <f>N558-L558</f>
        <v/>
      </c>
      <c r="R558" s="21" t="n">
        <v>22.68</v>
      </c>
      <c r="S558" s="21" t="n">
        <v>4.385</v>
      </c>
      <c r="T558" s="7">
        <f>N558-S558</f>
        <v/>
      </c>
      <c r="U558" s="21" t="n">
        <v>104.203</v>
      </c>
      <c r="V558" s="4" t="n"/>
      <c r="W558" s="46" t="n"/>
      <c r="X558" s="21" t="n">
        <v>21021.1</v>
      </c>
      <c r="Y558" s="21" t="n">
        <v>43.28</v>
      </c>
      <c r="Z558" s="4">
        <f>X558/Y558</f>
        <v/>
      </c>
      <c r="AA558" s="4">
        <f>(Z558/X558)*100</f>
        <v/>
      </c>
      <c r="AB558" s="21" t="n">
        <v>17938.85</v>
      </c>
      <c r="AC558" s="23" t="n">
        <v>32.71</v>
      </c>
      <c r="AD558" s="4">
        <f>AB558/AC558</f>
        <v/>
      </c>
      <c r="AE558" s="4">
        <f>(AD558/AB558)*100</f>
        <v/>
      </c>
    </row>
    <row r="559">
      <c r="A559" s="5" t="n">
        <v>613</v>
      </c>
      <c r="B559" s="45" t="n">
        <v>45600</v>
      </c>
      <c r="C559" s="21" t="n">
        <v>44314053.36</v>
      </c>
      <c r="D559" s="4">
        <f>C559/E559</f>
        <v/>
      </c>
      <c r="E559" s="21" t="n">
        <v>84.13</v>
      </c>
      <c r="F559" s="4">
        <f>D559/100000</f>
        <v/>
      </c>
      <c r="G559" s="4">
        <f>($D$1-F559)/F559*100</f>
        <v/>
      </c>
      <c r="H559" s="4">
        <f>($D$2-F559)/F559*100</f>
        <v/>
      </c>
      <c r="I559" s="4">
        <f>($D$3-F559)/F559*100</f>
        <v/>
      </c>
      <c r="J559" s="4">
        <f>F559/$F$10*100</f>
        <v/>
      </c>
      <c r="K559" s="4">
        <f>N559/L559</f>
        <v/>
      </c>
      <c r="L559" s="4">
        <f>(M559/O559)*100</f>
        <v/>
      </c>
      <c r="M559" s="4">
        <f>O559/R559</f>
        <v/>
      </c>
      <c r="N559" s="21" t="n">
        <v>6.797</v>
      </c>
      <c r="O559" s="21" t="n">
        <v>23995.35</v>
      </c>
      <c r="P559" s="21" t="n">
        <v>3.59</v>
      </c>
      <c r="Q559" s="4">
        <f>N559-L559</f>
        <v/>
      </c>
      <c r="R559" s="21" t="n">
        <v>22.36</v>
      </c>
      <c r="S559" s="21" t="n">
        <v>4.286</v>
      </c>
      <c r="T559" s="7">
        <f>N559-S559</f>
        <v/>
      </c>
      <c r="U559" s="21" t="n">
        <v>103.79</v>
      </c>
      <c r="V559" s="4" t="n"/>
      <c r="W559" s="46" t="n"/>
      <c r="X559" s="21" t="n">
        <v>20767.4</v>
      </c>
      <c r="Y559" s="21" t="n">
        <v>42.88</v>
      </c>
      <c r="Z559" s="4">
        <f>X559/Y559</f>
        <v/>
      </c>
      <c r="AA559" s="4">
        <f>(Z559/X559)*100</f>
        <v/>
      </c>
      <c r="AB559" s="21" t="n">
        <v>17609.5</v>
      </c>
      <c r="AC559" s="23" t="n">
        <v>32.03</v>
      </c>
      <c r="AD559" s="4">
        <f>AB559/AC559</f>
        <v/>
      </c>
      <c r="AE559" s="4">
        <f>(AD559/AB559)*100</f>
        <v/>
      </c>
    </row>
    <row r="560">
      <c r="A560" s="5" t="n">
        <v>614</v>
      </c>
      <c r="B560" s="45" t="n">
        <v>45601</v>
      </c>
      <c r="C560" s="21" t="n">
        <v>44610179.63</v>
      </c>
      <c r="D560" s="4">
        <f>C560/E560</f>
        <v/>
      </c>
      <c r="E560" s="21" t="n">
        <v>84.10899999999999</v>
      </c>
      <c r="F560" s="4">
        <f>D560/100000</f>
        <v/>
      </c>
      <c r="G560" s="4">
        <f>($D$1-F560)/F560*100</f>
        <v/>
      </c>
      <c r="H560" s="4">
        <f>($D$2-F560)/F560*100</f>
        <v/>
      </c>
      <c r="I560" s="4">
        <f>($D$3-F560)/F560*100</f>
        <v/>
      </c>
      <c r="J560" s="4">
        <f>F560/$F$10*100</f>
        <v/>
      </c>
      <c r="K560" s="4">
        <f>N560/L560</f>
        <v/>
      </c>
      <c r="L560" s="4">
        <f>(M560/O560)*100</f>
        <v/>
      </c>
      <c r="M560" s="4">
        <f>O560/R560</f>
        <v/>
      </c>
      <c r="N560" s="21" t="n">
        <v>6.799</v>
      </c>
      <c r="O560" s="21" t="n">
        <v>24213.3</v>
      </c>
      <c r="P560" s="21" t="n">
        <v>3.63</v>
      </c>
      <c r="Q560" s="4">
        <f>N560-L560</f>
        <v/>
      </c>
      <c r="R560" s="21" t="n">
        <v>22.55</v>
      </c>
      <c r="S560" s="21" t="n">
        <v>4.28</v>
      </c>
      <c r="T560" s="7">
        <f>N560-S560</f>
        <v/>
      </c>
      <c r="U560" s="21" t="n">
        <v>103.324</v>
      </c>
      <c r="V560" s="4" t="n"/>
      <c r="W560" s="46" t="n"/>
      <c r="X560" s="21" t="n">
        <v>20862.1</v>
      </c>
      <c r="Y560" s="21" t="n">
        <v>43.06</v>
      </c>
      <c r="Z560" s="4">
        <f>X560/Y560</f>
        <v/>
      </c>
      <c r="AA560" s="4">
        <f>(Z560/X560)*100</f>
        <v/>
      </c>
      <c r="AB560" s="21" t="n">
        <v>17694.65</v>
      </c>
      <c r="AC560" s="23" t="n">
        <v>32.19</v>
      </c>
      <c r="AD560" s="4">
        <f>AB560/AC560</f>
        <v/>
      </c>
      <c r="AE560" s="4">
        <f>(AD560/AB560)*100</f>
        <v/>
      </c>
    </row>
    <row r="561">
      <c r="A561" s="5" t="n">
        <v>615</v>
      </c>
      <c r="B561" s="45" t="n">
        <v>45602</v>
      </c>
      <c r="C561" s="21" t="n">
        <v>45385699.4</v>
      </c>
      <c r="D561" s="4">
        <f>C561/E561</f>
        <v/>
      </c>
      <c r="E561" s="21" t="n">
        <v>84.31</v>
      </c>
      <c r="F561" s="4">
        <f>D561/100000</f>
        <v/>
      </c>
      <c r="G561" s="4">
        <f>($D$1-F561)/F561*100</f>
        <v/>
      </c>
      <c r="H561" s="4">
        <f>($D$2-F561)/F561*100</f>
        <v/>
      </c>
      <c r="I561" s="4">
        <f>($D$3-F561)/F561*100</f>
        <v/>
      </c>
      <c r="J561" s="4">
        <f>F561/$F$10*100</f>
        <v/>
      </c>
      <c r="K561" s="4">
        <f>N561/L561</f>
        <v/>
      </c>
      <c r="L561" s="4">
        <f>(M561/O561)*100</f>
        <v/>
      </c>
      <c r="M561" s="4">
        <f>O561/R561</f>
        <v/>
      </c>
      <c r="N561" s="21" t="n">
        <v>6.798</v>
      </c>
      <c r="O561" s="21" t="n">
        <v>24484.05</v>
      </c>
      <c r="P561" s="21" t="n">
        <v>3.67</v>
      </c>
      <c r="Q561" s="4">
        <f>N561-L561</f>
        <v/>
      </c>
      <c r="R561" s="21" t="n">
        <v>22.8</v>
      </c>
      <c r="S561" s="21" t="n">
        <v>4.431</v>
      </c>
      <c r="T561" s="7">
        <f>N561-S561</f>
        <v/>
      </c>
      <c r="U561" s="21" t="n">
        <v>104.985</v>
      </c>
      <c r="V561" s="4" t="n"/>
      <c r="W561" s="46" t="n"/>
      <c r="X561" s="21" t="n">
        <v>21298.5</v>
      </c>
      <c r="Y561" s="21" t="n">
        <v>44</v>
      </c>
      <c r="Z561" s="4">
        <f>X561/Y561</f>
        <v/>
      </c>
      <c r="AA561" s="4">
        <f>(Z561/X561)*100</f>
        <v/>
      </c>
      <c r="AB561" s="21" t="n">
        <v>18027.15</v>
      </c>
      <c r="AC561" s="23" t="n">
        <v>32.81</v>
      </c>
      <c r="AD561" s="4">
        <f>AB561/AC561</f>
        <v/>
      </c>
      <c r="AE561" s="4">
        <f>(AD561/AB561)*100</f>
        <v/>
      </c>
    </row>
    <row r="562">
      <c r="A562" s="5" t="n">
        <v>616</v>
      </c>
      <c r="B562" s="45" t="n">
        <v>45603</v>
      </c>
      <c r="C562" s="21" t="n">
        <v>44975873.92</v>
      </c>
      <c r="D562" s="4">
        <f>C562/E562</f>
        <v/>
      </c>
      <c r="E562" s="21" t="n">
        <v>84.29300000000001</v>
      </c>
      <c r="F562" s="4">
        <f>D562/100000</f>
        <v/>
      </c>
      <c r="G562" s="4">
        <f>($D$1-F562)/F562*100</f>
        <v/>
      </c>
      <c r="H562" s="4">
        <f>($D$2-F562)/F562*100</f>
        <v/>
      </c>
      <c r="I562" s="4">
        <f>($D$3-F562)/F562*100</f>
        <v/>
      </c>
      <c r="J562" s="4">
        <f>F562/$F$10*100</f>
        <v/>
      </c>
      <c r="K562" s="4">
        <f>N562/L562</f>
        <v/>
      </c>
      <c r="L562" s="4">
        <f>(M562/O562)*100</f>
        <v/>
      </c>
      <c r="M562" s="4">
        <f>O562/R562</f>
        <v/>
      </c>
      <c r="N562" s="21" t="n">
        <v>6.796</v>
      </c>
      <c r="O562" s="21" t="n">
        <v>24199.35</v>
      </c>
      <c r="P562" s="21" t="n">
        <v>3.62</v>
      </c>
      <c r="Q562" s="4">
        <f>N562-L562</f>
        <v/>
      </c>
      <c r="R562" s="21" t="n">
        <v>22.55</v>
      </c>
      <c r="S562" s="21" t="n">
        <v>4.325</v>
      </c>
      <c r="T562" s="7">
        <f>N562-S562</f>
        <v/>
      </c>
      <c r="U562" s="21" t="n">
        <v>104.37</v>
      </c>
      <c r="V562" s="4" t="n"/>
      <c r="W562" s="46" t="n"/>
      <c r="X562" s="21" t="n">
        <v>21194.85</v>
      </c>
      <c r="Y562" s="21" t="n">
        <v>43.45</v>
      </c>
      <c r="Z562" s="4">
        <f>X562/Y562</f>
        <v/>
      </c>
      <c r="AA562" s="4">
        <f>(Z562/X562)*100</f>
        <v/>
      </c>
      <c r="AB562" s="21" t="n">
        <v>17914.6</v>
      </c>
      <c r="AC562" s="23" t="n">
        <v>32.64</v>
      </c>
      <c r="AD562" s="4">
        <f>AB562/AC562</f>
        <v/>
      </c>
      <c r="AE562" s="4">
        <f>(AD562/AB562)*100</f>
        <v/>
      </c>
    </row>
    <row r="563">
      <c r="A563" s="5" t="n">
        <v>617</v>
      </c>
      <c r="B563" s="45" t="n">
        <v>45604</v>
      </c>
      <c r="C563" s="21" t="n">
        <v>44563232.7</v>
      </c>
      <c r="D563" s="4">
        <f>C563/E563</f>
        <v/>
      </c>
      <c r="E563" s="21" t="n">
        <v>84.395</v>
      </c>
      <c r="F563" s="4">
        <f>D563/100000</f>
        <v/>
      </c>
      <c r="G563" s="4">
        <f>($D$1-F563)/F563*100</f>
        <v/>
      </c>
      <c r="H563" s="4">
        <f>($D$2-F563)/F563*100</f>
        <v/>
      </c>
      <c r="I563" s="4">
        <f>($D$3-F563)/F563*100</f>
        <v/>
      </c>
      <c r="J563" s="4">
        <f>F563/$F$10*100</f>
        <v/>
      </c>
      <c r="K563" s="4">
        <f>N563/L563</f>
        <v/>
      </c>
      <c r="L563" s="4">
        <f>(M563/O563)*100</f>
        <v/>
      </c>
      <c r="M563" s="4">
        <f>O563/R563</f>
        <v/>
      </c>
      <c r="N563" s="21" t="n">
        <v>6.774</v>
      </c>
      <c r="O563" s="21" t="n">
        <v>24148.2</v>
      </c>
      <c r="P563" s="21" t="n">
        <v>3.62</v>
      </c>
      <c r="Q563" s="4">
        <f>N563-L563</f>
        <v/>
      </c>
      <c r="R563" s="21" t="n">
        <v>22.27</v>
      </c>
      <c r="S563" s="21" t="n">
        <v>4.305</v>
      </c>
      <c r="T563" s="7">
        <f>N563-S563</f>
        <v/>
      </c>
      <c r="U563" s="21" t="n">
        <v>104.89</v>
      </c>
      <c r="V563" s="4" t="n"/>
      <c r="W563" s="46" t="n"/>
      <c r="X563" s="21" t="n">
        <v>20919.9</v>
      </c>
      <c r="Y563" s="21" t="n">
        <v>42.87</v>
      </c>
      <c r="Z563" s="4">
        <f>X563/Y563</f>
        <v/>
      </c>
      <c r="AA563" s="4">
        <f>(Z563/X563)*100</f>
        <v/>
      </c>
      <c r="AB563" s="21" t="n">
        <v>17634.25</v>
      </c>
      <c r="AC563" s="23" t="n">
        <v>32.14</v>
      </c>
      <c r="AD563" s="4">
        <f>AB563/AC563</f>
        <v/>
      </c>
      <c r="AE563" s="4">
        <f>(AD563/AB563)*100</f>
        <v/>
      </c>
    </row>
    <row r="564">
      <c r="A564" s="5" t="n">
        <v>618</v>
      </c>
      <c r="B564" s="45" t="n">
        <v>45607</v>
      </c>
      <c r="C564" s="21" t="n">
        <v>44367021.95</v>
      </c>
      <c r="D564" s="4">
        <f>C564/E564</f>
        <v/>
      </c>
      <c r="E564" s="21" t="n">
        <v>84.379</v>
      </c>
      <c r="F564" s="4">
        <f>D564/100000</f>
        <v/>
      </c>
      <c r="G564" s="4">
        <f>($D$1-F564)/F564*100</f>
        <v/>
      </c>
      <c r="H564" s="4">
        <f>($D$2-F564)/F564*100</f>
        <v/>
      </c>
      <c r="I564" s="4">
        <f>($D$3-F564)/F564*100</f>
        <v/>
      </c>
      <c r="J564" s="4">
        <f>F564/$F$10*100</f>
        <v/>
      </c>
      <c r="K564" s="4">
        <f>N564/L564</f>
        <v/>
      </c>
      <c r="L564" s="4">
        <f>(M564/O564)*100</f>
        <v/>
      </c>
      <c r="M564" s="4">
        <f>O564/R564</f>
        <v/>
      </c>
      <c r="N564" s="21" t="n">
        <v>6.785</v>
      </c>
      <c r="O564" s="21" t="n">
        <v>24141.3</v>
      </c>
      <c r="P564" s="21" t="n">
        <v>3.62</v>
      </c>
      <c r="Q564" s="4">
        <f>N564-L564</f>
        <v/>
      </c>
      <c r="R564" s="21" t="n">
        <v>22.23</v>
      </c>
      <c r="S564" s="21" t="n">
        <v>4.305</v>
      </c>
      <c r="T564" s="7">
        <f>N564-S564</f>
        <v/>
      </c>
      <c r="U564" s="21" t="n">
        <v>105.457</v>
      </c>
      <c r="V564" s="4" t="n"/>
      <c r="W564" s="46" t="n"/>
      <c r="X564" s="21" t="n">
        <v>20749.95</v>
      </c>
      <c r="Y564" s="21" t="n">
        <v>42.31</v>
      </c>
      <c r="Z564" s="4">
        <f>X564/Y564</f>
        <v/>
      </c>
      <c r="AA564" s="4">
        <f>(Z564/X564)*100</f>
        <v/>
      </c>
      <c r="AB564" s="21" t="n">
        <v>17423.9</v>
      </c>
      <c r="AC564" s="23" t="n">
        <v>31.82</v>
      </c>
      <c r="AD564" s="4">
        <f>AB564/AC564</f>
        <v/>
      </c>
      <c r="AE564" s="4">
        <f>(AD564/AB564)*100</f>
        <v/>
      </c>
    </row>
    <row r="565">
      <c r="A565" s="5" t="n">
        <v>619</v>
      </c>
      <c r="B565" s="45" t="n">
        <v>45608</v>
      </c>
      <c r="C565" s="21" t="n">
        <v>43853342.86</v>
      </c>
      <c r="D565" s="4">
        <f>C565/E565</f>
        <v/>
      </c>
      <c r="E565" s="21" t="n">
        <v>84.38</v>
      </c>
      <c r="F565" s="4">
        <f>D565/100000</f>
        <v/>
      </c>
      <c r="G565" s="4">
        <f>($D$1-F565)/F565*100</f>
        <v/>
      </c>
      <c r="H565" s="4">
        <f>($D$2-F565)/F565*100</f>
        <v/>
      </c>
      <c r="I565" s="4">
        <f>($D$3-F565)/F565*100</f>
        <v/>
      </c>
      <c r="J565" s="4">
        <f>F565/$F$10*100</f>
        <v/>
      </c>
      <c r="K565" s="4">
        <f>N565/L565</f>
        <v/>
      </c>
      <c r="L565" s="4">
        <f>(M565/O565)*100</f>
        <v/>
      </c>
      <c r="M565" s="4">
        <f>O565/R565</f>
        <v/>
      </c>
      <c r="N565" s="21" t="n">
        <v>6.795</v>
      </c>
      <c r="O565" s="21" t="n">
        <v>23883.45</v>
      </c>
      <c r="P565" s="21" t="n">
        <v>3.58</v>
      </c>
      <c r="Q565" s="4">
        <f>N565-L565</f>
        <v/>
      </c>
      <c r="R565" s="21" t="n">
        <v>21.93</v>
      </c>
      <c r="S565" s="21" t="n">
        <v>4.429</v>
      </c>
      <c r="T565" s="7">
        <f>N565-S565</f>
        <v/>
      </c>
      <c r="U565" s="21" t="n">
        <v>105.95</v>
      </c>
      <c r="V565" s="4" t="n"/>
      <c r="W565" s="46" t="n"/>
      <c r="X565" s="21" t="n">
        <v>20560.6</v>
      </c>
      <c r="Y565" s="21" t="n">
        <v>41.9</v>
      </c>
      <c r="Z565" s="4">
        <f>X565/Y565</f>
        <v/>
      </c>
      <c r="AA565" s="4">
        <f>(Z565/X565)*100</f>
        <v/>
      </c>
      <c r="AB565" s="21" t="n">
        <v>17196.4</v>
      </c>
      <c r="AC565" s="23" t="n">
        <v>31.47</v>
      </c>
      <c r="AD565" s="4">
        <f>AB565/AC565</f>
        <v/>
      </c>
      <c r="AE565" s="4">
        <f>(AD565/AB565)*100</f>
        <v/>
      </c>
    </row>
    <row r="566">
      <c r="A566" s="5" t="n">
        <v>620</v>
      </c>
      <c r="B566" s="45" t="n">
        <v>45609</v>
      </c>
      <c r="C566" s="21" t="n">
        <v>43060255.79</v>
      </c>
      <c r="D566" s="4">
        <f>C566/E566</f>
        <v/>
      </c>
      <c r="E566" s="21" t="n">
        <v>84.416</v>
      </c>
      <c r="F566" s="4">
        <f>D566/100000</f>
        <v/>
      </c>
      <c r="G566" s="4">
        <f>($D$1-F566)/F566*100</f>
        <v/>
      </c>
      <c r="H566" s="4">
        <f>($D$2-F566)/F566*100</f>
        <v/>
      </c>
      <c r="I566" s="4">
        <f>($D$3-F566)/F566*100</f>
        <v/>
      </c>
      <c r="J566" s="4">
        <f>F566/$F$10*100</f>
        <v/>
      </c>
      <c r="K566" s="4">
        <f>N566/L566</f>
        <v/>
      </c>
      <c r="L566" s="4">
        <f>(M566/O566)*100</f>
        <v/>
      </c>
      <c r="M566" s="4">
        <f>O566/R566</f>
        <v/>
      </c>
      <c r="N566" s="21" t="n">
        <v>6.804</v>
      </c>
      <c r="O566" s="21" t="n">
        <v>23559.05</v>
      </c>
      <c r="P566" s="21" t="n">
        <v>3.53</v>
      </c>
      <c r="Q566" s="4">
        <f>N566-L566</f>
        <v/>
      </c>
      <c r="R566" s="21" t="n">
        <v>21.68</v>
      </c>
      <c r="S566" s="21" t="n">
        <v>4.45</v>
      </c>
      <c r="T566" s="7">
        <f>N566-S566</f>
        <v/>
      </c>
      <c r="U566" s="21" t="n">
        <v>106.379</v>
      </c>
      <c r="V566" s="4" t="n"/>
      <c r="W566" s="46" t="n"/>
      <c r="X566" s="21" t="n">
        <v>20010.75</v>
      </c>
      <c r="Y566" s="21" t="n">
        <v>40.73</v>
      </c>
      <c r="Z566" s="4">
        <f>X566/Y566</f>
        <v/>
      </c>
      <c r="AA566" s="4">
        <f>(Z566/X566)*100</f>
        <v/>
      </c>
      <c r="AB566" s="21" t="n">
        <v>16670.35</v>
      </c>
      <c r="AC566" s="23" t="n">
        <v>30.62</v>
      </c>
      <c r="AD566" s="4">
        <f>AB566/AC566</f>
        <v/>
      </c>
      <c r="AE566" s="4">
        <f>(AD566/AB566)*100</f>
        <v/>
      </c>
    </row>
    <row r="567">
      <c r="A567" s="5" t="n">
        <v>621</v>
      </c>
      <c r="B567" s="45" t="n">
        <v>45610</v>
      </c>
      <c r="C567" s="21" t="n">
        <v>43178792.93</v>
      </c>
      <c r="D567" s="4">
        <f>C567/E567</f>
        <v/>
      </c>
      <c r="E567" s="21" t="n">
        <v>84.461</v>
      </c>
      <c r="F567" s="4">
        <f>D567/100000</f>
        <v/>
      </c>
      <c r="G567" s="4">
        <f>($D$1-F567)/F567*100</f>
        <v/>
      </c>
      <c r="H567" s="4">
        <f>($D$2-F567)/F567*100</f>
        <v/>
      </c>
      <c r="I567" s="4">
        <f>($D$3-F567)/F567*100</f>
        <v/>
      </c>
      <c r="J567" s="4">
        <f>F567/$F$10*100</f>
        <v/>
      </c>
      <c r="K567" s="4">
        <f>N567/L567</f>
        <v/>
      </c>
      <c r="L567" s="4">
        <f>(M567/O567)*100</f>
        <v/>
      </c>
      <c r="M567" s="4">
        <f>O567/R567</f>
        <v/>
      </c>
      <c r="N567" s="21" t="n">
        <v>6.827</v>
      </c>
      <c r="O567" s="21" t="n">
        <v>23532.7</v>
      </c>
      <c r="P567" s="21" t="n">
        <v>3.52</v>
      </c>
      <c r="Q567" s="4">
        <f>N567-L567</f>
        <v/>
      </c>
      <c r="R567" s="21" t="n">
        <v>21.65</v>
      </c>
      <c r="S567" s="21" t="n">
        <v>4.445</v>
      </c>
      <c r="T567" s="7">
        <f>N567-S567</f>
        <v/>
      </c>
      <c r="U567" s="21" t="n">
        <v>106.598</v>
      </c>
      <c r="V567" s="4" t="n"/>
      <c r="W567" s="46" t="n"/>
      <c r="X567" s="21" t="n">
        <v>20105.25</v>
      </c>
      <c r="Y567" s="21" t="n">
        <v>40.9</v>
      </c>
      <c r="Z567" s="4">
        <f>X567/Y567</f>
        <v/>
      </c>
      <c r="AA567" s="4">
        <f>(Z567/X567)*100</f>
        <v/>
      </c>
      <c r="AB567" s="21" t="n">
        <v>16801.55</v>
      </c>
      <c r="AC567" s="23" t="n">
        <v>30.85</v>
      </c>
      <c r="AD567" s="4">
        <f>AB567/AC567</f>
        <v/>
      </c>
      <c r="AE567" s="4">
        <f>(AD567/AB567)*100</f>
        <v/>
      </c>
    </row>
    <row r="568">
      <c r="A568" s="5" t="n">
        <v>622</v>
      </c>
      <c r="B568" s="45" t="n">
        <v>45614</v>
      </c>
      <c r="C568" s="21" t="n">
        <v>43011609.03</v>
      </c>
      <c r="D568" s="4">
        <f>C568/E568</f>
        <v/>
      </c>
      <c r="E568" s="21" t="n">
        <v>84.398</v>
      </c>
      <c r="F568" s="4">
        <f>D568/100000</f>
        <v/>
      </c>
      <c r="G568" s="4">
        <f>($D$1-F568)/F568*100</f>
        <v/>
      </c>
      <c r="H568" s="4">
        <f>($D$2-F568)/F568*100</f>
        <v/>
      </c>
      <c r="I568" s="4">
        <f>($D$3-F568)/F568*100</f>
        <v/>
      </c>
      <c r="J568" s="4">
        <f>F568/$F$10*100</f>
        <v/>
      </c>
      <c r="K568" s="4">
        <f>N568/L568</f>
        <v/>
      </c>
      <c r="L568" s="4">
        <f>(M568/O568)*100</f>
        <v/>
      </c>
      <c r="M568" s="4">
        <f>O568/R568</f>
        <v/>
      </c>
      <c r="N568" s="21" t="n">
        <v>6.821</v>
      </c>
      <c r="O568" s="21" t="n">
        <v>23453.8</v>
      </c>
      <c r="P568" s="21" t="n">
        <v>3.51</v>
      </c>
      <c r="Q568" s="4">
        <f>N568-L568</f>
        <v/>
      </c>
      <c r="R568" s="21" t="n">
        <v>21.57</v>
      </c>
      <c r="S568" s="21" t="n">
        <v>4.413</v>
      </c>
      <c r="T568" s="7">
        <f>N568-S568</f>
        <v/>
      </c>
      <c r="U568" s="21" t="n">
        <v>106.201</v>
      </c>
      <c r="V568" s="4" t="n"/>
      <c r="W568" s="46" t="n"/>
      <c r="X568" s="21" t="n">
        <v>20068.55</v>
      </c>
      <c r="Y568" s="21" t="n">
        <v>40.64</v>
      </c>
      <c r="Z568" s="4">
        <f>X568/Y568</f>
        <v/>
      </c>
      <c r="AA568" s="4">
        <f>(Z568/X568)*100</f>
        <v/>
      </c>
      <c r="AB568" s="21" t="n">
        <v>16693.35</v>
      </c>
      <c r="AC568" s="23" t="n">
        <v>30.54</v>
      </c>
      <c r="AD568" s="4">
        <f>AB568/AC568</f>
        <v/>
      </c>
      <c r="AE568" s="4">
        <f>(AD568/AB568)*100</f>
        <v/>
      </c>
    </row>
    <row r="569">
      <c r="A569" s="5" t="n">
        <v>623</v>
      </c>
      <c r="B569" s="45" t="n">
        <v>45615</v>
      </c>
      <c r="C569" s="21" t="n">
        <v>43190386.73</v>
      </c>
      <c r="D569" s="4">
        <f>C569/E569</f>
        <v/>
      </c>
      <c r="E569" s="21" t="n">
        <v>84.39</v>
      </c>
      <c r="F569" s="4">
        <f>D569/100000</f>
        <v/>
      </c>
      <c r="G569" s="4">
        <f>($D$1-F569)/F569*100</f>
        <v/>
      </c>
      <c r="H569" s="4">
        <f>($D$2-F569)/F569*100</f>
        <v/>
      </c>
      <c r="I569" s="4">
        <f>($D$3-F569)/F569*100</f>
        <v/>
      </c>
      <c r="J569" s="4">
        <f>F569/$F$10*100</f>
        <v/>
      </c>
      <c r="K569" s="4">
        <f>N569/L569</f>
        <v/>
      </c>
      <c r="L569" s="4">
        <f>(M569/O569)*100</f>
        <v/>
      </c>
      <c r="M569" s="4">
        <f>O569/R569</f>
        <v/>
      </c>
      <c r="N569" s="21" t="n">
        <v>6.811</v>
      </c>
      <c r="O569" s="21" t="n">
        <v>23518.5</v>
      </c>
      <c r="P569" s="21" t="n">
        <v>3.52</v>
      </c>
      <c r="Q569" s="4">
        <f>N569-L569</f>
        <v/>
      </c>
      <c r="R569" s="21" t="n">
        <v>21.65</v>
      </c>
      <c r="S569" s="21" t="n">
        <v>4.395</v>
      </c>
      <c r="T569" s="7">
        <f>N569-S569</f>
        <v/>
      </c>
      <c r="U569" s="21" t="n">
        <v>106.143</v>
      </c>
      <c r="V569" s="4" t="n"/>
      <c r="W569" s="46" t="n"/>
      <c r="X569" s="21" t="n">
        <v>20258.1</v>
      </c>
      <c r="Y569" s="21" t="n">
        <v>40.69</v>
      </c>
      <c r="Z569" s="4">
        <f>X569/Y569</f>
        <v/>
      </c>
      <c r="AA569" s="4">
        <f>(Z569/X569)*100</f>
        <v/>
      </c>
      <c r="AB569" s="21" t="n">
        <v>16845.25</v>
      </c>
      <c r="AC569" s="23" t="n">
        <v>30.49</v>
      </c>
      <c r="AD569" s="4">
        <f>AB569/AC569</f>
        <v/>
      </c>
      <c r="AE569" s="4">
        <f>(AD569/AB569)*100</f>
        <v/>
      </c>
    </row>
    <row r="570">
      <c r="A570" s="5" t="n">
        <v>624</v>
      </c>
      <c r="B570" s="45" t="n">
        <v>45617</v>
      </c>
      <c r="C570" s="21" t="n">
        <v>42655205.05</v>
      </c>
      <c r="D570" s="4">
        <f>C570/E570</f>
        <v/>
      </c>
      <c r="E570" s="21" t="n">
        <v>84.495</v>
      </c>
      <c r="F570" s="4">
        <f>D570/100000</f>
        <v/>
      </c>
      <c r="G570" s="4">
        <f>($D$1-F570)/F570*100</f>
        <v/>
      </c>
      <c r="H570" s="4">
        <f>($D$2-F570)/F570*100</f>
        <v/>
      </c>
      <c r="I570" s="4">
        <f>($D$3-F570)/F570*100</f>
        <v/>
      </c>
      <c r="J570" s="4">
        <f>F570/$F$10*100</f>
        <v/>
      </c>
      <c r="K570" s="4">
        <f>N570/L570</f>
        <v/>
      </c>
      <c r="L570" s="4">
        <f>(M570/O570)*100</f>
        <v/>
      </c>
      <c r="M570" s="4">
        <f>O570/R570</f>
        <v/>
      </c>
      <c r="N570" s="21" t="n">
        <v>6.831</v>
      </c>
      <c r="O570" s="21" t="n">
        <v>23349.9</v>
      </c>
      <c r="P570" s="21" t="n">
        <v>3.5</v>
      </c>
      <c r="Q570" s="4">
        <f>N570-L570</f>
        <v/>
      </c>
      <c r="R570" s="21" t="n">
        <v>21.49</v>
      </c>
      <c r="S570" s="21" t="n">
        <v>4.419</v>
      </c>
      <c r="T570" s="7">
        <f>N570-S570</f>
        <v/>
      </c>
      <c r="U570" s="21" t="n">
        <v>106.93</v>
      </c>
      <c r="V570" s="4" t="n"/>
      <c r="W570" s="46" t="n"/>
      <c r="X570" s="21" t="n">
        <v>20180.9</v>
      </c>
      <c r="Y570" s="21" t="n">
        <v>40.54</v>
      </c>
      <c r="Z570" s="4">
        <f>X570/Y570</f>
        <v/>
      </c>
      <c r="AA570" s="4">
        <f>(Z570/X570)*100</f>
        <v/>
      </c>
      <c r="AB570" s="21" t="n">
        <v>16747.85</v>
      </c>
      <c r="AC570" s="23" t="n">
        <v>32.15</v>
      </c>
      <c r="AD570" s="4">
        <f>AB570/AC570</f>
        <v/>
      </c>
      <c r="AE570" s="4">
        <f>(AD570/AB570)*100</f>
        <v/>
      </c>
    </row>
    <row r="571">
      <c r="A571" s="5" t="n">
        <v>625</v>
      </c>
      <c r="B571" s="45" t="n">
        <v>45618</v>
      </c>
      <c r="C571" s="21" t="n">
        <v>43382625.69</v>
      </c>
      <c r="D571" s="4">
        <f>C571/E571</f>
        <v/>
      </c>
      <c r="E571" s="21" t="n">
        <v>84.426</v>
      </c>
      <c r="F571" s="4">
        <f>D571/100000</f>
        <v/>
      </c>
      <c r="G571" s="4">
        <f>($D$1-F571)/F571*100</f>
        <v/>
      </c>
      <c r="H571" s="4">
        <f>($D$2-F571)/F571*100</f>
        <v/>
      </c>
      <c r="I571" s="4">
        <f>($D$3-F571)/F571*100</f>
        <v/>
      </c>
      <c r="J571" s="4">
        <f>F571/$F$10*100</f>
        <v/>
      </c>
      <c r="K571" s="4">
        <f>N571/L571</f>
        <v/>
      </c>
      <c r="L571" s="4">
        <f>(M571/O571)*100</f>
        <v/>
      </c>
      <c r="M571" s="4">
        <f>O571/R571</f>
        <v/>
      </c>
      <c r="N571" s="21" t="n">
        <v>6.85</v>
      </c>
      <c r="O571" s="21" t="n">
        <v>23907.25</v>
      </c>
      <c r="P571" s="21" t="n">
        <v>3.58</v>
      </c>
      <c r="Q571" s="4">
        <f>N571-L571</f>
        <v/>
      </c>
      <c r="R571" s="21" t="n">
        <v>22.01</v>
      </c>
      <c r="S571" s="21" t="n">
        <v>4.411</v>
      </c>
      <c r="T571" s="7">
        <f>N571-S571</f>
        <v/>
      </c>
      <c r="U571" s="21" t="n">
        <v>107.507</v>
      </c>
      <c r="V571" s="4" t="n"/>
      <c r="W571" s="46" t="n"/>
      <c r="X571" s="21" t="n">
        <v>20412.65</v>
      </c>
      <c r="Y571" s="21" t="n">
        <v>41</v>
      </c>
      <c r="Z571" s="4">
        <f>X571/Y571</f>
        <v/>
      </c>
      <c r="AA571" s="4">
        <f>(Z571/X571)*100</f>
        <v/>
      </c>
      <c r="AB571" s="21" t="n">
        <v>16912.3</v>
      </c>
      <c r="AC571" s="23" t="n">
        <v>32.52</v>
      </c>
      <c r="AD571" s="4">
        <f>AB571/AC571</f>
        <v/>
      </c>
      <c r="AE571" s="4">
        <f>(AD571/AB571)*100</f>
        <v/>
      </c>
    </row>
    <row r="572">
      <c r="A572" s="5" t="n">
        <v>626</v>
      </c>
      <c r="B572" s="45" t="n">
        <v>45621</v>
      </c>
      <c r="C572" s="21" t="n">
        <v>44049098.94</v>
      </c>
      <c r="D572" s="4">
        <f>C572/E572</f>
        <v/>
      </c>
      <c r="E572" s="21" t="n">
        <v>84.26000000000001</v>
      </c>
      <c r="F572" s="4">
        <f>D572/100000</f>
        <v/>
      </c>
      <c r="G572" s="4">
        <f>($D$1-F572)/F572*100</f>
        <v/>
      </c>
      <c r="H572" s="4">
        <f>($D$2-F572)/F572*100</f>
        <v/>
      </c>
      <c r="I572" s="4">
        <f>($D$3-F572)/F572*100</f>
        <v/>
      </c>
      <c r="J572" s="4">
        <f>F572/$F$10*100</f>
        <v/>
      </c>
      <c r="K572" s="4">
        <f>N572/L572</f>
        <v/>
      </c>
      <c r="L572" s="4">
        <f>(M572/O572)*100</f>
        <v/>
      </c>
      <c r="M572" s="4">
        <f>O572/R572</f>
        <v/>
      </c>
      <c r="N572" s="21" t="n">
        <v>6.822</v>
      </c>
      <c r="O572" s="21" t="n">
        <v>24221.9</v>
      </c>
      <c r="P572" s="21" t="n">
        <v>3.63</v>
      </c>
      <c r="Q572" s="4">
        <f>N572-L572</f>
        <v/>
      </c>
      <c r="R572" s="21" t="n">
        <v>22.29</v>
      </c>
      <c r="S572" s="21" t="n">
        <v>4.274</v>
      </c>
      <c r="T572" s="7">
        <f>N572-S572</f>
        <v/>
      </c>
      <c r="U572" s="21" t="n">
        <v>106.77</v>
      </c>
      <c r="V572" s="4" t="n"/>
      <c r="W572" s="46" t="n"/>
      <c r="X572" s="21" t="n">
        <v>20725.7</v>
      </c>
      <c r="Y572" s="21" t="n">
        <v>41.63</v>
      </c>
      <c r="Z572" s="4">
        <f>X572/Y572</f>
        <v/>
      </c>
      <c r="AA572" s="4">
        <f>(Z572/X572)*100</f>
        <v/>
      </c>
      <c r="AB572" s="21" t="n">
        <v>17269.55</v>
      </c>
      <c r="AC572" s="23" t="n">
        <v>33.2</v>
      </c>
      <c r="AD572" s="4">
        <f>AB572/AC572</f>
        <v/>
      </c>
      <c r="AE572" s="4">
        <f>(AD572/AB572)*100</f>
        <v/>
      </c>
    </row>
    <row r="573">
      <c r="A573" s="5" t="n">
        <v>627</v>
      </c>
      <c r="B573" s="45" t="n">
        <v>45622</v>
      </c>
      <c r="C573" s="21" t="n">
        <v>44164026.56</v>
      </c>
      <c r="D573" s="4">
        <f>C573/E573</f>
        <v/>
      </c>
      <c r="E573" s="21" t="n">
        <v>84.319</v>
      </c>
      <c r="F573" s="4">
        <f>D573/100000</f>
        <v/>
      </c>
      <c r="G573" s="4">
        <f>($D$1-F573)/F573*100</f>
        <v/>
      </c>
      <c r="H573" s="4">
        <f>($D$2-F573)/F573*100</f>
        <v/>
      </c>
      <c r="I573" s="4">
        <f>($D$3-F573)/F573*100</f>
        <v/>
      </c>
      <c r="J573" s="4">
        <f>F573/$F$10*100</f>
        <v/>
      </c>
      <c r="K573" s="4">
        <f>N573/L573</f>
        <v/>
      </c>
      <c r="L573" s="4">
        <f>(M573/O573)*100</f>
        <v/>
      </c>
      <c r="M573" s="4">
        <f>O573/R573</f>
        <v/>
      </c>
      <c r="N573" s="21" t="n">
        <v>6.827</v>
      </c>
      <c r="O573" s="21" t="n">
        <v>24194.5</v>
      </c>
      <c r="P573" s="21" t="n">
        <v>3.62</v>
      </c>
      <c r="Q573" s="4">
        <f>N573-L573</f>
        <v/>
      </c>
      <c r="R573" s="21" t="n">
        <v>22.27</v>
      </c>
      <c r="S573" s="21" t="n">
        <v>4.294</v>
      </c>
      <c r="T573" s="7">
        <f>N573-S573</f>
        <v/>
      </c>
      <c r="U573" s="21" t="n">
        <v>106.968</v>
      </c>
      <c r="V573" s="4" t="n"/>
      <c r="W573" s="46" t="n"/>
      <c r="X573" s="21" t="n">
        <v>20735.1</v>
      </c>
      <c r="Y573" s="21" t="n">
        <v>41.64</v>
      </c>
      <c r="Z573" s="4">
        <f>X573/Y573</f>
        <v/>
      </c>
      <c r="AA573" s="4">
        <f>(Z573/X573)*100</f>
        <v/>
      </c>
      <c r="AB573" s="21" t="n">
        <v>17375.55</v>
      </c>
      <c r="AC573" s="23" t="n">
        <v>33.41</v>
      </c>
      <c r="AD573" s="4">
        <f>AB573/AC573</f>
        <v/>
      </c>
      <c r="AE573" s="4">
        <f>(AD573/AB573)*100</f>
        <v/>
      </c>
    </row>
    <row r="574">
      <c r="A574" s="5" t="n">
        <v>628</v>
      </c>
      <c r="B574" s="45" t="n">
        <v>45623</v>
      </c>
      <c r="C574" s="21" t="n">
        <v>44571592.78</v>
      </c>
      <c r="D574" s="4">
        <f>C574/E574</f>
        <v/>
      </c>
      <c r="E574" s="21" t="n">
        <v>84.41</v>
      </c>
      <c r="F574" s="4">
        <f>D574/100000</f>
        <v/>
      </c>
      <c r="G574" s="4">
        <f>($D$1-F574)/F574*100</f>
        <v/>
      </c>
      <c r="H574" s="4">
        <f>($D$2-F574)/F574*100</f>
        <v/>
      </c>
      <c r="I574" s="4">
        <f>($D$3-F574)/F574*100</f>
        <v/>
      </c>
      <c r="J574" s="4">
        <f>F574/$F$10*100</f>
        <v/>
      </c>
      <c r="K574" s="4">
        <f>N574/L574</f>
        <v/>
      </c>
      <c r="L574" s="4">
        <f>(M574/O574)*100</f>
        <v/>
      </c>
      <c r="M574" s="4">
        <f>O574/R574</f>
        <v/>
      </c>
      <c r="N574" s="21" t="n">
        <v>6.812</v>
      </c>
      <c r="O574" s="21" t="n">
        <v>24274.9</v>
      </c>
      <c r="P574" s="21" t="n">
        <v>3.63</v>
      </c>
      <c r="Q574" s="4">
        <f>N574-L574</f>
        <v/>
      </c>
      <c r="R574" s="21" t="n">
        <v>22.34</v>
      </c>
      <c r="S574" s="21" t="n">
        <v>4.26</v>
      </c>
      <c r="T574" s="7">
        <f>N574-S574</f>
        <v/>
      </c>
      <c r="U574" s="21" t="n">
        <v>106.048</v>
      </c>
      <c r="V574" s="4" t="n"/>
      <c r="W574" s="46" t="n"/>
      <c r="X574" s="21" t="n">
        <v>20838.2</v>
      </c>
      <c r="Y574" s="21" t="n">
        <v>41.84</v>
      </c>
      <c r="Z574" s="4">
        <f>X574/Y574</f>
        <v/>
      </c>
      <c r="AA574" s="4">
        <f>(Z574/X574)*100</f>
        <v/>
      </c>
      <c r="AB574" s="21" t="n">
        <v>17552.65</v>
      </c>
      <c r="AC574" s="23" t="n">
        <v>33.75</v>
      </c>
      <c r="AD574" s="4">
        <f>AB574/AC574</f>
        <v/>
      </c>
      <c r="AE574" s="4">
        <f>(AD574/AB574)*100</f>
        <v/>
      </c>
    </row>
    <row r="575">
      <c r="A575" s="5" t="n">
        <v>629</v>
      </c>
      <c r="B575" s="45" t="n">
        <v>45624</v>
      </c>
      <c r="C575" s="21" t="n">
        <v>44416203.07</v>
      </c>
      <c r="D575" s="4">
        <f>C575/E575</f>
        <v/>
      </c>
      <c r="E575" s="21" t="n">
        <v>84.44499999999999</v>
      </c>
      <c r="F575" s="4">
        <f>D575/100000</f>
        <v/>
      </c>
      <c r="G575" s="4">
        <f>($D$1-F575)/F575*100</f>
        <v/>
      </c>
      <c r="H575" s="4">
        <f>($D$2-F575)/F575*100</f>
        <v/>
      </c>
      <c r="I575" s="4">
        <f>($D$3-F575)/F575*100</f>
        <v/>
      </c>
      <c r="J575" s="4">
        <f>F575/$F$10*100</f>
        <v/>
      </c>
      <c r="K575" s="4">
        <f>N575/L575</f>
        <v/>
      </c>
      <c r="L575" s="4">
        <f>(M575/O575)*100</f>
        <v/>
      </c>
      <c r="M575" s="4">
        <f>O575/R575</f>
        <v/>
      </c>
      <c r="N575" s="21" t="n">
        <v>6.805</v>
      </c>
      <c r="O575" s="21" t="n">
        <v>23914.15</v>
      </c>
      <c r="P575" s="21" t="n">
        <v>3.56</v>
      </c>
      <c r="Q575" s="4">
        <f>N575-L575</f>
        <v/>
      </c>
      <c r="R575" s="21" t="n">
        <v>22.01</v>
      </c>
      <c r="S575" s="21" t="n">
        <v>4.26</v>
      </c>
      <c r="T575" s="7">
        <f>N575-S575</f>
        <v/>
      </c>
      <c r="U575" s="21" t="n">
        <v>106.048</v>
      </c>
      <c r="V575" s="4" t="n"/>
      <c r="W575" s="46" t="n"/>
      <c r="X575" s="21" t="n">
        <v>20839.9</v>
      </c>
      <c r="Y575" s="21" t="n">
        <v>41.85</v>
      </c>
      <c r="Z575" s="4">
        <f>X575/Y575</f>
        <v/>
      </c>
      <c r="AA575" s="4">
        <f>(Z575/X575)*100</f>
        <v/>
      </c>
      <c r="AB575" s="21" t="n">
        <v>17577.85</v>
      </c>
      <c r="AC575" s="23" t="n">
        <v>33.8</v>
      </c>
      <c r="AD575" s="4">
        <f>AB575/AC575</f>
        <v/>
      </c>
      <c r="AE575" s="4">
        <f>(AD575/AB575)*100</f>
        <v/>
      </c>
    </row>
    <row r="576">
      <c r="A576" s="5" t="n">
        <v>630</v>
      </c>
      <c r="B576" s="45" t="n">
        <v>45625</v>
      </c>
      <c r="C576" s="21" t="n">
        <v>44505794.73</v>
      </c>
      <c r="D576" s="4">
        <f>C576/E576</f>
        <v/>
      </c>
      <c r="E576" s="21" t="n">
        <v>84.559</v>
      </c>
      <c r="F576" s="4">
        <f>D576/100000</f>
        <v/>
      </c>
      <c r="G576" s="4">
        <f>($D$1-F576)/F576*100</f>
        <v/>
      </c>
      <c r="H576" s="4">
        <f>($D$2-F576)/F576*100</f>
        <v/>
      </c>
      <c r="I576" s="4">
        <f>($D$3-F576)/F576*100</f>
        <v/>
      </c>
      <c r="J576" s="4">
        <f>F576/$F$10*100</f>
        <v/>
      </c>
      <c r="K576" s="4">
        <f>N576/L576</f>
        <v/>
      </c>
      <c r="L576" s="4">
        <f>(M576/O576)*100</f>
        <v/>
      </c>
      <c r="M576" s="4">
        <f>O576/R576</f>
        <v/>
      </c>
      <c r="N576" s="21" t="n">
        <v>6.751</v>
      </c>
      <c r="O576" s="21" t="n">
        <v>24131.1</v>
      </c>
      <c r="P576" s="21" t="n">
        <v>3.6</v>
      </c>
      <c r="Q576" s="4">
        <f>N576-L576</f>
        <v/>
      </c>
      <c r="R576" s="21" t="n">
        <v>22.21</v>
      </c>
      <c r="S576" s="21" t="n">
        <v>4.177</v>
      </c>
      <c r="T576" s="7">
        <f>N576-S576</f>
        <v/>
      </c>
      <c r="U576" s="21" t="n">
        <v>105.828</v>
      </c>
      <c r="V576" s="4" t="n"/>
      <c r="W576" s="46" t="n"/>
      <c r="X576" s="21" t="n">
        <v>20906.65</v>
      </c>
      <c r="Y576" s="21" t="n">
        <v>41.98</v>
      </c>
      <c r="Z576" s="4">
        <f>X576/Y576</f>
        <v/>
      </c>
      <c r="AA576" s="4">
        <f>(Z576/X576)*100</f>
        <v/>
      </c>
      <c r="AB576" s="21" t="n">
        <v>17716.45</v>
      </c>
      <c r="AC576" s="23" t="n">
        <v>34.11</v>
      </c>
      <c r="AD576" s="4">
        <f>AB576/AC576</f>
        <v/>
      </c>
      <c r="AE576" s="4">
        <f>(AD576/AB576)*100</f>
        <v/>
      </c>
    </row>
    <row r="577">
      <c r="A577" s="5" t="n">
        <v>631</v>
      </c>
      <c r="B577" s="45" t="n">
        <v>45628</v>
      </c>
      <c r="C577" s="21" t="n">
        <v>44790919.27</v>
      </c>
      <c r="D577" s="4">
        <f>C577/E577</f>
        <v/>
      </c>
      <c r="E577" s="21" t="n">
        <v>84.73999999999999</v>
      </c>
      <c r="F577" s="4">
        <f>D577/100000</f>
        <v/>
      </c>
      <c r="G577" s="4">
        <f>($D$1-F577)/F577*100</f>
        <v/>
      </c>
      <c r="H577" s="4">
        <f>($D$2-F577)/F577*100</f>
        <v/>
      </c>
      <c r="I577" s="4">
        <f>($D$3-F577)/F577*100</f>
        <v/>
      </c>
      <c r="J577" s="4">
        <f>F577/$F$10*100</f>
        <v/>
      </c>
      <c r="K577" s="4">
        <f>N577/L577</f>
        <v/>
      </c>
      <c r="L577" s="4">
        <f>(M577/O577)*100</f>
        <v/>
      </c>
      <c r="M577" s="4">
        <f>O577/R577</f>
        <v/>
      </c>
      <c r="N577" s="21" t="n">
        <v>6.71</v>
      </c>
      <c r="O577" s="21" t="n">
        <v>24276.05</v>
      </c>
      <c r="P577" s="21" t="n">
        <v>3.62</v>
      </c>
      <c r="Q577" s="4">
        <f>N577-L577</f>
        <v/>
      </c>
      <c r="R577" s="21" t="n">
        <v>22.35</v>
      </c>
      <c r="S577" s="21" t="n">
        <v>4.195</v>
      </c>
      <c r="T577" s="7">
        <f>N577-S577</f>
        <v/>
      </c>
      <c r="U577" s="21" t="n">
        <v>106.423</v>
      </c>
      <c r="V577" s="4" t="n"/>
      <c r="W577" s="46" t="n"/>
      <c r="X577" s="21" t="n">
        <v>21105.95</v>
      </c>
      <c r="Y577" s="21" t="n">
        <v>42.38</v>
      </c>
      <c r="Z577" s="4">
        <f>X577/Y577</f>
        <v/>
      </c>
      <c r="AA577" s="4">
        <f>(Z577/X577)*100</f>
        <v/>
      </c>
      <c r="AB577" s="21" t="n">
        <v>17840.1</v>
      </c>
      <c r="AC577" s="23" t="n">
        <v>34.34</v>
      </c>
      <c r="AD577" s="4">
        <f>AB577/AC577</f>
        <v/>
      </c>
      <c r="AE577" s="4">
        <f>(AD577/AB577)*100</f>
        <v/>
      </c>
    </row>
    <row r="578">
      <c r="A578" s="5" t="n">
        <v>632</v>
      </c>
      <c r="B578" s="45" t="n">
        <v>45629</v>
      </c>
      <c r="C578" s="21" t="n">
        <v>45189520.89</v>
      </c>
      <c r="D578" s="4">
        <f>C578/E578</f>
        <v/>
      </c>
      <c r="E578" s="21" t="n">
        <v>84.676</v>
      </c>
      <c r="F578" s="4">
        <f>D578/100000</f>
        <v/>
      </c>
      <c r="G578" s="4">
        <f>($D$1-F578)/F578*100</f>
        <v/>
      </c>
      <c r="H578" s="4">
        <f>($D$2-F578)/F578*100</f>
        <v/>
      </c>
      <c r="I578" s="4">
        <f>($D$3-F578)/F578*100</f>
        <v/>
      </c>
      <c r="J578" s="4">
        <f>F578/$F$10*100</f>
        <v/>
      </c>
      <c r="K578" s="4">
        <f>N578/L578</f>
        <v/>
      </c>
      <c r="L578" s="4">
        <f>(M578/O578)*100</f>
        <v/>
      </c>
      <c r="M578" s="4">
        <f>O578/R578</f>
        <v/>
      </c>
      <c r="N578" s="21" t="n">
        <v>6.714</v>
      </c>
      <c r="O578" s="21" t="n">
        <v>24457.15</v>
      </c>
      <c r="P578" s="21" t="n">
        <v>3.64</v>
      </c>
      <c r="Q578" s="4">
        <f>N578-L578</f>
        <v/>
      </c>
      <c r="R578" s="21" t="n">
        <v>22.51</v>
      </c>
      <c r="S578" s="21" t="n">
        <v>4.226</v>
      </c>
      <c r="T578" s="7">
        <f>N578-S578</f>
        <v/>
      </c>
      <c r="U578" s="21" t="n">
        <v>106.34</v>
      </c>
      <c r="V578" s="4" t="n"/>
      <c r="W578" s="46" t="n"/>
      <c r="X578" s="21" t="n">
        <v>21291.35</v>
      </c>
      <c r="Y578" s="21" t="n">
        <v>42.75</v>
      </c>
      <c r="Z578" s="4">
        <f>X578/Y578</f>
        <v/>
      </c>
      <c r="AA578" s="4">
        <f>(Z578/X578)*100</f>
        <v/>
      </c>
      <c r="AB578" s="21" t="n">
        <v>18007.5</v>
      </c>
      <c r="AC578" s="23" t="n">
        <v>34.67</v>
      </c>
      <c r="AD578" s="4">
        <f>AB578/AC578</f>
        <v/>
      </c>
      <c r="AE578" s="4">
        <f>(AD578/AB578)*100</f>
        <v/>
      </c>
    </row>
    <row r="579">
      <c r="A579" s="5" t="n">
        <v>633</v>
      </c>
      <c r="B579" s="45" t="n">
        <v>45630</v>
      </c>
      <c r="C579" s="21" t="n">
        <v>45690716.05</v>
      </c>
      <c r="D579" s="4">
        <f>C579/E579</f>
        <v/>
      </c>
      <c r="E579" s="21" t="n">
        <v>84.693</v>
      </c>
      <c r="F579" s="4">
        <f>D579/100000</f>
        <v/>
      </c>
      <c r="G579" s="4">
        <f>($D$1-F579)/F579*100</f>
        <v/>
      </c>
      <c r="H579" s="4">
        <f>($D$2-F579)/F579*100</f>
        <v/>
      </c>
      <c r="I579" s="4">
        <f>($D$3-F579)/F579*100</f>
        <v/>
      </c>
      <c r="J579" s="4">
        <f>F579/$F$10*100</f>
        <v/>
      </c>
      <c r="K579" s="4">
        <f>N579/L579</f>
        <v/>
      </c>
      <c r="L579" s="4">
        <f>(M579/O579)*100</f>
        <v/>
      </c>
      <c r="M579" s="4">
        <f>O579/R579</f>
        <v/>
      </c>
      <c r="N579" s="21" t="n">
        <v>6.686</v>
      </c>
      <c r="O579" s="21" t="n">
        <v>24467.45</v>
      </c>
      <c r="P579" s="21" t="n">
        <v>3.65</v>
      </c>
      <c r="Q579" s="4">
        <f>N579-L579</f>
        <v/>
      </c>
      <c r="R579" s="21" t="n">
        <v>22.52</v>
      </c>
      <c r="S579" s="21" t="n">
        <v>4.183</v>
      </c>
      <c r="T579" s="7">
        <f>N579-S579</f>
        <v/>
      </c>
      <c r="U579" s="21" t="n">
        <v>106.29</v>
      </c>
      <c r="X579" s="21" t="n">
        <v>21485.15</v>
      </c>
      <c r="Y579" s="21" t="n">
        <v>43.14</v>
      </c>
      <c r="Z579" s="4">
        <f>X579/Y579</f>
        <v/>
      </c>
      <c r="AA579" s="4">
        <f>(Z579/X579)*100</f>
        <v/>
      </c>
      <c r="AB579" s="21" t="n">
        <v>18143.55</v>
      </c>
      <c r="AC579" s="23" t="n">
        <v>34.93</v>
      </c>
      <c r="AD579" s="4">
        <f>AB579/AC579</f>
        <v/>
      </c>
      <c r="AE579" s="4">
        <f>(AD579/AB579)*100</f>
        <v/>
      </c>
    </row>
    <row r="580">
      <c r="A580" s="5" t="n">
        <v>634</v>
      </c>
      <c r="B580" s="45" t="n">
        <v>45631</v>
      </c>
      <c r="C580" s="21" t="n">
        <v>45953413.05</v>
      </c>
      <c r="D580" s="4">
        <f>C580/E580</f>
        <v/>
      </c>
      <c r="E580" s="21" t="n">
        <v>84.684</v>
      </c>
      <c r="F580" s="4">
        <f>D580/100000</f>
        <v/>
      </c>
      <c r="G580" s="4">
        <f>($D$1-F580)/F580*100</f>
        <v/>
      </c>
      <c r="H580" s="4">
        <f>($D$2-F580)/F580*100</f>
        <v/>
      </c>
      <c r="I580" s="4">
        <f>($D$3-F580)/F580*100</f>
        <v/>
      </c>
      <c r="J580" s="4">
        <f>F580/$F$10*100</f>
        <v/>
      </c>
      <c r="K580" s="4">
        <f>N580/L580</f>
        <v/>
      </c>
      <c r="L580" s="4">
        <f>(M580/O580)*100</f>
        <v/>
      </c>
      <c r="M580" s="4">
        <f>O580/R580</f>
        <v/>
      </c>
      <c r="N580" s="21" t="n">
        <v>6.68</v>
      </c>
      <c r="O580" s="21" t="n">
        <v>24708.4</v>
      </c>
      <c r="P580" s="21" t="n">
        <v>3.68</v>
      </c>
      <c r="Q580" s="4">
        <f>N580-L580</f>
        <v/>
      </c>
      <c r="R580" s="21" t="n">
        <v>22.74</v>
      </c>
      <c r="S580" s="21" t="n">
        <v>4.177</v>
      </c>
      <c r="T580" s="7">
        <f>N580-S580</f>
        <v/>
      </c>
      <c r="U580" s="21" t="n">
        <v>105.701</v>
      </c>
      <c r="X580" s="21" t="n">
        <v>21577.65</v>
      </c>
      <c r="Y580" s="21" t="n">
        <v>43.33</v>
      </c>
      <c r="Z580" s="4">
        <f>X580/Y580</f>
        <v/>
      </c>
      <c r="AA580" s="4">
        <f>(Z580/X580)*100</f>
        <v/>
      </c>
      <c r="AB580" s="21" t="n">
        <v>18230.4</v>
      </c>
      <c r="AC580" s="23" t="n">
        <v>35.1</v>
      </c>
      <c r="AD580" s="4">
        <f>AB580/AC580</f>
        <v/>
      </c>
      <c r="AE580" s="4">
        <f>(AD580/AB580)*100</f>
        <v/>
      </c>
    </row>
    <row r="581">
      <c r="A581" s="5" t="n">
        <v>635</v>
      </c>
      <c r="B581" s="45" t="n">
        <v>45632</v>
      </c>
      <c r="C581" s="21" t="n">
        <v>46059456.42</v>
      </c>
      <c r="D581" s="4">
        <f>C581/E581</f>
        <v/>
      </c>
      <c r="E581" s="21" t="n">
        <v>84.66800000000001</v>
      </c>
      <c r="F581" s="4">
        <f>D581/100000</f>
        <v/>
      </c>
      <c r="G581" s="4">
        <f>($D$1-F581)/F581*100</f>
        <v/>
      </c>
      <c r="H581" s="4">
        <f>($D$2-F581)/F581*100</f>
        <v/>
      </c>
      <c r="I581" s="4">
        <f>($D$3-F581)/F581*100</f>
        <v/>
      </c>
      <c r="J581" s="4">
        <f>F581/$F$10*100</f>
        <v/>
      </c>
      <c r="K581" s="4">
        <f>N581/L581</f>
        <v/>
      </c>
      <c r="L581" s="4">
        <f>(M581/O581)*100</f>
        <v/>
      </c>
      <c r="M581" s="4">
        <f>O581/R581</f>
        <v/>
      </c>
      <c r="N581" s="21" t="n">
        <v>6.74</v>
      </c>
      <c r="O581" s="21" t="n">
        <v>24677.8</v>
      </c>
      <c r="P581" s="21" t="n">
        <v>3.68</v>
      </c>
      <c r="Q581" s="4">
        <f>N581-L581</f>
        <v/>
      </c>
      <c r="R581" s="21" t="n">
        <v>22.72</v>
      </c>
      <c r="S581" s="21" t="n">
        <v>4.148</v>
      </c>
      <c r="T581" s="7">
        <f>N581-S581</f>
        <v/>
      </c>
      <c r="U581" s="21" t="n">
        <v>106.039</v>
      </c>
      <c r="X581" s="21" t="n">
        <v>21665.4</v>
      </c>
      <c r="Y581" s="21" t="n">
        <v>43.51</v>
      </c>
      <c r="Z581" s="4">
        <f>X581/Y581</f>
        <v/>
      </c>
      <c r="AA581" s="4">
        <f>(Z581/X581)*100</f>
        <v/>
      </c>
      <c r="AB581" s="21" t="n">
        <v>18328.95</v>
      </c>
      <c r="AC581" s="23" t="n">
        <v>35.29</v>
      </c>
      <c r="AD581" s="4">
        <f>AB581/AC581</f>
        <v/>
      </c>
      <c r="AE581" s="4">
        <f>(AD581/AB581)*100</f>
        <v/>
      </c>
    </row>
    <row r="582">
      <c r="A582" s="5" t="n">
        <v>636</v>
      </c>
      <c r="B582" s="45" t="n">
        <v>45635</v>
      </c>
      <c r="C582" s="21" t="n">
        <v>46057176.98</v>
      </c>
      <c r="D582" s="4">
        <f>C582/E582</f>
        <v/>
      </c>
      <c r="E582" s="21" t="n">
        <v>84.82899999999999</v>
      </c>
      <c r="F582" s="4">
        <f>D582/100000</f>
        <v/>
      </c>
      <c r="G582" s="4">
        <f>($D$1-F582)/F582*100</f>
        <v/>
      </c>
      <c r="H582" s="4">
        <f>($D$2-F582)/F582*100</f>
        <v/>
      </c>
      <c r="I582" s="4">
        <f>($D$3-F582)/F582*100</f>
        <v/>
      </c>
      <c r="J582" s="4">
        <f>F582/$F$10*100</f>
        <v/>
      </c>
      <c r="K582" s="4">
        <f>N582/L582</f>
        <v/>
      </c>
      <c r="L582" s="4">
        <f>(M582/O582)*100</f>
        <v/>
      </c>
      <c r="M582" s="4">
        <f>O582/R582</f>
        <v/>
      </c>
      <c r="N582" s="21" t="n">
        <v>6.717</v>
      </c>
      <c r="O582" s="21" t="n">
        <v>24619</v>
      </c>
      <c r="P582" s="21" t="n">
        <v>3.67</v>
      </c>
      <c r="Q582" s="4">
        <f>N582-L582</f>
        <v/>
      </c>
      <c r="R582" s="21" t="n">
        <v>22.66</v>
      </c>
      <c r="S582" s="21" t="n">
        <v>4.2</v>
      </c>
      <c r="T582" s="7">
        <f>N582-S582</f>
        <v/>
      </c>
      <c r="U582" s="21" t="n">
        <v>106.125</v>
      </c>
      <c r="X582" s="21" t="n">
        <v>21748.5</v>
      </c>
      <c r="Y582" s="21" t="n">
        <v>43.67</v>
      </c>
      <c r="Z582" s="4">
        <f>X582/Y582</f>
        <v/>
      </c>
      <c r="AA582" s="4">
        <f>(Z582/X582)*100</f>
        <v/>
      </c>
      <c r="AB582" s="21" t="n">
        <v>18396.45</v>
      </c>
      <c r="AC582" s="23" t="n">
        <v>35.42</v>
      </c>
      <c r="AD582" s="4">
        <f>AB582/AC582</f>
        <v/>
      </c>
      <c r="AE582" s="4">
        <f>(AD582/AB582)*100</f>
        <v/>
      </c>
    </row>
    <row r="583">
      <c r="A583" s="5" t="n">
        <v>637</v>
      </c>
      <c r="B583" s="45" t="n">
        <v>45636</v>
      </c>
      <c r="C583" s="21" t="n">
        <v>46089641.55</v>
      </c>
      <c r="D583" s="4">
        <f>C583/E583</f>
        <v/>
      </c>
      <c r="E583" s="21" t="n">
        <v>84.88</v>
      </c>
      <c r="F583" s="4">
        <f>D583/100000</f>
        <v/>
      </c>
      <c r="G583" s="4">
        <f>($D$1-F583)/F583*100</f>
        <v/>
      </c>
      <c r="H583" s="4">
        <f>($D$2-F583)/F583*100</f>
        <v/>
      </c>
      <c r="I583" s="4">
        <f>($D$3-F583)/F583*100</f>
        <v/>
      </c>
      <c r="J583" s="4">
        <f>F583/$F$10*100</f>
        <v/>
      </c>
      <c r="K583" s="4">
        <f>N583/L583</f>
        <v/>
      </c>
      <c r="L583" s="4">
        <f>(M583/O583)*100</f>
        <v/>
      </c>
      <c r="M583" s="4">
        <f>O583/R583</f>
        <v/>
      </c>
      <c r="N583" s="21" t="n">
        <v>6.705</v>
      </c>
      <c r="O583" s="21" t="n">
        <v>24610.05</v>
      </c>
      <c r="P583" s="21" t="n">
        <v>3.67</v>
      </c>
      <c r="Q583" s="4">
        <f>N583-L583</f>
        <v/>
      </c>
      <c r="R583" s="21" t="n">
        <v>22.65</v>
      </c>
      <c r="S583" s="21" t="n">
        <v>4.227</v>
      </c>
      <c r="T583" s="7">
        <f>N583-S583</f>
        <v/>
      </c>
      <c r="U583" s="21" t="n">
        <v>106.382</v>
      </c>
      <c r="X583" s="21" t="n">
        <v>21809.1</v>
      </c>
      <c r="Y583" s="21" t="n">
        <v>43.79</v>
      </c>
      <c r="Z583" s="4">
        <f>X583/Y583</f>
        <v/>
      </c>
      <c r="AA583" s="4">
        <f>(Z583/X583)*100</f>
        <v/>
      </c>
      <c r="AB583" s="21" t="n">
        <v>18450.6</v>
      </c>
      <c r="AC583" s="23" t="n">
        <v>35.52</v>
      </c>
      <c r="AD583" s="4">
        <f>AB583/AC583</f>
        <v/>
      </c>
      <c r="AE583" s="4">
        <f>(AD583/AB583)*100</f>
        <v/>
      </c>
    </row>
    <row r="584">
      <c r="A584" s="5" t="n">
        <v>638</v>
      </c>
      <c r="B584" s="45" t="n">
        <v>45637</v>
      </c>
      <c r="C584" s="21" t="n">
        <v>46188674.55</v>
      </c>
      <c r="D584" s="4">
        <f>C584/E584</f>
        <v/>
      </c>
      <c r="E584" s="21" t="n">
        <v>84.795</v>
      </c>
      <c r="F584" s="4">
        <f>D584/100000</f>
        <v/>
      </c>
      <c r="G584" s="4">
        <f>($D$1-F584)/F584*100</f>
        <v/>
      </c>
      <c r="H584" s="4">
        <f>($D$2-F584)/F584*100</f>
        <v/>
      </c>
      <c r="I584" s="4">
        <f>($D$3-F584)/F584*100</f>
        <v/>
      </c>
      <c r="J584" s="4">
        <f>F584/$F$10*100</f>
        <v/>
      </c>
      <c r="K584" s="4">
        <f>N584/L584</f>
        <v/>
      </c>
      <c r="L584" s="4">
        <f>(M584/O584)*100</f>
        <v/>
      </c>
      <c r="M584" s="4">
        <f>O584/R584</f>
        <v/>
      </c>
      <c r="N584" s="21" t="n">
        <v>6.718</v>
      </c>
      <c r="O584" s="21" t="n">
        <v>24641.8</v>
      </c>
      <c r="P584" s="21" t="n">
        <v>3.67</v>
      </c>
      <c r="Q584" s="4">
        <f>N584-L584</f>
        <v/>
      </c>
      <c r="R584" s="21" t="n">
        <v>22.68</v>
      </c>
      <c r="S584" s="21" t="n">
        <v>4.274</v>
      </c>
      <c r="T584" s="7">
        <f>N584-S584</f>
        <v/>
      </c>
      <c r="U584" s="21" t="n">
        <v>106.695</v>
      </c>
      <c r="X584" s="21" t="n">
        <v>21879.55</v>
      </c>
      <c r="Y584" s="21" t="n">
        <v>43.94</v>
      </c>
      <c r="Z584" s="4">
        <f>X584/Y584</f>
        <v/>
      </c>
      <c r="AA584" s="4">
        <f>(Z584/X584)*100</f>
        <v/>
      </c>
      <c r="AB584" s="21" t="n">
        <v>18502.65</v>
      </c>
      <c r="AC584" s="23" t="n">
        <v>35.62</v>
      </c>
      <c r="AD584" s="4">
        <f>AB584/AC584</f>
        <v/>
      </c>
      <c r="AE584" s="4">
        <f>(AD584/AB584)*100</f>
        <v/>
      </c>
    </row>
    <row r="585">
      <c r="A585" s="5" t="n">
        <v>639</v>
      </c>
      <c r="B585" s="45" t="n">
        <v>45638</v>
      </c>
      <c r="C585" s="21" t="n">
        <v>45960464.37</v>
      </c>
      <c r="D585" s="4">
        <f>C585/E585</f>
        <v/>
      </c>
      <c r="E585" s="21" t="n">
        <v>84.825</v>
      </c>
      <c r="F585" s="4">
        <f>D585/100000</f>
        <v/>
      </c>
      <c r="G585" s="4">
        <f>($D$1-F585)/F585*100</f>
        <v/>
      </c>
      <c r="H585" s="4">
        <f>($D$2-F585)/F585*100</f>
        <v/>
      </c>
      <c r="I585" s="4">
        <f>($D$3-F585)/F585*100</f>
        <v/>
      </c>
      <c r="J585" s="4">
        <f>F585/$F$10*100</f>
        <v/>
      </c>
      <c r="K585" s="4">
        <f>N585/L585</f>
        <v/>
      </c>
      <c r="L585" s="4">
        <f>(M585/O585)*100</f>
        <v/>
      </c>
      <c r="M585" s="4">
        <f>O585/R585</f>
        <v/>
      </c>
      <c r="N585" s="21" t="n">
        <v>6.736</v>
      </c>
      <c r="O585" s="21" t="n">
        <v>24548.7</v>
      </c>
      <c r="P585" s="21" t="n">
        <v>3.66</v>
      </c>
      <c r="Q585" s="4">
        <f>N585-L585</f>
        <v/>
      </c>
      <c r="R585" s="21" t="n">
        <v>22.6</v>
      </c>
      <c r="S585" s="21" t="n">
        <v>4.335</v>
      </c>
      <c r="T585" s="7">
        <f>N585-S585</f>
        <v/>
      </c>
      <c r="U585" s="21" t="n">
        <v>106.959</v>
      </c>
      <c r="X585" s="21" t="n">
        <v>21770.05</v>
      </c>
      <c r="Y585" s="21" t="n">
        <v>43.72</v>
      </c>
      <c r="Z585" s="4">
        <f>X585/Y585</f>
        <v/>
      </c>
      <c r="AA585" s="4">
        <f>(Z585/X585)*100</f>
        <v/>
      </c>
      <c r="AB585" s="21" t="n">
        <v>18330.3</v>
      </c>
      <c r="AC585" s="23" t="n">
        <v>35.29</v>
      </c>
      <c r="AD585" s="4">
        <f>AB585/AC585</f>
        <v/>
      </c>
      <c r="AE585" s="4">
        <f>(AD585/AB585)*100</f>
        <v/>
      </c>
    </row>
    <row r="586">
      <c r="A586" s="5" t="n">
        <v>640</v>
      </c>
      <c r="B586" s="45" t="n">
        <v>45639</v>
      </c>
      <c r="C586" s="21" t="n">
        <v>46082964.45</v>
      </c>
      <c r="D586" s="4">
        <f>C586/E586</f>
        <v/>
      </c>
      <c r="E586" s="21" t="n">
        <v>84.782</v>
      </c>
      <c r="F586" s="4">
        <f>D586/100000</f>
        <v/>
      </c>
      <c r="G586" s="4">
        <f>($D$1-F586)/F586*100</f>
        <v/>
      </c>
      <c r="H586" s="4">
        <f>($D$2-F586)/F586*100</f>
        <v/>
      </c>
      <c r="I586" s="4">
        <f>($D$3-F586)/F586*100</f>
        <v/>
      </c>
      <c r="J586" s="4">
        <f>F586/$F$10*100</f>
        <v/>
      </c>
      <c r="K586" s="4">
        <f>N586/L586</f>
        <v/>
      </c>
      <c r="L586" s="4">
        <f>(M586/O586)*100</f>
        <v/>
      </c>
      <c r="M586" s="4">
        <f>O586/R586</f>
        <v/>
      </c>
      <c r="N586" s="21" t="n">
        <v>6.729</v>
      </c>
      <c r="O586" s="21" t="n">
        <v>24768.3</v>
      </c>
      <c r="P586" s="21" t="n">
        <v>3.69</v>
      </c>
      <c r="Q586" s="4">
        <f>N586-L586</f>
        <v/>
      </c>
      <c r="R586" s="21" t="n">
        <v>22.8</v>
      </c>
      <c r="S586" s="21" t="n">
        <v>4.394</v>
      </c>
      <c r="T586" s="7">
        <f>N586-S586</f>
        <v/>
      </c>
      <c r="U586" s="21" t="n">
        <v>106.993</v>
      </c>
      <c r="X586" s="21" t="n">
        <v>21748.1</v>
      </c>
      <c r="Y586" s="21" t="n">
        <v>43.67</v>
      </c>
      <c r="Z586" s="4">
        <f>X586/Y586</f>
        <v/>
      </c>
      <c r="AA586" s="4">
        <f>(Z586/X586)*100</f>
        <v/>
      </c>
      <c r="AB586" s="21" t="n">
        <v>18263.75</v>
      </c>
      <c r="AC586" s="23" t="n">
        <v>35.16</v>
      </c>
      <c r="AD586" s="4">
        <f>AB586/AC586</f>
        <v/>
      </c>
      <c r="AE586" s="4">
        <f>(AD586/AB586)*100</f>
        <v/>
      </c>
    </row>
    <row r="587">
      <c r="A587" s="5" t="n">
        <v>641</v>
      </c>
      <c r="B587" s="45" t="n">
        <v>45642</v>
      </c>
      <c r="C587" s="21" t="n">
        <v>46133925.81</v>
      </c>
      <c r="D587" s="4">
        <f>C587/E587</f>
        <v/>
      </c>
      <c r="E587" s="21" t="n">
        <v>84.89</v>
      </c>
      <c r="F587" s="4">
        <f>D587/100000</f>
        <v/>
      </c>
      <c r="G587" s="4">
        <f>($D$1-F587)/F587*100</f>
        <v/>
      </c>
      <c r="H587" s="4">
        <f>($D$2-F587)/F587*100</f>
        <v/>
      </c>
      <c r="I587" s="4">
        <f>($D$3-F587)/F587*100</f>
        <v/>
      </c>
      <c r="J587" s="4">
        <f>F587/$F$10*100</f>
        <v/>
      </c>
      <c r="K587" s="4">
        <f>N587/L587</f>
        <v/>
      </c>
      <c r="L587" s="4">
        <f>(M587/O587)*100</f>
        <v/>
      </c>
      <c r="M587" s="4">
        <f>O587/R587</f>
        <v/>
      </c>
      <c r="N587" s="21" t="n">
        <v>6.741</v>
      </c>
      <c r="O587" s="21" t="n">
        <v>24668.25</v>
      </c>
      <c r="P587" s="21" t="n">
        <v>3.68</v>
      </c>
      <c r="Q587" s="4">
        <f>N587-L587</f>
        <v/>
      </c>
      <c r="R587" s="21" t="n">
        <v>22.71</v>
      </c>
      <c r="S587" s="21" t="n">
        <v>4.402</v>
      </c>
      <c r="T587" s="7">
        <f>N587-S587</f>
        <v/>
      </c>
      <c r="U587" s="21" t="n">
        <v>107.03</v>
      </c>
      <c r="X587" s="21" t="n">
        <v>21898.8</v>
      </c>
      <c r="Y587" s="21" t="n">
        <v>43.97</v>
      </c>
      <c r="Z587" s="4">
        <f>X587/Y587</f>
        <v/>
      </c>
      <c r="AA587" s="4">
        <f>(Z587/X587)*100</f>
        <v/>
      </c>
      <c r="AB587" s="21" t="n">
        <v>18344</v>
      </c>
      <c r="AC587" s="23" t="n">
        <v>35.31</v>
      </c>
      <c r="AD587" s="4">
        <f>AB587/AC587</f>
        <v/>
      </c>
      <c r="AE587" s="4">
        <f>(AD587/AB587)*100</f>
        <v/>
      </c>
    </row>
    <row r="588">
      <c r="A588" s="5" t="n">
        <v>642</v>
      </c>
      <c r="B588" s="45" t="n">
        <v>45643</v>
      </c>
      <c r="C588" s="21" t="n">
        <v>45659944.38</v>
      </c>
      <c r="D588" s="4">
        <f>C588/E588</f>
        <v/>
      </c>
      <c r="E588" s="21" t="n">
        <v>84.902</v>
      </c>
      <c r="F588" s="4">
        <f>D588/100000</f>
        <v/>
      </c>
      <c r="G588" s="4">
        <f>($D$1-F588)/F588*100</f>
        <v/>
      </c>
      <c r="H588" s="4">
        <f>($D$2-F588)/F588*100</f>
        <v/>
      </c>
      <c r="I588" s="4">
        <f>($D$3-F588)/F588*100</f>
        <v/>
      </c>
      <c r="J588" s="4">
        <f>F588/$F$10*100</f>
        <v/>
      </c>
      <c r="K588" s="4">
        <f>N588/L588</f>
        <v/>
      </c>
      <c r="L588" s="4">
        <f>(M588/O588)*100</f>
        <v/>
      </c>
      <c r="M588" s="4">
        <f>O588/R588</f>
        <v/>
      </c>
      <c r="N588" s="21" t="n">
        <v>6.759</v>
      </c>
      <c r="O588" s="21" t="n">
        <v>24336</v>
      </c>
      <c r="P588" s="21" t="n">
        <v>3.63</v>
      </c>
      <c r="Q588" s="4">
        <f>N588-L588</f>
        <v/>
      </c>
      <c r="R588" s="21" t="n">
        <v>22.4</v>
      </c>
      <c r="S588" s="21" t="n">
        <v>4.394</v>
      </c>
      <c r="T588" s="7">
        <f>N588-S588</f>
        <v/>
      </c>
      <c r="U588" s="21" t="n">
        <v>106.663</v>
      </c>
      <c r="X588" s="21" t="n">
        <v>21754.1</v>
      </c>
      <c r="Y588" s="21" t="n">
        <v>43.68</v>
      </c>
      <c r="Z588" s="4">
        <f>X588/Y588</f>
        <v/>
      </c>
      <c r="AA588" s="4">
        <f>(Z588/X588)*100</f>
        <v/>
      </c>
      <c r="AB588" s="21" t="n">
        <v>18242.05</v>
      </c>
      <c r="AC588" s="23" t="n">
        <v>35.12</v>
      </c>
      <c r="AD588" s="4">
        <f>AB588/AC588</f>
        <v/>
      </c>
      <c r="AE588" s="4">
        <f>(AD588/AB588)*100</f>
        <v/>
      </c>
    </row>
    <row r="589">
      <c r="A589" s="5" t="n">
        <v>643</v>
      </c>
      <c r="B589" s="45" t="n">
        <v>45644</v>
      </c>
      <c r="C589" s="21" t="n">
        <v>45399764.79</v>
      </c>
      <c r="D589" s="4">
        <f>C589/E589</f>
        <v/>
      </c>
      <c r="E589" s="21" t="n">
        <v>84.867</v>
      </c>
      <c r="F589" s="4">
        <f>D589/100000</f>
        <v/>
      </c>
      <c r="G589" s="4">
        <f>($D$1-F589)/F589*100</f>
        <v/>
      </c>
      <c r="H589" s="4">
        <f>($D$2-F589)/F589*100</f>
        <v/>
      </c>
      <c r="I589" s="4">
        <f>($D$3-F589)/F589*100</f>
        <v/>
      </c>
      <c r="J589" s="4">
        <f>F589/$F$10*100</f>
        <v/>
      </c>
      <c r="K589" s="4">
        <f>N589/L589</f>
        <v/>
      </c>
      <c r="L589" s="4">
        <f>(M589/O589)*100</f>
        <v/>
      </c>
      <c r="M589" s="4">
        <f>O589/R589</f>
        <v/>
      </c>
      <c r="N589" s="21" t="n">
        <v>6.751</v>
      </c>
      <c r="O589" s="21" t="n">
        <v>24198.85</v>
      </c>
      <c r="P589" s="21" t="n">
        <v>3.61</v>
      </c>
      <c r="Q589" s="4">
        <f>N589-L589</f>
        <v/>
      </c>
      <c r="R589" s="21" t="n">
        <v>22.27</v>
      </c>
      <c r="S589" s="21" t="n">
        <v>4.518</v>
      </c>
      <c r="T589" s="7">
        <f>N589-S589</f>
        <v/>
      </c>
      <c r="U589" s="21" t="n">
        <v>107.749</v>
      </c>
      <c r="X589" s="21" t="n">
        <v>21623.1</v>
      </c>
      <c r="Y589" s="21" t="n">
        <v>43.42</v>
      </c>
      <c r="Z589" s="4">
        <f>X589/Y589</f>
        <v/>
      </c>
      <c r="AA589" s="4">
        <f>(Z589/X589)*100</f>
        <v/>
      </c>
      <c r="AB589" s="21" t="n">
        <v>18118.6</v>
      </c>
      <c r="AC589" s="23" t="n">
        <v>34.88</v>
      </c>
      <c r="AD589" s="4">
        <f>AB589/AC589</f>
        <v/>
      </c>
      <c r="AE589" s="4">
        <f>(AD589/AB589)*100</f>
        <v/>
      </c>
    </row>
    <row r="590">
      <c r="A590" s="5" t="n">
        <v>644</v>
      </c>
      <c r="B590" s="45" t="n">
        <v>45645</v>
      </c>
      <c r="C590" s="21" t="n">
        <v>45114609.13</v>
      </c>
      <c r="D590" s="4">
        <f>C590/E590</f>
        <v/>
      </c>
      <c r="E590" s="21" t="n">
        <v>85.08799999999999</v>
      </c>
      <c r="F590" s="4">
        <f>D590/100000</f>
        <v/>
      </c>
      <c r="G590" s="4">
        <f>($D$1-F590)/F590*100</f>
        <v/>
      </c>
      <c r="H590" s="4">
        <f>($D$2-F590)/F590*100</f>
        <v/>
      </c>
      <c r="I590" s="4">
        <f>($D$3-F590)/F590*100</f>
        <v/>
      </c>
      <c r="J590" s="4">
        <f>F590/$F$10*100</f>
        <v/>
      </c>
      <c r="K590" s="4">
        <f>N590/L590</f>
        <v/>
      </c>
      <c r="L590" s="4">
        <f>(M590/O590)*100</f>
        <v/>
      </c>
      <c r="M590" s="4">
        <f>O590/R590</f>
        <v/>
      </c>
      <c r="N590" s="21" t="n">
        <v>6.787</v>
      </c>
      <c r="O590" s="21" t="n">
        <v>23951.7</v>
      </c>
      <c r="P590" s="21" t="n">
        <v>3.57</v>
      </c>
      <c r="Q590" s="4">
        <f>N590-L590</f>
        <v/>
      </c>
      <c r="R590" s="21" t="n">
        <v>22.05</v>
      </c>
      <c r="S590" s="21" t="n">
        <v>4.565</v>
      </c>
      <c r="T590" s="7">
        <f>N590-S590</f>
        <v/>
      </c>
      <c r="U590" s="21" t="n">
        <v>108.152</v>
      </c>
      <c r="X590" s="21" t="n">
        <v>21571.3</v>
      </c>
      <c r="Y590" s="21" t="n">
        <v>43.32</v>
      </c>
      <c r="Z590" s="4">
        <f>X590/Y590</f>
        <v/>
      </c>
      <c r="AA590" s="4">
        <f>(Z590/X590)*100</f>
        <v/>
      </c>
      <c r="AB590" s="21" t="n">
        <v>18057.2</v>
      </c>
      <c r="AC590" s="23" t="n">
        <v>34.76</v>
      </c>
      <c r="AD590" s="4">
        <f>AB590/AC590</f>
        <v/>
      </c>
      <c r="AE590" s="4">
        <f>(AD590/AB590)*100</f>
        <v/>
      </c>
    </row>
    <row r="591">
      <c r="A591" s="5" t="n">
        <v>645</v>
      </c>
      <c r="B591" s="45" t="n">
        <v>45646</v>
      </c>
      <c r="C591" s="21" t="n">
        <v>44239094.65</v>
      </c>
      <c r="D591" s="4">
        <f>C591/E591</f>
        <v/>
      </c>
      <c r="E591" s="21" t="n">
        <v>84.947</v>
      </c>
      <c r="F591" s="4">
        <f>D591/100000</f>
        <v/>
      </c>
      <c r="G591" s="4">
        <f>($D$1-F591)/F591*100</f>
        <v/>
      </c>
      <c r="H591" s="4">
        <f>($D$2-F591)/F591*100</f>
        <v/>
      </c>
      <c r="I591" s="4">
        <f>($D$3-F591)/F591*100</f>
        <v/>
      </c>
      <c r="J591" s="4">
        <f>F591/$F$10*100</f>
        <v/>
      </c>
      <c r="K591" s="4">
        <f>N591/L591</f>
        <v/>
      </c>
      <c r="L591" s="4">
        <f>(M591/O591)*100</f>
        <v/>
      </c>
      <c r="M591" s="4">
        <f>O591/R591</f>
        <v/>
      </c>
      <c r="N591" s="21" t="n">
        <v>6.791</v>
      </c>
      <c r="O591" s="21" t="n">
        <v>23587.5</v>
      </c>
      <c r="P591" s="21" t="n">
        <v>3.52</v>
      </c>
      <c r="Q591" s="4">
        <f>N591-L591</f>
        <v/>
      </c>
      <c r="R591" s="21" t="n">
        <v>21.71</v>
      </c>
      <c r="S591" s="21" t="n">
        <v>4.529</v>
      </c>
      <c r="T591" s="7">
        <f>N591-S591</f>
        <v/>
      </c>
      <c r="U591" s="21" t="n">
        <v>107.351</v>
      </c>
      <c r="X591" s="21" t="n">
        <v>21050.6</v>
      </c>
      <c r="Y591" s="21" t="n">
        <v>42.27</v>
      </c>
      <c r="Z591" s="4">
        <f>X591/Y591</f>
        <v/>
      </c>
      <c r="AA591" s="4">
        <f>(Z591/X591)*100</f>
        <v/>
      </c>
      <c r="AB591" s="21" t="n">
        <v>17693.65</v>
      </c>
      <c r="AC591" s="23" t="n">
        <v>34.06</v>
      </c>
      <c r="AD591" s="4">
        <f>AB591/AC591</f>
        <v/>
      </c>
      <c r="AE591" s="4">
        <f>(AD591/AB591)*100</f>
        <v/>
      </c>
    </row>
    <row r="592">
      <c r="A592" s="5" t="n">
        <v>646</v>
      </c>
      <c r="B592" s="45" t="n">
        <v>45649</v>
      </c>
      <c r="C592" s="21" t="n">
        <v>44317850.72</v>
      </c>
      <c r="D592" s="4">
        <f>C592/E592</f>
        <v/>
      </c>
      <c r="E592" s="21" t="n">
        <v>85.095</v>
      </c>
      <c r="F592" s="4">
        <f>D592/100000</f>
        <v/>
      </c>
      <c r="G592" s="4">
        <f>($D$1-F592)/F592*100</f>
        <v/>
      </c>
      <c r="H592" s="4">
        <f>($D$2-F592)/F592*100</f>
        <v/>
      </c>
      <c r="I592" s="4">
        <f>($D$3-F592)/F592*100</f>
        <v/>
      </c>
      <c r="J592" s="4">
        <f>F592/$F$10*100</f>
        <v/>
      </c>
      <c r="K592" s="4">
        <f>N592/L592</f>
        <v/>
      </c>
      <c r="L592" s="4">
        <f>(M592/O592)*100</f>
        <v/>
      </c>
      <c r="M592" s="4">
        <f>O592/R592</f>
        <v/>
      </c>
      <c r="N592" s="21" t="n">
        <v>6.776</v>
      </c>
      <c r="O592" s="21" t="n">
        <v>23753.45</v>
      </c>
      <c r="P592" s="21" t="n">
        <v>3.54</v>
      </c>
      <c r="Q592" s="4">
        <f>N592-L592</f>
        <v/>
      </c>
      <c r="R592" s="21" t="n">
        <v>21.86</v>
      </c>
      <c r="S592" s="21" t="n">
        <v>4.588</v>
      </c>
      <c r="T592" s="7">
        <f>N592-S592</f>
        <v/>
      </c>
      <c r="U592" s="21" t="n">
        <v>107.807</v>
      </c>
      <c r="X592" s="21" t="n">
        <v>21076.15</v>
      </c>
      <c r="Y592" s="21" t="n">
        <v>42.32</v>
      </c>
      <c r="Z592" s="4">
        <f>X592/Y592</f>
        <v/>
      </c>
      <c r="AA592" s="4">
        <f>(Z592/X592)*100</f>
        <v/>
      </c>
      <c r="AB592" s="21" t="n">
        <v>17618.1</v>
      </c>
      <c r="AC592" s="23" t="n">
        <v>33.92</v>
      </c>
      <c r="AD592" s="4">
        <f>AB592/AC592</f>
        <v/>
      </c>
      <c r="AE592" s="4">
        <f>(AD592/AB592)*100</f>
        <v/>
      </c>
    </row>
    <row r="593">
      <c r="A593" s="5" t="n">
        <v>647</v>
      </c>
      <c r="B593" s="45" t="n">
        <v>45650</v>
      </c>
      <c r="C593" s="21" t="n">
        <v>44316666.4</v>
      </c>
      <c r="D593" s="4">
        <f>C593/E593</f>
        <v/>
      </c>
      <c r="E593" s="21" t="n">
        <v>85.176</v>
      </c>
      <c r="F593" s="4">
        <f>D593/100000</f>
        <v/>
      </c>
      <c r="G593" s="4">
        <f>($D$1-F593)/F593*100</f>
        <v/>
      </c>
      <c r="H593" s="4">
        <f>($D$2-F593)/F593*100</f>
        <v/>
      </c>
      <c r="I593" s="4">
        <f>($D$3-F593)/F593*100</f>
        <v/>
      </c>
      <c r="J593" s="4">
        <f>F593/$F$10*100</f>
        <v/>
      </c>
      <c r="K593" s="4">
        <f>N593/L593</f>
        <v/>
      </c>
      <c r="L593" s="4">
        <f>(M593/O593)*100</f>
        <v/>
      </c>
      <c r="M593" s="4">
        <f>O593/R593</f>
        <v/>
      </c>
      <c r="N593" s="21" t="n">
        <v>6.776</v>
      </c>
      <c r="O593" s="21" t="n">
        <v>23727.65</v>
      </c>
      <c r="P593" s="21" t="n">
        <v>3.54</v>
      </c>
      <c r="Q593" s="4">
        <f>N593-L593</f>
        <v/>
      </c>
      <c r="R593" s="21" t="n">
        <v>21.84</v>
      </c>
      <c r="S593" s="21" t="n">
        <v>4.59</v>
      </c>
      <c r="T593" s="7">
        <f>N593-S593</f>
        <v/>
      </c>
      <c r="U593" s="21" t="n">
        <v>108.023</v>
      </c>
      <c r="X593" s="21" t="n">
        <v>21080.7</v>
      </c>
      <c r="Y593" s="21" t="n">
        <v>42.33</v>
      </c>
      <c r="Z593" s="4">
        <f>X593/Y593</f>
        <v/>
      </c>
      <c r="AA593" s="4">
        <f>(Z593/X593)*100</f>
        <v/>
      </c>
      <c r="AB593" s="21" t="n">
        <v>17672.45</v>
      </c>
      <c r="AC593" s="23" t="n">
        <v>34.02</v>
      </c>
      <c r="AD593" s="4">
        <f>AB593/AC593</f>
        <v/>
      </c>
      <c r="AE593" s="4">
        <f>(AD593/AB593)*100</f>
        <v/>
      </c>
    </row>
    <row r="594">
      <c r="A594" s="5" t="n">
        <v>648</v>
      </c>
      <c r="B594" s="45" t="n">
        <v>45652</v>
      </c>
      <c r="C594" s="21" t="n">
        <v>44327429.96</v>
      </c>
      <c r="D594" s="4">
        <f>C594/E594</f>
        <v/>
      </c>
      <c r="E594" s="21" t="n">
        <v>85.254</v>
      </c>
      <c r="F594" s="4">
        <f>D594/100000</f>
        <v/>
      </c>
      <c r="G594" s="4">
        <f>($D$1-F594)/F594*100</f>
        <v/>
      </c>
      <c r="H594" s="4">
        <f>($D$2-F594)/F594*100</f>
        <v/>
      </c>
      <c r="I594" s="4">
        <f>($D$3-F594)/F594*100</f>
        <v/>
      </c>
      <c r="J594" s="4">
        <f>F594/$F$10*100</f>
        <v/>
      </c>
      <c r="K594" s="4">
        <f>N594/L594</f>
        <v/>
      </c>
      <c r="L594" s="4">
        <f>(M594/O594)*100</f>
        <v/>
      </c>
      <c r="M594" s="4">
        <f>O594/R594</f>
        <v/>
      </c>
      <c r="N594" s="21" t="n">
        <v>6.784</v>
      </c>
      <c r="O594" s="21" t="n">
        <v>23750.2</v>
      </c>
      <c r="P594" s="21" t="n">
        <v>3.54</v>
      </c>
      <c r="Q594" s="4">
        <f>N594-L594</f>
        <v/>
      </c>
      <c r="R594" s="21" t="n">
        <v>21.86</v>
      </c>
      <c r="S594" s="21" t="n">
        <v>4.584</v>
      </c>
      <c r="T594" s="7">
        <f>N594-S594</f>
        <v/>
      </c>
      <c r="U594" s="21" t="n">
        <v>107.893</v>
      </c>
      <c r="X594" s="21" t="n">
        <v>21096.85</v>
      </c>
      <c r="Y594" s="21" t="n">
        <v>42.36</v>
      </c>
      <c r="Z594" s="4">
        <f>X594/Y594</f>
        <v/>
      </c>
      <c r="AA594" s="4">
        <f>(Z594/X594)*100</f>
        <v/>
      </c>
      <c r="AB594" s="21" t="n">
        <v>17667.45</v>
      </c>
      <c r="AC594" s="23" t="n">
        <v>34.01</v>
      </c>
      <c r="AD594" s="4">
        <f>AB594/AC594</f>
        <v/>
      </c>
      <c r="AE594" s="4">
        <f>(AD594/AB594)*100</f>
        <v/>
      </c>
    </row>
    <row r="595">
      <c r="A595" s="5" t="n">
        <v>649</v>
      </c>
      <c r="B595" s="45" t="n">
        <v>45653</v>
      </c>
      <c r="C595" s="21" t="n">
        <v>44377986.94</v>
      </c>
      <c r="D595" s="4">
        <f>C595/E595</f>
        <v/>
      </c>
      <c r="E595" s="21" t="n">
        <v>85.38800000000001</v>
      </c>
      <c r="F595" s="4">
        <f>D595/100000</f>
        <v/>
      </c>
      <c r="G595" s="4">
        <f>($D$1-F595)/F595*100</f>
        <v/>
      </c>
      <c r="H595" s="4">
        <f>($D$2-F595)/F595*100</f>
        <v/>
      </c>
      <c r="I595" s="4">
        <f>($D$3-F595)/F595*100</f>
        <v/>
      </c>
      <c r="J595" s="4">
        <f>F595/$F$10*100</f>
        <v/>
      </c>
      <c r="K595" s="4">
        <f>N595/L595</f>
        <v/>
      </c>
      <c r="L595" s="4">
        <f>(M595/O595)*100</f>
        <v/>
      </c>
      <c r="M595" s="4">
        <f>O595/R595</f>
        <v/>
      </c>
      <c r="N595" s="21" t="n">
        <v>6.787</v>
      </c>
      <c r="O595" s="21" t="n">
        <v>23813.4</v>
      </c>
      <c r="P595" s="21" t="n">
        <v>3.55</v>
      </c>
      <c r="Q595" s="4">
        <f>N595-L595</f>
        <v/>
      </c>
      <c r="R595" s="21" t="n">
        <v>21.92</v>
      </c>
      <c r="S595" s="21" t="n">
        <v>4.629</v>
      </c>
      <c r="T595" s="7">
        <f>N595-S595</f>
        <v/>
      </c>
      <c r="U595" s="21" t="n">
        <v>107.792</v>
      </c>
      <c r="X595" s="21" t="n">
        <v>21071.85</v>
      </c>
      <c r="Y595" s="21" t="n">
        <v>42.31</v>
      </c>
      <c r="Z595" s="4">
        <f>X595/Y595</f>
        <v/>
      </c>
      <c r="AA595" s="4">
        <f>(Z595/X595)*100</f>
        <v/>
      </c>
      <c r="AB595" s="21" t="n">
        <v>17715.2</v>
      </c>
      <c r="AC595" s="23" t="n">
        <v>34.1</v>
      </c>
      <c r="AD595" s="4">
        <f>AB595/AC595</f>
        <v/>
      </c>
      <c r="AE595" s="4">
        <f>(AD595/AB595)*100</f>
        <v/>
      </c>
    </row>
    <row r="596">
      <c r="A596" s="5" t="n">
        <v>650</v>
      </c>
      <c r="B596" s="45" t="n">
        <v>45656</v>
      </c>
      <c r="C596" s="21" t="n">
        <v>44247478.81</v>
      </c>
      <c r="D596" s="4">
        <f>C596/E596</f>
        <v/>
      </c>
      <c r="E596" s="21" t="n">
        <v>85.474</v>
      </c>
      <c r="F596" s="4">
        <f>D596/100000</f>
        <v/>
      </c>
      <c r="G596" s="4">
        <f>($D$1-F596)/F596*100</f>
        <v/>
      </c>
      <c r="H596" s="4">
        <f>($D$2-F596)/F596*100</f>
        <v/>
      </c>
      <c r="I596" s="4">
        <f>($D$3-F596)/F596*100</f>
        <v/>
      </c>
      <c r="J596" s="4">
        <f>F596/$F$10*100</f>
        <v/>
      </c>
      <c r="K596" s="4">
        <f>N596/L596</f>
        <v/>
      </c>
      <c r="L596" s="4">
        <f>(M596/O596)*100</f>
        <v/>
      </c>
      <c r="M596" s="4">
        <f>O596/R596</f>
        <v/>
      </c>
      <c r="N596" s="21" t="n">
        <v>6.775</v>
      </c>
      <c r="O596" s="21" t="n">
        <v>23644.9</v>
      </c>
      <c r="P596" s="21" t="n">
        <v>3.52</v>
      </c>
      <c r="Q596" s="4">
        <f>N596-L596</f>
        <v/>
      </c>
      <c r="R596" s="21" t="n">
        <v>21.76</v>
      </c>
      <c r="S596" s="21" t="n">
        <v>4.532</v>
      </c>
      <c r="T596" s="7">
        <f>N596-S596</f>
        <v/>
      </c>
      <c r="U596" s="21" t="n">
        <v>107.933</v>
      </c>
      <c r="X596" s="21" t="n">
        <v>21109.25</v>
      </c>
      <c r="Y596" s="21" t="n">
        <v>42.39</v>
      </c>
      <c r="Z596" s="4">
        <f>X596/Y596</f>
        <v/>
      </c>
      <c r="AA596" s="4">
        <f>(Z596/X596)*100</f>
        <v/>
      </c>
      <c r="AB596" s="21" t="n">
        <v>17638.15</v>
      </c>
      <c r="AC596" s="23" t="n">
        <v>33.96</v>
      </c>
      <c r="AD596" s="4">
        <f>AB596/AC596</f>
        <v/>
      </c>
      <c r="AE596" s="4">
        <f>(AD596/AB596)*100</f>
        <v/>
      </c>
    </row>
    <row r="597">
      <c r="A597" s="5" t="n">
        <v>651</v>
      </c>
      <c r="B597" s="45" t="n">
        <v>45657</v>
      </c>
      <c r="C597" s="21" t="n">
        <v>44347670.86</v>
      </c>
      <c r="D597" s="4">
        <f>C597/E597</f>
        <v/>
      </c>
      <c r="E597" s="21" t="n">
        <v>85.554</v>
      </c>
      <c r="F597" s="4">
        <f>D597/100000</f>
        <v/>
      </c>
      <c r="G597" s="4">
        <f>($D$1-F597)/F597*100</f>
        <v/>
      </c>
      <c r="H597" s="4">
        <f>($D$2-F597)/F597*100</f>
        <v/>
      </c>
      <c r="I597" s="4">
        <f>($D$3-F597)/F597*100</f>
        <v/>
      </c>
      <c r="J597" s="4">
        <f>F597/$F$10*100</f>
        <v/>
      </c>
      <c r="K597" s="4">
        <f>N597/L597</f>
        <v/>
      </c>
      <c r="L597" s="4">
        <f>(M597/O597)*100</f>
        <v/>
      </c>
      <c r="M597" s="4">
        <f>O597/R597</f>
        <v/>
      </c>
      <c r="N597" s="21" t="n">
        <v>6.759</v>
      </c>
      <c r="O597" s="21" t="n">
        <v>23644.8</v>
      </c>
      <c r="P597" s="21" t="n">
        <v>3.53</v>
      </c>
      <c r="Q597" s="4">
        <f>N597-L597</f>
        <v/>
      </c>
      <c r="R597" s="21" t="n">
        <v>21.79</v>
      </c>
      <c r="S597" s="21" t="n">
        <v>4.572</v>
      </c>
      <c r="T597" s="7">
        <f>N597-S597</f>
        <v/>
      </c>
      <c r="U597" s="21" t="n">
        <v>108.296</v>
      </c>
      <c r="X597" s="21" t="n">
        <v>21141.2</v>
      </c>
      <c r="Y597" s="21" t="n">
        <v>43.3</v>
      </c>
      <c r="Z597" s="4">
        <f>X597/Y597</f>
        <v/>
      </c>
      <c r="AA597" s="4">
        <f>(Z597/X597)*100</f>
        <v/>
      </c>
      <c r="AB597" s="21" t="n">
        <v>17752.25</v>
      </c>
      <c r="AC597" s="23" t="n">
        <v>34.39</v>
      </c>
      <c r="AD597" s="4">
        <f>AB597/AC597</f>
        <v/>
      </c>
      <c r="AE597" s="4">
        <f>(AD597/AB597)*100</f>
        <v/>
      </c>
    </row>
    <row r="598">
      <c r="A598" s="5" t="n">
        <v>652</v>
      </c>
      <c r="B598" s="45" t="n">
        <v>45658</v>
      </c>
      <c r="C598" s="21" t="n">
        <v>44594474</v>
      </c>
      <c r="D598" s="4">
        <f>C598/E598</f>
        <v/>
      </c>
      <c r="E598" s="21" t="n">
        <v>85.645</v>
      </c>
      <c r="F598" s="4">
        <f>D598/100000</f>
        <v/>
      </c>
      <c r="G598" s="4">
        <f>($D$1-F598)/F598*100</f>
        <v/>
      </c>
      <c r="H598" s="4">
        <f>($D$2-F598)/F598*100</f>
        <v/>
      </c>
      <c r="I598" s="4">
        <f>($D$3-F598)/F598*100</f>
        <v/>
      </c>
      <c r="J598" s="4">
        <f>F598/$F$10*100</f>
        <v/>
      </c>
      <c r="K598" s="4">
        <f>N598/L598</f>
        <v/>
      </c>
      <c r="L598" s="4">
        <f>(M598/O598)*100</f>
        <v/>
      </c>
      <c r="M598" s="4">
        <f>O598/R598</f>
        <v/>
      </c>
      <c r="N598" s="21" t="n">
        <v>6.779</v>
      </c>
      <c r="O598" s="21" t="n">
        <v>23742.9</v>
      </c>
      <c r="P598" s="21" t="n">
        <v>3.54</v>
      </c>
      <c r="Q598" s="4">
        <f>N598-L598</f>
        <v/>
      </c>
      <c r="R598" s="21" t="n">
        <v>21.88</v>
      </c>
      <c r="S598" s="21" t="n">
        <v>4.572</v>
      </c>
      <c r="T598" s="7">
        <f>N598-S598</f>
        <v/>
      </c>
      <c r="U598" s="21" t="n">
        <v>108.296</v>
      </c>
      <c r="X598" s="21" t="n">
        <v>21246.5</v>
      </c>
      <c r="Y598" s="21" t="n">
        <v>43.52</v>
      </c>
      <c r="Z598" s="4">
        <f>X598/Y598</f>
        <v/>
      </c>
      <c r="AA598" s="4">
        <f>(Z598/X598)*100</f>
        <v/>
      </c>
      <c r="AB598" s="21" t="n">
        <v>17908.8</v>
      </c>
      <c r="AC598" s="23" t="n">
        <v>34.7</v>
      </c>
      <c r="AD598" s="4">
        <f>AB598/AC598</f>
        <v/>
      </c>
      <c r="AE598" s="4">
        <f>(AD598/AB598)*100</f>
        <v/>
      </c>
    </row>
    <row r="599">
      <c r="A599" s="5" t="n">
        <v>653</v>
      </c>
      <c r="B599" s="45" t="n">
        <v>45659</v>
      </c>
      <c r="C599" s="21" t="n">
        <v>45200321.27</v>
      </c>
      <c r="D599" s="4">
        <f>C599/E599</f>
        <v/>
      </c>
      <c r="E599" s="21" t="n">
        <v>85.76000000000001</v>
      </c>
      <c r="F599" s="4">
        <f>D599/100000</f>
        <v/>
      </c>
      <c r="G599" s="4">
        <f>($D$1-F599)/F599*100</f>
        <v/>
      </c>
      <c r="H599" s="4">
        <f>($D$2-F599)/F599*100</f>
        <v/>
      </c>
      <c r="I599" s="4">
        <f>($D$3-F599)/F599*100</f>
        <v/>
      </c>
      <c r="J599" s="4">
        <f>F599/$F$10*100</f>
        <v/>
      </c>
      <c r="K599" s="4">
        <f>N599/L599</f>
        <v/>
      </c>
      <c r="L599" s="4">
        <f>(M599/O599)*100</f>
        <v/>
      </c>
      <c r="M599" s="4">
        <f>O599/R599</f>
        <v/>
      </c>
      <c r="N599" s="21" t="n">
        <v>6.787</v>
      </c>
      <c r="O599" s="21" t="n">
        <v>24188.65</v>
      </c>
      <c r="P599" s="21" t="n">
        <v>3.61</v>
      </c>
      <c r="Q599" s="4">
        <f>N599-L599</f>
        <v/>
      </c>
      <c r="R599" s="21" t="n">
        <v>22.29</v>
      </c>
      <c r="S599" s="21" t="n">
        <v>4.561</v>
      </c>
      <c r="T599" s="7">
        <f>N599-S599</f>
        <v/>
      </c>
      <c r="U599" s="21" t="n">
        <v>109.209</v>
      </c>
      <c r="X599" s="21" t="n">
        <v>21473.15</v>
      </c>
      <c r="Y599" s="21" t="n">
        <v>43.98</v>
      </c>
      <c r="Z599" s="4">
        <f>X599/Y599</f>
        <v/>
      </c>
      <c r="AA599" s="4">
        <f>(Z599/X599)*100</f>
        <v/>
      </c>
      <c r="AB599" s="21" t="n">
        <v>18007.95</v>
      </c>
      <c r="AC599" s="23" t="n">
        <v>34.89</v>
      </c>
      <c r="AD599" s="4">
        <f>AB599/AC599</f>
        <v/>
      </c>
      <c r="AE599" s="4">
        <f>(AD599/AB599)*100</f>
        <v/>
      </c>
    </row>
    <row r="600">
      <c r="A600" s="5" t="n">
        <v>654</v>
      </c>
      <c r="B600" s="45" t="n">
        <v>45660</v>
      </c>
      <c r="C600" s="21" t="n">
        <v>45133848.87</v>
      </c>
      <c r="D600" s="4">
        <f>C600/E600</f>
        <v/>
      </c>
      <c r="E600" s="21" t="n">
        <v>85.761</v>
      </c>
      <c r="F600" s="4">
        <f>D600/100000</f>
        <v/>
      </c>
      <c r="G600" s="4">
        <f>($D$1-F600)/F600*100</f>
        <v/>
      </c>
      <c r="H600" s="4">
        <f>($D$2-F600)/F600*100</f>
        <v/>
      </c>
      <c r="I600" s="4">
        <f>($D$3-F600)/F600*100</f>
        <v/>
      </c>
      <c r="J600" s="4">
        <f>F600/$F$10*100</f>
        <v/>
      </c>
      <c r="K600" s="4">
        <f>N600/L600</f>
        <v/>
      </c>
      <c r="L600" s="4">
        <f>(M600/O600)*100</f>
        <v/>
      </c>
      <c r="M600" s="4">
        <f>O600/R600</f>
        <v/>
      </c>
      <c r="N600" s="21" t="n">
        <v>6.779</v>
      </c>
      <c r="O600" s="21" t="n">
        <v>24004.75</v>
      </c>
      <c r="P600" s="21" t="n">
        <v>3.58</v>
      </c>
      <c r="Q600" s="4">
        <f>N600-L600</f>
        <v/>
      </c>
      <c r="R600" s="21" t="n">
        <v>22.12</v>
      </c>
      <c r="S600" s="21" t="n">
        <v>4.601</v>
      </c>
      <c r="T600" s="7">
        <f>N600-S600</f>
        <v/>
      </c>
      <c r="U600" s="21" t="n">
        <v>108.798</v>
      </c>
      <c r="X600" s="21" t="n">
        <v>21419.3</v>
      </c>
      <c r="Y600" s="21" t="n">
        <v>43.87</v>
      </c>
      <c r="Z600" s="4">
        <f>X600/Y600</f>
        <v/>
      </c>
      <c r="AA600" s="4">
        <f>(Z600/X600)*100</f>
        <v/>
      </c>
      <c r="AB600" s="21" t="n">
        <v>17973.05</v>
      </c>
      <c r="AC600" s="23" t="n">
        <v>34.82</v>
      </c>
      <c r="AD600" s="4">
        <f>AB600/AC600</f>
        <v/>
      </c>
      <c r="AE600" s="4">
        <f>(AD600/AB600)*100</f>
        <v/>
      </c>
    </row>
    <row r="601">
      <c r="A601" s="5" t="n">
        <v>655</v>
      </c>
      <c r="B601" s="45" t="n">
        <v>45663</v>
      </c>
      <c r="C601" s="21" t="n">
        <v>44019774.64</v>
      </c>
      <c r="D601" s="4">
        <f>C601/E601</f>
        <v/>
      </c>
      <c r="E601" s="21" t="n">
        <v>85.7</v>
      </c>
      <c r="F601" s="4">
        <f>D601/100000</f>
        <v/>
      </c>
      <c r="G601" s="4">
        <f>($D$1-F601)/F601*100</f>
        <v/>
      </c>
      <c r="H601" s="4">
        <f>($D$2-F601)/F601*100</f>
        <v/>
      </c>
      <c r="I601" s="4">
        <f>($D$3-F601)/F601*100</f>
        <v/>
      </c>
      <c r="J601" s="4">
        <f>F601/$F$10*100</f>
        <v/>
      </c>
      <c r="K601" s="4">
        <f>N601/L601</f>
        <v/>
      </c>
      <c r="L601" s="4">
        <f>(M601/O601)*100</f>
        <v/>
      </c>
      <c r="M601" s="4">
        <f>O601/R601</f>
        <v/>
      </c>
      <c r="N601" s="21" t="n">
        <v>6.763</v>
      </c>
      <c r="O601" s="21" t="n">
        <v>23616.05</v>
      </c>
      <c r="P601" s="21" t="n">
        <v>3.52</v>
      </c>
      <c r="Q601" s="4">
        <f>N601-L601</f>
        <v/>
      </c>
      <c r="R601" s="21" t="n">
        <v>21.76</v>
      </c>
      <c r="S601" s="21" t="n">
        <v>4.623</v>
      </c>
      <c r="T601" s="7">
        <f>N601-S601</f>
        <v/>
      </c>
      <c r="U601" s="21" t="n">
        <v>108.101</v>
      </c>
      <c r="X601" s="21" t="n">
        <v>20879.65</v>
      </c>
      <c r="Y601" s="21" t="n">
        <v>42.77</v>
      </c>
      <c r="Z601" s="4">
        <f>X601/Y601</f>
        <v/>
      </c>
      <c r="AA601" s="4">
        <f>(Z601/X601)*100</f>
        <v/>
      </c>
      <c r="AB601" s="21" t="n">
        <v>17455.7</v>
      </c>
      <c r="AC601" s="23" t="n">
        <v>33.82</v>
      </c>
      <c r="AD601" s="4">
        <f>AB601/AC601</f>
        <v/>
      </c>
      <c r="AE601" s="4">
        <f>(AD601/AB601)*100</f>
        <v/>
      </c>
    </row>
    <row r="602">
      <c r="A602" s="5" t="n">
        <v>656</v>
      </c>
      <c r="B602" s="45" t="n">
        <v>45664</v>
      </c>
      <c r="C602" s="21" t="n">
        <v>44326609.07</v>
      </c>
      <c r="D602" s="4">
        <f>C602/E602</f>
        <v/>
      </c>
      <c r="E602" s="21" t="n">
        <v>85.803</v>
      </c>
      <c r="F602" s="4">
        <f>D602/100000</f>
        <v/>
      </c>
      <c r="G602" s="4">
        <f>($D$1-F602)/F602*100</f>
        <v/>
      </c>
      <c r="H602" s="4">
        <f>($D$2-F602)/F602*100</f>
        <v/>
      </c>
      <c r="I602" s="4">
        <f>($D$3-F602)/F602*100</f>
        <v/>
      </c>
      <c r="J602" s="4">
        <f>F602/$F$10*100</f>
        <v/>
      </c>
      <c r="K602" s="4">
        <f>N602/L602</f>
        <v/>
      </c>
      <c r="L602" s="4">
        <f>(M602/O602)*100</f>
        <v/>
      </c>
      <c r="M602" s="4">
        <f>O602/R602</f>
        <v/>
      </c>
      <c r="N602" s="21" t="n">
        <v>6.746</v>
      </c>
      <c r="O602" s="21" t="n">
        <v>23707.9</v>
      </c>
      <c r="P602" s="21" t="n">
        <v>3.54</v>
      </c>
      <c r="Q602" s="4">
        <f>N602-L602</f>
        <v/>
      </c>
      <c r="R602" s="21" t="n">
        <v>21.84</v>
      </c>
      <c r="S602" s="21" t="n">
        <v>4.684</v>
      </c>
      <c r="T602" s="7">
        <f>N602-S602</f>
        <v/>
      </c>
      <c r="U602" s="21" t="n">
        <v>108.378</v>
      </c>
      <c r="X602" s="21" t="n">
        <v>21060.8</v>
      </c>
      <c r="Y602" s="21" t="n">
        <v>43.14</v>
      </c>
      <c r="Z602" s="4">
        <f>X602/Y602</f>
        <v/>
      </c>
      <c r="AA602" s="4">
        <f>(Z602/X602)*100</f>
        <v/>
      </c>
      <c r="AB602" s="21" t="n">
        <v>17702.55</v>
      </c>
      <c r="AC602" s="23" t="n">
        <v>34.3</v>
      </c>
      <c r="AD602" s="4">
        <f>AB602/AC602</f>
        <v/>
      </c>
      <c r="AE602" s="4">
        <f>(AD602/AB602)*100</f>
        <v/>
      </c>
    </row>
    <row r="603">
      <c r="A603" s="5" t="n">
        <v>657</v>
      </c>
      <c r="B603" s="45" t="n">
        <v>45665</v>
      </c>
      <c r="C603" s="21" t="n">
        <v>44115075.89</v>
      </c>
      <c r="D603" s="4">
        <f>C603/E603</f>
        <v/>
      </c>
      <c r="E603" s="21" t="n">
        <v>85.917</v>
      </c>
      <c r="F603" s="4">
        <f>D603/100000</f>
        <v/>
      </c>
      <c r="G603" s="4">
        <f>($D$1-F603)/F603*100</f>
        <v/>
      </c>
      <c r="H603" s="4">
        <f>($D$2-F603)/F603*100</f>
        <v/>
      </c>
      <c r="I603" s="4">
        <f>($D$3-F603)/F603*100</f>
        <v/>
      </c>
      <c r="J603" s="4">
        <f>F603/$F$10*100</f>
        <v/>
      </c>
      <c r="K603" s="4">
        <f>N603/L603</f>
        <v/>
      </c>
      <c r="L603" s="4">
        <f>(M603/O603)*100</f>
        <v/>
      </c>
      <c r="M603" s="4">
        <f>O603/R603</f>
        <v/>
      </c>
      <c r="N603" s="21" t="n">
        <v>6.767</v>
      </c>
      <c r="O603" s="21" t="n">
        <v>23688.95</v>
      </c>
      <c r="P603" s="21" t="n">
        <v>3.53</v>
      </c>
      <c r="Q603" s="4">
        <f>N603-L603</f>
        <v/>
      </c>
      <c r="R603" s="21" t="n">
        <v>21.83</v>
      </c>
      <c r="S603" s="21" t="n">
        <v>4.692</v>
      </c>
      <c r="T603" s="7">
        <f>N603-S603</f>
        <v/>
      </c>
      <c r="U603" s="21" t="n">
        <v>108.926</v>
      </c>
      <c r="X603" s="21" t="n">
        <v>20840.3</v>
      </c>
      <c r="Y603" s="21" t="n">
        <v>42.69</v>
      </c>
      <c r="Z603" s="4">
        <f>X603/Y603</f>
        <v/>
      </c>
      <c r="AA603" s="4">
        <f>(Z603/X603)*100</f>
        <v/>
      </c>
      <c r="AB603" s="21" t="n">
        <v>17457.9</v>
      </c>
      <c r="AC603" s="23" t="n">
        <v>33.82</v>
      </c>
      <c r="AD603" s="4">
        <f>AB603/AC603</f>
        <v/>
      </c>
      <c r="AE603" s="4">
        <f>(AD603/AB603)*100</f>
        <v/>
      </c>
    </row>
    <row r="604">
      <c r="A604" s="5" t="n">
        <v>658</v>
      </c>
      <c r="B604" s="45" t="n">
        <v>45666</v>
      </c>
      <c r="C604" s="21" t="n">
        <v>43700335.27</v>
      </c>
      <c r="D604" s="4">
        <f>C604/E604</f>
        <v/>
      </c>
      <c r="E604" s="21" t="n">
        <v>85.89</v>
      </c>
      <c r="F604" s="4">
        <f>D604/100000</f>
        <v/>
      </c>
      <c r="G604" s="4">
        <f>($D$1-F604)/F604*100</f>
        <v/>
      </c>
      <c r="H604" s="4">
        <f>($D$2-F604)/F604*100</f>
        <v/>
      </c>
      <c r="I604" s="4">
        <f>($D$3-F604)/F604*100</f>
        <v/>
      </c>
      <c r="J604" s="4">
        <f>F604/$F$10*100</f>
        <v/>
      </c>
      <c r="K604" s="4">
        <f>N604/L604</f>
        <v/>
      </c>
      <c r="L604" s="4">
        <f>(M604/O604)*100</f>
        <v/>
      </c>
      <c r="M604" s="4">
        <f>O604/R604</f>
        <v/>
      </c>
      <c r="N604" s="21" t="n">
        <v>6.764</v>
      </c>
      <c r="O604" s="21" t="n">
        <v>23526.5</v>
      </c>
      <c r="P604" s="21" t="n">
        <v>3.51</v>
      </c>
      <c r="Q604" s="4">
        <f>N604-L604</f>
        <v/>
      </c>
      <c r="R604" s="21" t="n">
        <v>21.68</v>
      </c>
      <c r="S604" s="21" t="n">
        <v>4.688</v>
      </c>
      <c r="T604" s="7">
        <f>N604-S604</f>
        <v/>
      </c>
      <c r="U604" s="21" t="n">
        <v>109.004</v>
      </c>
      <c r="X604" s="21" t="n">
        <v>20674.25</v>
      </c>
      <c r="Y604" s="21" t="n">
        <v>42.35</v>
      </c>
      <c r="Z604" s="4">
        <f>X604/Y604</f>
        <v/>
      </c>
      <c r="AA604" s="4">
        <f>(Z604/X604)*100</f>
        <v/>
      </c>
      <c r="AB604" s="21" t="n">
        <v>17254.35</v>
      </c>
      <c r="AC604" s="23" t="n">
        <v>33.43</v>
      </c>
      <c r="AD604" s="4">
        <f>AB604/AC604</f>
        <v/>
      </c>
      <c r="AE604" s="4">
        <f>(AD604/AB604)*100</f>
        <v/>
      </c>
    </row>
    <row r="605">
      <c r="A605" s="5" t="n">
        <v>659</v>
      </c>
      <c r="B605" s="45" t="n">
        <v>45667</v>
      </c>
      <c r="C605" s="21" t="n">
        <v>43116659.15</v>
      </c>
      <c r="D605" s="4">
        <f>C605/E605</f>
        <v/>
      </c>
      <c r="E605" s="21" t="n">
        <v>86.16500000000001</v>
      </c>
      <c r="F605" s="4">
        <f>D605/100000</f>
        <v/>
      </c>
      <c r="G605" s="4">
        <f>($D$1-F605)/F605*100</f>
        <v/>
      </c>
      <c r="H605" s="4">
        <f>($D$2-F605)/F605*100</f>
        <v/>
      </c>
      <c r="I605" s="4">
        <f>($D$3-F605)/F605*100</f>
        <v/>
      </c>
      <c r="J605" s="4">
        <f>F605/$F$10*100</f>
        <v/>
      </c>
      <c r="K605" s="4">
        <f>N605/L605</f>
        <v/>
      </c>
      <c r="L605" s="4">
        <f>(M605/O605)*100</f>
        <v/>
      </c>
      <c r="M605" s="4">
        <f>O605/R605</f>
        <v/>
      </c>
      <c r="N605" s="21" t="n">
        <v>6.769</v>
      </c>
      <c r="O605" s="21" t="n">
        <v>23431.5</v>
      </c>
      <c r="P605" s="21" t="n">
        <v>3.49</v>
      </c>
      <c r="Q605" s="4">
        <f>N605-L605</f>
        <v/>
      </c>
      <c r="R605" s="21" t="n">
        <v>21.59</v>
      </c>
      <c r="S605" s="21" t="n">
        <v>4.762</v>
      </c>
      <c r="T605" s="7">
        <f>N605-S605</f>
        <v/>
      </c>
      <c r="U605" s="21" t="n">
        <v>109.487</v>
      </c>
      <c r="X605" s="21" t="n">
        <v>20252.95</v>
      </c>
      <c r="Y605" s="21" t="n">
        <v>41.48</v>
      </c>
      <c r="Z605" s="4">
        <f>X605/Y605</f>
        <v/>
      </c>
      <c r="AA605" s="4">
        <f>(Z605/X605)*100</f>
        <v/>
      </c>
      <c r="AB605" s="21" t="n">
        <v>16833.4</v>
      </c>
      <c r="AC605" s="23" t="n">
        <v>32.61</v>
      </c>
      <c r="AD605" s="4">
        <f>AB605/AC605</f>
        <v/>
      </c>
      <c r="AE605" s="4">
        <f>(AD605/AB605)*100</f>
        <v/>
      </c>
    </row>
    <row r="606">
      <c r="A606" s="5" t="n">
        <v>660</v>
      </c>
      <c r="B606" s="45" t="n">
        <v>45670</v>
      </c>
      <c r="C606" s="21" t="n">
        <v>41829587.58</v>
      </c>
      <c r="D606" s="4">
        <f>C606/E606</f>
        <v/>
      </c>
      <c r="E606" s="21" t="n">
        <v>86.646</v>
      </c>
      <c r="F606" s="4">
        <f>D606/100000</f>
        <v/>
      </c>
      <c r="G606" s="4">
        <f>($D$1-F606)/F606*100</f>
        <v/>
      </c>
      <c r="H606" s="4">
        <f>($D$2-F606)/F606*100</f>
        <v/>
      </c>
      <c r="I606" s="4">
        <f>($D$3-F606)/F606*100</f>
        <v/>
      </c>
      <c r="J606" s="4">
        <f>F606/$F$10*100</f>
        <v/>
      </c>
      <c r="K606" s="4">
        <f>N606/L606</f>
        <v/>
      </c>
      <c r="L606" s="4">
        <f>(M606/O606)*100</f>
        <v/>
      </c>
      <c r="M606" s="4">
        <f>O606/R606</f>
        <v/>
      </c>
      <c r="N606" s="21" t="n">
        <v>6.843</v>
      </c>
      <c r="O606" s="21" t="n">
        <v>23085.95</v>
      </c>
      <c r="P606" s="21" t="n">
        <v>3.44</v>
      </c>
      <c r="Q606" s="4">
        <f>N606-L606</f>
        <v/>
      </c>
      <c r="R606" s="21" t="n">
        <v>21.25</v>
      </c>
      <c r="S606" s="21" t="n">
        <v>4.789</v>
      </c>
      <c r="T606" s="7">
        <f>N606-S606</f>
        <v/>
      </c>
      <c r="U606" s="21" t="n">
        <v>109.812</v>
      </c>
      <c r="X606" s="21" t="n">
        <v>19458.3</v>
      </c>
      <c r="Y606" s="21" t="n">
        <v>39.86</v>
      </c>
      <c r="Z606" s="4">
        <f>X606/Y606</f>
        <v/>
      </c>
      <c r="AA606" s="4">
        <f>(Z606/X606)*100</f>
        <v/>
      </c>
      <c r="AB606" s="21" t="n">
        <v>16159.9</v>
      </c>
      <c r="AC606" s="23" t="n">
        <v>31.31</v>
      </c>
      <c r="AD606" s="4">
        <f>AB606/AC606</f>
        <v/>
      </c>
      <c r="AE606" s="4">
        <f>(AD606/AB606)*100</f>
        <v/>
      </c>
    </row>
    <row r="607">
      <c r="A607" s="5" t="n">
        <v>661</v>
      </c>
      <c r="B607" s="45" t="n">
        <v>45671</v>
      </c>
      <c r="C607" s="21" t="n">
        <v>42461600.23</v>
      </c>
      <c r="D607" s="4">
        <f>C607/E607</f>
        <v/>
      </c>
      <c r="E607" s="21" t="n">
        <v>86.52500000000001</v>
      </c>
      <c r="F607" s="4">
        <f>D607/100000</f>
        <v/>
      </c>
      <c r="G607" s="4">
        <f>($D$1-F607)/F607*100</f>
        <v/>
      </c>
      <c r="H607" s="4">
        <f>($D$2-F607)/F607*100</f>
        <v/>
      </c>
      <c r="I607" s="4">
        <f>($D$3-F607)/F607*100</f>
        <v/>
      </c>
      <c r="J607" s="4">
        <f>F607/$F$10*100</f>
        <v/>
      </c>
      <c r="K607" s="4">
        <f>N607/L607</f>
        <v/>
      </c>
      <c r="L607" s="4">
        <f>(M607/O607)*100</f>
        <v/>
      </c>
      <c r="M607" s="4">
        <f>O607/R607</f>
        <v/>
      </c>
      <c r="N607" s="21" t="n">
        <v>6.829</v>
      </c>
      <c r="O607" s="21" t="n">
        <v>23176.05</v>
      </c>
      <c r="P607" s="21" t="n">
        <v>3.46</v>
      </c>
      <c r="Q607" s="4">
        <f>N607-L607</f>
        <v/>
      </c>
      <c r="R607" s="21" t="n">
        <v>21.34</v>
      </c>
      <c r="S607" s="21" t="n">
        <v>4.792</v>
      </c>
      <c r="T607" s="7">
        <f>N607-S607</f>
        <v/>
      </c>
      <c r="U607" s="21" t="n">
        <v>109.11</v>
      </c>
      <c r="X607" s="21" t="n">
        <v>19883.35</v>
      </c>
      <c r="Y607" s="21" t="n">
        <v>40.72</v>
      </c>
      <c r="Z607" s="4">
        <f>X607/Y607</f>
        <v/>
      </c>
      <c r="AA607" s="4">
        <f>(Z607/X607)*100</f>
        <v/>
      </c>
      <c r="AB607" s="21" t="n">
        <v>16422.75</v>
      </c>
      <c r="AC607" s="23" t="n">
        <v>31.84</v>
      </c>
      <c r="AD607" s="4">
        <f>AB607/AC607</f>
        <v/>
      </c>
      <c r="AE607" s="4">
        <f>(AD607/AB607)*100</f>
        <v/>
      </c>
    </row>
    <row r="608">
      <c r="A608" s="5" t="n">
        <v>662</v>
      </c>
      <c r="B608" s="45" t="n">
        <v>45672</v>
      </c>
      <c r="C608" s="21" t="n">
        <v>42573736.84</v>
      </c>
      <c r="D608" s="4">
        <f>C608/E608</f>
        <v/>
      </c>
      <c r="E608" s="21" t="n">
        <v>86.38</v>
      </c>
      <c r="F608" s="4">
        <f>D608/100000</f>
        <v/>
      </c>
      <c r="G608" s="4">
        <f>($D$1-F608)/F608*100</f>
        <v/>
      </c>
      <c r="H608" s="4">
        <f>($D$2-F608)/F608*100</f>
        <v/>
      </c>
      <c r="I608" s="4">
        <f>($D$3-F608)/F608*100</f>
        <v/>
      </c>
      <c r="J608" s="4">
        <f>F608/$F$10*100</f>
        <v/>
      </c>
      <c r="K608" s="4">
        <f>N608/L608</f>
        <v/>
      </c>
      <c r="L608" s="4">
        <f>(M608/O608)*100</f>
        <v/>
      </c>
      <c r="M608" s="4">
        <f>O608/R608</f>
        <v/>
      </c>
      <c r="N608" s="21" t="n">
        <v>6.813</v>
      </c>
      <c r="O608" s="21" t="n">
        <v>23213.2</v>
      </c>
      <c r="P608" s="21" t="n">
        <v>3.46</v>
      </c>
      <c r="Q608" s="4">
        <f>N608-L608</f>
        <v/>
      </c>
      <c r="R608" s="21" t="n">
        <v>21.37</v>
      </c>
      <c r="S608" s="21" t="n">
        <v>4.654</v>
      </c>
      <c r="T608" s="7">
        <f>N608-S608</f>
        <v/>
      </c>
      <c r="U608" s="21" t="n">
        <v>108.916</v>
      </c>
      <c r="X608" s="21" t="n">
        <v>19955.4</v>
      </c>
      <c r="Y608" s="21" t="n">
        <v>40.86</v>
      </c>
      <c r="Z608" s="4">
        <f>X608/Y608</f>
        <v/>
      </c>
      <c r="AA608" s="4">
        <f>(Z608/X608)*100</f>
        <v/>
      </c>
      <c r="AB608" s="21" t="n">
        <v>16508.9</v>
      </c>
      <c r="AC608" s="23" t="n">
        <v>31.98</v>
      </c>
      <c r="AD608" s="4">
        <f>AB608/AC608</f>
        <v/>
      </c>
      <c r="AE608" s="4">
        <f>(AD608/AB608)*100</f>
        <v/>
      </c>
    </row>
    <row r="609">
      <c r="A609" s="5" t="n">
        <v>663</v>
      </c>
      <c r="B609" s="45" t="n">
        <v>45673</v>
      </c>
      <c r="C609" s="21" t="n">
        <v>42980829.6</v>
      </c>
      <c r="D609" s="4">
        <f>C609/E609</f>
        <v/>
      </c>
      <c r="E609" s="21" t="n">
        <v>86.56999999999999</v>
      </c>
      <c r="F609" s="4">
        <f>D609/100000</f>
        <v/>
      </c>
      <c r="G609" s="4">
        <f>($D$1-F609)/F609*100</f>
        <v/>
      </c>
      <c r="H609" s="4">
        <f>($D$2-F609)/F609*100</f>
        <v/>
      </c>
      <c r="I609" s="4">
        <f>($D$3-F609)/F609*100</f>
        <v/>
      </c>
      <c r="J609" s="4">
        <f>F609/$F$10*100</f>
        <v/>
      </c>
      <c r="K609" s="4">
        <f>N609/L609</f>
        <v/>
      </c>
      <c r="L609" s="4">
        <f>(M609/O609)*100</f>
        <v/>
      </c>
      <c r="M609" s="4">
        <f>O609/R609</f>
        <v/>
      </c>
      <c r="N609" s="21" t="n">
        <v>6.754</v>
      </c>
      <c r="O609" s="21" t="n">
        <v>23311.8</v>
      </c>
      <c r="P609" s="21" t="n">
        <v>3.48</v>
      </c>
      <c r="Q609" s="4">
        <f>N609-L609</f>
        <v/>
      </c>
      <c r="R609" s="21" t="n">
        <v>21.46</v>
      </c>
      <c r="S609" s="21" t="n">
        <v>4.611</v>
      </c>
      <c r="T609" s="7">
        <f>N609-S609</f>
        <v/>
      </c>
      <c r="U609" s="21" t="n">
        <v>108.817</v>
      </c>
      <c r="X609" s="21" t="n">
        <v>20172.65</v>
      </c>
      <c r="Y609" s="21" t="n">
        <v>41.27</v>
      </c>
      <c r="Z609" s="4">
        <f>X609/Y609</f>
        <v/>
      </c>
      <c r="AA609" s="4">
        <f>(Z609/X609)*100</f>
        <v/>
      </c>
      <c r="AB609" s="21" t="n">
        <v>16707.9</v>
      </c>
      <c r="AC609" s="23" t="n">
        <v>32.68</v>
      </c>
      <c r="AD609" s="4">
        <f>AB609/AC609</f>
        <v/>
      </c>
      <c r="AE609" s="4">
        <f>(AD609/AB609)*100</f>
        <v/>
      </c>
    </row>
    <row r="610">
      <c r="A610" s="5" t="n">
        <v>664</v>
      </c>
      <c r="B610" s="45" t="n">
        <v>45674</v>
      </c>
      <c r="C610" s="21" t="n">
        <v>43014635.25</v>
      </c>
      <c r="D610" s="4">
        <f>C610/E610</f>
        <v/>
      </c>
      <c r="E610" s="21" t="n">
        <v>86.571</v>
      </c>
      <c r="F610" s="4">
        <f>D610/100000</f>
        <v/>
      </c>
      <c r="G610" s="4">
        <f>($D$1-F610)/F610*100</f>
        <v/>
      </c>
      <c r="H610" s="4">
        <f>($D$2-F610)/F610*100</f>
        <v/>
      </c>
      <c r="I610" s="4">
        <f>($D$3-F610)/F610*100</f>
        <v/>
      </c>
      <c r="J610" s="4">
        <f>F610/$F$10*100</f>
        <v/>
      </c>
      <c r="K610" s="4">
        <f>N610/L610</f>
        <v/>
      </c>
      <c r="L610" s="4">
        <f>(M610/O610)*100</f>
        <v/>
      </c>
      <c r="M610" s="4">
        <f>O610/R610</f>
        <v/>
      </c>
      <c r="N610" s="21" t="n">
        <v>6.774</v>
      </c>
      <c r="O610" s="21" t="n">
        <v>23203.2</v>
      </c>
      <c r="P610" s="21" t="n">
        <v>3.46</v>
      </c>
      <c r="Q610" s="4">
        <f>N610-L610</f>
        <v/>
      </c>
      <c r="R610" s="21" t="n">
        <v>21.36</v>
      </c>
      <c r="S610" s="21" t="n">
        <v>4.622</v>
      </c>
      <c r="T610" s="7">
        <f>N610-S610</f>
        <v/>
      </c>
      <c r="U610" s="21" t="n">
        <v>109.203</v>
      </c>
      <c r="X610" s="21" t="n">
        <v>20195.9</v>
      </c>
      <c r="Y610" s="21" t="n">
        <v>41.28</v>
      </c>
      <c r="Z610" s="4">
        <f>X610/Y610</f>
        <v/>
      </c>
      <c r="AA610" s="4">
        <f>(Z610/X610)*100</f>
        <v/>
      </c>
      <c r="AB610" s="21" t="n">
        <v>16700.5</v>
      </c>
      <c r="AC610" s="23" t="n">
        <v>32.69</v>
      </c>
      <c r="AD610" s="4">
        <f>AB610/AC610</f>
        <v/>
      </c>
      <c r="AE610" s="4">
        <f>(AD610/AB610)*100</f>
        <v/>
      </c>
    </row>
    <row r="611">
      <c r="A611" s="5" t="n">
        <v>665</v>
      </c>
      <c r="B611" s="45" t="n">
        <v>45677</v>
      </c>
      <c r="C611" s="21" t="n">
        <v>43290177.42</v>
      </c>
      <c r="D611" s="4">
        <f>C611/E611</f>
        <v/>
      </c>
      <c r="E611" s="21" t="n">
        <v>86.209</v>
      </c>
      <c r="F611" s="4">
        <f>D611/100000</f>
        <v/>
      </c>
      <c r="G611" s="4">
        <f>($D$1-F611)/F611*100</f>
        <v/>
      </c>
      <c r="H611" s="4">
        <f>($D$2-F611)/F611*100</f>
        <v/>
      </c>
      <c r="I611" s="4">
        <f>($D$3-F611)/F611*100</f>
        <v/>
      </c>
      <c r="J611" s="4">
        <f>F611/$F$10*100</f>
        <v/>
      </c>
      <c r="K611" s="4">
        <f>N611/L611</f>
        <v/>
      </c>
      <c r="L611" s="4">
        <f>(M611/O611)*100</f>
        <v/>
      </c>
      <c r="M611" s="4">
        <f>O611/R611</f>
        <v/>
      </c>
      <c r="N611" s="21" t="n">
        <v>6.763</v>
      </c>
      <c r="O611" s="21" t="n">
        <v>23344.75</v>
      </c>
      <c r="P611" s="21" t="n">
        <v>3.48</v>
      </c>
      <c r="Q611" s="4">
        <f>N611-L611</f>
        <v/>
      </c>
      <c r="R611" s="21" t="n">
        <v>21.4</v>
      </c>
      <c r="S611" s="21" t="n">
        <v>4.622</v>
      </c>
      <c r="T611" s="7">
        <f>N611-S611</f>
        <v/>
      </c>
      <c r="U611" s="21" t="n">
        <v>109.203</v>
      </c>
      <c r="X611" s="21" t="n">
        <v>20350.9</v>
      </c>
      <c r="Y611" s="21" t="n">
        <v>41.63</v>
      </c>
      <c r="Z611" s="4">
        <f>X611/Y611</f>
        <v/>
      </c>
      <c r="AA611" s="4">
        <f>(Z611/X611)*100</f>
        <v/>
      </c>
      <c r="AB611" s="21" t="n">
        <v>16841.4</v>
      </c>
      <c r="AC611" s="23" t="n">
        <v>32.94</v>
      </c>
      <c r="AD611" s="4">
        <f>AB611/AC611</f>
        <v/>
      </c>
      <c r="AE611" s="4">
        <f>(AD611/AB611)*100</f>
        <v/>
      </c>
    </row>
    <row r="612">
      <c r="A612" s="5" t="n">
        <v>666</v>
      </c>
      <c r="B612" s="45" t="n">
        <v>45678</v>
      </c>
      <c r="C612" s="21" t="n">
        <v>42550839.77</v>
      </c>
      <c r="D612" s="4">
        <f>C612/E612</f>
        <v/>
      </c>
      <c r="E612" s="21" t="n">
        <v>86.452</v>
      </c>
      <c r="F612" s="4">
        <f>D612/100000</f>
        <v/>
      </c>
      <c r="G612" s="4">
        <f>($D$1-F612)/F612*100</f>
        <v/>
      </c>
      <c r="H612" s="4">
        <f>($D$2-F612)/F612*100</f>
        <v/>
      </c>
      <c r="I612" s="4">
        <f>($D$3-F612)/F612*100</f>
        <v/>
      </c>
      <c r="J612" s="4">
        <f>F612/$F$10*100</f>
        <v/>
      </c>
      <c r="K612" s="4">
        <f>N612/L612</f>
        <v/>
      </c>
      <c r="L612" s="4">
        <f>(M612/O612)*100</f>
        <v/>
      </c>
      <c r="M612" s="4">
        <f>O612/R612</f>
        <v/>
      </c>
      <c r="N612" s="21" t="n">
        <v>6.734</v>
      </c>
      <c r="O612" s="21" t="n">
        <v>23024.65</v>
      </c>
      <c r="P612" s="21" t="n">
        <v>3.43</v>
      </c>
      <c r="Q612" s="4">
        <f>N612-L612</f>
        <v/>
      </c>
      <c r="R612" s="21" t="n">
        <v>21.07</v>
      </c>
      <c r="S612" s="21" t="n">
        <v>4.572</v>
      </c>
      <c r="T612" s="7">
        <f>N612-S612</f>
        <v/>
      </c>
      <c r="U612" s="21" t="n">
        <v>107.861</v>
      </c>
      <c r="X612" s="21" t="n">
        <v>19946.3</v>
      </c>
      <c r="Y612" s="21" t="n">
        <v>40.75</v>
      </c>
      <c r="Z612" s="4">
        <f>X612/Y612</f>
        <v/>
      </c>
      <c r="AA612" s="4">
        <f>(Z612/X612)*100</f>
        <v/>
      </c>
      <c r="AB612" s="21" t="n">
        <v>16484.1</v>
      </c>
      <c r="AC612" s="23" t="n">
        <v>32.41</v>
      </c>
      <c r="AD612" s="4">
        <f>AB612/AC612</f>
        <v/>
      </c>
      <c r="AE612" s="4">
        <f>(AD612/AB612)*100</f>
        <v/>
      </c>
    </row>
    <row r="613">
      <c r="A613" s="5" t="n">
        <v>667</v>
      </c>
      <c r="B613" s="45" t="n">
        <v>45679</v>
      </c>
      <c r="C613" s="21" t="n">
        <v>42326048.54</v>
      </c>
      <c r="D613" s="4">
        <f>C613/E613</f>
        <v/>
      </c>
      <c r="E613" s="21" t="n">
        <v>86.45</v>
      </c>
      <c r="F613" s="4">
        <f>D613/100000</f>
        <v/>
      </c>
      <c r="G613" s="4">
        <f>($D$1-F613)/F613*100</f>
        <v/>
      </c>
      <c r="H613" s="4">
        <f>($D$2-F613)/F613*100</f>
        <v/>
      </c>
      <c r="I613" s="4">
        <f>($D$3-F613)/F613*100</f>
        <v/>
      </c>
      <c r="J613" s="4">
        <f>F613/$F$10*100</f>
        <v/>
      </c>
      <c r="K613" s="4">
        <f>N613/L613</f>
        <v/>
      </c>
      <c r="L613" s="4">
        <f>(M613/O613)*100</f>
        <v/>
      </c>
      <c r="M613" s="4">
        <f>O613/R613</f>
        <v/>
      </c>
      <c r="N613" s="21" t="n">
        <v>6.719</v>
      </c>
      <c r="O613" s="21" t="n">
        <v>23155.35</v>
      </c>
      <c r="P613" s="21" t="n">
        <v>3.45</v>
      </c>
      <c r="Q613" s="4">
        <f>N613-L613</f>
        <v/>
      </c>
      <c r="R613" s="21" t="n">
        <v>21.19</v>
      </c>
      <c r="S613" s="21" t="n">
        <v>4.612</v>
      </c>
      <c r="T613" s="7">
        <f>N613-S613</f>
        <v/>
      </c>
      <c r="U613" s="21" t="n">
        <v>107.962</v>
      </c>
      <c r="X613" s="21" t="n">
        <v>19696.9</v>
      </c>
      <c r="Y613" s="21" t="n">
        <v>40.15</v>
      </c>
      <c r="Z613" s="4">
        <f>X613/Y613</f>
        <v/>
      </c>
      <c r="AA613" s="4">
        <f>(Z613/X613)*100</f>
        <v/>
      </c>
      <c r="AB613" s="21" t="n">
        <v>16220.85</v>
      </c>
      <c r="AC613" s="23" t="n">
        <v>31.8</v>
      </c>
      <c r="AD613" s="4">
        <f>AB613/AC613</f>
        <v/>
      </c>
      <c r="AE613" s="4">
        <f>(AD613/AB613)*100</f>
        <v/>
      </c>
    </row>
    <row r="614">
      <c r="A614" s="5" t="n">
        <v>668</v>
      </c>
      <c r="B614" s="45" t="n">
        <v>45680</v>
      </c>
      <c r="C614" s="21" t="n">
        <v>42599475.15</v>
      </c>
      <c r="D614" s="4">
        <f>C614/E614</f>
        <v/>
      </c>
      <c r="E614" s="21" t="n">
        <v>86.43000000000001</v>
      </c>
      <c r="F614" s="4">
        <f>D614/100000</f>
        <v/>
      </c>
      <c r="G614" s="4">
        <f>($D$1-F614)/F614*100</f>
        <v/>
      </c>
      <c r="H614" s="4">
        <f>($D$2-F614)/F614*100</f>
        <v/>
      </c>
      <c r="I614" s="4">
        <f>($D$3-F614)/F614*100</f>
        <v/>
      </c>
      <c r="J614" s="4">
        <f>F614/$F$10*100</f>
        <v/>
      </c>
      <c r="K614" s="4">
        <f>N614/L614</f>
        <v/>
      </c>
      <c r="L614" s="4">
        <f>(M614/O614)*100</f>
        <v/>
      </c>
      <c r="M614" s="4">
        <f>O614/R614</f>
        <v/>
      </c>
      <c r="N614" s="21" t="n">
        <v>6.736</v>
      </c>
      <c r="O614" s="21" t="n">
        <v>23205.35</v>
      </c>
      <c r="P614" s="21" t="n">
        <v>3.46</v>
      </c>
      <c r="Q614" s="4">
        <f>N614-L614</f>
        <v/>
      </c>
      <c r="R614" s="21" t="n">
        <v>21.24</v>
      </c>
      <c r="S614" s="21" t="n">
        <v>4.645</v>
      </c>
      <c r="T614" s="7">
        <f>N614-S614</f>
        <v/>
      </c>
      <c r="U614" s="21" t="n">
        <v>107.863</v>
      </c>
      <c r="X614" s="21" t="n">
        <v>20047.95</v>
      </c>
      <c r="Y614" s="21" t="n">
        <v>40.9</v>
      </c>
      <c r="Z614" s="4">
        <f>X614/Y614</f>
        <v/>
      </c>
      <c r="AA614" s="4">
        <f>(Z614/X614)*100</f>
        <v/>
      </c>
      <c r="AB614" s="21" t="n">
        <v>16352.8</v>
      </c>
      <c r="AC614" s="23" t="n">
        <v>31.91</v>
      </c>
      <c r="AD614" s="4">
        <f>AB614/AC614</f>
        <v/>
      </c>
      <c r="AE614" s="4">
        <f>(AD614/AB614)*100</f>
        <v/>
      </c>
    </row>
    <row r="615">
      <c r="A615" s="5" t="n">
        <v>669</v>
      </c>
      <c r="B615" s="45" t="n">
        <v>45681</v>
      </c>
      <c r="C615" s="21" t="n">
        <v>42086673.46</v>
      </c>
      <c r="D615" s="4">
        <f>C615/E615</f>
        <v/>
      </c>
      <c r="E615" s="21" t="n">
        <v>86.2</v>
      </c>
      <c r="F615" s="4">
        <f>D615/100000</f>
        <v/>
      </c>
      <c r="G615" s="4">
        <f>($D$1-F615)/F615*100</f>
        <v/>
      </c>
      <c r="H615" s="4">
        <f>($D$2-F615)/F615*100</f>
        <v/>
      </c>
      <c r="I615" s="4">
        <f>($D$3-F615)/F615*100</f>
        <v/>
      </c>
      <c r="J615" s="4">
        <f>F615/$F$10*100</f>
        <v/>
      </c>
      <c r="K615" s="4">
        <f>N615/L615</f>
        <v/>
      </c>
      <c r="L615" s="4">
        <f>(M615/O615)*100</f>
        <v/>
      </c>
      <c r="M615" s="4">
        <f>O615/R615</f>
        <v/>
      </c>
      <c r="N615" s="21" t="n">
        <v>6.72</v>
      </c>
      <c r="O615" s="21" t="n">
        <v>23092.2</v>
      </c>
      <c r="P615" s="21" t="n">
        <v>3.44</v>
      </c>
      <c r="Q615" s="4">
        <f>N615-L615</f>
        <v/>
      </c>
      <c r="R615" s="21" t="n">
        <v>21.09</v>
      </c>
      <c r="S615" s="21" t="n">
        <v>4.616</v>
      </c>
      <c r="T615" s="7">
        <f>N615-S615</f>
        <v/>
      </c>
      <c r="U615" s="21" t="n">
        <v>107.245</v>
      </c>
      <c r="X615" s="21" t="n">
        <v>19708.95</v>
      </c>
      <c r="Y615" s="21" t="n">
        <v>40.1</v>
      </c>
      <c r="Z615" s="4">
        <f>X615/Y615</f>
        <v/>
      </c>
      <c r="AA615" s="4">
        <f>(Z615/X615)*100</f>
        <v/>
      </c>
      <c r="AB615" s="21" t="n">
        <v>16001.7</v>
      </c>
      <c r="AC615" s="23" t="n">
        <v>31.23</v>
      </c>
      <c r="AD615" s="4">
        <f>AB615/AC615</f>
        <v/>
      </c>
      <c r="AE615" s="4">
        <f>(AD615/AB615)*100</f>
        <v/>
      </c>
    </row>
    <row r="616">
      <c r="A616" s="5" t="n">
        <v>670</v>
      </c>
      <c r="B616" s="45" t="n">
        <v>45684</v>
      </c>
      <c r="C616" s="21" t="n">
        <v>41137032.54</v>
      </c>
      <c r="D616" s="4">
        <f>C616/E616</f>
        <v/>
      </c>
      <c r="E616" s="21" t="n">
        <v>86.34999999999999</v>
      </c>
      <c r="F616" s="4">
        <f>D616/100000</f>
        <v/>
      </c>
      <c r="G616" s="4">
        <f>($D$1-F616)/F616*100</f>
        <v/>
      </c>
      <c r="H616" s="4">
        <f>($D$2-F616)/F616*100</f>
        <v/>
      </c>
      <c r="I616" s="4">
        <f>($D$3-F616)/F616*100</f>
        <v/>
      </c>
      <c r="J616" s="4">
        <f>F616/$F$10*100</f>
        <v/>
      </c>
      <c r="K616" s="4">
        <f>N616/L616</f>
        <v/>
      </c>
      <c r="L616" s="4">
        <f>(M616/O616)*100</f>
        <v/>
      </c>
      <c r="M616" s="4">
        <f>O616/R616</f>
        <v/>
      </c>
      <c r="N616" s="21" t="n">
        <v>6.675</v>
      </c>
      <c r="O616" s="21" t="n">
        <v>22829.15</v>
      </c>
      <c r="P616" s="21" t="n">
        <v>3.4</v>
      </c>
      <c r="Q616" s="4">
        <f>N616-L616</f>
        <v/>
      </c>
      <c r="R616" s="21" t="n">
        <v>20.85</v>
      </c>
      <c r="S616" s="21" t="n">
        <v>4.533</v>
      </c>
      <c r="T616" s="7">
        <f>N616-S616</f>
        <v/>
      </c>
      <c r="U616" s="21" t="n">
        <v>107.16</v>
      </c>
      <c r="X616" s="21" t="n">
        <v>19152.1</v>
      </c>
      <c r="Y616" s="21" t="n">
        <v>38</v>
      </c>
      <c r="Z616" s="4">
        <f>X616/Y616</f>
        <v/>
      </c>
      <c r="AA616" s="4">
        <f>(Z616/X616)*100</f>
        <v/>
      </c>
      <c r="AB616" s="21" t="n">
        <v>15416.3</v>
      </c>
      <c r="AC616" s="23" t="n">
        <v>30.05</v>
      </c>
      <c r="AD616" s="4">
        <f>AB616/AC616</f>
        <v/>
      </c>
      <c r="AE616" s="4">
        <f>(AD616/AB616)*100</f>
        <v/>
      </c>
    </row>
    <row r="617">
      <c r="A617" s="5" t="n">
        <v>671</v>
      </c>
      <c r="B617" s="45" t="n">
        <v>45685</v>
      </c>
      <c r="C617" s="21" t="n">
        <v>40991703.99</v>
      </c>
      <c r="D617" s="4">
        <f>C617/E617</f>
        <v/>
      </c>
      <c r="E617" s="21" t="n">
        <v>86.584</v>
      </c>
      <c r="F617" s="4">
        <f>D617/100000</f>
        <v/>
      </c>
      <c r="G617" s="4">
        <f>($D$1-F617)/F617*100</f>
        <v/>
      </c>
      <c r="H617" s="4">
        <f>($D$2-F617)/F617*100</f>
        <v/>
      </c>
      <c r="I617" s="4">
        <f>($D$3-F617)/F617*100</f>
        <v/>
      </c>
      <c r="J617" s="4">
        <f>F617/$F$10*100</f>
        <v/>
      </c>
      <c r="K617" s="4">
        <f>N617/L617</f>
        <v/>
      </c>
      <c r="L617" s="4">
        <f>(M617/O617)*100</f>
        <v/>
      </c>
      <c r="M617" s="4">
        <f>O617/R617</f>
        <v/>
      </c>
      <c r="N617" s="21" t="n">
        <v>6.681</v>
      </c>
      <c r="O617" s="21" t="n">
        <v>22957.25</v>
      </c>
      <c r="P617" s="21" t="n">
        <v>3.42</v>
      </c>
      <c r="Q617" s="4">
        <f>N617-L617</f>
        <v/>
      </c>
      <c r="R617" s="21" t="n">
        <v>20.85</v>
      </c>
      <c r="S617" s="21" t="n">
        <v>4.533</v>
      </c>
      <c r="T617" s="7">
        <f>N617-S617</f>
        <v/>
      </c>
      <c r="U617" s="21" t="n">
        <v>107.683</v>
      </c>
      <c r="X617" s="21" t="n">
        <v>19019.1</v>
      </c>
      <c r="Y617" s="21" t="n">
        <v>37.49</v>
      </c>
      <c r="Z617" s="4">
        <f>X617/Y617</f>
        <v/>
      </c>
      <c r="AA617" s="4">
        <f>(Z617/X617)*100</f>
        <v/>
      </c>
      <c r="AB617" s="21" t="n">
        <v>15135.1</v>
      </c>
      <c r="AC617" s="23" t="n">
        <v>29.55</v>
      </c>
      <c r="AD617" s="4">
        <f>AB617/AC617</f>
        <v/>
      </c>
      <c r="AE617" s="4">
        <f>(AD617/AB617)*100</f>
        <v/>
      </c>
    </row>
    <row r="618">
      <c r="A618" s="5" t="n">
        <v>672</v>
      </c>
      <c r="B618" s="45" t="n">
        <v>45686</v>
      </c>
      <c r="C618" s="21" t="n">
        <v>41765954</v>
      </c>
      <c r="D618" s="4">
        <f>C618/E618</f>
        <v/>
      </c>
      <c r="E618" s="21" t="n">
        <v>86.63</v>
      </c>
      <c r="F618" s="4">
        <f>D618/100000</f>
        <v/>
      </c>
      <c r="G618" s="4">
        <f>($D$1-F618)/F618*100</f>
        <v/>
      </c>
      <c r="H618" s="4">
        <f>($D$2-F618)/F618*100</f>
        <v/>
      </c>
      <c r="I618" s="4">
        <f>($D$3-F618)/F618*100</f>
        <v/>
      </c>
      <c r="J618" s="4">
        <f>F618/$F$10*100</f>
        <v/>
      </c>
      <c r="K618" s="4">
        <f>N618/L618</f>
        <v/>
      </c>
      <c r="L618" s="4">
        <f>(M618/O618)*100</f>
        <v/>
      </c>
      <c r="M618" s="4">
        <f>O618/R618</f>
        <v/>
      </c>
      <c r="N618" s="21" t="n">
        <v>6.683</v>
      </c>
      <c r="O618" s="21" t="n">
        <v>23163.1</v>
      </c>
      <c r="P618" s="21" t="n">
        <v>3.45</v>
      </c>
      <c r="Q618" s="4">
        <f>N618-L618</f>
        <v/>
      </c>
      <c r="R618" s="21" t="n">
        <v>21.06</v>
      </c>
      <c r="S618" s="21" t="n">
        <v>4.533</v>
      </c>
      <c r="T618" s="7">
        <f>N618-S618</f>
        <v/>
      </c>
      <c r="U618" s="21" t="n">
        <v>107.809</v>
      </c>
      <c r="X618" s="21" t="n">
        <v>19481.75</v>
      </c>
      <c r="Y618" s="21" t="n">
        <v>38.45</v>
      </c>
      <c r="Z618" s="4">
        <f>X618/Y618</f>
        <v/>
      </c>
      <c r="AA618" s="4">
        <f>(Z618/X618)*100</f>
        <v/>
      </c>
      <c r="AB618" s="21" t="n">
        <v>15613.35</v>
      </c>
      <c r="AC618" s="23" t="n">
        <v>29.79</v>
      </c>
      <c r="AD618" s="4">
        <f>AB618/AC618</f>
        <v/>
      </c>
      <c r="AE618" s="4">
        <f>(AD618/AB618)*100</f>
        <v/>
      </c>
    </row>
    <row r="619">
      <c r="A619" s="5" t="n">
        <v>673</v>
      </c>
      <c r="B619" s="45" t="n">
        <v>45687</v>
      </c>
      <c r="C619" s="21" t="n">
        <v>41874921.63</v>
      </c>
      <c r="D619" s="4">
        <f>C619/E619</f>
        <v/>
      </c>
      <c r="E619" s="21" t="n">
        <v>86.545</v>
      </c>
      <c r="F619" s="4">
        <f>D619/100000</f>
        <v/>
      </c>
      <c r="G619" s="4">
        <f>($D$1-F619)/F619*100</f>
        <v/>
      </c>
      <c r="H619" s="4">
        <f>($D$2-F619)/F619*100</f>
        <v/>
      </c>
      <c r="I619" s="4">
        <f>($D$3-F619)/F619*100</f>
        <v/>
      </c>
      <c r="J619" s="4">
        <f>F619/$F$10*100</f>
        <v/>
      </c>
      <c r="K619" s="4">
        <f>N619/L619</f>
        <v/>
      </c>
      <c r="L619" s="4">
        <f>(M619/O619)*100</f>
        <v/>
      </c>
      <c r="M619" s="4">
        <f>O619/R619</f>
        <v/>
      </c>
      <c r="N619" s="21" t="n">
        <v>6.678</v>
      </c>
      <c r="O619" s="21" t="n">
        <v>23249.5</v>
      </c>
      <c r="P619" s="21" t="n">
        <v>3.47</v>
      </c>
      <c r="Q619" s="4">
        <f>N619-L619</f>
        <v/>
      </c>
      <c r="R619" s="21" t="n">
        <v>21.12</v>
      </c>
      <c r="S619" s="21" t="n">
        <v>4.519</v>
      </c>
      <c r="T619" s="7">
        <f>N619-S619</f>
        <v/>
      </c>
      <c r="U619" s="21" t="n">
        <v>107.631</v>
      </c>
      <c r="X619" s="21" t="n">
        <v>19514.25</v>
      </c>
      <c r="Y619" s="21" t="n">
        <v>38.26</v>
      </c>
      <c r="Z619" s="4">
        <f>X619/Y619</f>
        <v/>
      </c>
      <c r="AA619" s="4">
        <f>(Z619/X619)*100</f>
        <v/>
      </c>
      <c r="AB619" s="21" t="n">
        <v>15585.95</v>
      </c>
      <c r="AC619" s="23" t="n">
        <v>29.79</v>
      </c>
      <c r="AD619" s="4">
        <f>AB619/AC619</f>
        <v/>
      </c>
      <c r="AE619" s="4">
        <f>(AD619/AB619)*100</f>
        <v/>
      </c>
    </row>
    <row r="620">
      <c r="A620" s="5" t="n">
        <v>674</v>
      </c>
      <c r="B620" s="45" t="n">
        <v>45688</v>
      </c>
      <c r="C620" s="21" t="n">
        <v>42499887.21</v>
      </c>
      <c r="D620" s="4">
        <f>C620/E620</f>
        <v/>
      </c>
      <c r="E620" s="21" t="n">
        <v>86.536</v>
      </c>
      <c r="F620" s="4">
        <f>D620/100000</f>
        <v/>
      </c>
      <c r="G620" s="4">
        <f>($D$1-F620)/F620*100</f>
        <v/>
      </c>
      <c r="H620" s="4">
        <f>($D$2-F620)/F620*100</f>
        <v/>
      </c>
      <c r="I620" s="4">
        <f>($D$3-F620)/F620*100</f>
        <v/>
      </c>
      <c r="J620" s="4">
        <f>F620/$F$10*100</f>
        <v/>
      </c>
      <c r="K620" s="4">
        <f>N620/L620</f>
        <v/>
      </c>
      <c r="L620" s="4">
        <f>(M620/O620)*100</f>
        <v/>
      </c>
      <c r="M620" s="4">
        <f>O620/R620</f>
        <v/>
      </c>
      <c r="N620" s="21" t="n">
        <v>6.694</v>
      </c>
      <c r="O620" s="21" t="n">
        <v>23508.4</v>
      </c>
      <c r="P620" s="21" t="n">
        <v>3.51</v>
      </c>
      <c r="Q620" s="4">
        <f>N620-L620</f>
        <v/>
      </c>
      <c r="R620" s="21" t="n">
        <v>21.33</v>
      </c>
      <c r="S620" s="21" t="n">
        <v>4.542</v>
      </c>
      <c r="T620" s="7">
        <f>N620-S620</f>
        <v/>
      </c>
      <c r="U620" s="21" t="n">
        <v>108.217</v>
      </c>
      <c r="X620" s="21" t="n">
        <v>19850.95</v>
      </c>
      <c r="Y620" s="21" t="n">
        <v>38.76</v>
      </c>
      <c r="Z620" s="4">
        <f>X620/Y620</f>
        <v/>
      </c>
      <c r="AA620" s="4">
        <f>(Z620/X620)*100</f>
        <v/>
      </c>
      <c r="AB620" s="21" t="n">
        <v>15851.05</v>
      </c>
      <c r="AC620" s="23" t="n">
        <v>30.18</v>
      </c>
      <c r="AD620" s="4">
        <f>AB620/AC620</f>
        <v/>
      </c>
      <c r="AE620" s="4">
        <f>(AD620/AB620)*100</f>
        <v/>
      </c>
    </row>
    <row r="621">
      <c r="A621" s="5" t="n">
        <v>675</v>
      </c>
      <c r="B621" s="45" t="n">
        <v>45689</v>
      </c>
      <c r="C621" s="21" t="n">
        <v>42480380.82</v>
      </c>
      <c r="D621" s="4">
        <f>C621/E621</f>
        <v/>
      </c>
      <c r="E621" s="21" t="n">
        <v>86.536</v>
      </c>
      <c r="F621" s="4">
        <f>D621/100000</f>
        <v/>
      </c>
      <c r="G621" s="4">
        <f>($D$1-F621)/F621*100</f>
        <v/>
      </c>
      <c r="H621" s="4">
        <f>($D$2-F621)/F621*100</f>
        <v/>
      </c>
      <c r="I621" s="4">
        <f>($D$3-F621)/F621*100</f>
        <v/>
      </c>
      <c r="J621" s="4">
        <f>F621/$F$10*100</f>
        <v/>
      </c>
      <c r="K621" s="4">
        <f>N621/L621</f>
        <v/>
      </c>
      <c r="L621" s="4">
        <f>(M621/O621)*100</f>
        <v/>
      </c>
      <c r="M621" s="4">
        <f>O621/R621</f>
        <v/>
      </c>
      <c r="N621" s="21" t="n">
        <v>6.694</v>
      </c>
      <c r="O621" s="21" t="n">
        <v>23482.15</v>
      </c>
      <c r="P621" s="21" t="n">
        <v>3.5</v>
      </c>
      <c r="Q621" s="4">
        <f>N621-L621</f>
        <v/>
      </c>
      <c r="R621" s="21" t="n">
        <v>21.29</v>
      </c>
      <c r="S621" s="21" t="n">
        <v>4.542</v>
      </c>
      <c r="T621" s="7">
        <f>N621-S621</f>
        <v/>
      </c>
      <c r="U621" s="21" t="n">
        <v>108.217</v>
      </c>
      <c r="X621" s="21" t="n">
        <v>19773.4</v>
      </c>
      <c r="Y621" s="21" t="n">
        <v>38.69</v>
      </c>
      <c r="Z621" s="4">
        <f>X621/Y621</f>
        <v/>
      </c>
      <c r="AA621" s="4">
        <f>(Z621/X621)*100</f>
        <v/>
      </c>
      <c r="AB621" s="21" t="n">
        <v>15955.45</v>
      </c>
      <c r="AC621" s="23" t="n">
        <v>30.39</v>
      </c>
      <c r="AD621" s="4">
        <f>AB621/AC621</f>
        <v/>
      </c>
      <c r="AE621" s="4">
        <f>(AD621/AB621)*100</f>
        <v/>
      </c>
    </row>
    <row r="622">
      <c r="A622" s="5" t="n">
        <v>676</v>
      </c>
      <c r="B622" s="45" t="n">
        <v>45691</v>
      </c>
      <c r="C622" s="21" t="n">
        <v>42031299.6</v>
      </c>
      <c r="D622" s="4">
        <f>C622/E622</f>
        <v/>
      </c>
      <c r="E622" s="21" t="n">
        <v>86.95999999999999</v>
      </c>
      <c r="F622" s="4">
        <f>D622/100000</f>
        <v/>
      </c>
      <c r="G622" s="4">
        <f>($D$1-F622)/F622*100</f>
        <v/>
      </c>
      <c r="H622" s="4">
        <f>($D$2-F622)/F622*100</f>
        <v/>
      </c>
      <c r="I622" s="4">
        <f>($D$3-F622)/F622*100</f>
        <v/>
      </c>
      <c r="J622" s="4">
        <f>F622/$F$10*100</f>
        <v/>
      </c>
      <c r="K622" s="4">
        <f>N622/L622</f>
        <v/>
      </c>
      <c r="L622" s="4">
        <f>(M622/O622)*100</f>
        <v/>
      </c>
      <c r="M622" s="4">
        <f>O622/R622</f>
        <v/>
      </c>
      <c r="N622" s="21" t="n">
        <v>6.67</v>
      </c>
      <c r="O622" s="21" t="n">
        <v>23361.05</v>
      </c>
      <c r="P622" s="21" t="n">
        <v>3.48</v>
      </c>
      <c r="Q622" s="4">
        <f>N622-L622</f>
        <v/>
      </c>
      <c r="R622" s="21" t="n">
        <v>21.22</v>
      </c>
      <c r="S622" s="21" t="n">
        <v>4.551</v>
      </c>
      <c r="T622" s="7">
        <f>N622-S622</f>
        <v/>
      </c>
      <c r="U622" s="21" t="n">
        <v>108.877</v>
      </c>
      <c r="X622" s="21" t="n">
        <v>19579.2</v>
      </c>
      <c r="Y622" s="21" t="n">
        <v>36.77</v>
      </c>
      <c r="Z622" s="4">
        <f>X622/Y622</f>
        <v/>
      </c>
      <c r="AA622" s="4">
        <f>(Z622/X622)*100</f>
        <v/>
      </c>
      <c r="AB622" s="21" t="n">
        <v>15677.65</v>
      </c>
      <c r="AC622" s="23" t="n">
        <v>29.88</v>
      </c>
      <c r="AD622" s="4">
        <f>AB622/AC622</f>
        <v/>
      </c>
      <c r="AE622" s="4">
        <f>(AD622/AB622)*100</f>
        <v/>
      </c>
    </row>
    <row r="623">
      <c r="A623" s="5" t="n">
        <v>677</v>
      </c>
      <c r="B623" s="45" t="n">
        <v>45692</v>
      </c>
      <c r="C623" s="21" t="n">
        <v>42623721.47</v>
      </c>
      <c r="D623" s="4">
        <f>C623/E623</f>
        <v/>
      </c>
      <c r="E623" s="21" t="n">
        <v>87.06999999999999</v>
      </c>
      <c r="F623" s="4">
        <f>D623/100000</f>
        <v/>
      </c>
      <c r="G623" s="4">
        <f>($D$1-F623)/F623*100</f>
        <v/>
      </c>
      <c r="H623" s="4">
        <f>($D$2-F623)/F623*100</f>
        <v/>
      </c>
      <c r="I623" s="4">
        <f>($D$3-F623)/F623*100</f>
        <v/>
      </c>
      <c r="J623" s="4">
        <f>F623/$F$10*100</f>
        <v/>
      </c>
      <c r="K623" s="4">
        <f>N623/L623</f>
        <v/>
      </c>
      <c r="L623" s="4">
        <f>(M623/O623)*100</f>
        <v/>
      </c>
      <c r="M623" s="4">
        <f>O623/R623</f>
        <v/>
      </c>
      <c r="N623" s="21" t="n">
        <v>6.672</v>
      </c>
      <c r="O623" s="21" t="n">
        <v>23739.25</v>
      </c>
      <c r="P623" s="21" t="n">
        <v>3.54</v>
      </c>
      <c r="Q623" s="4">
        <f>N623-L623</f>
        <v/>
      </c>
      <c r="R623" s="21" t="n">
        <v>21.56</v>
      </c>
      <c r="S623" s="21" t="n">
        <v>4.512</v>
      </c>
      <c r="T623" s="7">
        <f>N623-S623</f>
        <v/>
      </c>
      <c r="U623" s="21" t="n">
        <v>107.823</v>
      </c>
      <c r="X623" s="21" t="n">
        <v>19849.15</v>
      </c>
      <c r="Y623" s="21" t="n">
        <v>37.29</v>
      </c>
      <c r="Z623" s="4">
        <f>X623/Y623</f>
        <v/>
      </c>
      <c r="AA623" s="4">
        <f>(Z623/X623)*100</f>
        <v/>
      </c>
      <c r="AB623" s="21" t="n">
        <v>15855.95</v>
      </c>
      <c r="AC623" s="23" t="n">
        <v>30.24</v>
      </c>
      <c r="AD623" s="4">
        <f>AB623/AC623</f>
        <v/>
      </c>
      <c r="AE623" s="4">
        <f>(AD623/AB623)*100</f>
        <v/>
      </c>
    </row>
    <row r="624">
      <c r="A624" s="5" t="n">
        <v>678</v>
      </c>
      <c r="B624" s="45" t="n">
        <v>45693</v>
      </c>
      <c r="C624" s="21" t="n">
        <v>42803611.66</v>
      </c>
      <c r="D624" s="4">
        <f>C624/E624</f>
        <v/>
      </c>
      <c r="E624" s="21" t="n">
        <v>87.336</v>
      </c>
      <c r="F624" s="4">
        <f>D624/100000</f>
        <v/>
      </c>
      <c r="G624" s="4">
        <f>($D$1-F624)/F624*100</f>
        <v/>
      </c>
      <c r="H624" s="4">
        <f>($D$2-F624)/F624*100</f>
        <v/>
      </c>
      <c r="I624" s="4">
        <f>($D$3-F624)/F624*100</f>
        <v/>
      </c>
      <c r="J624" s="4">
        <f>F624/$F$10*100</f>
        <v/>
      </c>
      <c r="K624" s="4">
        <f>N624/L624</f>
        <v/>
      </c>
      <c r="L624" s="4">
        <f>(M624/O624)*100</f>
        <v/>
      </c>
      <c r="M624" s="4">
        <f>O624/R624</f>
        <v/>
      </c>
      <c r="N624" s="21" t="n">
        <v>6.664</v>
      </c>
      <c r="O624" s="21" t="n">
        <v>23696.3</v>
      </c>
      <c r="P624" s="21" t="n">
        <v>3.53</v>
      </c>
      <c r="Q624" s="4">
        <f>N624-L624</f>
        <v/>
      </c>
      <c r="R624" s="21" t="n">
        <v>21.52</v>
      </c>
      <c r="S624" s="21" t="n">
        <v>4.423</v>
      </c>
      <c r="T624" s="7">
        <f>N624-S624</f>
        <v/>
      </c>
      <c r="U624" s="21" t="n">
        <v>107.442</v>
      </c>
      <c r="X624" s="21" t="n">
        <v>19995.7</v>
      </c>
      <c r="Y624" s="21" t="n">
        <v>37.58</v>
      </c>
      <c r="Z624" s="4">
        <f>X624/Y624</f>
        <v/>
      </c>
      <c r="AA624" s="4">
        <f>(Z624/X624)*100</f>
        <v/>
      </c>
      <c r="AB624" s="21" t="n">
        <v>16104.4</v>
      </c>
      <c r="AC624" s="23" t="n">
        <v>30.7</v>
      </c>
      <c r="AD624" s="4">
        <f>AB624/AC624</f>
        <v/>
      </c>
      <c r="AE624" s="4">
        <f>(AD624/AB624)*100</f>
        <v/>
      </c>
    </row>
    <row r="625">
      <c r="A625" s="5" t="n">
        <v>679</v>
      </c>
      <c r="B625" s="45" t="n">
        <v>45694</v>
      </c>
      <c r="C625" s="21" t="n">
        <v>42580986.85</v>
      </c>
      <c r="D625" s="4">
        <f>C625/E625</f>
        <v/>
      </c>
      <c r="E625" s="21" t="n">
        <v>87.58</v>
      </c>
      <c r="F625" s="4">
        <f>D625/100000</f>
        <v/>
      </c>
      <c r="G625" s="4">
        <f>($D$1-F625)/F625*100</f>
        <v/>
      </c>
      <c r="H625" s="4">
        <f>($D$2-F625)/F625*100</f>
        <v/>
      </c>
      <c r="I625" s="4">
        <f>($D$3-F625)/F625*100</f>
        <v/>
      </c>
      <c r="J625" s="4">
        <f>F625/$F$10*100</f>
        <v/>
      </c>
      <c r="K625" s="4">
        <f>N625/L625</f>
        <v/>
      </c>
      <c r="L625" s="4">
        <f>(M625/O625)*100</f>
        <v/>
      </c>
      <c r="M625" s="4">
        <f>O625/R625</f>
        <v/>
      </c>
      <c r="N625" s="21" t="n">
        <v>6.657</v>
      </c>
      <c r="O625" s="21" t="n">
        <v>23603.35</v>
      </c>
      <c r="P625" s="21" t="n">
        <v>3.52</v>
      </c>
      <c r="Q625" s="4">
        <f>N625-L625</f>
        <v/>
      </c>
      <c r="R625" s="21" t="n">
        <v>21.45</v>
      </c>
      <c r="S625" s="21" t="n">
        <v>4.435</v>
      </c>
      <c r="T625" s="7">
        <f>N625-S625</f>
        <v/>
      </c>
      <c r="U625" s="21" t="n">
        <v>107.547</v>
      </c>
      <c r="X625" s="21" t="n">
        <v>19793.75</v>
      </c>
      <c r="Y625" s="21" t="n">
        <v>37.21</v>
      </c>
      <c r="Z625" s="4">
        <f>X625/Y625</f>
        <v/>
      </c>
      <c r="AA625" s="4">
        <f>(Z625/X625)*100</f>
        <v/>
      </c>
      <c r="AB625" s="21" t="n">
        <v>16098.65</v>
      </c>
      <c r="AC625" s="23" t="n">
        <v>30.81</v>
      </c>
      <c r="AD625" s="4">
        <f>AB625/AC625</f>
        <v/>
      </c>
      <c r="AE625" s="4">
        <f>(AD625/AB625)*100</f>
        <v/>
      </c>
    </row>
    <row r="626">
      <c r="A626" s="5" t="n">
        <v>680</v>
      </c>
      <c r="B626" s="45" t="n">
        <v>45695</v>
      </c>
      <c r="C626" s="21" t="n">
        <v>42478048.55</v>
      </c>
      <c r="D626" s="4">
        <f>C626/E626</f>
        <v/>
      </c>
      <c r="E626" s="21" t="n">
        <v>87.627</v>
      </c>
      <c r="F626" s="4">
        <f>D626/100000</f>
        <v/>
      </c>
      <c r="G626" s="4">
        <f>($D$1-F626)/F626*100</f>
        <v/>
      </c>
      <c r="H626" s="4">
        <f>($D$2-F626)/F626*100</f>
        <v/>
      </c>
      <c r="I626" s="4">
        <f>($D$3-F626)/F626*100</f>
        <v/>
      </c>
      <c r="J626" s="4">
        <f>F626/$F$10*100</f>
        <v/>
      </c>
      <c r="K626" s="4">
        <f>N626/L626</f>
        <v/>
      </c>
      <c r="L626" s="4">
        <f>(M626/O626)*100</f>
        <v/>
      </c>
      <c r="M626" s="4">
        <f>O626/R626</f>
        <v/>
      </c>
      <c r="N626" s="21" t="n">
        <v>6.699</v>
      </c>
      <c r="O626" s="21" t="n">
        <v>23559.95</v>
      </c>
      <c r="P626" s="21" t="n">
        <v>3.51</v>
      </c>
      <c r="Q626" s="4">
        <f>N626-L626</f>
        <v/>
      </c>
      <c r="R626" s="21" t="n">
        <v>21.41</v>
      </c>
      <c r="S626" s="21" t="n">
        <v>4.494</v>
      </c>
      <c r="T626" s="7">
        <f>N626-S626</f>
        <v/>
      </c>
      <c r="U626" s="21" t="n">
        <v>107.928</v>
      </c>
      <c r="X626" s="21" t="n">
        <v>19819.6</v>
      </c>
      <c r="Y626" s="21" t="n">
        <v>37.22</v>
      </c>
      <c r="Z626" s="4">
        <f>X626/Y626</f>
        <v/>
      </c>
      <c r="AA626" s="4">
        <f>(Z626/X626)*100</f>
        <v/>
      </c>
      <c r="AB626" s="21" t="n">
        <v>16035.75</v>
      </c>
      <c r="AC626" s="23" t="n">
        <v>30.51</v>
      </c>
      <c r="AD626" s="4">
        <f>AB626/AC626</f>
        <v/>
      </c>
      <c r="AE626" s="4">
        <f>(AD626/AB626)*100</f>
        <v/>
      </c>
    </row>
    <row r="627">
      <c r="A627" s="5" t="n">
        <v>681</v>
      </c>
      <c r="B627" s="45" t="n">
        <v>45698</v>
      </c>
      <c r="C627" s="21" t="n">
        <v>41856905.69</v>
      </c>
      <c r="D627" s="4">
        <f>C627/E627</f>
        <v/>
      </c>
      <c r="E627" s="21" t="n">
        <v>87.46899999999999</v>
      </c>
      <c r="F627" s="4">
        <f>D627/100000</f>
        <v/>
      </c>
      <c r="G627" s="4">
        <f>($D$1-F627)/F627*100</f>
        <v/>
      </c>
      <c r="H627" s="4">
        <f>($D$2-F627)/F627*100</f>
        <v/>
      </c>
      <c r="I627" s="4">
        <f>($D$3-F627)/F627*100</f>
        <v/>
      </c>
      <c r="J627" s="4">
        <f>F627/$F$10*100</f>
        <v/>
      </c>
      <c r="K627" s="4">
        <f>N627/L627</f>
        <v/>
      </c>
      <c r="L627" s="4">
        <f>(M627/O627)*100</f>
        <v/>
      </c>
      <c r="M627" s="4">
        <f>O627/R627</f>
        <v/>
      </c>
      <c r="N627" s="21" t="n">
        <v>6.713</v>
      </c>
      <c r="O627" s="21" t="n">
        <v>23381.6</v>
      </c>
      <c r="P627" s="21" t="n">
        <v>3.48</v>
      </c>
      <c r="Q627" s="4">
        <f>N627-L627</f>
        <v/>
      </c>
      <c r="R627" s="21" t="n">
        <v>20.82</v>
      </c>
      <c r="S627" s="21" t="n">
        <v>4.5</v>
      </c>
      <c r="T627" s="7">
        <f>N627-S627</f>
        <v/>
      </c>
      <c r="U627" s="21" t="n">
        <v>108.193</v>
      </c>
      <c r="X627" s="21" t="n">
        <v>19406.95</v>
      </c>
      <c r="Y627" s="21" t="n">
        <v>36.44</v>
      </c>
      <c r="Z627" s="4">
        <f>X627/Y627</f>
        <v/>
      </c>
      <c r="AA627" s="4">
        <f>(Z627/X627)*100</f>
        <v/>
      </c>
      <c r="AB627" s="21" t="n">
        <v>15693.6</v>
      </c>
      <c r="AC627" s="23" t="n">
        <v>29.8</v>
      </c>
      <c r="AD627" s="4">
        <f>AB627/AC627</f>
        <v/>
      </c>
      <c r="AE627" s="4">
        <f>(AD627/AB627)*100</f>
        <v/>
      </c>
    </row>
    <row r="628">
      <c r="A628" s="5" t="n">
        <v>682</v>
      </c>
      <c r="B628" s="45" t="n">
        <v>45699</v>
      </c>
      <c r="C628" s="21" t="n">
        <v>40926436.14</v>
      </c>
      <c r="D628" s="4">
        <f>C628/E628</f>
        <v/>
      </c>
      <c r="E628" s="21" t="n">
        <v>86.789</v>
      </c>
      <c r="F628" s="4">
        <f>D628/100000</f>
        <v/>
      </c>
      <c r="G628" s="4">
        <f>($D$1-F628)/F628*100</f>
        <v/>
      </c>
      <c r="H628" s="4">
        <f>($D$2-F628)/F628*100</f>
        <v/>
      </c>
      <c r="I628" s="4">
        <f>($D$3-F628)/F628*100</f>
        <v/>
      </c>
      <c r="J628" s="4">
        <f>F628/$F$10*100</f>
        <v/>
      </c>
      <c r="K628" s="4">
        <f>N628/L628</f>
        <v/>
      </c>
      <c r="L628" s="4">
        <f>(M628/O628)*100</f>
        <v/>
      </c>
      <c r="M628" s="4">
        <f>O628/R628</f>
        <v/>
      </c>
      <c r="N628" s="21" t="n">
        <v>6.697</v>
      </c>
      <c r="O628" s="21" t="n">
        <v>23071.8</v>
      </c>
      <c r="P628" s="21" t="n">
        <v>3.43</v>
      </c>
      <c r="Q628" s="4">
        <f>N628-L628</f>
        <v/>
      </c>
      <c r="R628" s="21" t="n">
        <v>20.53</v>
      </c>
      <c r="S628" s="21" t="n">
        <v>4.536</v>
      </c>
      <c r="T628" s="7">
        <f>N628-S628</f>
        <v/>
      </c>
      <c r="U628" s="21" t="n">
        <v>107.833</v>
      </c>
      <c r="X628" s="21" t="n">
        <v>18837</v>
      </c>
      <c r="Y628" s="21" t="n">
        <v>35.48</v>
      </c>
      <c r="Z628" s="4">
        <f>X628/Y628</f>
        <v/>
      </c>
      <c r="AA628" s="4">
        <f>(Z628/X628)*100</f>
        <v/>
      </c>
      <c r="AB628" s="21" t="n">
        <v>15156.95</v>
      </c>
      <c r="AC628" s="23" t="n">
        <v>28.78</v>
      </c>
      <c r="AD628" s="4">
        <f>AB628/AC628</f>
        <v/>
      </c>
      <c r="AE628" s="4">
        <f>(AD628/AB628)*100</f>
        <v/>
      </c>
    </row>
    <row r="629">
      <c r="A629" s="5" t="n">
        <v>683</v>
      </c>
      <c r="B629" s="45" t="n">
        <v>45700</v>
      </c>
      <c r="C629" s="21" t="n">
        <v>40823480.15</v>
      </c>
      <c r="D629" s="4">
        <f>C629/E629</f>
        <v/>
      </c>
      <c r="E629" s="21" t="n">
        <v>86.90000000000001</v>
      </c>
      <c r="F629" s="4">
        <f>D629/100000</f>
        <v/>
      </c>
      <c r="G629" s="4">
        <f>($D$1-F629)/F629*100</f>
        <v/>
      </c>
      <c r="H629" s="4">
        <f>($D$2-F629)/F629*100</f>
        <v/>
      </c>
      <c r="I629" s="4">
        <f>($D$3-F629)/F629*100</f>
        <v/>
      </c>
      <c r="J629" s="4">
        <f>F629/$F$10*100</f>
        <v/>
      </c>
      <c r="K629" s="4">
        <f>N629/L629</f>
        <v/>
      </c>
      <c r="L629" s="4">
        <f>(M629/O629)*100</f>
        <v/>
      </c>
      <c r="M629" s="4">
        <f>O629/R629</f>
        <v/>
      </c>
      <c r="N629" s="21" t="n">
        <v>6.697</v>
      </c>
      <c r="O629" s="21" t="n">
        <v>23045.25</v>
      </c>
      <c r="P629" s="21" t="n">
        <v>3.43</v>
      </c>
      <c r="Q629" s="4">
        <f>N629-L629</f>
        <v/>
      </c>
      <c r="R629" s="21" t="n">
        <v>20.52</v>
      </c>
      <c r="S629" s="21" t="n">
        <v>4.625</v>
      </c>
      <c r="T629" s="7">
        <f>N629-S629</f>
        <v/>
      </c>
      <c r="U629" s="21" t="n">
        <v>107.823</v>
      </c>
      <c r="X629" s="21" t="n">
        <v>18766.85</v>
      </c>
      <c r="Y629" s="21" t="n">
        <v>35.33</v>
      </c>
      <c r="Z629" s="4">
        <f>X629/Y629</f>
        <v/>
      </c>
      <c r="AA629" s="4">
        <f>(Z629/X629)*100</f>
        <v/>
      </c>
      <c r="AB629" s="21" t="n">
        <v>15050.6</v>
      </c>
      <c r="AC629" s="23" t="n">
        <v>28.37</v>
      </c>
      <c r="AD629" s="4">
        <f>AB629/AC629</f>
        <v/>
      </c>
      <c r="AE629" s="4">
        <f>(AD629/AB629)*100</f>
        <v/>
      </c>
    </row>
    <row r="630">
      <c r="A630" s="5" t="n">
        <v>684</v>
      </c>
      <c r="B630" s="45" t="n">
        <v>45701</v>
      </c>
      <c r="C630" s="21" t="n">
        <v>40804909.25</v>
      </c>
      <c r="D630" s="4">
        <f>C630/E630</f>
        <v/>
      </c>
      <c r="E630" s="21" t="n">
        <v>86.69</v>
      </c>
      <c r="F630" s="4">
        <f>D630/100000</f>
        <v/>
      </c>
      <c r="G630" s="4">
        <f>($D$1-F630)/F630*100</f>
        <v/>
      </c>
      <c r="H630" s="4">
        <f>($D$2-F630)/F630*100</f>
        <v/>
      </c>
      <c r="I630" s="4">
        <f>($D$3-F630)/F630*100</f>
        <v/>
      </c>
      <c r="J630" s="4">
        <f>F630/$F$10*100</f>
        <v/>
      </c>
      <c r="K630" s="4">
        <f>N630/L630</f>
        <v/>
      </c>
      <c r="L630" s="4">
        <f>(M630/O630)*100</f>
        <v/>
      </c>
      <c r="M630" s="4">
        <f>O630/R630</f>
        <v/>
      </c>
      <c r="N630" s="21" t="n">
        <v>6.712</v>
      </c>
      <c r="O630" s="21" t="n">
        <v>23031.4</v>
      </c>
      <c r="P630" s="21" t="n">
        <v>3.43</v>
      </c>
      <c r="Q630" s="4">
        <f>N630-L630</f>
        <v/>
      </c>
      <c r="R630" s="21" t="n">
        <v>20.51</v>
      </c>
      <c r="S630" s="21" t="n">
        <v>4.532</v>
      </c>
      <c r="T630" s="7">
        <f>N630-S630</f>
        <v/>
      </c>
      <c r="U630" s="21" t="n">
        <v>107.216</v>
      </c>
      <c r="X630" s="21" t="n">
        <v>18796.8</v>
      </c>
      <c r="Y630" s="21" t="n">
        <v>35.37</v>
      </c>
      <c r="Z630" s="4">
        <f>X630/Y630</f>
        <v/>
      </c>
      <c r="AA630" s="4">
        <f>(Z630/X630)*100</f>
        <v/>
      </c>
      <c r="AB630" s="21" t="n">
        <v>14997.5</v>
      </c>
      <c r="AC630" s="23" t="n">
        <v>28.23</v>
      </c>
      <c r="AD630" s="4">
        <f>AB630/AC630</f>
        <v/>
      </c>
      <c r="AE630" s="4">
        <f>(AD630/AB630)*100</f>
        <v/>
      </c>
    </row>
    <row r="631">
      <c r="A631" s="5" t="n">
        <v>685</v>
      </c>
      <c r="B631" s="45" t="n">
        <v>45702</v>
      </c>
      <c r="C631" s="21" t="n">
        <v>40099281.11</v>
      </c>
      <c r="D631" s="4">
        <f>C631/E631</f>
        <v/>
      </c>
      <c r="E631" s="21" t="n">
        <v>86.62</v>
      </c>
      <c r="F631" s="4">
        <f>D631/100000</f>
        <v/>
      </c>
      <c r="G631" s="4">
        <f>($D$1-F631)/F631*100</f>
        <v/>
      </c>
      <c r="H631" s="4">
        <f>($D$2-F631)/F631*100</f>
        <v/>
      </c>
      <c r="I631" s="4">
        <f>($D$3-F631)/F631*100</f>
        <v/>
      </c>
      <c r="J631" s="4">
        <f>F631/$F$10*100</f>
        <v/>
      </c>
      <c r="K631" s="4">
        <f>N631/L631</f>
        <v/>
      </c>
      <c r="L631" s="4">
        <f>(M631/O631)*100</f>
        <v/>
      </c>
      <c r="M631" s="4">
        <f>O631/R631</f>
        <v/>
      </c>
      <c r="N631" s="21" t="n">
        <v>6.705</v>
      </c>
      <c r="O631" s="21" t="n">
        <v>22929.25</v>
      </c>
      <c r="P631" s="21" t="n">
        <v>3.41</v>
      </c>
      <c r="Q631" s="4">
        <f>N631-L631</f>
        <v/>
      </c>
      <c r="R631" s="21" t="n">
        <v>20.42</v>
      </c>
      <c r="S631" s="21" t="n">
        <v>4.477</v>
      </c>
      <c r="T631" s="7">
        <f>N631-S631</f>
        <v/>
      </c>
      <c r="U631" s="21" t="n">
        <v>106.575</v>
      </c>
      <c r="X631" s="21" t="n">
        <v>18346.8</v>
      </c>
      <c r="Y631" s="21" t="n">
        <v>34.41</v>
      </c>
      <c r="Z631" s="4">
        <f>X631/Y631</f>
        <v/>
      </c>
      <c r="AA631" s="4">
        <f>(Z631/X631)*100</f>
        <v/>
      </c>
      <c r="AB631" s="21" t="n">
        <v>14501.65</v>
      </c>
      <c r="AC631" s="23" t="n">
        <v>27.52</v>
      </c>
      <c r="AD631" s="4">
        <f>AB631/AC631</f>
        <v/>
      </c>
      <c r="AE631" s="4">
        <f>(AD631/AB631)*100</f>
        <v/>
      </c>
    </row>
    <row r="632">
      <c r="A632" s="5" t="n">
        <v>686</v>
      </c>
      <c r="B632" s="45" t="n">
        <v>45705</v>
      </c>
      <c r="C632" s="21" t="n">
        <v>40084756.53</v>
      </c>
      <c r="D632" s="4">
        <f>C632/E632</f>
        <v/>
      </c>
      <c r="E632" s="21" t="n">
        <v>86.809</v>
      </c>
      <c r="F632" s="4">
        <f>D632/100000</f>
        <v/>
      </c>
      <c r="G632" s="4">
        <f>($D$1-F632)/F632*100</f>
        <v/>
      </c>
      <c r="H632" s="4">
        <f>($D$2-F632)/F632*100</f>
        <v/>
      </c>
      <c r="I632" s="4">
        <f>($D$3-F632)/F632*100</f>
        <v/>
      </c>
      <c r="J632" s="4">
        <f>F632/$F$10*100</f>
        <v/>
      </c>
      <c r="K632" s="4">
        <f>N632/L632</f>
        <v/>
      </c>
      <c r="L632" s="4">
        <f>(M632/O632)*100</f>
        <v/>
      </c>
      <c r="M632" s="4">
        <f>O632/R632</f>
        <v/>
      </c>
      <c r="N632" s="21" t="n">
        <v>6.692</v>
      </c>
      <c r="O632" s="21" t="n">
        <v>22959.5</v>
      </c>
      <c r="P632" s="21" t="n">
        <v>3.42</v>
      </c>
      <c r="Q632" s="4">
        <f>N632-L632</f>
        <v/>
      </c>
      <c r="R632" s="21" t="n">
        <v>20.44</v>
      </c>
      <c r="S632" s="21" t="n">
        <v>4.477</v>
      </c>
      <c r="T632" s="7">
        <f>N632-S632</f>
        <v/>
      </c>
      <c r="U632" s="21" t="n">
        <v>106.575</v>
      </c>
      <c r="X632" s="21" t="n">
        <v>18408.45</v>
      </c>
      <c r="Y632" s="21" t="n">
        <v>34.52</v>
      </c>
      <c r="Z632" s="4">
        <f>X632/Y632</f>
        <v/>
      </c>
      <c r="AA632" s="4">
        <f>(Z632/X632)*100</f>
        <v/>
      </c>
      <c r="AB632" s="21" t="n">
        <v>14468.25</v>
      </c>
      <c r="AC632" s="23" t="n">
        <v>27.52</v>
      </c>
      <c r="AD632" s="4">
        <f>AB632/AC632</f>
        <v/>
      </c>
      <c r="AE632" s="4">
        <f>(AD632/AB632)*100</f>
        <v/>
      </c>
    </row>
    <row r="633">
      <c r="A633" s="5" t="n">
        <v>687</v>
      </c>
      <c r="B633" s="45" t="n">
        <v>45706</v>
      </c>
      <c r="C633" s="21" t="n">
        <v>39900574.92</v>
      </c>
      <c r="D633" s="4">
        <f>C633/E633</f>
        <v/>
      </c>
      <c r="E633" s="21" t="n">
        <v>86.867</v>
      </c>
      <c r="F633" s="4">
        <f>D633/100000</f>
        <v/>
      </c>
      <c r="G633" s="4">
        <f>($D$1-F633)/F633*100</f>
        <v/>
      </c>
      <c r="H633" s="4">
        <f>($D$2-F633)/F633*100</f>
        <v/>
      </c>
      <c r="I633" s="4">
        <f>($D$3-F633)/F633*100</f>
        <v/>
      </c>
      <c r="J633" s="4">
        <f>F633/$F$10*100</f>
        <v/>
      </c>
      <c r="K633" s="4">
        <f>N633/L633</f>
        <v/>
      </c>
      <c r="L633" s="4">
        <f>(M633/O633)*100</f>
        <v/>
      </c>
      <c r="M633" s="4">
        <f>O633/R633</f>
        <v/>
      </c>
      <c r="N633" s="21" t="n">
        <v>6.682</v>
      </c>
      <c r="O633" s="21" t="n">
        <v>22945.3</v>
      </c>
      <c r="P633" s="21" t="n">
        <v>3.42</v>
      </c>
      <c r="Q633" s="4">
        <f>N633-L633</f>
        <v/>
      </c>
      <c r="R633" s="21" t="n">
        <v>20.4</v>
      </c>
      <c r="S633" s="21" t="n">
        <v>4.551</v>
      </c>
      <c r="T633" s="7">
        <f>N633-S633</f>
        <v/>
      </c>
      <c r="U633" s="21" t="n">
        <v>106.955</v>
      </c>
      <c r="X633" s="21" t="n">
        <v>18375.85</v>
      </c>
      <c r="Y633" s="21" t="n">
        <v>34.48</v>
      </c>
      <c r="Z633" s="4">
        <f>X633/Y633</f>
        <v/>
      </c>
      <c r="AA633" s="4">
        <f>(Z633/X633)*100</f>
        <v/>
      </c>
      <c r="AB633" s="21" t="n">
        <v>14267.95</v>
      </c>
      <c r="AC633" s="23" t="n">
        <v>26.86</v>
      </c>
      <c r="AD633" s="4">
        <f>AB633/AC633</f>
        <v/>
      </c>
      <c r="AE633" s="4">
        <f>(AD633/AB633)*100</f>
        <v/>
      </c>
    </row>
    <row r="634">
      <c r="A634" s="5" t="n">
        <v>688</v>
      </c>
      <c r="B634" s="45" t="n">
        <v>45707</v>
      </c>
      <c r="C634" s="21" t="n">
        <v>40251018.95</v>
      </c>
      <c r="D634" s="4">
        <f>C634/E634</f>
        <v/>
      </c>
      <c r="E634" s="21" t="n">
        <v>86.89</v>
      </c>
      <c r="F634" s="4">
        <f>D634/100000</f>
        <v/>
      </c>
      <c r="G634" s="4">
        <f>($D$1-F634)/F634*100</f>
        <v/>
      </c>
      <c r="H634" s="4">
        <f>($D$2-F634)/F634*100</f>
        <v/>
      </c>
      <c r="I634" s="4">
        <f>($D$3-F634)/F634*100</f>
        <v/>
      </c>
      <c r="J634" s="4">
        <f>F634/$F$10*100</f>
        <v/>
      </c>
      <c r="K634" s="4">
        <f>N634/L634</f>
        <v/>
      </c>
      <c r="L634" s="4">
        <f>(M634/O634)*100</f>
        <v/>
      </c>
      <c r="M634" s="4">
        <f>O634/R634</f>
        <v/>
      </c>
      <c r="N634" s="21" t="n">
        <v>6.682</v>
      </c>
      <c r="O634" s="21" t="n">
        <v>22932.9</v>
      </c>
      <c r="P634" s="21" t="n">
        <v>3.41</v>
      </c>
      <c r="Q634" s="4">
        <f>N634-L634</f>
        <v/>
      </c>
      <c r="R634" s="21" t="n">
        <v>20.38</v>
      </c>
      <c r="S634" s="21" t="n">
        <v>4.534</v>
      </c>
      <c r="T634" s="7">
        <f>N634-S634</f>
        <v/>
      </c>
      <c r="U634" s="21" t="n">
        <v>107.063</v>
      </c>
      <c r="X634" s="21" t="n">
        <v>18644.9</v>
      </c>
      <c r="Y634" s="21" t="n">
        <v>35.12</v>
      </c>
      <c r="Z634" s="4">
        <f>X634/Y634</f>
        <v/>
      </c>
      <c r="AA634" s="4">
        <f>(Z634/X634)*100</f>
        <v/>
      </c>
      <c r="AB634" s="21" t="n">
        <v>14588.65</v>
      </c>
      <c r="AC634" s="23" t="n">
        <v>27.46</v>
      </c>
      <c r="AD634" s="4">
        <f>AB634/AC634</f>
        <v/>
      </c>
      <c r="AE634" s="4">
        <f>(AD634/AB634)*100</f>
        <v/>
      </c>
    </row>
    <row r="635">
      <c r="A635" s="5" t="n">
        <v>689</v>
      </c>
      <c r="B635" s="45" t="n">
        <v>45708</v>
      </c>
      <c r="C635" s="21" t="n">
        <v>40556203.22</v>
      </c>
      <c r="D635" s="4">
        <f>C635/E635</f>
        <v/>
      </c>
      <c r="E635" s="21" t="n">
        <v>86.56100000000001</v>
      </c>
      <c r="F635" s="4">
        <f>D635/100000</f>
        <v/>
      </c>
      <c r="G635" s="4">
        <f>($D$1-F635)/F635*100</f>
        <v/>
      </c>
      <c r="H635" s="4">
        <f>($D$2-F635)/F635*100</f>
        <v/>
      </c>
      <c r="I635" s="4">
        <f>($D$3-F635)/F635*100</f>
        <v/>
      </c>
      <c r="J635" s="4">
        <f>F635/$F$10*100</f>
        <v/>
      </c>
      <c r="K635" s="4">
        <f>N635/L635</f>
        <v/>
      </c>
      <c r="L635" s="4">
        <f>(M635/O635)*100</f>
        <v/>
      </c>
      <c r="M635" s="4">
        <f>O635/R635</f>
        <v/>
      </c>
      <c r="N635" s="21" t="n">
        <v>6.703</v>
      </c>
      <c r="O635" s="21" t="n">
        <v>22913.15</v>
      </c>
      <c r="P635" s="21" t="n">
        <v>3.41</v>
      </c>
      <c r="Q635" s="4">
        <f>N635-L635</f>
        <v/>
      </c>
      <c r="R635" s="21" t="n">
        <v>20.37</v>
      </c>
      <c r="S635" s="21" t="n">
        <v>4.506</v>
      </c>
      <c r="T635" s="7">
        <f>N635-S635</f>
        <v/>
      </c>
      <c r="U635" s="21" t="n">
        <v>106.269</v>
      </c>
      <c r="X635" s="21" t="n">
        <v>18888.8</v>
      </c>
      <c r="Y635" s="21" t="n">
        <v>35.58</v>
      </c>
      <c r="Z635" s="4">
        <f>X635/Y635</f>
        <v/>
      </c>
      <c r="AA635" s="4">
        <f>(Z635/X635)*100</f>
        <v/>
      </c>
      <c r="AB635" s="21" t="n">
        <v>14767.3</v>
      </c>
      <c r="AC635" s="23" t="n">
        <v>27.8</v>
      </c>
      <c r="AD635" s="4">
        <f>AB635/AC635</f>
        <v/>
      </c>
      <c r="AE635" s="4">
        <f>(AD635/AB635)*100</f>
        <v/>
      </c>
    </row>
    <row r="636">
      <c r="A636" s="5" t="n">
        <v>690</v>
      </c>
      <c r="B636" s="45" t="n">
        <v>45709</v>
      </c>
      <c r="C636" s="21" t="n">
        <v>40295043.35</v>
      </c>
      <c r="D636" s="4">
        <f>C636/E636</f>
        <v/>
      </c>
      <c r="E636" s="21" t="n">
        <v>86.572</v>
      </c>
      <c r="F636" s="4">
        <f>D636/100000</f>
        <v/>
      </c>
      <c r="G636" s="4">
        <f>($D$1-F636)/F636*100</f>
        <v/>
      </c>
      <c r="H636" s="4">
        <f>($D$2-F636)/F636*100</f>
        <v/>
      </c>
      <c r="I636" s="4">
        <f>($D$3-F636)/F636*100</f>
        <v/>
      </c>
      <c r="J636" s="4">
        <f>F636/$F$10*100</f>
        <v/>
      </c>
      <c r="K636" s="4">
        <f>N636/L636</f>
        <v/>
      </c>
      <c r="L636" s="4">
        <f>(M636/O636)*100</f>
        <v/>
      </c>
      <c r="M636" s="4">
        <f>O636/R636</f>
        <v/>
      </c>
      <c r="N636" s="21" t="n">
        <v>6.708</v>
      </c>
      <c r="O636" s="21" t="n">
        <v>22795.9</v>
      </c>
      <c r="P636" s="21" t="n">
        <v>3.39</v>
      </c>
      <c r="Q636" s="4">
        <f>N636-L636</f>
        <v/>
      </c>
      <c r="R636" s="21" t="n">
        <v>20.26</v>
      </c>
      <c r="S636" s="21" t="n">
        <v>4.43</v>
      </c>
      <c r="T636" s="7">
        <f>N636-S636</f>
        <v/>
      </c>
      <c r="U636" s="21" t="n">
        <v>106.519</v>
      </c>
      <c r="X636" s="21" t="n">
        <v>18681.35</v>
      </c>
      <c r="Y636" s="21" t="n">
        <v>35.19</v>
      </c>
      <c r="Z636" s="4">
        <f>X636/Y636</f>
        <v/>
      </c>
      <c r="AA636" s="4">
        <f>(Z636/X636)*100</f>
        <v/>
      </c>
      <c r="AB636" s="21" t="n">
        <v>14683.4</v>
      </c>
      <c r="AC636" s="23" t="n">
        <v>27.64</v>
      </c>
      <c r="AD636" s="4">
        <f>AB636/AC636</f>
        <v/>
      </c>
      <c r="AE636" s="4">
        <f>(AD636/AB636)*100</f>
        <v/>
      </c>
    </row>
    <row r="637">
      <c r="A637" s="5" t="n">
        <v>691</v>
      </c>
      <c r="B637" s="45" t="n">
        <v>45712</v>
      </c>
      <c r="C637" s="21" t="n">
        <v>39853380.65</v>
      </c>
      <c r="D637" s="4">
        <f>C637/E637</f>
        <v/>
      </c>
      <c r="E637" s="21" t="n">
        <v>86.66</v>
      </c>
      <c r="F637" s="4">
        <f>D637/100000</f>
        <v/>
      </c>
      <c r="G637" s="4">
        <f>($D$1-F637)/F637*100</f>
        <v/>
      </c>
      <c r="H637" s="4">
        <f>($D$2-F637)/F637*100</f>
        <v/>
      </c>
      <c r="I637" s="4">
        <f>($D$3-F637)/F637*100</f>
        <v/>
      </c>
      <c r="J637" s="4">
        <f>F637/$F$10*100</f>
        <v/>
      </c>
      <c r="K637" s="4">
        <f>N637/L637</f>
        <v/>
      </c>
      <c r="L637" s="4">
        <f>(M637/O637)*100</f>
        <v/>
      </c>
      <c r="M637" s="4">
        <f>O637/R637</f>
        <v/>
      </c>
      <c r="N637" s="21" t="n">
        <v>6.7</v>
      </c>
      <c r="O637" s="21" t="n">
        <v>22553.35</v>
      </c>
      <c r="P637" s="21" t="n">
        <v>3.36</v>
      </c>
      <c r="Q637" s="4">
        <f>N637-L637</f>
        <v/>
      </c>
      <c r="R637" s="21" t="n">
        <v>20.05</v>
      </c>
      <c r="S637" s="21" t="n">
        <v>4.399</v>
      </c>
      <c r="T637" s="7">
        <f>N637-S637</f>
        <v/>
      </c>
      <c r="U637" s="21" t="n">
        <v>106.509</v>
      </c>
      <c r="X637" s="21" t="n">
        <v>18503.9</v>
      </c>
      <c r="Y637" s="21" t="n">
        <v>34.85</v>
      </c>
      <c r="Z637" s="4">
        <f>X637/Y637</f>
        <v/>
      </c>
      <c r="AA637" s="4">
        <f>(Z637/X637)*100</f>
        <v/>
      </c>
      <c r="AB637" s="21" t="n">
        <v>14506.45</v>
      </c>
      <c r="AC637" s="23" t="n">
        <v>27.31</v>
      </c>
      <c r="AD637" s="4">
        <f>AB637/AC637</f>
        <v/>
      </c>
      <c r="AE637" s="4">
        <f>(AD637/AB637)*100</f>
        <v/>
      </c>
    </row>
    <row r="638">
      <c r="A638" s="5" t="n">
        <v>692</v>
      </c>
      <c r="B638" s="45" t="n">
        <v>45713</v>
      </c>
      <c r="C638" s="21" t="n">
        <v>39721225.36</v>
      </c>
      <c r="D638" s="4">
        <f>C638/E638</f>
        <v/>
      </c>
      <c r="E638" s="21" t="n">
        <v>87.13</v>
      </c>
      <c r="F638" s="4">
        <f>D638/100000</f>
        <v/>
      </c>
      <c r="G638" s="4">
        <f>($D$1-F638)/F638*100</f>
        <v/>
      </c>
      <c r="H638" s="4">
        <f>($D$2-F638)/F638*100</f>
        <v/>
      </c>
      <c r="I638" s="4">
        <f>($D$3-F638)/F638*100</f>
        <v/>
      </c>
      <c r="J638" s="4">
        <f>F638/$F$10*100</f>
        <v/>
      </c>
      <c r="K638" s="4">
        <f>N638/L638</f>
        <v/>
      </c>
      <c r="L638" s="4">
        <f>(M638/O638)*100</f>
        <v/>
      </c>
      <c r="M638" s="4">
        <f>O638/R638</f>
        <v/>
      </c>
      <c r="N638" s="21" t="n">
        <v>6.706</v>
      </c>
      <c r="O638" s="21" t="n">
        <v>22547.55</v>
      </c>
      <c r="P638" s="21" t="n">
        <v>3.36</v>
      </c>
      <c r="Q638" s="4">
        <f>N638-L638</f>
        <v/>
      </c>
      <c r="R638" s="21" t="n">
        <v>20.04</v>
      </c>
      <c r="S638" s="21" t="n">
        <v>4.297</v>
      </c>
      <c r="T638" s="7">
        <f>N638-S638</f>
        <v/>
      </c>
      <c r="U638" s="21" t="n">
        <v>106.228</v>
      </c>
      <c r="X638" s="21" t="n">
        <v>18408.75</v>
      </c>
      <c r="Y638" s="21" t="n">
        <v>34.67</v>
      </c>
      <c r="Z638" s="4">
        <f>X638/Y638</f>
        <v/>
      </c>
      <c r="AA638" s="4">
        <f>(Z638/X638)*100</f>
        <v/>
      </c>
      <c r="AB638" s="21" t="n">
        <v>14441.7</v>
      </c>
      <c r="AC638" s="23" t="n">
        <v>27.18</v>
      </c>
      <c r="AD638" s="4">
        <f>AB638/AC638</f>
        <v/>
      </c>
      <c r="AE638" s="4">
        <f>(AD638/AB638)*100</f>
        <v/>
      </c>
    </row>
    <row r="639">
      <c r="A639" s="5" t="n">
        <v>693</v>
      </c>
      <c r="B639" s="45" t="n">
        <v>45715</v>
      </c>
      <c r="C639" s="21" t="n">
        <v>39379355.46</v>
      </c>
      <c r="D639" s="4">
        <f>C639/E639</f>
        <v/>
      </c>
      <c r="E639" s="21" t="n">
        <v>87.33</v>
      </c>
      <c r="F639" s="4">
        <f>D639/100000</f>
        <v/>
      </c>
      <c r="G639" s="4">
        <f>($D$1-F639)/F639*100</f>
        <v/>
      </c>
      <c r="H639" s="4">
        <f>($D$2-F639)/F639*100</f>
        <v/>
      </c>
      <c r="I639" s="4">
        <f>($D$3-F639)/F639*100</f>
        <v/>
      </c>
      <c r="J639" s="4">
        <f>F639/$F$10*100</f>
        <v/>
      </c>
      <c r="K639" s="4">
        <f>N639/L639</f>
        <v/>
      </c>
      <c r="L639" s="4">
        <f>(M639/O639)*100</f>
        <v/>
      </c>
      <c r="M639" s="4">
        <f>O639/R639</f>
        <v/>
      </c>
      <c r="N639" s="21" t="n">
        <v>6.71</v>
      </c>
      <c r="O639" s="21" t="n">
        <v>22545.05</v>
      </c>
      <c r="P639" s="21" t="n">
        <v>3.36</v>
      </c>
      <c r="Q639" s="4">
        <f>N639-L639</f>
        <v/>
      </c>
      <c r="R639" s="21" t="n">
        <v>20.04</v>
      </c>
      <c r="S639" s="21" t="n">
        <v>4.265</v>
      </c>
      <c r="T639" s="7">
        <f>N639-S639</f>
        <v/>
      </c>
      <c r="U639" s="21" t="n">
        <v>107.176</v>
      </c>
      <c r="X639" s="21" t="n">
        <v>18176.85</v>
      </c>
      <c r="Y639" s="21" t="n">
        <v>34.24</v>
      </c>
      <c r="Z639" s="4">
        <f>X639/Y639</f>
        <v/>
      </c>
      <c r="AA639" s="4">
        <f>(Z639/X639)*100</f>
        <v/>
      </c>
      <c r="AB639" s="21" t="n">
        <v>14200.2</v>
      </c>
      <c r="AC639" s="23" t="n">
        <v>26.73</v>
      </c>
      <c r="AD639" s="4">
        <f>AB639/AC639</f>
        <v/>
      </c>
      <c r="AE639" s="4">
        <f>(AD639/AB639)*100</f>
        <v/>
      </c>
    </row>
    <row r="640">
      <c r="A640" s="5" t="n">
        <v>694</v>
      </c>
      <c r="B640" s="45" t="n">
        <v>45716</v>
      </c>
      <c r="C640" s="21" t="n">
        <v>38460048.27</v>
      </c>
      <c r="D640" s="4">
        <f>C640/E640</f>
        <v/>
      </c>
      <c r="E640" s="21" t="n">
        <v>87.46599999999999</v>
      </c>
      <c r="F640" s="4">
        <f>D640/100000</f>
        <v/>
      </c>
      <c r="G640" s="4">
        <f>($D$1-F640)/F640*100</f>
        <v/>
      </c>
      <c r="H640" s="4">
        <f>($D$2-F640)/F640*100</f>
        <v/>
      </c>
      <c r="I640" s="4">
        <f>($D$3-F640)/F640*100</f>
        <v/>
      </c>
      <c r="J640" s="4">
        <f>F640/$F$10*100</f>
        <v/>
      </c>
      <c r="K640" s="4">
        <f>N640/L640</f>
        <v/>
      </c>
      <c r="L640" s="4">
        <f>(M640/O640)*100</f>
        <v/>
      </c>
      <c r="M640" s="4">
        <f>O640/R640</f>
        <v/>
      </c>
      <c r="N640" s="21" t="n">
        <v>6.72</v>
      </c>
      <c r="O640" s="21" t="n">
        <v>22124.7</v>
      </c>
      <c r="P640" s="21" t="n">
        <v>3.29</v>
      </c>
      <c r="Q640" s="4">
        <f>N640-L640</f>
        <v/>
      </c>
      <c r="R640" s="21" t="n">
        <v>19.67</v>
      </c>
      <c r="S640" s="21" t="n">
        <v>4.202</v>
      </c>
      <c r="T640" s="7">
        <f>N640-S640</f>
        <v/>
      </c>
      <c r="U640" s="21" t="n">
        <v>107.558</v>
      </c>
      <c r="X640" s="21" t="n">
        <v>17750.55</v>
      </c>
      <c r="Y640" s="21" t="n">
        <v>33.44</v>
      </c>
      <c r="Z640" s="4">
        <f>X640/Y640</f>
        <v/>
      </c>
      <c r="AA640" s="4">
        <f>(Z640/X640)*100</f>
        <v/>
      </c>
      <c r="AB640" s="21" t="n">
        <v>13844.55</v>
      </c>
      <c r="AC640" s="23" t="n">
        <v>26.09</v>
      </c>
      <c r="AD640" s="4">
        <f>AB640/AC640</f>
        <v/>
      </c>
      <c r="AE640" s="4">
        <f>(AD640/AB640)*100</f>
        <v/>
      </c>
    </row>
    <row r="641">
      <c r="A641" s="47" t="n">
        <v>695</v>
      </c>
      <c r="B641" s="48" t="n">
        <v>45719</v>
      </c>
      <c r="C641" s="49" t="n">
        <v>38444417.77</v>
      </c>
      <c r="D641" s="50">
        <f>C641/E641</f>
        <v/>
      </c>
      <c r="E641" s="49" t="n">
        <v>87.26000000000001</v>
      </c>
      <c r="F641" s="50">
        <f>D641/100000</f>
        <v/>
      </c>
      <c r="G641" s="50">
        <f>($D$1-F641)/F641*100</f>
        <v/>
      </c>
      <c r="H641" s="50">
        <f>($D$2-F641)/F641*100</f>
        <v/>
      </c>
      <c r="I641" s="50">
        <f>($D$3-F641)/F641*100</f>
        <v/>
      </c>
      <c r="J641" s="50">
        <f>F641/$F$10*100</f>
        <v/>
      </c>
      <c r="K641" s="50">
        <f>N641/L641</f>
        <v/>
      </c>
      <c r="L641" s="50">
        <f>(M641/O641)*100</f>
        <v/>
      </c>
      <c r="M641" s="50">
        <f>O641/R641</f>
        <v/>
      </c>
      <c r="N641" s="49" t="n">
        <v>6.73</v>
      </c>
      <c r="O641" s="49" t="n">
        <v>22119.3</v>
      </c>
      <c r="P641" s="49" t="n">
        <v>3.29</v>
      </c>
      <c r="Q641" s="50">
        <f>N641-L641</f>
        <v/>
      </c>
      <c r="R641" s="49" t="n">
        <v>19.66</v>
      </c>
      <c r="S641" s="49" t="n">
        <v>4.158</v>
      </c>
      <c r="T641" s="51">
        <f>N641-S641</f>
        <v/>
      </c>
      <c r="U641" s="49" t="n">
        <v>106.669</v>
      </c>
      <c r="X641" s="21" t="n">
        <v>17778.55</v>
      </c>
      <c r="Y641" s="21" t="n">
        <v>33.49</v>
      </c>
      <c r="Z641" s="4">
        <f>X641/Y641</f>
        <v/>
      </c>
      <c r="AA641" s="4">
        <f>(Z641/X641)*100</f>
        <v/>
      </c>
      <c r="AB641" s="21" t="n">
        <v>13755.9</v>
      </c>
      <c r="AC641" s="23" t="n">
        <v>25.92</v>
      </c>
      <c r="AD641" s="4">
        <f>AB641/AC641</f>
        <v/>
      </c>
      <c r="AE641" s="4">
        <f>(AD641/AB641)*100</f>
        <v/>
      </c>
    </row>
    <row r="642">
      <c r="A642" s="5" t="n">
        <v>696</v>
      </c>
      <c r="B642" s="45" t="n">
        <v>45720</v>
      </c>
      <c r="C642" s="21" t="n">
        <v>38559355</v>
      </c>
      <c r="D642" s="4">
        <f>C642/E642</f>
        <v/>
      </c>
      <c r="E642" s="21" t="n">
        <v>87.255</v>
      </c>
      <c r="F642" s="4">
        <f>D642/100000</f>
        <v/>
      </c>
      <c r="G642" s="4">
        <f>($D$1-F642)/F642*100</f>
        <v/>
      </c>
      <c r="H642" s="4">
        <f>($D$2-F642)/F642*100</f>
        <v/>
      </c>
      <c r="I642" s="4">
        <f>($D$3-F642)/F642*100</f>
        <v/>
      </c>
      <c r="J642" s="4">
        <f>F642/$F$10*100</f>
        <v/>
      </c>
      <c r="K642" s="4">
        <f>N642/L642</f>
        <v/>
      </c>
      <c r="L642" s="4">
        <f>(M642/O642)*100</f>
        <v/>
      </c>
      <c r="M642" s="4">
        <f>O642/R642</f>
        <v/>
      </c>
      <c r="N642" s="21" t="n">
        <v>6.74</v>
      </c>
      <c r="O642" s="21" t="n">
        <v>22082.65</v>
      </c>
      <c r="P642" s="21" t="n">
        <v>3.29</v>
      </c>
      <c r="Q642" s="4">
        <f>N642-L642</f>
        <v/>
      </c>
      <c r="R642" s="21" t="n">
        <v>19.63</v>
      </c>
      <c r="S642" s="21" t="n">
        <v>4.241</v>
      </c>
      <c r="T642" s="7">
        <f>N642-S642</f>
        <v/>
      </c>
      <c r="U642" s="21" t="n">
        <v>105.687</v>
      </c>
      <c r="X642" s="21" t="n">
        <v>17807.3</v>
      </c>
      <c r="Y642" s="21" t="n">
        <v>33.55</v>
      </c>
      <c r="Z642" s="4">
        <f>X642/Y642</f>
        <v/>
      </c>
      <c r="AA642" s="4">
        <f>(Z642/X642)*100</f>
        <v/>
      </c>
      <c r="AB642" s="21" t="n">
        <v>13914.1</v>
      </c>
      <c r="AC642" s="23" t="n">
        <v>26.23</v>
      </c>
      <c r="AD642" s="4">
        <f>AB642/AC642</f>
        <v/>
      </c>
      <c r="AE642" s="4">
        <f>(AD642/AB642)*100</f>
        <v/>
      </c>
    </row>
    <row r="643">
      <c r="A643" s="5" t="n">
        <v>697</v>
      </c>
      <c r="B643" s="45" t="n">
        <v>45721</v>
      </c>
      <c r="C643" s="21" t="n">
        <v>39362308.05</v>
      </c>
      <c r="D643" s="4">
        <f>C643/E643</f>
        <v/>
      </c>
      <c r="E643" s="21" t="n">
        <v>86.88</v>
      </c>
      <c r="F643" s="4">
        <f>D643/100000</f>
        <v/>
      </c>
      <c r="G643" s="4">
        <f>($D$1-F643)/F643*100</f>
        <v/>
      </c>
      <c r="H643" s="4">
        <f>($D$2-F643)/F643*100</f>
        <v/>
      </c>
      <c r="I643" s="4">
        <f>($D$3-F643)/F643*100</f>
        <v/>
      </c>
      <c r="J643" s="4">
        <f>F643/$F$10*100</f>
        <v/>
      </c>
      <c r="K643" s="4">
        <f>N643/L643</f>
        <v/>
      </c>
      <c r="L643" s="4">
        <f>(M643/O643)*100</f>
        <v/>
      </c>
      <c r="M643" s="4">
        <f>O643/R643</f>
        <v/>
      </c>
      <c r="N643" s="21" t="n">
        <v>6.71</v>
      </c>
      <c r="O643" s="21" t="n">
        <v>22337.3</v>
      </c>
      <c r="P643" s="21" t="n">
        <v>3.33</v>
      </c>
      <c r="Q643" s="4">
        <f>N643-L643</f>
        <v/>
      </c>
      <c r="R643" s="21" t="n">
        <v>19.86</v>
      </c>
      <c r="S643" s="21" t="n">
        <v>4.279</v>
      </c>
      <c r="T643" s="7">
        <f>N643-S643</f>
        <v/>
      </c>
      <c r="U643" s="21" t="n">
        <v>104.252</v>
      </c>
      <c r="X643" s="21" t="n">
        <v>18240.15</v>
      </c>
      <c r="Y643" s="21" t="n">
        <v>34.36</v>
      </c>
      <c r="Z643" s="4">
        <f>X643/Y643</f>
        <v/>
      </c>
      <c r="AA643" s="4">
        <f>(Z643/X643)*100</f>
        <v/>
      </c>
      <c r="AB643" s="21" t="n">
        <v>14291.05</v>
      </c>
      <c r="AC643" s="23" t="n">
        <v>26.94</v>
      </c>
      <c r="AD643" s="4">
        <f>AB643/AC643</f>
        <v/>
      </c>
      <c r="AE643" s="4">
        <f>(AD643/AB643)*100</f>
        <v/>
      </c>
    </row>
    <row r="644">
      <c r="A644" s="5" t="n">
        <v>698</v>
      </c>
      <c r="B644" s="45" t="n">
        <v>45722</v>
      </c>
      <c r="C644" s="21" t="n">
        <v>39827293.98</v>
      </c>
      <c r="D644" s="4">
        <f>C644/E644</f>
        <v/>
      </c>
      <c r="E644" s="21" t="n">
        <v>87.011</v>
      </c>
      <c r="F644" s="4">
        <f>D644/100000</f>
        <v/>
      </c>
      <c r="G644" s="4">
        <f>($D$1-F644)/F644*100</f>
        <v/>
      </c>
      <c r="H644" s="4">
        <f>($D$2-F644)/F644*100</f>
        <v/>
      </c>
      <c r="I644" s="4">
        <f>($D$3-F644)/F644*100</f>
        <v/>
      </c>
      <c r="J644" s="4">
        <f>F644/$F$10*100</f>
        <v/>
      </c>
      <c r="K644" s="4">
        <f>N644/L644</f>
        <v/>
      </c>
      <c r="L644" s="4">
        <f>(M644/O644)*100</f>
        <v/>
      </c>
      <c r="M644" s="4">
        <f>O644/R644</f>
        <v/>
      </c>
      <c r="N644" s="21" t="n">
        <v>6.68</v>
      </c>
      <c r="O644" s="21" t="n">
        <v>22544.7</v>
      </c>
      <c r="P644" s="21" t="n">
        <v>3.36</v>
      </c>
      <c r="Q644" s="4">
        <f>N644-L644</f>
        <v/>
      </c>
      <c r="R644" s="21" t="n">
        <v>20.04</v>
      </c>
      <c r="S644" s="21" t="n">
        <v>4.279</v>
      </c>
      <c r="T644" s="7">
        <f>N644-S644</f>
        <v/>
      </c>
      <c r="U644" s="21" t="n">
        <v>104.028</v>
      </c>
      <c r="X644" s="21" t="n">
        <v>18341</v>
      </c>
      <c r="Y644" s="21" t="n">
        <v>34.55</v>
      </c>
      <c r="Z644" s="4">
        <f>X644/Y644</f>
        <v/>
      </c>
      <c r="AA644" s="4">
        <f>(Z644/X644)*100</f>
        <v/>
      </c>
      <c r="AB644" s="21" t="n">
        <v>14503.3</v>
      </c>
      <c r="AC644" s="23" t="n">
        <v>27.34</v>
      </c>
      <c r="AD644" s="4">
        <f>AB644/AC644</f>
        <v/>
      </c>
      <c r="AE644" s="4">
        <f>(AD644/AB644)*100</f>
        <v/>
      </c>
    </row>
    <row r="645">
      <c r="A645" s="5" t="n">
        <v>699</v>
      </c>
      <c r="B645" s="45" t="n">
        <v>45723</v>
      </c>
      <c r="C645" s="21" t="n">
        <v>39899021</v>
      </c>
      <c r="D645" s="4">
        <f>C645/E645</f>
        <v/>
      </c>
      <c r="E645" s="21" t="n">
        <v>87.09999999999999</v>
      </c>
      <c r="F645" s="4">
        <f>D645/100000</f>
        <v/>
      </c>
      <c r="G645" s="4">
        <f>($D$1-F645)/F645*100</f>
        <v/>
      </c>
      <c r="H645" s="4">
        <f>($D$2-F645)/F645*100</f>
        <v/>
      </c>
      <c r="I645" s="4">
        <f>($D$3-F645)/F645*100</f>
        <v/>
      </c>
      <c r="J645" s="4">
        <f>F645/$F$10*100</f>
        <v/>
      </c>
      <c r="K645" s="4">
        <f>N645/L645</f>
        <v/>
      </c>
      <c r="L645" s="4">
        <f>(M645/O645)*100</f>
        <v/>
      </c>
      <c r="M645" s="4">
        <f>O645/R645</f>
        <v/>
      </c>
      <c r="N645" s="21" t="n">
        <v>6.68</v>
      </c>
      <c r="O645" s="21" t="n">
        <v>22552.5</v>
      </c>
      <c r="P645" s="21" t="n">
        <v>3.36</v>
      </c>
      <c r="Q645" s="4">
        <f>N645-L645</f>
        <v/>
      </c>
      <c r="R645" s="21" t="n">
        <v>20.05</v>
      </c>
      <c r="S645" s="21" t="n">
        <v>4.304</v>
      </c>
      <c r="T645" s="7">
        <f>N645-S645</f>
        <v/>
      </c>
      <c r="U645" s="21" t="n">
        <v>103.812</v>
      </c>
      <c r="X645" s="21" t="n">
        <v>18290.6</v>
      </c>
      <c r="Y645" s="21" t="n">
        <v>34.46</v>
      </c>
      <c r="Z645" s="4">
        <f>X645/Y645</f>
        <v/>
      </c>
      <c r="AA645" s="4">
        <f>(Z645/X645)*100</f>
        <v/>
      </c>
      <c r="AB645" s="21" t="n">
        <v>14602.95</v>
      </c>
      <c r="AC645" s="23" t="n">
        <v>27.53</v>
      </c>
      <c r="AD645" s="4">
        <f>AB645/AC645</f>
        <v/>
      </c>
      <c r="AE645" s="4">
        <f>(AD645/AB645)*100</f>
        <v/>
      </c>
    </row>
    <row r="646">
      <c r="A646" s="5" t="n">
        <v>700</v>
      </c>
      <c r="B646" s="45" t="n">
        <v>45726</v>
      </c>
      <c r="C646" s="21" t="n">
        <v>39441215.07</v>
      </c>
      <c r="D646" s="4">
        <f>C646/E646</f>
        <v/>
      </c>
      <c r="E646" s="21" t="n">
        <v>87.29000000000001</v>
      </c>
      <c r="F646" s="4">
        <f>D646/100000</f>
        <v/>
      </c>
      <c r="G646" s="4">
        <f>($D$1-F646)/F646*100</f>
        <v/>
      </c>
      <c r="H646" s="4">
        <f>($D$2-F646)/F646*100</f>
        <v/>
      </c>
      <c r="I646" s="4">
        <f>($D$3-F646)/F646*100</f>
        <v/>
      </c>
      <c r="J646" s="4">
        <f>F646/$F$10*100</f>
        <v/>
      </c>
      <c r="K646" s="4">
        <f>N646/L646</f>
        <v/>
      </c>
      <c r="L646" s="4">
        <f>(M646/O646)*100</f>
        <v/>
      </c>
      <c r="M646" s="4">
        <f>O646/R646</f>
        <v/>
      </c>
      <c r="N646" s="21" t="n">
        <v>6.7</v>
      </c>
      <c r="O646" s="21" t="n">
        <v>22460.3</v>
      </c>
      <c r="P646" s="21" t="n">
        <v>3.34</v>
      </c>
      <c r="Q646" s="4">
        <f>N646-L646</f>
        <v/>
      </c>
      <c r="R646" s="21" t="n">
        <v>19.96</v>
      </c>
      <c r="S646" s="21" t="n">
        <v>4.218</v>
      </c>
      <c r="T646" s="7">
        <f>N646-S646</f>
        <v/>
      </c>
      <c r="U646" s="21" t="n">
        <v>103.62</v>
      </c>
      <c r="X646" s="21" t="n">
        <v>18031.1</v>
      </c>
      <c r="Y646" s="21" t="n">
        <v>33.97</v>
      </c>
      <c r="Z646" s="4">
        <f>X646/Y646</f>
        <v/>
      </c>
      <c r="AA646" s="4">
        <f>(Z646/X646)*100</f>
        <v/>
      </c>
      <c r="AB646" s="21" t="n">
        <v>14325.15</v>
      </c>
      <c r="AC646" s="23" t="n">
        <v>27</v>
      </c>
      <c r="AD646" s="4">
        <f>AB646/AC646</f>
        <v/>
      </c>
      <c r="AE646" s="4">
        <f>(AD646/AB646)*100</f>
        <v/>
      </c>
    </row>
    <row r="647">
      <c r="A647" s="5" t="n">
        <v>701</v>
      </c>
      <c r="B647" s="45" t="n">
        <v>45727</v>
      </c>
      <c r="C647" s="21" t="n">
        <v>39484060.52</v>
      </c>
      <c r="D647" s="4">
        <f>C647/E647</f>
        <v/>
      </c>
      <c r="E647" s="21" t="n">
        <v>87.176</v>
      </c>
      <c r="F647" s="4">
        <f>D647/100000</f>
        <v/>
      </c>
      <c r="G647" s="4">
        <f>($D$1-F647)/F647*100</f>
        <v/>
      </c>
      <c r="H647" s="4">
        <f>($D$2-F647)/F647*100</f>
        <v/>
      </c>
      <c r="I647" s="4">
        <f>($D$3-F647)/F647*100</f>
        <v/>
      </c>
      <c r="J647" s="4">
        <f>F647/$F$10*100</f>
        <v/>
      </c>
      <c r="K647" s="4">
        <f>N647/L647</f>
        <v/>
      </c>
      <c r="L647" s="4">
        <f>(M647/O647)*100</f>
        <v/>
      </c>
      <c r="M647" s="4">
        <f>O647/R647</f>
        <v/>
      </c>
      <c r="N647" s="21" t="n">
        <v>6.69</v>
      </c>
      <c r="O647" s="21" t="n">
        <v>22497.9</v>
      </c>
      <c r="P647" s="21" t="n">
        <v>3.35</v>
      </c>
      <c r="Q647" s="4">
        <f>N647-L647</f>
        <v/>
      </c>
      <c r="R647" s="21" t="n">
        <v>20</v>
      </c>
      <c r="S647" s="21" t="n">
        <v>4.281</v>
      </c>
      <c r="T647" s="7">
        <f>N647-S647</f>
        <v/>
      </c>
      <c r="U647" s="21" t="n">
        <v>102.931</v>
      </c>
      <c r="X647" s="21" t="n">
        <v>18106.9</v>
      </c>
      <c r="Y647" s="21" t="n">
        <v>34.11</v>
      </c>
      <c r="Z647" s="4">
        <f>X647/Y647</f>
        <v/>
      </c>
      <c r="AA647" s="4">
        <f>(Z647/X647)*100</f>
        <v/>
      </c>
      <c r="AB647" s="21" t="n">
        <v>14232</v>
      </c>
      <c r="AC647" s="23" t="n">
        <v>26.83</v>
      </c>
      <c r="AD647" s="4">
        <f>AB647/AC647</f>
        <v/>
      </c>
      <c r="AE647" s="4">
        <f>(AD647/AB647)*100</f>
        <v/>
      </c>
    </row>
    <row r="648">
      <c r="A648" s="5" t="n">
        <v>702</v>
      </c>
      <c r="B648" s="45" t="n">
        <v>45728</v>
      </c>
      <c r="C648" s="21" t="n">
        <v>39343551.41</v>
      </c>
      <c r="D648" s="4">
        <f>C648/E648</f>
        <v/>
      </c>
      <c r="E648" s="21" t="n">
        <v>87.15000000000001</v>
      </c>
      <c r="F648" s="4">
        <f>D648/100000</f>
        <v/>
      </c>
      <c r="G648" s="4">
        <f>($D$1-F648)/F648*100</f>
        <v/>
      </c>
      <c r="H648" s="4">
        <f>($D$2-F648)/F648*100</f>
        <v/>
      </c>
      <c r="I648" s="4">
        <f>($D$3-F648)/F648*100</f>
        <v/>
      </c>
      <c r="J648" s="4">
        <f>F648/$F$10*100</f>
        <v/>
      </c>
      <c r="K648" s="4">
        <f>N648/L648</f>
        <v/>
      </c>
      <c r="L648" s="4">
        <f>(M648/O648)*100</f>
        <v/>
      </c>
      <c r="M648" s="4">
        <f>O648/R648</f>
        <v/>
      </c>
      <c r="N648" s="21" t="n">
        <v>6.68</v>
      </c>
      <c r="O648" s="21" t="n">
        <v>22470.5</v>
      </c>
      <c r="P648" s="21" t="n">
        <v>3.34</v>
      </c>
      <c r="Q648" s="4">
        <f>N648-L648</f>
        <v/>
      </c>
      <c r="R648" s="21" t="n">
        <v>19.97</v>
      </c>
      <c r="S648" s="21" t="n">
        <v>4.315</v>
      </c>
      <c r="T648" s="7">
        <f>N648-S648</f>
        <v/>
      </c>
      <c r="U648" s="21" t="n">
        <v>103.587</v>
      </c>
      <c r="X648" s="21" t="n">
        <v>18014.25</v>
      </c>
      <c r="Y648" s="21" t="n">
        <v>33.93</v>
      </c>
      <c r="Z648" s="4">
        <f>X648/Y648</f>
        <v/>
      </c>
      <c r="AA648" s="4">
        <f>(Z648/X648)*100</f>
        <v/>
      </c>
      <c r="AB648" s="21" t="n">
        <v>14193.65</v>
      </c>
      <c r="AC648" s="23" t="n">
        <v>26.76</v>
      </c>
      <c r="AD648" s="4">
        <f>AB648/AC648</f>
        <v/>
      </c>
      <c r="AE648" s="4">
        <f>(AD648/AB648)*100</f>
        <v/>
      </c>
    </row>
    <row r="649">
      <c r="A649" s="5" t="n">
        <v>703</v>
      </c>
      <c r="B649" s="45" t="n">
        <v>45729</v>
      </c>
      <c r="C649" s="21" t="n">
        <v>39177434.82</v>
      </c>
      <c r="D649" s="4">
        <f>C649/E649</f>
        <v/>
      </c>
      <c r="E649" s="21" t="n">
        <v>86.89700000000001</v>
      </c>
      <c r="F649" s="4">
        <f>D649/100000</f>
        <v/>
      </c>
      <c r="G649" s="4">
        <f>($D$1-F649)/F649*100</f>
        <v/>
      </c>
      <c r="H649" s="4">
        <f>($D$2-F649)/F649*100</f>
        <v/>
      </c>
      <c r="I649" s="4">
        <f>($D$3-F649)/F649*100</f>
        <v/>
      </c>
      <c r="J649" s="4">
        <f>F649/$F$10*100</f>
        <v/>
      </c>
      <c r="K649" s="4">
        <f>N649/L649</f>
        <v/>
      </c>
      <c r="L649" s="4">
        <f>(M649/O649)*100</f>
        <v/>
      </c>
      <c r="M649" s="4">
        <f>O649/R649</f>
        <v/>
      </c>
      <c r="N649" s="21" t="n">
        <v>6.69</v>
      </c>
      <c r="O649" s="21" t="n">
        <v>22397.2</v>
      </c>
      <c r="P649" s="21" t="n">
        <v>3.33</v>
      </c>
      <c r="Q649" s="4">
        <f>N649-L649</f>
        <v/>
      </c>
      <c r="R649" s="21" t="n">
        <v>19.91</v>
      </c>
      <c r="S649" s="21" t="n">
        <v>4.269</v>
      </c>
      <c r="T649" s="7">
        <f>N649-S649</f>
        <v/>
      </c>
      <c r="U649" s="21" t="n">
        <v>103.83</v>
      </c>
      <c r="X649" s="21" t="n">
        <v>17902</v>
      </c>
      <c r="Y649" s="21" t="n">
        <v>33.72</v>
      </c>
      <c r="Z649" s="4">
        <f>X649/Y649</f>
        <v/>
      </c>
      <c r="AA649" s="4">
        <f>(Z649/X649)*100</f>
        <v/>
      </c>
      <c r="AB649" s="21" t="n">
        <v>14095.6</v>
      </c>
      <c r="AC649" s="23" t="n">
        <v>26.57</v>
      </c>
      <c r="AD649" s="4">
        <f>AB649/AC649</f>
        <v/>
      </c>
      <c r="AE649" s="4">
        <f>(AD649/AB649)*100</f>
        <v/>
      </c>
    </row>
    <row r="650">
      <c r="A650" s="5" t="n">
        <v>704</v>
      </c>
      <c r="B650" s="45" t="n">
        <v>45733</v>
      </c>
      <c r="C650" s="21" t="n">
        <v>39317232.22</v>
      </c>
      <c r="D650" s="4">
        <f>C650/E650</f>
        <v/>
      </c>
      <c r="E650" s="21" t="n">
        <v>86.69</v>
      </c>
      <c r="F650" s="4">
        <f>D650/100000</f>
        <v/>
      </c>
      <c r="G650" s="4">
        <f>($D$1-F650)/F650*100</f>
        <v/>
      </c>
      <c r="H650" s="4">
        <f>($D$2-F650)/F650*100</f>
        <v/>
      </c>
      <c r="I650" s="4">
        <f>($D$3-F650)/F650*100</f>
        <v/>
      </c>
      <c r="J650" s="4">
        <f>F650/$F$10*100</f>
        <v/>
      </c>
      <c r="K650" s="4">
        <f>N650/L650</f>
        <v/>
      </c>
      <c r="L650" s="4">
        <f>(M650/O650)*100</f>
        <v/>
      </c>
      <c r="M650" s="4">
        <f>O650/R650</f>
        <v/>
      </c>
      <c r="N650" s="21" t="n">
        <v>6.69</v>
      </c>
      <c r="O650" s="21" t="n">
        <v>22508.75</v>
      </c>
      <c r="P650" s="21" t="n">
        <v>3.35</v>
      </c>
      <c r="Q650" s="4">
        <f>N650-L650</f>
        <v/>
      </c>
      <c r="R650" s="21" t="n">
        <v>20.01</v>
      </c>
      <c r="S650" s="21" t="n">
        <v>4.298</v>
      </c>
      <c r="T650" s="7">
        <f>N650-S650</f>
        <v/>
      </c>
      <c r="U650" s="21" t="n">
        <v>103.47</v>
      </c>
      <c r="X650" s="21" t="n">
        <v>18037.25</v>
      </c>
      <c r="Y650" s="21" t="n">
        <v>33.98</v>
      </c>
      <c r="Z650" s="4">
        <f>X650/Y650</f>
        <v/>
      </c>
      <c r="AA650" s="4">
        <f>(Z650/X650)*100</f>
        <v/>
      </c>
      <c r="AB650" s="21" t="n">
        <v>14141.7</v>
      </c>
      <c r="AC650" s="23" t="n">
        <v>26.66</v>
      </c>
      <c r="AD650" s="4">
        <f>AB650/AC650</f>
        <v/>
      </c>
      <c r="AE650" s="4">
        <f>(AD650/AB650)*100</f>
        <v/>
      </c>
    </row>
    <row r="651">
      <c r="A651" s="5" t="n">
        <v>705</v>
      </c>
      <c r="B651" s="45" t="n">
        <v>45734</v>
      </c>
      <c r="C651" s="21" t="n">
        <v>40033591.94</v>
      </c>
      <c r="D651" s="4">
        <f>C651/E651</f>
        <v/>
      </c>
      <c r="E651" s="21" t="n">
        <v>86.51000000000001</v>
      </c>
      <c r="F651" s="4">
        <f>D651/100000</f>
        <v/>
      </c>
      <c r="G651" s="4">
        <f>($D$1-F651)/F651*100</f>
        <v/>
      </c>
      <c r="H651" s="4">
        <f>($D$2-F651)/F651*100</f>
        <v/>
      </c>
      <c r="I651" s="4">
        <f>($D$3-F651)/F651*100</f>
        <v/>
      </c>
      <c r="J651" s="4">
        <f>F651/$F$10*100</f>
        <v/>
      </c>
      <c r="K651" s="4">
        <f>N651/L651</f>
        <v/>
      </c>
      <c r="L651" s="4">
        <f>(M651/O651)*100</f>
        <v/>
      </c>
      <c r="M651" s="4">
        <f>O651/R651</f>
        <v/>
      </c>
      <c r="N651" s="21" t="n">
        <v>6.67</v>
      </c>
      <c r="O651" s="21" t="n">
        <v>22834.3</v>
      </c>
      <c r="P651" s="21" t="n">
        <v>3.4</v>
      </c>
      <c r="Q651" s="4">
        <f>N651-L651</f>
        <v/>
      </c>
      <c r="R651" s="21" t="n">
        <v>20.3</v>
      </c>
      <c r="S651" s="21" t="n">
        <v>4.283</v>
      </c>
      <c r="T651" s="7">
        <f>N651-S651</f>
        <v/>
      </c>
      <c r="U651" s="21" t="n">
        <v>102.892</v>
      </c>
      <c r="X651" s="21" t="n">
        <v>18408.4</v>
      </c>
      <c r="Y651" s="21" t="n">
        <v>34.68</v>
      </c>
      <c r="Z651" s="4">
        <f>X651/Y651</f>
        <v/>
      </c>
      <c r="AA651" s="4">
        <f>(Z651/X651)*100</f>
        <v/>
      </c>
      <c r="AB651" s="21" t="n">
        <v>14517.6</v>
      </c>
      <c r="AC651" s="23" t="n">
        <v>27.36</v>
      </c>
      <c r="AD651" s="4">
        <f>AB651/AC651</f>
        <v/>
      </c>
      <c r="AE651" s="4">
        <f>(AD651/AB651)*100</f>
        <v/>
      </c>
    </row>
    <row r="652">
      <c r="A652" s="5" t="n">
        <v>706</v>
      </c>
      <c r="B652" s="45" t="n">
        <v>45735</v>
      </c>
      <c r="C652" s="21" t="n">
        <v>40557822.05</v>
      </c>
      <c r="D652" s="4">
        <f>C652/E652</f>
        <v/>
      </c>
      <c r="E652" s="21" t="n">
        <v>86.31</v>
      </c>
      <c r="F652" s="4">
        <f>D652/100000</f>
        <v/>
      </c>
      <c r="G652" s="4">
        <f>($D$1-F652)/F652*100</f>
        <v/>
      </c>
      <c r="H652" s="4">
        <f>($D$2-F652)/F652*100</f>
        <v/>
      </c>
      <c r="I652" s="4">
        <f>($D$3-F652)/F652*100</f>
        <v/>
      </c>
      <c r="J652" s="4">
        <f>F652/$F$10*100</f>
        <v/>
      </c>
      <c r="K652" s="4">
        <f>N652/L652</f>
        <v/>
      </c>
      <c r="L652" s="4">
        <f>(M652/O652)*100</f>
        <v/>
      </c>
      <c r="M652" s="4">
        <f>O652/R652</f>
        <v/>
      </c>
      <c r="N652" s="21" t="n">
        <v>6.66</v>
      </c>
      <c r="O652" s="21" t="n">
        <v>22907.6</v>
      </c>
      <c r="P652" s="21" t="n">
        <v>3.41</v>
      </c>
      <c r="Q652" s="4">
        <f>N652-L652</f>
        <v/>
      </c>
      <c r="R652" s="21" t="n">
        <v>20.36</v>
      </c>
      <c r="S652" s="21" t="n">
        <v>4.246</v>
      </c>
      <c r="T652" s="7">
        <f>N652-S652</f>
        <v/>
      </c>
      <c r="U652" s="21" t="n">
        <v>103.093</v>
      </c>
      <c r="X652" s="21" t="n">
        <v>18844.4</v>
      </c>
      <c r="Y652" s="21" t="n">
        <v>35.5</v>
      </c>
      <c r="Z652" s="4">
        <f>X652/Y652</f>
        <v/>
      </c>
      <c r="AA652" s="4">
        <f>(Z652/X652)*100</f>
        <v/>
      </c>
      <c r="AB652" s="21" t="n">
        <v>14807</v>
      </c>
      <c r="AC652" s="23" t="n">
        <v>27.9</v>
      </c>
      <c r="AD652" s="4">
        <f>AB652/AC652</f>
        <v/>
      </c>
      <c r="AE652" s="4">
        <f>(AD652/AB652)*100</f>
        <v/>
      </c>
    </row>
    <row r="653">
      <c r="A653" s="5" t="n">
        <v>707</v>
      </c>
      <c r="B653" s="45" t="n">
        <v>45736</v>
      </c>
      <c r="C653" s="21" t="n">
        <v>40924873</v>
      </c>
      <c r="D653" s="4">
        <f>C653/E653</f>
        <v/>
      </c>
      <c r="E653" s="21" t="n">
        <v>86.31999999999999</v>
      </c>
      <c r="F653" s="4">
        <f>D653/100000</f>
        <v/>
      </c>
      <c r="G653" s="4">
        <f>($D$1-F653)/F653*100</f>
        <v/>
      </c>
      <c r="H653" s="4">
        <f>($D$2-F653)/F653*100</f>
        <v/>
      </c>
      <c r="I653" s="4">
        <f>($D$3-F653)/F653*100</f>
        <v/>
      </c>
      <c r="J653" s="4">
        <f>F653/$F$10*100</f>
        <v/>
      </c>
      <c r="K653" s="4">
        <f>N653/L653</f>
        <v/>
      </c>
      <c r="L653" s="4">
        <f>(M653/O653)*100</f>
        <v/>
      </c>
      <c r="M653" s="4">
        <f>O653/R653</f>
        <v/>
      </c>
      <c r="N653" s="21" t="n">
        <v>6.64</v>
      </c>
      <c r="O653" s="21" t="n">
        <v>23190.65</v>
      </c>
      <c r="P653" s="21" t="n">
        <v>3.45</v>
      </c>
      <c r="Q653" s="4">
        <f>N653-L653</f>
        <v/>
      </c>
      <c r="R653" s="21" t="n">
        <v>20.61</v>
      </c>
      <c r="S653" s="21" t="n">
        <v>4.24</v>
      </c>
      <c r="T653" s="7">
        <f>N653-S653</f>
        <v/>
      </c>
      <c r="U653" s="21" t="n">
        <v>103.497</v>
      </c>
      <c r="X653" s="21" t="n">
        <v>18948.45</v>
      </c>
      <c r="Y653" s="21" t="n">
        <v>35.69</v>
      </c>
      <c r="Z653" s="4">
        <f>X653/Y653</f>
        <v/>
      </c>
      <c r="AA653" s="4">
        <f>(Z653/X653)*100</f>
        <v/>
      </c>
      <c r="AB653" s="21" t="n">
        <v>14922.35</v>
      </c>
      <c r="AC653" s="23" t="n">
        <v>28.12</v>
      </c>
      <c r="AD653" s="4">
        <f>AB653/AC653</f>
        <v/>
      </c>
      <c r="AE653" s="4">
        <f>(AD653/AB653)*100</f>
        <v/>
      </c>
    </row>
    <row r="654">
      <c r="A654" s="5" t="n">
        <v>708</v>
      </c>
      <c r="B654" s="45" t="n">
        <v>45737</v>
      </c>
      <c r="C654" s="21" t="n">
        <v>41392614.03</v>
      </c>
      <c r="D654" s="4">
        <f>C654/E654</f>
        <v/>
      </c>
      <c r="E654" s="21" t="n">
        <v>85.98999999999999</v>
      </c>
      <c r="F654" s="4">
        <f>D654/100000</f>
        <v/>
      </c>
      <c r="G654" s="4">
        <f>($D$1-F654)/F654*100</f>
        <v/>
      </c>
      <c r="H654" s="4">
        <f>($D$2-F654)/F654*100</f>
        <v/>
      </c>
      <c r="I654" s="4">
        <f>($D$3-F654)/F654*100</f>
        <v/>
      </c>
      <c r="J654" s="4">
        <f>F654/$F$10*100</f>
        <v/>
      </c>
      <c r="K654" s="4">
        <f>N654/L654</f>
        <v/>
      </c>
      <c r="L654" s="4">
        <f>(M654/O654)*100</f>
        <v/>
      </c>
      <c r="M654" s="4">
        <f>O654/R654</f>
        <v/>
      </c>
      <c r="N654" s="21" t="n">
        <v>6.62</v>
      </c>
      <c r="O654" s="21" t="n">
        <v>23350.4</v>
      </c>
      <c r="P654" s="21" t="n">
        <v>3.48</v>
      </c>
      <c r="Q654" s="4">
        <f>N654-L654</f>
        <v/>
      </c>
      <c r="R654" s="21" t="n">
        <v>20.76</v>
      </c>
      <c r="S654" s="21" t="n">
        <v>4.249</v>
      </c>
      <c r="T654" s="7">
        <f>N654-S654</f>
        <v/>
      </c>
      <c r="U654" s="21" t="n">
        <v>103.744</v>
      </c>
      <c r="X654" s="21" t="n">
        <v>19203.3</v>
      </c>
      <c r="Y654" s="21" t="n">
        <v>36.17</v>
      </c>
      <c r="Z654" s="4">
        <f>X654/Y654</f>
        <v/>
      </c>
      <c r="AA654" s="4">
        <f>(Z654/X654)*100</f>
        <v/>
      </c>
      <c r="AB654" s="21" t="n">
        <v>15242.3</v>
      </c>
      <c r="AC654" s="23" t="n">
        <v>28.89</v>
      </c>
      <c r="AD654" s="4">
        <f>AB654/AC654</f>
        <v/>
      </c>
      <c r="AE654" s="4">
        <f>(AD654/AB654)*100</f>
        <v/>
      </c>
    </row>
    <row r="655">
      <c r="A655" s="5" t="n">
        <v>709</v>
      </c>
      <c r="B655" s="45" t="n">
        <v>45740</v>
      </c>
      <c r="C655" s="21" t="n">
        <v>41913920.14</v>
      </c>
      <c r="D655" s="4">
        <f>C655/E655</f>
        <v/>
      </c>
      <c r="E655" s="21" t="n">
        <v>85.56</v>
      </c>
      <c r="F655" s="4">
        <f>D655/100000</f>
        <v/>
      </c>
      <c r="G655" s="4">
        <f>($D$1-F655)/F655*100</f>
        <v/>
      </c>
      <c r="H655" s="4">
        <f>($D$2-F655)/F655*100</f>
        <v/>
      </c>
      <c r="I655" s="4">
        <f>($D$3-F655)/F655*100</f>
        <v/>
      </c>
      <c r="J655" s="4">
        <f>F655/$F$10*100</f>
        <v/>
      </c>
      <c r="K655" s="4">
        <f>N655/L655</f>
        <v/>
      </c>
      <c r="L655" s="4">
        <f>(M655/O655)*100</f>
        <v/>
      </c>
      <c r="M655" s="4">
        <f>O655/R655</f>
        <v/>
      </c>
      <c r="N655" s="21" t="n">
        <v>6.62</v>
      </c>
      <c r="O655" s="21" t="n">
        <v>23658.35</v>
      </c>
      <c r="P655" s="21" t="n">
        <v>3.52</v>
      </c>
      <c r="Q655" s="4">
        <f>N655-L655</f>
        <v/>
      </c>
      <c r="R655" s="21" t="n">
        <v>21.03</v>
      </c>
      <c r="S655" s="21" t="n">
        <v>4.338</v>
      </c>
      <c r="T655" s="7">
        <f>N655-S655</f>
        <v/>
      </c>
      <c r="U655" s="21" t="n">
        <v>103.936</v>
      </c>
      <c r="X655" s="21" t="n">
        <v>19418.3</v>
      </c>
      <c r="Y655" s="21" t="n">
        <v>36.57</v>
      </c>
      <c r="Z655" s="4">
        <f>X655/Y655</f>
        <v/>
      </c>
      <c r="AA655" s="4">
        <f>(Z655/X655)*100</f>
        <v/>
      </c>
      <c r="AB655" s="21" t="n">
        <v>15392.4</v>
      </c>
      <c r="AC655" s="23" t="n">
        <v>29.17</v>
      </c>
      <c r="AD655" s="4">
        <f>AB655/AC655</f>
        <v/>
      </c>
      <c r="AE655" s="4">
        <f>(AD655/AB655)*100</f>
        <v/>
      </c>
    </row>
    <row r="656">
      <c r="A656" s="5" t="n">
        <v>710</v>
      </c>
      <c r="B656" s="45" t="n">
        <v>45741</v>
      </c>
      <c r="C656" s="21" t="n">
        <v>41584517.86</v>
      </c>
      <c r="D656" s="4">
        <f>C656/E656</f>
        <v/>
      </c>
      <c r="E656" s="21" t="n">
        <v>85.583</v>
      </c>
      <c r="F656" s="4">
        <f>D656/100000</f>
        <v/>
      </c>
      <c r="G656" s="4">
        <f>($D$1-F656)/F656*100</f>
        <v/>
      </c>
      <c r="H656" s="4">
        <f>($D$2-F656)/F656*100</f>
        <v/>
      </c>
      <c r="I656" s="4">
        <f>($D$3-F656)/F656*100</f>
        <v/>
      </c>
      <c r="J656" s="4">
        <f>F656/$F$10*100</f>
        <v/>
      </c>
      <c r="K656" s="4">
        <f>N656/L656</f>
        <v/>
      </c>
      <c r="L656" s="4">
        <f>(M656/O656)*100</f>
        <v/>
      </c>
      <c r="M656" s="4">
        <f>O656/R656</f>
        <v/>
      </c>
      <c r="N656" s="21" t="n">
        <v>6.63</v>
      </c>
      <c r="O656" s="21" t="n">
        <v>23668.65</v>
      </c>
      <c r="P656" s="21" t="n">
        <v>3.52</v>
      </c>
      <c r="Q656" s="4">
        <f>N656-L656</f>
        <v/>
      </c>
      <c r="R656" s="21" t="n">
        <v>21.04</v>
      </c>
      <c r="S656" s="21" t="n">
        <v>4.316</v>
      </c>
      <c r="T656" s="7">
        <f>N656-S656</f>
        <v/>
      </c>
      <c r="U656" s="21" t="n">
        <v>103.831</v>
      </c>
      <c r="X656" s="21" t="n">
        <v>19228.35</v>
      </c>
      <c r="Y656" s="21" t="n">
        <v>36.21</v>
      </c>
      <c r="Z656" s="4">
        <f>X656/Y656</f>
        <v/>
      </c>
      <c r="AA656" s="4">
        <f>(Z656/X656)*100</f>
        <v/>
      </c>
      <c r="AB656" s="21" t="n">
        <v>15184.45</v>
      </c>
      <c r="AC656" s="23" t="n">
        <v>28.78</v>
      </c>
      <c r="AD656" s="4">
        <f>AB656/AC656</f>
        <v/>
      </c>
      <c r="AE656" s="4">
        <f>(AD656/AB656)*100</f>
        <v/>
      </c>
    </row>
    <row r="657">
      <c r="A657" s="5" t="n">
        <v>711</v>
      </c>
      <c r="B657" s="45" t="n">
        <v>45742</v>
      </c>
      <c r="C657" s="21" t="n">
        <v>41248623.07</v>
      </c>
      <c r="D657" s="4">
        <f>C657/E657</f>
        <v/>
      </c>
      <c r="E657" s="21" t="n">
        <v>85.625</v>
      </c>
      <c r="F657" s="4">
        <f>D657/100000</f>
        <v/>
      </c>
      <c r="G657" s="4">
        <f>($D$1-F657)/F657*100</f>
        <v/>
      </c>
      <c r="H657" s="4">
        <f>($D$2-F657)/F657*100</f>
        <v/>
      </c>
      <c r="I657" s="4">
        <f>($D$3-F657)/F657*100</f>
        <v/>
      </c>
      <c r="J657" s="4">
        <f>F657/$F$10*100</f>
        <v/>
      </c>
      <c r="K657" s="4">
        <f>N657/L657</f>
        <v/>
      </c>
      <c r="L657" s="4">
        <f>(M657/O657)*100</f>
        <v/>
      </c>
      <c r="M657" s="4">
        <f>O657/R657</f>
        <v/>
      </c>
      <c r="N657" s="21" t="n">
        <v>6.6</v>
      </c>
      <c r="O657" s="21" t="n">
        <v>23486.85</v>
      </c>
      <c r="P657" s="21" t="n">
        <v>3.5</v>
      </c>
      <c r="Q657" s="4">
        <f>N657-L657</f>
        <v/>
      </c>
      <c r="R657" s="21" t="n">
        <v>20.88</v>
      </c>
      <c r="S657" s="21" t="n">
        <v>4.353</v>
      </c>
      <c r="T657" s="7">
        <f>N657-S657</f>
        <v/>
      </c>
      <c r="U657" s="21" t="n">
        <v>104.207</v>
      </c>
      <c r="X657" s="21" t="n">
        <v>19106.65</v>
      </c>
      <c r="Y657" s="21" t="n">
        <v>35.98</v>
      </c>
      <c r="Z657" s="4">
        <f>X657/Y657</f>
        <v/>
      </c>
      <c r="AA657" s="4">
        <f>(Z657/X657)*100</f>
        <v/>
      </c>
      <c r="AB657" s="21" t="n">
        <v>14970</v>
      </c>
      <c r="AC657" s="23" t="n">
        <v>28.37</v>
      </c>
      <c r="AD657" s="4">
        <f>AB657/AC657</f>
        <v/>
      </c>
      <c r="AE657" s="4">
        <f>(AD657/AB657)*100</f>
        <v/>
      </c>
    </row>
    <row r="658">
      <c r="A658" s="5" t="n">
        <v>712</v>
      </c>
      <c r="B658" s="45" t="n">
        <v>45743</v>
      </c>
      <c r="C658" s="21" t="n">
        <v>41555437.41</v>
      </c>
      <c r="D658" s="4">
        <f>C658/E658</f>
        <v/>
      </c>
      <c r="E658" s="21" t="n">
        <v>85.64</v>
      </c>
      <c r="F658" s="4">
        <f>D658/100000</f>
        <v/>
      </c>
      <c r="G658" s="4">
        <f>($D$1-F658)/F658*100</f>
        <v/>
      </c>
      <c r="H658" s="4">
        <f>($D$2-F658)/F658*100</f>
        <v/>
      </c>
      <c r="I658" s="4">
        <f>($D$3-F658)/F658*100</f>
        <v/>
      </c>
      <c r="J658" s="4">
        <f>F658/$F$10*100</f>
        <v/>
      </c>
      <c r="K658" s="4">
        <f>N658/L658</f>
        <v/>
      </c>
      <c r="L658" s="4">
        <f>(M658/O658)*100</f>
        <v/>
      </c>
      <c r="M658" s="4">
        <f>O658/R658</f>
        <v/>
      </c>
      <c r="N658" s="21" t="n">
        <v>6.59</v>
      </c>
      <c r="O658" s="21" t="n">
        <v>23591.95</v>
      </c>
      <c r="P658" s="21" t="n">
        <v>3.51</v>
      </c>
      <c r="Q658" s="4">
        <f>N658-L658</f>
        <v/>
      </c>
      <c r="R658" s="21" t="n">
        <v>20.97</v>
      </c>
      <c r="S658" s="21" t="n">
        <v>4.36</v>
      </c>
      <c r="T658" s="7">
        <f>N658-S658</f>
        <v/>
      </c>
      <c r="U658" s="21" t="n">
        <v>103.992</v>
      </c>
      <c r="X658" s="21" t="n">
        <v>19175.4</v>
      </c>
      <c r="Y658" s="21" t="n">
        <v>36.11</v>
      </c>
      <c r="Z658" s="4">
        <f>X658/Y658</f>
        <v/>
      </c>
      <c r="AA658" s="4">
        <f>(Z658/X658)*100</f>
        <v/>
      </c>
      <c r="AB658" s="21" t="n">
        <v>15111.65</v>
      </c>
      <c r="AC658" s="23" t="n">
        <v>28.64</v>
      </c>
      <c r="AD658" s="4">
        <f>AB658/AC658</f>
        <v/>
      </c>
      <c r="AE658" s="4">
        <f>(AD658/AB658)*100</f>
        <v/>
      </c>
    </row>
    <row r="659">
      <c r="A659" s="5" t="n">
        <v>713</v>
      </c>
      <c r="B659" s="45" t="n">
        <v>45744</v>
      </c>
      <c r="C659" s="21" t="n">
        <v>41375586.2</v>
      </c>
      <c r="D659" s="4">
        <f>C659/E659</f>
        <v/>
      </c>
      <c r="E659" s="21" t="n">
        <v>85.53400000000001</v>
      </c>
      <c r="F659" s="4">
        <f>D659/100000</f>
        <v/>
      </c>
      <c r="G659" s="4">
        <f>($D$1-F659)/F659*100</f>
        <v/>
      </c>
      <c r="H659" s="4">
        <f>($D$2-F659)/F659*100</f>
        <v/>
      </c>
      <c r="I659" s="4">
        <f>($D$3-F659)/F659*100</f>
        <v/>
      </c>
      <c r="J659" s="4">
        <f>F659/$F$10*100</f>
        <v/>
      </c>
      <c r="K659" s="4">
        <f>N659/L659</f>
        <v/>
      </c>
      <c r="L659" s="4">
        <f>(M659/O659)*100</f>
        <v/>
      </c>
      <c r="M659" s="4">
        <f>O659/R659</f>
        <v/>
      </c>
      <c r="N659" s="21" t="n">
        <v>6.58</v>
      </c>
      <c r="O659" s="21" t="n">
        <v>23519.35</v>
      </c>
      <c r="P659" s="21" t="n">
        <v>3.48</v>
      </c>
      <c r="Q659" s="4">
        <f>N659-L659</f>
        <v/>
      </c>
      <c r="R659" s="21" t="n">
        <v>21.37</v>
      </c>
      <c r="S659" s="21" t="n">
        <v>4.251</v>
      </c>
      <c r="T659" s="7">
        <f>N659-S659</f>
        <v/>
      </c>
      <c r="U659" s="21" t="n">
        <v>103.709</v>
      </c>
      <c r="X659" s="21" t="n">
        <v>19120.35</v>
      </c>
      <c r="Y659" s="21" t="n">
        <v>33.71</v>
      </c>
      <c r="Z659" s="4">
        <f>X659/Y659</f>
        <v/>
      </c>
      <c r="AA659" s="4">
        <f>(Z659/X659)*100</f>
        <v/>
      </c>
      <c r="AB659" s="21" t="n">
        <v>15104.05</v>
      </c>
      <c r="AC659" s="23" t="n">
        <v>29.42</v>
      </c>
      <c r="AD659" s="4">
        <f>AB659/AC659</f>
        <v/>
      </c>
      <c r="AE659" s="4">
        <f>(AD659/AB659)*100</f>
        <v/>
      </c>
    </row>
  </sheetData>
  <mergeCells count="3">
    <mergeCell ref="E4:J4"/>
    <mergeCell ref="E9:G9"/>
    <mergeCell ref="E6:F6"/>
  </mergeCells>
  <conditionalFormatting sqref="C143:C161">
    <cfRule type="top10" rank="10" priority="36" dxfId="15" bottom="1"/>
  </conditionalFormatting>
  <conditionalFormatting sqref="C411:C659">
    <cfRule type="top10" rank="10" priority="8" dxfId="1" bottom="1"/>
    <cfRule type="top10" rank="10" priority="9" dxfId="0"/>
  </conditionalFormatting>
  <conditionalFormatting sqref="F12:F161">
    <cfRule type="top10" rank="10" priority="35" dxfId="47" bottom="1"/>
  </conditionalFormatting>
  <conditionalFormatting sqref="F411:F659">
    <cfRule type="top10" rank="10" priority="6" dxfId="0" bottom="1"/>
    <cfRule type="top10" rank="10" priority="7" dxfId="1"/>
  </conditionalFormatting>
  <conditionalFormatting sqref="J12:J161">
    <cfRule type="top10" rank="10" priority="38" dxfId="1" bottom="1"/>
  </conditionalFormatting>
  <conditionalFormatting sqref="J12:J659">
    <cfRule type="top10" rank="10" priority="52" dxfId="1"/>
  </conditionalFormatting>
  <conditionalFormatting sqref="J411:J659">
    <cfRule type="top10" rank="10" priority="2" dxfId="1"/>
    <cfRule type="top10" rank="10" priority="3" dxfId="0" percent="1" bottom="1"/>
  </conditionalFormatting>
  <conditionalFormatting sqref="K12:K161">
    <cfRule type="top10" rank="10" priority="34" dxfId="15"/>
    <cfRule type="top10" rank="10" priority="33" dxfId="0" bottom="1"/>
  </conditionalFormatting>
  <conditionalFormatting sqref="K12:K659">
    <cfRule type="top10" rank="10" priority="61" dxfId="1"/>
  </conditionalFormatting>
  <conditionalFormatting sqref="K411:K659">
    <cfRule type="top10" rank="10" priority="4" dxfId="1"/>
    <cfRule type="top10" rank="10" priority="5" dxfId="0" percent="1" bottom="1"/>
  </conditionalFormatting>
  <conditionalFormatting sqref="L1:L1048576">
    <cfRule type="top10" rank="10" priority="29" dxfId="0"/>
    <cfRule type="top10" rank="10" priority="28" dxfId="1" bottom="1"/>
  </conditionalFormatting>
  <conditionalFormatting sqref="L12:L161">
    <cfRule type="top10" rank="10" priority="37" dxfId="0"/>
  </conditionalFormatting>
  <conditionalFormatting sqref="L12:L491">
    <cfRule type="top10" rank="10" priority="26" dxfId="1" bottom="1"/>
  </conditionalFormatting>
  <conditionalFormatting sqref="L12:L659">
    <cfRule type="top10" rank="10" priority="59" dxfId="1" bottom="1"/>
  </conditionalFormatting>
  <conditionalFormatting sqref="L17:L659">
    <cfRule type="top10" rank="10" priority="1" dxfId="0"/>
  </conditionalFormatting>
  <conditionalFormatting sqref="M12:M659">
    <cfRule type="top10" rank="10" priority="60" dxfId="0"/>
  </conditionalFormatting>
  <conditionalFormatting sqref="N12:N495">
    <cfRule type="top10" rank="10" priority="40" dxfId="1" bottom="1"/>
    <cfRule type="top10" rank="10" priority="39" dxfId="27"/>
  </conditionalFormatting>
  <conditionalFormatting sqref="N12:N536">
    <cfRule type="top10" rank="10" priority="13" dxfId="0" bottom="1"/>
  </conditionalFormatting>
  <conditionalFormatting sqref="O12:O161">
    <cfRule type="top10" rank="10" priority="30" dxfId="0"/>
  </conditionalFormatting>
  <conditionalFormatting sqref="O12:O536">
    <cfRule type="top10" rank="10" priority="12" dxfId="0"/>
  </conditionalFormatting>
  <conditionalFormatting sqref="P12:P536">
    <cfRule type="top10" rank="10" priority="11" dxfId="0" bottom="1"/>
    <cfRule type="top10" rank="10" priority="10" dxfId="1"/>
  </conditionalFormatting>
  <conditionalFormatting sqref="Q17:Q659">
    <cfRule type="top10" rank="10" priority="62" dxfId="0"/>
  </conditionalFormatting>
  <conditionalFormatting sqref="R38:R161">
    <cfRule type="top10" rank="10" priority="31" dxfId="0" bottom="1"/>
  </conditionalFormatting>
  <conditionalFormatting sqref="R38:R491">
    <cfRule type="top10" rank="10" priority="24" dxfId="0" bottom="1"/>
    <cfRule type="top10" rank="10" priority="23" dxfId="1"/>
  </conditionalFormatting>
  <conditionalFormatting sqref="S37:S491">
    <cfRule type="top10" rank="10" priority="22" dxfId="0" bottom="1"/>
    <cfRule type="top10" rank="10" priority="21" dxfId="1"/>
  </conditionalFormatting>
  <conditionalFormatting sqref="T12:T659">
    <cfRule type="top10" rank="10" priority="63" dxfId="15"/>
  </conditionalFormatting>
  <conditionalFormatting sqref="U42:U491">
    <cfRule type="top10" rank="10" priority="20" dxfId="1"/>
    <cfRule type="top10" rank="10" priority="19" dxfId="0" bottom="1"/>
  </conditionalFormatting>
  <conditionalFormatting sqref="V159:V491">
    <cfRule type="top10" rank="10" priority="18" dxfId="1"/>
    <cfRule type="top10" rank="10" priority="17" dxfId="0" bottom="1"/>
  </conditionalFormatting>
  <hyperlinks>
    <hyperlink xmlns:r="http://schemas.openxmlformats.org/officeDocument/2006/relationships" ref="E4" r:id="rId1"/>
    <hyperlink xmlns:r="http://schemas.openxmlformats.org/officeDocument/2006/relationships" ref="E6" r:id="rId2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Abc</dc:creator>
  <dcterms:created xmlns:dcterms="http://purl.org/dc/terms/" xmlns:xsi="http://www.w3.org/2001/XMLSchema-instance" xsi:type="dcterms:W3CDTF">2025-01-30T11:41:02Z</dcterms:created>
  <dcterms:modified xmlns:dcterms="http://purl.org/dc/terms/" xmlns:xsi="http://www.w3.org/2001/XMLSchema-instance" xsi:type="dcterms:W3CDTF">2026-03-28T17:23:11Z</dcterms:modified>
  <cp:lastModifiedBy>Nitin Shah</cp:lastModifiedBy>
</cp:coreProperties>
</file>